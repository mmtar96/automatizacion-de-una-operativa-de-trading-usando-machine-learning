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mo\OneDrive\Documentos\MEGA\MARMOL-MEGA\1_Personal\Estudios\MUSI\TFM\TFM_MUSI-Instrucciones_autor_LaTeX\"/>
    </mc:Choice>
  </mc:AlternateContent>
  <xr:revisionPtr revIDLastSave="0" documentId="13_ncr:1_{182D085F-C2F6-4A99-8B90-2AE5385C1AAD}" xr6:coauthVersionLast="47" xr6:coauthVersionMax="47" xr10:uidLastSave="{00000000-0000-0000-0000-000000000000}"/>
  <bookViews>
    <workbookView xWindow="-108" yWindow="-108" windowWidth="23256" windowHeight="12576" tabRatio="966" activeTab="2" xr2:uid="{00000000-000D-0000-FFFF-FFFF00000000}"/>
  </bookViews>
  <sheets>
    <sheet name="Sheet1" sheetId="1" r:id="rId1"/>
    <sheet name="ensayos variables" sheetId="25" r:id="rId2"/>
    <sheet name="tablas" sheetId="23" r:id="rId3"/>
    <sheet name="Flujo de caja" sheetId="2" r:id="rId4"/>
    <sheet name="dataset" sheetId="16" r:id="rId5"/>
    <sheet name="results" sheetId="17" r:id="rId6"/>
    <sheet name="2017-23 - Analisis volatilidad" sheetId="13" r:id="rId7"/>
    <sheet name="resultados" sheetId="15" r:id="rId8"/>
    <sheet name="RL" sheetId="18" r:id="rId9"/>
    <sheet name="RP" sheetId="19" r:id="rId10"/>
    <sheet name="SVR" sheetId="20" r:id="rId11"/>
    <sheet name="AD" sheetId="21" r:id="rId12"/>
    <sheet name="RF" sheetId="22" r:id="rId13"/>
    <sheet name="predicciones" sheetId="24" r:id="rId14"/>
    <sheet name="Ideal - Simple" sheetId="9" r:id="rId15"/>
    <sheet name="Ideal - Compuesta" sheetId="11" r:id="rId16"/>
    <sheet name="Real - Simple" sheetId="10" r:id="rId17"/>
    <sheet name="Real - Compuesta" sheetId="12" r:id="rId18"/>
    <sheet name="Hoja1" sheetId="3" r:id="rId19"/>
  </sheets>
  <definedNames>
    <definedName name="_xlnm._FilterDatabase" localSheetId="1" hidden="1">'ensayos variables'!$A$1:$AF$273</definedName>
    <definedName name="_xlnm._FilterDatabase" localSheetId="0" hidden="1">Sheet1!$O$21:$AH$93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32" i="25" l="1"/>
  <c r="U133" i="25"/>
  <c r="U134" i="25"/>
  <c r="U135" i="25"/>
  <c r="U268" i="25" l="1"/>
  <c r="U267" i="25"/>
  <c r="U266" i="25"/>
  <c r="U265" i="25"/>
  <c r="U264" i="25"/>
  <c r="T262" i="25" s="1"/>
  <c r="U262" i="25"/>
  <c r="O262" i="25"/>
  <c r="I262" i="25"/>
  <c r="H262" i="25"/>
  <c r="G262" i="25"/>
  <c r="D262" i="25"/>
  <c r="C262" i="25"/>
  <c r="U256" i="25"/>
  <c r="U255" i="25"/>
  <c r="U254" i="25"/>
  <c r="T250" i="25" s="1"/>
  <c r="U253" i="25"/>
  <c r="U252" i="25"/>
  <c r="U250" i="25"/>
  <c r="O250" i="25"/>
  <c r="I250" i="25"/>
  <c r="H250" i="25"/>
  <c r="G250" i="25"/>
  <c r="D250" i="25"/>
  <c r="C250" i="25"/>
  <c r="U238" i="25"/>
  <c r="O238" i="25"/>
  <c r="I238" i="25"/>
  <c r="H238" i="25"/>
  <c r="G238" i="25"/>
  <c r="D238" i="25"/>
  <c r="C238" i="25"/>
  <c r="U244" i="25"/>
  <c r="U243" i="25"/>
  <c r="U242" i="25"/>
  <c r="U241" i="25"/>
  <c r="U240" i="25"/>
  <c r="T238" i="25" s="1"/>
  <c r="U232" i="25"/>
  <c r="U231" i="25"/>
  <c r="U230" i="25"/>
  <c r="U229" i="25"/>
  <c r="U228" i="25"/>
  <c r="U226" i="25"/>
  <c r="O226" i="25"/>
  <c r="I226" i="25"/>
  <c r="H226" i="25"/>
  <c r="G226" i="25"/>
  <c r="D226" i="25"/>
  <c r="C226" i="25"/>
  <c r="U1" i="25"/>
  <c r="U13" i="25"/>
  <c r="U47" i="25"/>
  <c r="U59" i="25"/>
  <c r="U71" i="25"/>
  <c r="U82" i="25"/>
  <c r="U94" i="25"/>
  <c r="U106" i="25"/>
  <c r="U118" i="25"/>
  <c r="U130" i="25"/>
  <c r="U142" i="25"/>
  <c r="U154" i="25"/>
  <c r="U166" i="25"/>
  <c r="U178" i="25"/>
  <c r="U190" i="25"/>
  <c r="U202" i="25"/>
  <c r="U214" i="25"/>
  <c r="U220" i="25"/>
  <c r="U219" i="25"/>
  <c r="U218" i="25"/>
  <c r="U217" i="25"/>
  <c r="U216" i="25"/>
  <c r="T214" i="25" s="1"/>
  <c r="O214" i="25"/>
  <c r="I214" i="25"/>
  <c r="H214" i="25"/>
  <c r="G214" i="25"/>
  <c r="D214" i="25"/>
  <c r="C214" i="25"/>
  <c r="U208" i="25"/>
  <c r="U207" i="25"/>
  <c r="U206" i="25"/>
  <c r="U205" i="25"/>
  <c r="U204" i="25"/>
  <c r="O202" i="25"/>
  <c r="I202" i="25"/>
  <c r="H202" i="25"/>
  <c r="G202" i="25"/>
  <c r="D202" i="25"/>
  <c r="C202" i="25"/>
  <c r="U196" i="25"/>
  <c r="U195" i="25"/>
  <c r="U194" i="25"/>
  <c r="U193" i="25"/>
  <c r="U192" i="25"/>
  <c r="O190" i="25"/>
  <c r="I190" i="25"/>
  <c r="H190" i="25"/>
  <c r="G190" i="25"/>
  <c r="D190" i="25"/>
  <c r="C190" i="25"/>
  <c r="U184" i="25"/>
  <c r="U183" i="25"/>
  <c r="U182" i="25"/>
  <c r="U181" i="25"/>
  <c r="U180" i="25"/>
  <c r="T178" i="25" s="1"/>
  <c r="O178" i="25"/>
  <c r="I178" i="25"/>
  <c r="H178" i="25"/>
  <c r="G178" i="25"/>
  <c r="D178" i="25"/>
  <c r="C178" i="25"/>
  <c r="T154" i="25"/>
  <c r="O154" i="25"/>
  <c r="I154" i="25"/>
  <c r="H154" i="25"/>
  <c r="G154" i="25"/>
  <c r="D154" i="25"/>
  <c r="C154" i="25"/>
  <c r="U172" i="25"/>
  <c r="U171" i="25"/>
  <c r="U170" i="25"/>
  <c r="U169" i="25"/>
  <c r="U168" i="25"/>
  <c r="O166" i="25"/>
  <c r="I166" i="25"/>
  <c r="H166" i="25"/>
  <c r="G166" i="25"/>
  <c r="D166" i="25"/>
  <c r="C166" i="25"/>
  <c r="U160" i="25"/>
  <c r="U159" i="25"/>
  <c r="U158" i="25"/>
  <c r="U157" i="25"/>
  <c r="U156" i="25"/>
  <c r="U148" i="25"/>
  <c r="U147" i="25"/>
  <c r="U146" i="25"/>
  <c r="U145" i="25"/>
  <c r="U144" i="25"/>
  <c r="O142" i="25"/>
  <c r="I142" i="25"/>
  <c r="H142" i="25"/>
  <c r="G142" i="25"/>
  <c r="D142" i="25"/>
  <c r="C142" i="25"/>
  <c r="U136" i="25"/>
  <c r="O130" i="25"/>
  <c r="I130" i="25"/>
  <c r="H130" i="25"/>
  <c r="G130" i="25"/>
  <c r="D130" i="25"/>
  <c r="C130" i="25"/>
  <c r="O118" i="25"/>
  <c r="I118" i="25"/>
  <c r="H118" i="25"/>
  <c r="G118" i="25"/>
  <c r="D118" i="25"/>
  <c r="C118" i="25"/>
  <c r="U124" i="25"/>
  <c r="U123" i="25"/>
  <c r="U122" i="25"/>
  <c r="U121" i="25"/>
  <c r="U120" i="25"/>
  <c r="U112" i="25"/>
  <c r="U111" i="25"/>
  <c r="U110" i="25"/>
  <c r="U109" i="25"/>
  <c r="U108" i="25"/>
  <c r="O106" i="25"/>
  <c r="I106" i="25"/>
  <c r="H106" i="25"/>
  <c r="G106" i="25"/>
  <c r="D106" i="25"/>
  <c r="C106" i="25"/>
  <c r="U100" i="25"/>
  <c r="U99" i="25"/>
  <c r="U98" i="25"/>
  <c r="U97" i="25"/>
  <c r="U96" i="25"/>
  <c r="O94" i="25"/>
  <c r="O83" i="25" s="1"/>
  <c r="I94" i="25"/>
  <c r="I83" i="25" s="1"/>
  <c r="H94" i="25"/>
  <c r="H83" i="25" s="1"/>
  <c r="G94" i="25"/>
  <c r="G83" i="25" s="1"/>
  <c r="D94" i="25"/>
  <c r="D83" i="25" s="1"/>
  <c r="C94" i="25"/>
  <c r="C83" i="25" s="1"/>
  <c r="O1" i="25"/>
  <c r="O13" i="25"/>
  <c r="O47" i="25"/>
  <c r="O36" i="25" s="1"/>
  <c r="O25" i="25" s="1"/>
  <c r="O59" i="25"/>
  <c r="O71" i="25"/>
  <c r="I1" i="25"/>
  <c r="I13" i="25"/>
  <c r="I47" i="25"/>
  <c r="I36" i="25" s="1"/>
  <c r="I25" i="25" s="1"/>
  <c r="I59" i="25"/>
  <c r="I71" i="25"/>
  <c r="U30" i="25"/>
  <c r="U29" i="25"/>
  <c r="U28" i="25"/>
  <c r="U27" i="25"/>
  <c r="U26" i="25"/>
  <c r="U19" i="25"/>
  <c r="U18" i="25"/>
  <c r="U17" i="25"/>
  <c r="U16" i="25"/>
  <c r="U15" i="25"/>
  <c r="U7" i="25"/>
  <c r="U6" i="25"/>
  <c r="U5" i="25"/>
  <c r="U4" i="25"/>
  <c r="U3" i="25"/>
  <c r="U41" i="25"/>
  <c r="U40" i="25"/>
  <c r="U39" i="25"/>
  <c r="U38" i="25"/>
  <c r="U37" i="25"/>
  <c r="U53" i="25"/>
  <c r="U52" i="25"/>
  <c r="U51" i="25"/>
  <c r="U50" i="25"/>
  <c r="U49" i="25"/>
  <c r="U65" i="25"/>
  <c r="U64" i="25"/>
  <c r="U63" i="25"/>
  <c r="U62" i="25"/>
  <c r="U61" i="25"/>
  <c r="U77" i="25"/>
  <c r="U76" i="25"/>
  <c r="U75" i="25"/>
  <c r="U74" i="25"/>
  <c r="U73" i="25"/>
  <c r="U88" i="25"/>
  <c r="U87" i="25"/>
  <c r="U86" i="25"/>
  <c r="U85" i="25"/>
  <c r="U84" i="25"/>
  <c r="H71" i="25"/>
  <c r="G71" i="25"/>
  <c r="D71" i="25"/>
  <c r="H59" i="25"/>
  <c r="G59" i="25"/>
  <c r="D59" i="25"/>
  <c r="H47" i="25"/>
  <c r="H36" i="25" s="1"/>
  <c r="H25" i="25" s="1"/>
  <c r="G47" i="25"/>
  <c r="G36" i="25" s="1"/>
  <c r="G25" i="25" s="1"/>
  <c r="D47" i="25"/>
  <c r="D36" i="25" s="1"/>
  <c r="D25" i="25" s="1"/>
  <c r="H13" i="25"/>
  <c r="G13" i="25"/>
  <c r="D13" i="25"/>
  <c r="H1" i="25"/>
  <c r="G1" i="25"/>
  <c r="D1" i="25"/>
  <c r="C71" i="25"/>
  <c r="C59" i="25"/>
  <c r="C47" i="25"/>
  <c r="C36" i="25" s="1"/>
  <c r="C25" i="25" s="1"/>
  <c r="C1" i="25"/>
  <c r="C13" i="25"/>
  <c r="E54" i="1"/>
  <c r="F54" i="1" s="1"/>
  <c r="I54" i="1"/>
  <c r="E55" i="1"/>
  <c r="H55" i="1" s="1"/>
  <c r="I55" i="1"/>
  <c r="E56" i="1"/>
  <c r="I56" i="1"/>
  <c r="E57" i="1"/>
  <c r="F57" i="1" s="1"/>
  <c r="I57" i="1"/>
  <c r="E58" i="1"/>
  <c r="F58" i="1" s="1"/>
  <c r="I58" i="1"/>
  <c r="E59" i="1"/>
  <c r="H59" i="1" s="1"/>
  <c r="I59" i="1"/>
  <c r="E60" i="1"/>
  <c r="I60" i="1"/>
  <c r="E61" i="1"/>
  <c r="F61" i="1" s="1"/>
  <c r="I61" i="1"/>
  <c r="E62" i="1"/>
  <c r="F62" i="1" s="1"/>
  <c r="I62" i="1"/>
  <c r="E63" i="1"/>
  <c r="H63" i="1" s="1"/>
  <c r="I63" i="1"/>
  <c r="E64" i="1"/>
  <c r="I64" i="1"/>
  <c r="E65" i="1"/>
  <c r="F65" i="1" s="1"/>
  <c r="I65" i="1"/>
  <c r="E66" i="1"/>
  <c r="F66" i="1" s="1"/>
  <c r="I66" i="1"/>
  <c r="E67" i="1"/>
  <c r="H67" i="1" s="1"/>
  <c r="I67" i="1"/>
  <c r="E68" i="1"/>
  <c r="I68" i="1"/>
  <c r="E69" i="1"/>
  <c r="F69" i="1" s="1"/>
  <c r="I69" i="1"/>
  <c r="E70" i="1"/>
  <c r="F70" i="1" s="1"/>
  <c r="I70" i="1"/>
  <c r="E71" i="1"/>
  <c r="H71" i="1" s="1"/>
  <c r="I71" i="1"/>
  <c r="E72" i="1"/>
  <c r="I72" i="1"/>
  <c r="E73" i="1"/>
  <c r="F73" i="1" s="1"/>
  <c r="I73" i="1"/>
  <c r="E74" i="1"/>
  <c r="F74" i="1" s="1"/>
  <c r="I74" i="1"/>
  <c r="E75" i="1"/>
  <c r="H75" i="1" s="1"/>
  <c r="I75" i="1"/>
  <c r="E76" i="1"/>
  <c r="I76" i="1"/>
  <c r="E77" i="1"/>
  <c r="F77" i="1" s="1"/>
  <c r="I77" i="1"/>
  <c r="E78" i="1"/>
  <c r="F78" i="1" s="1"/>
  <c r="I78" i="1"/>
  <c r="E79" i="1"/>
  <c r="H79" i="1" s="1"/>
  <c r="I79" i="1"/>
  <c r="E80" i="1"/>
  <c r="I80" i="1"/>
  <c r="E81" i="1"/>
  <c r="F81" i="1" s="1"/>
  <c r="I81" i="1"/>
  <c r="E82" i="1"/>
  <c r="F82" i="1" s="1"/>
  <c r="I82" i="1"/>
  <c r="E83" i="1"/>
  <c r="H83" i="1" s="1"/>
  <c r="I83" i="1"/>
  <c r="E84" i="1"/>
  <c r="I84" i="1"/>
  <c r="E85" i="1"/>
  <c r="F85" i="1" s="1"/>
  <c r="I85" i="1"/>
  <c r="E86" i="1"/>
  <c r="F86" i="1" s="1"/>
  <c r="I86" i="1"/>
  <c r="E87" i="1"/>
  <c r="H87" i="1" s="1"/>
  <c r="I87" i="1"/>
  <c r="E88" i="1"/>
  <c r="I88" i="1"/>
  <c r="E89" i="1"/>
  <c r="F89" i="1" s="1"/>
  <c r="I89" i="1"/>
  <c r="E90" i="1"/>
  <c r="F90" i="1" s="1"/>
  <c r="I90" i="1"/>
  <c r="E91" i="1"/>
  <c r="H91" i="1" s="1"/>
  <c r="I91" i="1"/>
  <c r="E92" i="1"/>
  <c r="I92" i="1"/>
  <c r="E93" i="1"/>
  <c r="F93" i="1" s="1"/>
  <c r="I93" i="1"/>
  <c r="E94" i="1"/>
  <c r="F94" i="1" s="1"/>
  <c r="I94" i="1"/>
  <c r="E95" i="1"/>
  <c r="H95" i="1" s="1"/>
  <c r="I95" i="1"/>
  <c r="E96" i="1"/>
  <c r="I96" i="1"/>
  <c r="E97" i="1"/>
  <c r="F97" i="1" s="1"/>
  <c r="I97" i="1"/>
  <c r="E98" i="1"/>
  <c r="F98" i="1" s="1"/>
  <c r="I98" i="1"/>
  <c r="E99" i="1"/>
  <c r="H99" i="1" s="1"/>
  <c r="I99" i="1"/>
  <c r="E100" i="1"/>
  <c r="H100" i="1" s="1"/>
  <c r="I100" i="1"/>
  <c r="E101" i="1"/>
  <c r="F101" i="1" s="1"/>
  <c r="I101" i="1"/>
  <c r="E102" i="1"/>
  <c r="I102" i="1"/>
  <c r="E103" i="1"/>
  <c r="H103" i="1" s="1"/>
  <c r="I103" i="1"/>
  <c r="E104" i="1"/>
  <c r="H104" i="1" s="1"/>
  <c r="I104" i="1"/>
  <c r="E105" i="1"/>
  <c r="F105" i="1" s="1"/>
  <c r="I105" i="1"/>
  <c r="E106" i="1"/>
  <c r="I106" i="1"/>
  <c r="E107" i="1"/>
  <c r="H107" i="1" s="1"/>
  <c r="I107" i="1"/>
  <c r="E108" i="1"/>
  <c r="I108" i="1"/>
  <c r="E109" i="1"/>
  <c r="F109" i="1" s="1"/>
  <c r="I109" i="1"/>
  <c r="E110" i="1"/>
  <c r="I110" i="1"/>
  <c r="E111" i="1"/>
  <c r="H111" i="1" s="1"/>
  <c r="I111" i="1"/>
  <c r="E112" i="1"/>
  <c r="H112" i="1" s="1"/>
  <c r="I112" i="1"/>
  <c r="E113" i="1"/>
  <c r="F113" i="1" s="1"/>
  <c r="I113" i="1"/>
  <c r="E114" i="1"/>
  <c r="I114" i="1"/>
  <c r="E115" i="1"/>
  <c r="H115" i="1" s="1"/>
  <c r="I115" i="1"/>
  <c r="E116" i="1"/>
  <c r="H116" i="1" s="1"/>
  <c r="I116" i="1"/>
  <c r="E117" i="1"/>
  <c r="F117" i="1" s="1"/>
  <c r="I117" i="1"/>
  <c r="E118" i="1"/>
  <c r="I118" i="1"/>
  <c r="E119" i="1"/>
  <c r="H119" i="1" s="1"/>
  <c r="I119" i="1"/>
  <c r="E120" i="1"/>
  <c r="H120" i="1" s="1"/>
  <c r="I120" i="1"/>
  <c r="E121" i="1"/>
  <c r="F121" i="1" s="1"/>
  <c r="I121" i="1"/>
  <c r="E122" i="1"/>
  <c r="I122" i="1"/>
  <c r="E123" i="1"/>
  <c r="H123" i="1" s="1"/>
  <c r="I123" i="1"/>
  <c r="E124" i="1"/>
  <c r="H124" i="1" s="1"/>
  <c r="I124" i="1"/>
  <c r="E125" i="1"/>
  <c r="F125" i="1" s="1"/>
  <c r="I125" i="1"/>
  <c r="E126" i="1"/>
  <c r="I126" i="1"/>
  <c r="E127" i="1"/>
  <c r="H127" i="1" s="1"/>
  <c r="I127" i="1"/>
  <c r="E128" i="1"/>
  <c r="H128" i="1" s="1"/>
  <c r="I128" i="1"/>
  <c r="E129" i="1"/>
  <c r="F129" i="1" s="1"/>
  <c r="I129" i="1"/>
  <c r="E130" i="1"/>
  <c r="I130" i="1"/>
  <c r="E131" i="1"/>
  <c r="H131" i="1" s="1"/>
  <c r="I131" i="1"/>
  <c r="E132" i="1"/>
  <c r="H132" i="1" s="1"/>
  <c r="I132" i="1"/>
  <c r="E133" i="1"/>
  <c r="F133" i="1" s="1"/>
  <c r="I133" i="1"/>
  <c r="E134" i="1"/>
  <c r="I134" i="1"/>
  <c r="E135" i="1"/>
  <c r="H135" i="1" s="1"/>
  <c r="I135" i="1"/>
  <c r="E136" i="1"/>
  <c r="H136" i="1" s="1"/>
  <c r="I136" i="1"/>
  <c r="E137" i="1"/>
  <c r="F137" i="1" s="1"/>
  <c r="I137" i="1"/>
  <c r="E138" i="1"/>
  <c r="I138" i="1"/>
  <c r="E139" i="1"/>
  <c r="H139" i="1" s="1"/>
  <c r="I139" i="1"/>
  <c r="E140" i="1"/>
  <c r="I140" i="1"/>
  <c r="E141" i="1"/>
  <c r="F141" i="1" s="1"/>
  <c r="I141" i="1"/>
  <c r="E142" i="1"/>
  <c r="I142" i="1"/>
  <c r="E143" i="1"/>
  <c r="H143" i="1" s="1"/>
  <c r="I143" i="1"/>
  <c r="E144" i="1"/>
  <c r="H144" i="1" s="1"/>
  <c r="I144" i="1"/>
  <c r="E145" i="1"/>
  <c r="F145" i="1" s="1"/>
  <c r="I145" i="1"/>
  <c r="E146" i="1"/>
  <c r="G146" i="1" s="1"/>
  <c r="I147" i="2" s="1"/>
  <c r="I146" i="1"/>
  <c r="E147" i="1"/>
  <c r="F147" i="1" s="1"/>
  <c r="I147" i="1"/>
  <c r="E148" i="1"/>
  <c r="G148" i="1" s="1"/>
  <c r="I149" i="2" s="1"/>
  <c r="N149" i="2" s="1"/>
  <c r="I148" i="1"/>
  <c r="E149" i="1"/>
  <c r="I149" i="1"/>
  <c r="E150" i="1"/>
  <c r="G150" i="1" s="1"/>
  <c r="I151" i="2" s="1"/>
  <c r="I150" i="1"/>
  <c r="E151" i="1"/>
  <c r="F151" i="1" s="1"/>
  <c r="I151" i="1"/>
  <c r="E152" i="1"/>
  <c r="G152" i="1" s="1"/>
  <c r="I153" i="2" s="1"/>
  <c r="N153" i="2" s="1"/>
  <c r="I152" i="1"/>
  <c r="E153" i="1"/>
  <c r="G153" i="1" s="1"/>
  <c r="I154" i="2" s="1"/>
  <c r="N154" i="2" s="1"/>
  <c r="I153" i="1"/>
  <c r="E154" i="1"/>
  <c r="G154" i="1" s="1"/>
  <c r="I155" i="2" s="1"/>
  <c r="I154" i="1"/>
  <c r="E155" i="1"/>
  <c r="F155" i="1" s="1"/>
  <c r="I155" i="1"/>
  <c r="E156" i="1"/>
  <c r="G156" i="1" s="1"/>
  <c r="I157" i="2" s="1"/>
  <c r="N157" i="2" s="1"/>
  <c r="I156" i="1"/>
  <c r="E157" i="1"/>
  <c r="G157" i="1" s="1"/>
  <c r="I158" i="2" s="1"/>
  <c r="N158" i="2" s="1"/>
  <c r="I157" i="1"/>
  <c r="E158" i="1"/>
  <c r="G158" i="1" s="1"/>
  <c r="I159" i="2" s="1"/>
  <c r="I158" i="1"/>
  <c r="E159" i="1"/>
  <c r="F159" i="1" s="1"/>
  <c r="I159" i="1"/>
  <c r="E160" i="1"/>
  <c r="I160" i="1"/>
  <c r="E161" i="1"/>
  <c r="G161" i="1" s="1"/>
  <c r="I162" i="2" s="1"/>
  <c r="N162" i="2" s="1"/>
  <c r="I161" i="1"/>
  <c r="E162" i="1"/>
  <c r="I162" i="1"/>
  <c r="E163" i="1"/>
  <c r="F163" i="1" s="1"/>
  <c r="I163" i="1"/>
  <c r="E164" i="1"/>
  <c r="G164" i="1" s="1"/>
  <c r="I165" i="2" s="1"/>
  <c r="N165" i="2" s="1"/>
  <c r="I164" i="1"/>
  <c r="E165" i="1"/>
  <c r="G165" i="1" s="1"/>
  <c r="I166" i="2" s="1"/>
  <c r="N166" i="2" s="1"/>
  <c r="I165" i="1"/>
  <c r="E166" i="1"/>
  <c r="G166" i="1" s="1"/>
  <c r="I167" i="2" s="1"/>
  <c r="I166" i="1"/>
  <c r="E167" i="1"/>
  <c r="F167" i="1" s="1"/>
  <c r="I167" i="1"/>
  <c r="E168" i="1"/>
  <c r="F168" i="1" s="1"/>
  <c r="I168" i="1"/>
  <c r="E3" i="1"/>
  <c r="F3" i="1" s="1"/>
  <c r="I3" i="1"/>
  <c r="E4" i="1"/>
  <c r="F4" i="1" s="1"/>
  <c r="I4" i="1"/>
  <c r="E5" i="1"/>
  <c r="F5" i="1" s="1"/>
  <c r="I5" i="1"/>
  <c r="E6" i="1"/>
  <c r="F6" i="1" s="1"/>
  <c r="I6" i="1"/>
  <c r="E7" i="1"/>
  <c r="F7" i="1" s="1"/>
  <c r="I7" i="1"/>
  <c r="E8" i="1"/>
  <c r="F8" i="1" s="1"/>
  <c r="I8" i="1"/>
  <c r="E9" i="1"/>
  <c r="F9" i="1" s="1"/>
  <c r="I9" i="1"/>
  <c r="E10" i="1"/>
  <c r="F10" i="1" s="1"/>
  <c r="I10" i="1"/>
  <c r="E11" i="1"/>
  <c r="F11" i="1" s="1"/>
  <c r="I11" i="1"/>
  <c r="E12" i="1"/>
  <c r="F12" i="1" s="1"/>
  <c r="I12" i="1"/>
  <c r="E13" i="1"/>
  <c r="I13" i="1"/>
  <c r="E14" i="1"/>
  <c r="F14" i="1" s="1"/>
  <c r="I14" i="1"/>
  <c r="E15" i="1"/>
  <c r="H15" i="1" s="1"/>
  <c r="I15" i="1"/>
  <c r="E16" i="1"/>
  <c r="F16" i="1" s="1"/>
  <c r="I16" i="1"/>
  <c r="E17" i="1"/>
  <c r="F17" i="1" s="1"/>
  <c r="I17" i="1"/>
  <c r="E18" i="1"/>
  <c r="F18" i="1" s="1"/>
  <c r="I18" i="1"/>
  <c r="E19" i="1"/>
  <c r="H19" i="1" s="1"/>
  <c r="I19" i="1"/>
  <c r="E20" i="1"/>
  <c r="F20" i="1" s="1"/>
  <c r="I20" i="1"/>
  <c r="E21" i="1"/>
  <c r="F21" i="1" s="1"/>
  <c r="I21" i="1"/>
  <c r="E22" i="1"/>
  <c r="F22" i="1" s="1"/>
  <c r="I22" i="1"/>
  <c r="E23" i="1"/>
  <c r="H23" i="1" s="1"/>
  <c r="I23" i="1"/>
  <c r="E24" i="1"/>
  <c r="I24" i="1"/>
  <c r="E25" i="1"/>
  <c r="F25" i="1" s="1"/>
  <c r="I25" i="1"/>
  <c r="E26" i="1"/>
  <c r="F26" i="1" s="1"/>
  <c r="I26" i="1"/>
  <c r="E27" i="1"/>
  <c r="H27" i="1" s="1"/>
  <c r="I27" i="1"/>
  <c r="E28" i="1"/>
  <c r="F28" i="1" s="1"/>
  <c r="I28" i="1"/>
  <c r="E29" i="1"/>
  <c r="F29" i="1" s="1"/>
  <c r="I29" i="1"/>
  <c r="E30" i="1"/>
  <c r="F30" i="1" s="1"/>
  <c r="I30" i="1"/>
  <c r="E31" i="1"/>
  <c r="H31" i="1" s="1"/>
  <c r="I31" i="1"/>
  <c r="E32" i="1"/>
  <c r="F32" i="1" s="1"/>
  <c r="I32" i="1"/>
  <c r="E33" i="1"/>
  <c r="F33" i="1" s="1"/>
  <c r="I33" i="1"/>
  <c r="E34" i="1"/>
  <c r="F34" i="1" s="1"/>
  <c r="I34" i="1"/>
  <c r="E35" i="1"/>
  <c r="H35" i="1" s="1"/>
  <c r="I35" i="1"/>
  <c r="E36" i="1"/>
  <c r="F36" i="1" s="1"/>
  <c r="I36" i="1"/>
  <c r="E37" i="1"/>
  <c r="F37" i="1" s="1"/>
  <c r="I37" i="1"/>
  <c r="E38" i="1"/>
  <c r="F38" i="1" s="1"/>
  <c r="I38" i="1"/>
  <c r="E39" i="1"/>
  <c r="H39" i="1" s="1"/>
  <c r="I39" i="1"/>
  <c r="E40" i="1"/>
  <c r="F40" i="1" s="1"/>
  <c r="I40" i="1"/>
  <c r="E41" i="1"/>
  <c r="F41" i="1" s="1"/>
  <c r="I41" i="1"/>
  <c r="E42" i="1"/>
  <c r="F42" i="1" s="1"/>
  <c r="I42" i="1"/>
  <c r="E43" i="1"/>
  <c r="H43" i="1" s="1"/>
  <c r="I43" i="1"/>
  <c r="E44" i="1"/>
  <c r="F44" i="1" s="1"/>
  <c r="I44" i="1"/>
  <c r="E45" i="1"/>
  <c r="F45" i="1" s="1"/>
  <c r="I45" i="1"/>
  <c r="E46" i="1"/>
  <c r="F46" i="1" s="1"/>
  <c r="I46" i="1"/>
  <c r="E47" i="1"/>
  <c r="H47" i="1" s="1"/>
  <c r="I47" i="1"/>
  <c r="E48" i="1"/>
  <c r="F48" i="1" s="1"/>
  <c r="I48" i="1"/>
  <c r="E49" i="1"/>
  <c r="F49" i="1" s="1"/>
  <c r="I49" i="1"/>
  <c r="E50" i="1"/>
  <c r="F50" i="1" s="1"/>
  <c r="I50" i="1"/>
  <c r="E51" i="1"/>
  <c r="H51" i="1" s="1"/>
  <c r="I51" i="1"/>
  <c r="E52" i="1"/>
  <c r="F52" i="1" s="1"/>
  <c r="I52" i="1"/>
  <c r="E53" i="1"/>
  <c r="I53" i="1"/>
  <c r="E2" i="1"/>
  <c r="G2" i="1" s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I2" i="1"/>
  <c r="T190" i="25" l="1"/>
  <c r="T202" i="25"/>
  <c r="T226" i="25"/>
  <c r="T166" i="25"/>
  <c r="T142" i="25"/>
  <c r="T106" i="25"/>
  <c r="T130" i="25"/>
  <c r="T94" i="25"/>
  <c r="T118" i="25"/>
  <c r="T47" i="25"/>
  <c r="U36" i="25" s="1"/>
  <c r="T83" i="25"/>
  <c r="T1" i="25"/>
  <c r="T71" i="25"/>
  <c r="T13" i="25"/>
  <c r="T36" i="25"/>
  <c r="U25" i="25" s="1"/>
  <c r="T59" i="25"/>
  <c r="T25" i="25"/>
  <c r="J149" i="1"/>
  <c r="J96" i="1"/>
  <c r="J92" i="1"/>
  <c r="J88" i="1"/>
  <c r="J84" i="1"/>
  <c r="J80" i="1"/>
  <c r="J76" i="1"/>
  <c r="J72" i="1"/>
  <c r="J68" i="1"/>
  <c r="J64" i="1"/>
  <c r="J60" i="1"/>
  <c r="J56" i="1"/>
  <c r="N167" i="2"/>
  <c r="N159" i="2"/>
  <c r="N155" i="2"/>
  <c r="N151" i="2"/>
  <c r="N147" i="2"/>
  <c r="H56" i="1"/>
  <c r="G143" i="1"/>
  <c r="F71" i="1"/>
  <c r="G75" i="1"/>
  <c r="F63" i="1"/>
  <c r="H96" i="1"/>
  <c r="G135" i="1"/>
  <c r="H80" i="1"/>
  <c r="G159" i="1"/>
  <c r="I160" i="2" s="1"/>
  <c r="N160" i="2" s="1"/>
  <c r="J85" i="1"/>
  <c r="G123" i="1"/>
  <c r="H72" i="1"/>
  <c r="G149" i="1"/>
  <c r="I150" i="2" s="1"/>
  <c r="N150" i="2" s="1"/>
  <c r="G131" i="1"/>
  <c r="G117" i="1"/>
  <c r="F87" i="1"/>
  <c r="J73" i="1"/>
  <c r="G63" i="1"/>
  <c r="G151" i="1"/>
  <c r="I152" i="2" s="1"/>
  <c r="N152" i="2" s="1"/>
  <c r="F119" i="1"/>
  <c r="G107" i="1"/>
  <c r="H88" i="1"/>
  <c r="G139" i="1"/>
  <c r="J117" i="1"/>
  <c r="G85" i="1"/>
  <c r="G61" i="1"/>
  <c r="G141" i="1"/>
  <c r="G133" i="1"/>
  <c r="J101" i="1"/>
  <c r="F95" i="1"/>
  <c r="G83" i="1"/>
  <c r="G77" i="1"/>
  <c r="G71" i="1"/>
  <c r="G65" i="1"/>
  <c r="F143" i="1"/>
  <c r="J137" i="1"/>
  <c r="F135" i="1"/>
  <c r="J129" i="1"/>
  <c r="J113" i="1"/>
  <c r="G101" i="1"/>
  <c r="F79" i="1"/>
  <c r="G103" i="1"/>
  <c r="H64" i="1"/>
  <c r="J61" i="1"/>
  <c r="G155" i="1"/>
  <c r="I156" i="2" s="1"/>
  <c r="N156" i="2" s="1"/>
  <c r="G137" i="1"/>
  <c r="G129" i="1"/>
  <c r="G113" i="1"/>
  <c r="F103" i="1"/>
  <c r="J93" i="1"/>
  <c r="G87" i="1"/>
  <c r="J141" i="1"/>
  <c r="F139" i="1"/>
  <c r="J133" i="1"/>
  <c r="F131" i="1"/>
  <c r="F115" i="1"/>
  <c r="G93" i="1"/>
  <c r="J77" i="1"/>
  <c r="G69" i="1"/>
  <c r="J65" i="1"/>
  <c r="G57" i="1"/>
  <c r="J157" i="1"/>
  <c r="J125" i="1"/>
  <c r="F123" i="1"/>
  <c r="G115" i="1"/>
  <c r="G105" i="1"/>
  <c r="J97" i="1"/>
  <c r="G95" i="1"/>
  <c r="F83" i="1"/>
  <c r="G73" i="1"/>
  <c r="H68" i="1"/>
  <c r="J145" i="1"/>
  <c r="G125" i="1"/>
  <c r="J109" i="1"/>
  <c r="F107" i="1"/>
  <c r="G97" i="1"/>
  <c r="H92" i="1"/>
  <c r="J89" i="1"/>
  <c r="F75" i="1"/>
  <c r="H60" i="1"/>
  <c r="J57" i="1"/>
  <c r="G55" i="1"/>
  <c r="G127" i="1"/>
  <c r="G99" i="1"/>
  <c r="J69" i="1"/>
  <c r="G67" i="1"/>
  <c r="F55" i="1"/>
  <c r="J165" i="1"/>
  <c r="G145" i="1"/>
  <c r="F127" i="1"/>
  <c r="J121" i="1"/>
  <c r="G119" i="1"/>
  <c r="G109" i="1"/>
  <c r="F99" i="1"/>
  <c r="G89" i="1"/>
  <c r="H84" i="1"/>
  <c r="J81" i="1"/>
  <c r="G79" i="1"/>
  <c r="F67" i="1"/>
  <c r="H156" i="1"/>
  <c r="G111" i="1"/>
  <c r="G91" i="1"/>
  <c r="G59" i="1"/>
  <c r="J161" i="1"/>
  <c r="G121" i="1"/>
  <c r="F111" i="1"/>
  <c r="J105" i="1"/>
  <c r="F91" i="1"/>
  <c r="G81" i="1"/>
  <c r="H76" i="1"/>
  <c r="F59" i="1"/>
  <c r="J167" i="1"/>
  <c r="F166" i="1"/>
  <c r="H166" i="1"/>
  <c r="J166" i="1"/>
  <c r="J164" i="1"/>
  <c r="F164" i="1"/>
  <c r="F149" i="1"/>
  <c r="H149" i="1"/>
  <c r="H147" i="1"/>
  <c r="J147" i="1"/>
  <c r="F142" i="1"/>
  <c r="G142" i="1"/>
  <c r="H142" i="1"/>
  <c r="J142" i="1"/>
  <c r="J120" i="1"/>
  <c r="F120" i="1"/>
  <c r="G120" i="1"/>
  <c r="F110" i="1"/>
  <c r="G110" i="1"/>
  <c r="H110" i="1"/>
  <c r="J110" i="1"/>
  <c r="F122" i="1"/>
  <c r="G122" i="1"/>
  <c r="H122" i="1"/>
  <c r="J122" i="1"/>
  <c r="J100" i="1"/>
  <c r="J160" i="1"/>
  <c r="F160" i="1"/>
  <c r="J140" i="1"/>
  <c r="F140" i="1"/>
  <c r="G140" i="1"/>
  <c r="J108" i="1"/>
  <c r="F108" i="1"/>
  <c r="G108" i="1"/>
  <c r="F153" i="1"/>
  <c r="H153" i="1"/>
  <c r="H151" i="1"/>
  <c r="J151" i="1"/>
  <c r="J132" i="1"/>
  <c r="F132" i="1"/>
  <c r="G132" i="1"/>
  <c r="J168" i="1"/>
  <c r="H167" i="1"/>
  <c r="G163" i="1"/>
  <c r="I164" i="2" s="1"/>
  <c r="N164" i="2" s="1"/>
  <c r="F157" i="1"/>
  <c r="H157" i="1"/>
  <c r="H155" i="1"/>
  <c r="J155" i="1"/>
  <c r="H148" i="1"/>
  <c r="J144" i="1"/>
  <c r="F144" i="1"/>
  <c r="G144" i="1"/>
  <c r="F134" i="1"/>
  <c r="G134" i="1"/>
  <c r="H134" i="1"/>
  <c r="J134" i="1"/>
  <c r="J112" i="1"/>
  <c r="F112" i="1"/>
  <c r="G112" i="1"/>
  <c r="F102" i="1"/>
  <c r="G102" i="1"/>
  <c r="H102" i="1"/>
  <c r="J102" i="1"/>
  <c r="G167" i="1"/>
  <c r="I168" i="2" s="1"/>
  <c r="N168" i="2" s="1"/>
  <c r="F161" i="1"/>
  <c r="H161" i="1"/>
  <c r="H159" i="1"/>
  <c r="J159" i="1"/>
  <c r="H152" i="1"/>
  <c r="F146" i="1"/>
  <c r="H146" i="1"/>
  <c r="J146" i="1"/>
  <c r="J124" i="1"/>
  <c r="F124" i="1"/>
  <c r="G124" i="1"/>
  <c r="F114" i="1"/>
  <c r="G114" i="1"/>
  <c r="H114" i="1"/>
  <c r="J114" i="1"/>
  <c r="H168" i="1"/>
  <c r="F165" i="1"/>
  <c r="H165" i="1"/>
  <c r="H163" i="1"/>
  <c r="J163" i="1"/>
  <c r="F150" i="1"/>
  <c r="H150" i="1"/>
  <c r="J150" i="1"/>
  <c r="J148" i="1"/>
  <c r="F148" i="1"/>
  <c r="J136" i="1"/>
  <c r="F136" i="1"/>
  <c r="G136" i="1"/>
  <c r="F126" i="1"/>
  <c r="G126" i="1"/>
  <c r="H126" i="1"/>
  <c r="J126" i="1"/>
  <c r="J104" i="1"/>
  <c r="F104" i="1"/>
  <c r="G104" i="1"/>
  <c r="F162" i="1"/>
  <c r="H162" i="1"/>
  <c r="J162" i="1"/>
  <c r="F130" i="1"/>
  <c r="G130" i="1"/>
  <c r="H130" i="1"/>
  <c r="J130" i="1"/>
  <c r="G168" i="1"/>
  <c r="I169" i="2" s="1"/>
  <c r="N169" i="2" s="1"/>
  <c r="H160" i="1"/>
  <c r="F154" i="1"/>
  <c r="H154" i="1"/>
  <c r="J154" i="1"/>
  <c r="J152" i="1"/>
  <c r="F152" i="1"/>
  <c r="F138" i="1"/>
  <c r="G138" i="1"/>
  <c r="H138" i="1"/>
  <c r="J138" i="1"/>
  <c r="J116" i="1"/>
  <c r="F116" i="1"/>
  <c r="G116" i="1"/>
  <c r="F106" i="1"/>
  <c r="G106" i="1"/>
  <c r="H106" i="1"/>
  <c r="J106" i="1"/>
  <c r="H164" i="1"/>
  <c r="G162" i="1"/>
  <c r="I163" i="2" s="1"/>
  <c r="N163" i="2" s="1"/>
  <c r="G160" i="1"/>
  <c r="I161" i="2" s="1"/>
  <c r="N161" i="2" s="1"/>
  <c r="F158" i="1"/>
  <c r="H158" i="1"/>
  <c r="J158" i="1"/>
  <c r="J156" i="1"/>
  <c r="F156" i="1"/>
  <c r="J153" i="1"/>
  <c r="G147" i="1"/>
  <c r="I148" i="2" s="1"/>
  <c r="N148" i="2" s="1"/>
  <c r="H140" i="1"/>
  <c r="J128" i="1"/>
  <c r="F128" i="1"/>
  <c r="G128" i="1"/>
  <c r="F118" i="1"/>
  <c r="G118" i="1"/>
  <c r="H118" i="1"/>
  <c r="J118" i="1"/>
  <c r="H108" i="1"/>
  <c r="G100" i="1"/>
  <c r="G96" i="1"/>
  <c r="G92" i="1"/>
  <c r="G88" i="1"/>
  <c r="G84" i="1"/>
  <c r="G80" i="1"/>
  <c r="G76" i="1"/>
  <c r="G72" i="1"/>
  <c r="G68" i="1"/>
  <c r="G64" i="1"/>
  <c r="G60" i="1"/>
  <c r="G56" i="1"/>
  <c r="H145" i="1"/>
  <c r="H141" i="1"/>
  <c r="H137" i="1"/>
  <c r="H133" i="1"/>
  <c r="H129" i="1"/>
  <c r="H125" i="1"/>
  <c r="H121" i="1"/>
  <c r="H117" i="1"/>
  <c r="H113" i="1"/>
  <c r="H109" i="1"/>
  <c r="H105" i="1"/>
  <c r="H101" i="1"/>
  <c r="F100" i="1"/>
  <c r="J98" i="1"/>
  <c r="H97" i="1"/>
  <c r="F96" i="1"/>
  <c r="J94" i="1"/>
  <c r="H93" i="1"/>
  <c r="F92" i="1"/>
  <c r="J90" i="1"/>
  <c r="H89" i="1"/>
  <c r="F88" i="1"/>
  <c r="J86" i="1"/>
  <c r="H85" i="1"/>
  <c r="F84" i="1"/>
  <c r="J82" i="1"/>
  <c r="H81" i="1"/>
  <c r="F80" i="1"/>
  <c r="J78" i="1"/>
  <c r="H77" i="1"/>
  <c r="F76" i="1"/>
  <c r="J74" i="1"/>
  <c r="H73" i="1"/>
  <c r="F72" i="1"/>
  <c r="J70" i="1"/>
  <c r="H69" i="1"/>
  <c r="F68" i="1"/>
  <c r="J66" i="1"/>
  <c r="H65" i="1"/>
  <c r="F64" i="1"/>
  <c r="J62" i="1"/>
  <c r="H61" i="1"/>
  <c r="F60" i="1"/>
  <c r="J58" i="1"/>
  <c r="H57" i="1"/>
  <c r="F56" i="1"/>
  <c r="J54" i="1"/>
  <c r="J143" i="1"/>
  <c r="J139" i="1"/>
  <c r="J135" i="1"/>
  <c r="J131" i="1"/>
  <c r="J127" i="1"/>
  <c r="J123" i="1"/>
  <c r="J119" i="1"/>
  <c r="J115" i="1"/>
  <c r="J111" i="1"/>
  <c r="J107" i="1"/>
  <c r="J103" i="1"/>
  <c r="J99" i="1"/>
  <c r="H98" i="1"/>
  <c r="J95" i="1"/>
  <c r="H94" i="1"/>
  <c r="J91" i="1"/>
  <c r="H90" i="1"/>
  <c r="J87" i="1"/>
  <c r="H86" i="1"/>
  <c r="J83" i="1"/>
  <c r="H82" i="1"/>
  <c r="J79" i="1"/>
  <c r="H78" i="1"/>
  <c r="J75" i="1"/>
  <c r="H74" i="1"/>
  <c r="J71" i="1"/>
  <c r="H70" i="1"/>
  <c r="J67" i="1"/>
  <c r="H66" i="1"/>
  <c r="J63" i="1"/>
  <c r="H62" i="1"/>
  <c r="J59" i="1"/>
  <c r="H58" i="1"/>
  <c r="J55" i="1"/>
  <c r="H54" i="1"/>
  <c r="G98" i="1"/>
  <c r="G94" i="1"/>
  <c r="G90" i="1"/>
  <c r="G86" i="1"/>
  <c r="G82" i="1"/>
  <c r="G78" i="1"/>
  <c r="G74" i="1"/>
  <c r="G70" i="1"/>
  <c r="G66" i="1"/>
  <c r="G62" i="1"/>
  <c r="G58" i="1"/>
  <c r="G54" i="1"/>
  <c r="H10" i="1"/>
  <c r="J15" i="1"/>
  <c r="F15" i="1"/>
  <c r="J34" i="1"/>
  <c r="J17" i="1"/>
  <c r="H52" i="1"/>
  <c r="H44" i="1"/>
  <c r="H28" i="1"/>
  <c r="J42" i="1"/>
  <c r="H20" i="1"/>
  <c r="H17" i="1"/>
  <c r="J26" i="1"/>
  <c r="G17" i="1"/>
  <c r="G15" i="1"/>
  <c r="J50" i="1"/>
  <c r="J22" i="1"/>
  <c r="H36" i="1"/>
  <c r="J18" i="1"/>
  <c r="J7" i="1"/>
  <c r="H50" i="1"/>
  <c r="J10" i="1"/>
  <c r="H46" i="1"/>
  <c r="H42" i="1"/>
  <c r="H38" i="1"/>
  <c r="H34" i="1"/>
  <c r="H30" i="1"/>
  <c r="H26" i="1"/>
  <c r="H22" i="1"/>
  <c r="H18" i="1"/>
  <c r="G10" i="1"/>
  <c r="G7" i="1"/>
  <c r="G5" i="1"/>
  <c r="J51" i="1"/>
  <c r="J49" i="1"/>
  <c r="G46" i="1"/>
  <c r="G38" i="1"/>
  <c r="G30" i="1"/>
  <c r="G22" i="1"/>
  <c r="G18" i="1"/>
  <c r="J14" i="1"/>
  <c r="G51" i="1"/>
  <c r="J47" i="1"/>
  <c r="J43" i="1"/>
  <c r="J41" i="1"/>
  <c r="J39" i="1"/>
  <c r="J35" i="1"/>
  <c r="J33" i="1"/>
  <c r="J31" i="1"/>
  <c r="J27" i="1"/>
  <c r="J25" i="1"/>
  <c r="J23" i="1"/>
  <c r="J19" i="1"/>
  <c r="H14" i="1"/>
  <c r="J11" i="1"/>
  <c r="J6" i="1"/>
  <c r="F51" i="1"/>
  <c r="H49" i="1"/>
  <c r="G43" i="1"/>
  <c r="G35" i="1"/>
  <c r="G27" i="1"/>
  <c r="G19" i="1"/>
  <c r="G14" i="1"/>
  <c r="G49" i="1"/>
  <c r="G47" i="1"/>
  <c r="F43" i="1"/>
  <c r="H41" i="1"/>
  <c r="G39" i="1"/>
  <c r="F35" i="1"/>
  <c r="H33" i="1"/>
  <c r="G31" i="1"/>
  <c r="F27" i="1"/>
  <c r="H25" i="1"/>
  <c r="G23" i="1"/>
  <c r="F19" i="1"/>
  <c r="G11" i="1"/>
  <c r="H6" i="1"/>
  <c r="F47" i="1"/>
  <c r="G41" i="1"/>
  <c r="F39" i="1"/>
  <c r="G33" i="1"/>
  <c r="F31" i="1"/>
  <c r="G25" i="1"/>
  <c r="F23" i="1"/>
  <c r="G6" i="1"/>
  <c r="J3" i="1"/>
  <c r="G16" i="1"/>
  <c r="J16" i="1"/>
  <c r="H16" i="1"/>
  <c r="G24" i="1"/>
  <c r="J24" i="1"/>
  <c r="H24" i="1"/>
  <c r="F24" i="1"/>
  <c r="G53" i="1"/>
  <c r="H53" i="1"/>
  <c r="J53" i="1"/>
  <c r="F53" i="1"/>
  <c r="G45" i="1"/>
  <c r="H45" i="1"/>
  <c r="J45" i="1"/>
  <c r="G37" i="1"/>
  <c r="H37" i="1"/>
  <c r="J37" i="1"/>
  <c r="J5" i="1"/>
  <c r="H5" i="1"/>
  <c r="G29" i="1"/>
  <c r="H29" i="1"/>
  <c r="J29" i="1"/>
  <c r="G21" i="1"/>
  <c r="H21" i="1"/>
  <c r="J21" i="1"/>
  <c r="J9" i="1"/>
  <c r="G9" i="1"/>
  <c r="H9" i="1"/>
  <c r="G48" i="1"/>
  <c r="J48" i="1"/>
  <c r="H48" i="1"/>
  <c r="J13" i="1"/>
  <c r="F13" i="1"/>
  <c r="G13" i="1"/>
  <c r="H13" i="1"/>
  <c r="G40" i="1"/>
  <c r="J40" i="1"/>
  <c r="H40" i="1"/>
  <c r="G32" i="1"/>
  <c r="J32" i="1"/>
  <c r="H32" i="1"/>
  <c r="G12" i="1"/>
  <c r="H12" i="1"/>
  <c r="J12" i="1"/>
  <c r="G8" i="1"/>
  <c r="H8" i="1"/>
  <c r="J8" i="1"/>
  <c r="G52" i="1"/>
  <c r="J52" i="1"/>
  <c r="G44" i="1"/>
  <c r="J44" i="1"/>
  <c r="G36" i="1"/>
  <c r="J36" i="1"/>
  <c r="G28" i="1"/>
  <c r="J28" i="1"/>
  <c r="G20" i="1"/>
  <c r="J20" i="1"/>
  <c r="G4" i="1"/>
  <c r="H4" i="1"/>
  <c r="J4" i="1"/>
  <c r="G50" i="1"/>
  <c r="G42" i="1"/>
  <c r="G34" i="1"/>
  <c r="G26" i="1"/>
  <c r="J46" i="1"/>
  <c r="J38" i="1"/>
  <c r="J30" i="1"/>
  <c r="H11" i="1"/>
  <c r="H7" i="1"/>
  <c r="H3" i="1"/>
  <c r="G3" i="1"/>
  <c r="J2" i="1"/>
  <c r="P2" i="1"/>
  <c r="P1" i="1"/>
  <c r="Q1" i="1" l="1"/>
  <c r="O3" i="2"/>
  <c r="P159" i="2" s="1"/>
  <c r="Q3" i="2"/>
  <c r="K3" i="3"/>
  <c r="K4" i="3"/>
  <c r="K5" i="3"/>
  <c r="K6" i="3"/>
  <c r="L3" i="2"/>
  <c r="J3" i="2"/>
  <c r="I52" i="2"/>
  <c r="I41" i="2"/>
  <c r="I4" i="2"/>
  <c r="N4" i="2" s="1"/>
  <c r="F2" i="1"/>
  <c r="P147" i="2" l="1"/>
  <c r="K156" i="2"/>
  <c r="K160" i="2"/>
  <c r="K164" i="2"/>
  <c r="K168" i="2"/>
  <c r="K150" i="2"/>
  <c r="K154" i="2"/>
  <c r="K158" i="2"/>
  <c r="K162" i="2"/>
  <c r="K166" i="2"/>
  <c r="K155" i="2"/>
  <c r="K159" i="2"/>
  <c r="K163" i="2"/>
  <c r="K151" i="2"/>
  <c r="K161" i="2"/>
  <c r="K147" i="2"/>
  <c r="K157" i="2"/>
  <c r="K167" i="2"/>
  <c r="K152" i="2"/>
  <c r="K165" i="2"/>
  <c r="K153" i="2"/>
  <c r="K169" i="2"/>
  <c r="K148" i="2"/>
  <c r="K149" i="2"/>
  <c r="P155" i="2"/>
  <c r="P4" i="2"/>
  <c r="P152" i="2"/>
  <c r="P148" i="2"/>
  <c r="P150" i="2"/>
  <c r="P164" i="2"/>
  <c r="P161" i="2"/>
  <c r="P154" i="2"/>
  <c r="P166" i="2"/>
  <c r="P165" i="2"/>
  <c r="P149" i="2"/>
  <c r="P162" i="2"/>
  <c r="P157" i="2"/>
  <c r="P160" i="2"/>
  <c r="P169" i="2"/>
  <c r="P158" i="2"/>
  <c r="P153" i="2"/>
  <c r="P156" i="2"/>
  <c r="P168" i="2"/>
  <c r="P167" i="2"/>
  <c r="P163" i="2"/>
  <c r="P151" i="2"/>
  <c r="I12" i="2"/>
  <c r="N12" i="2" s="1"/>
  <c r="P12" i="2" s="1"/>
  <c r="I43" i="2"/>
  <c r="K43" i="2" s="1"/>
  <c r="I13" i="2"/>
  <c r="K13" i="2" s="1"/>
  <c r="K4" i="2"/>
  <c r="I74" i="2"/>
  <c r="N74" i="2" s="1"/>
  <c r="P74" i="2" s="1"/>
  <c r="I75" i="2"/>
  <c r="N75" i="2" s="1"/>
  <c r="P75" i="2" s="1"/>
  <c r="I27" i="2"/>
  <c r="N27" i="2" s="1"/>
  <c r="P27" i="2" s="1"/>
  <c r="I60" i="2"/>
  <c r="N60" i="2" s="1"/>
  <c r="P60" i="2" s="1"/>
  <c r="I9" i="2"/>
  <c r="N9" i="2" s="1"/>
  <c r="P9" i="2" s="1"/>
  <c r="I19" i="2"/>
  <c r="N19" i="2" s="1"/>
  <c r="P19" i="2" s="1"/>
  <c r="I20" i="2"/>
  <c r="N20" i="2" s="1"/>
  <c r="P20" i="2" s="1"/>
  <c r="I30" i="2"/>
  <c r="N30" i="2" s="1"/>
  <c r="P30" i="2" s="1"/>
  <c r="I38" i="2"/>
  <c r="K38" i="2" s="1"/>
  <c r="I55" i="2"/>
  <c r="K55" i="2" s="1"/>
  <c r="I76" i="2"/>
  <c r="N76" i="2" s="1"/>
  <c r="P76" i="2" s="1"/>
  <c r="I87" i="2"/>
  <c r="N87" i="2" s="1"/>
  <c r="P87" i="2" s="1"/>
  <c r="I95" i="2"/>
  <c r="N95" i="2" s="1"/>
  <c r="P95" i="2" s="1"/>
  <c r="I138" i="2"/>
  <c r="K138" i="2" s="1"/>
  <c r="I83" i="2"/>
  <c r="K83" i="2" s="1"/>
  <c r="I45" i="2"/>
  <c r="N45" i="2" s="1"/>
  <c r="P45" i="2" s="1"/>
  <c r="I15" i="2"/>
  <c r="N15" i="2" s="1"/>
  <c r="P15" i="2" s="1"/>
  <c r="I25" i="2"/>
  <c r="K25" i="2" s="1"/>
  <c r="I118" i="2"/>
  <c r="K118" i="2" s="1"/>
  <c r="I49" i="2"/>
  <c r="N49" i="2" s="1"/>
  <c r="P49" i="2" s="1"/>
  <c r="I36" i="2"/>
  <c r="N36" i="2" s="1"/>
  <c r="P36" i="2" s="1"/>
  <c r="I62" i="2"/>
  <c r="N62" i="2" s="1"/>
  <c r="P62" i="2" s="1"/>
  <c r="I110" i="2"/>
  <c r="N110" i="2" s="1"/>
  <c r="P110" i="2" s="1"/>
  <c r="I28" i="2"/>
  <c r="N28" i="2" s="1"/>
  <c r="P28" i="2" s="1"/>
  <c r="I37" i="2"/>
  <c r="N37" i="2" s="1"/>
  <c r="P37" i="2" s="1"/>
  <c r="I94" i="2"/>
  <c r="K94" i="2" s="1"/>
  <c r="I111" i="2"/>
  <c r="K111" i="2" s="1"/>
  <c r="I47" i="2"/>
  <c r="N47" i="2" s="1"/>
  <c r="P47" i="2" s="1"/>
  <c r="I21" i="2"/>
  <c r="K21" i="2" s="1"/>
  <c r="I67" i="2"/>
  <c r="N67" i="2" s="1"/>
  <c r="P67" i="2" s="1"/>
  <c r="I131" i="2"/>
  <c r="K131" i="2" s="1"/>
  <c r="I79" i="2"/>
  <c r="N79" i="2" s="1"/>
  <c r="P79" i="2" s="1"/>
  <c r="I54" i="2"/>
  <c r="N54" i="2" s="1"/>
  <c r="P54" i="2" s="1"/>
  <c r="I44" i="2"/>
  <c r="N44" i="2" s="1"/>
  <c r="P44" i="2" s="1"/>
  <c r="I39" i="2"/>
  <c r="N39" i="2" s="1"/>
  <c r="P39" i="2" s="1"/>
  <c r="I29" i="2"/>
  <c r="N29" i="2" s="1"/>
  <c r="P29" i="2" s="1"/>
  <c r="I103" i="2"/>
  <c r="N103" i="2" s="1"/>
  <c r="P103" i="2" s="1"/>
  <c r="I86" i="2"/>
  <c r="N86" i="2" s="1"/>
  <c r="P86" i="2" s="1"/>
  <c r="I22" i="2"/>
  <c r="K22" i="2" s="1"/>
  <c r="I57" i="2"/>
  <c r="N57" i="2" s="1"/>
  <c r="P57" i="2" s="1"/>
  <c r="I78" i="2"/>
  <c r="N78" i="2" s="1"/>
  <c r="P78" i="2" s="1"/>
  <c r="I114" i="2"/>
  <c r="K114" i="2" s="1"/>
  <c r="I132" i="2"/>
  <c r="N132" i="2" s="1"/>
  <c r="P132" i="2" s="1"/>
  <c r="I140" i="2"/>
  <c r="N140" i="2" s="1"/>
  <c r="P140" i="2" s="1"/>
  <c r="I17" i="2"/>
  <c r="N17" i="2" s="1"/>
  <c r="P17" i="2" s="1"/>
  <c r="I92" i="2"/>
  <c r="K92" i="2" s="1"/>
  <c r="I126" i="2"/>
  <c r="N126" i="2" s="1"/>
  <c r="P126" i="2" s="1"/>
  <c r="I68" i="2"/>
  <c r="I84" i="2"/>
  <c r="K84" i="2" s="1"/>
  <c r="I66" i="2"/>
  <c r="N66" i="2" s="1"/>
  <c r="P66" i="2" s="1"/>
  <c r="I63" i="2"/>
  <c r="N63" i="2" s="1"/>
  <c r="P63" i="2" s="1"/>
  <c r="I23" i="2"/>
  <c r="K23" i="2" s="1"/>
  <c r="I70" i="2"/>
  <c r="K70" i="2" s="1"/>
  <c r="I99" i="2"/>
  <c r="K99" i="2" s="1"/>
  <c r="I107" i="2"/>
  <c r="K107" i="2" s="1"/>
  <c r="I115" i="2"/>
  <c r="N115" i="2" s="1"/>
  <c r="P115" i="2" s="1"/>
  <c r="I124" i="2"/>
  <c r="N124" i="2" s="1"/>
  <c r="P124" i="2" s="1"/>
  <c r="I35" i="2"/>
  <c r="K35" i="2" s="1"/>
  <c r="I82" i="2"/>
  <c r="N82" i="2" s="1"/>
  <c r="P82" i="2" s="1"/>
  <c r="I102" i="2"/>
  <c r="N102" i="2" s="1"/>
  <c r="P102" i="2" s="1"/>
  <c r="I10" i="2"/>
  <c r="K10" i="2" s="1"/>
  <c r="I5" i="2"/>
  <c r="N5" i="2" s="1"/>
  <c r="P5" i="2" s="1"/>
  <c r="I6" i="2"/>
  <c r="N6" i="2" s="1"/>
  <c r="P6" i="2" s="1"/>
  <c r="I14" i="2"/>
  <c r="N14" i="2" s="1"/>
  <c r="P14" i="2" s="1"/>
  <c r="I33" i="2"/>
  <c r="K33" i="2" s="1"/>
  <c r="I7" i="2"/>
  <c r="N7" i="2" s="1"/>
  <c r="P7" i="2" s="1"/>
  <c r="I34" i="2"/>
  <c r="K34" i="2" s="1"/>
  <c r="I46" i="2"/>
  <c r="K46" i="2" s="1"/>
  <c r="I59" i="2"/>
  <c r="N59" i="2" s="1"/>
  <c r="P59" i="2" s="1"/>
  <c r="I91" i="2"/>
  <c r="N91" i="2" s="1"/>
  <c r="P91" i="2" s="1"/>
  <c r="I100" i="2"/>
  <c r="K100" i="2" s="1"/>
  <c r="I108" i="2"/>
  <c r="K108" i="2" s="1"/>
  <c r="I116" i="2"/>
  <c r="N116" i="2" s="1"/>
  <c r="P116" i="2" s="1"/>
  <c r="I71" i="2"/>
  <c r="N71" i="2" s="1"/>
  <c r="P71" i="2" s="1"/>
  <c r="P4" i="1"/>
  <c r="P3" i="1"/>
  <c r="N41" i="2"/>
  <c r="P41" i="2" s="1"/>
  <c r="N52" i="2"/>
  <c r="P52" i="2" s="1"/>
  <c r="I142" i="2"/>
  <c r="N142" i="2" s="1"/>
  <c r="P142" i="2" s="1"/>
  <c r="I134" i="2"/>
  <c r="N134" i="2" s="1"/>
  <c r="P134" i="2" s="1"/>
  <c r="I90" i="2"/>
  <c r="H2" i="1"/>
  <c r="I3" i="2"/>
  <c r="I106" i="2"/>
  <c r="I139" i="2"/>
  <c r="I146" i="2"/>
  <c r="I122" i="2"/>
  <c r="I18" i="2"/>
  <c r="I11" i="2"/>
  <c r="I50" i="2"/>
  <c r="I26" i="2"/>
  <c r="I123" i="2"/>
  <c r="I130" i="2"/>
  <c r="I42" i="2"/>
  <c r="I96" i="2"/>
  <c r="I51" i="2"/>
  <c r="I31" i="2"/>
  <c r="I48" i="2"/>
  <c r="I58" i="2"/>
  <c r="I88" i="2"/>
  <c r="I98" i="2"/>
  <c r="I24" i="2"/>
  <c r="I93" i="2"/>
  <c r="I113" i="2"/>
  <c r="I16" i="2"/>
  <c r="I64" i="2"/>
  <c r="I89" i="2"/>
  <c r="I119" i="2"/>
  <c r="I135" i="2"/>
  <c r="I65" i="2"/>
  <c r="I109" i="2"/>
  <c r="I145" i="2"/>
  <c r="I104" i="2"/>
  <c r="I80" i="2"/>
  <c r="I105" i="2"/>
  <c r="I120" i="2"/>
  <c r="I125" i="2"/>
  <c r="I136" i="2"/>
  <c r="I141" i="2"/>
  <c r="I69" i="2"/>
  <c r="I8" i="2"/>
  <c r="I56" i="2"/>
  <c r="I85" i="2"/>
  <c r="I61" i="2"/>
  <c r="I81" i="2"/>
  <c r="I121" i="2"/>
  <c r="I137" i="2"/>
  <c r="I127" i="2"/>
  <c r="I143" i="2"/>
  <c r="I53" i="2"/>
  <c r="I77" i="2"/>
  <c r="I97" i="2"/>
  <c r="I129" i="2"/>
  <c r="I101" i="2"/>
  <c r="I40" i="2"/>
  <c r="I72" i="2"/>
  <c r="I32" i="2"/>
  <c r="I73" i="2"/>
  <c r="I112" i="2"/>
  <c r="I117" i="2"/>
  <c r="I128" i="2"/>
  <c r="I133" i="2"/>
  <c r="I144" i="2"/>
  <c r="K52" i="2"/>
  <c r="K41" i="2"/>
  <c r="K5" i="2" l="1"/>
  <c r="N43" i="2"/>
  <c r="P43" i="2" s="1"/>
  <c r="K126" i="2"/>
  <c r="K86" i="2"/>
  <c r="K29" i="2"/>
  <c r="N94" i="2"/>
  <c r="P94" i="2" s="1"/>
  <c r="K57" i="2"/>
  <c r="K95" i="2"/>
  <c r="K19" i="2"/>
  <c r="N55" i="2"/>
  <c r="P55" i="2" s="1"/>
  <c r="N99" i="2"/>
  <c r="P99" i="2" s="1"/>
  <c r="K62" i="2"/>
  <c r="K27" i="2"/>
  <c r="N33" i="2"/>
  <c r="P33" i="2" s="1"/>
  <c r="N22" i="2"/>
  <c r="P22" i="2" s="1"/>
  <c r="K66" i="2"/>
  <c r="K87" i="2"/>
  <c r="N83" i="2"/>
  <c r="P83" i="2" s="1"/>
  <c r="N10" i="2"/>
  <c r="P10" i="2" s="1"/>
  <c r="K37" i="2"/>
  <c r="K36" i="2"/>
  <c r="N38" i="2"/>
  <c r="P38" i="2" s="1"/>
  <c r="P9" i="1"/>
  <c r="Q9" i="1"/>
  <c r="N21" i="2"/>
  <c r="P21" i="2" s="1"/>
  <c r="N25" i="2"/>
  <c r="P25" i="2" s="1"/>
  <c r="N23" i="2"/>
  <c r="P23" i="2" s="1"/>
  <c r="N138" i="2"/>
  <c r="P138" i="2" s="1"/>
  <c r="N131" i="2"/>
  <c r="P131" i="2" s="1"/>
  <c r="K124" i="2"/>
  <c r="K14" i="2"/>
  <c r="N34" i="2"/>
  <c r="P34" i="2" s="1"/>
  <c r="K91" i="2"/>
  <c r="Q10" i="1"/>
  <c r="T15" i="1" s="1"/>
  <c r="K47" i="2"/>
  <c r="K49" i="2"/>
  <c r="N111" i="2"/>
  <c r="P111" i="2" s="1"/>
  <c r="K17" i="2"/>
  <c r="K78" i="2"/>
  <c r="K7" i="2"/>
  <c r="N107" i="2"/>
  <c r="P107" i="2" s="1"/>
  <c r="K103" i="2"/>
  <c r="K9" i="2"/>
  <c r="N46" i="2"/>
  <c r="P46" i="2" s="1"/>
  <c r="N118" i="2"/>
  <c r="P118" i="2" s="1"/>
  <c r="K110" i="2"/>
  <c r="N92" i="2"/>
  <c r="P92" i="2" s="1"/>
  <c r="N100" i="2"/>
  <c r="P100" i="2" s="1"/>
  <c r="K75" i="2"/>
  <c r="K30" i="2"/>
  <c r="K15" i="2"/>
  <c r="N35" i="2"/>
  <c r="P35" i="2" s="1"/>
  <c r="N108" i="2"/>
  <c r="P108" i="2" s="1"/>
  <c r="K59" i="2"/>
  <c r="K44" i="2"/>
  <c r="N68" i="2"/>
  <c r="P68" i="2" s="1"/>
  <c r="K68" i="2"/>
  <c r="P10" i="1"/>
  <c r="K116" i="2"/>
  <c r="K63" i="2"/>
  <c r="N84" i="2"/>
  <c r="P84" i="2" s="1"/>
  <c r="K67" i="2"/>
  <c r="Q3" i="1"/>
  <c r="K115" i="2"/>
  <c r="K28" i="2"/>
  <c r="K39" i="2"/>
  <c r="K134" i="2"/>
  <c r="K54" i="2"/>
  <c r="K79" i="2"/>
  <c r="K71" i="2"/>
  <c r="N13" i="2"/>
  <c r="P13" i="2" s="1"/>
  <c r="K45" i="2"/>
  <c r="K12" i="2"/>
  <c r="K142" i="2"/>
  <c r="K74" i="2"/>
  <c r="K6" i="2"/>
  <c r="K132" i="2"/>
  <c r="K60" i="2"/>
  <c r="K140" i="2"/>
  <c r="K76" i="2"/>
  <c r="K102" i="2"/>
  <c r="K20" i="2"/>
  <c r="N70" i="2"/>
  <c r="P70" i="2" s="1"/>
  <c r="K3" i="2"/>
  <c r="J4" i="2" s="1"/>
  <c r="N114" i="2"/>
  <c r="P114" i="2" s="1"/>
  <c r="K82" i="2"/>
  <c r="K117" i="2"/>
  <c r="N117" i="2"/>
  <c r="P117" i="2" s="1"/>
  <c r="K40" i="2"/>
  <c r="N40" i="2"/>
  <c r="P40" i="2" s="1"/>
  <c r="K8" i="2"/>
  <c r="N8" i="2"/>
  <c r="P8" i="2" s="1"/>
  <c r="K105" i="2"/>
  <c r="N105" i="2"/>
  <c r="P105" i="2" s="1"/>
  <c r="K145" i="2"/>
  <c r="N145" i="2"/>
  <c r="P145" i="2" s="1"/>
  <c r="K88" i="2"/>
  <c r="N88" i="2"/>
  <c r="P88" i="2" s="1"/>
  <c r="K123" i="2"/>
  <c r="N123" i="2"/>
  <c r="P123" i="2" s="1"/>
  <c r="K72" i="2"/>
  <c r="N72" i="2"/>
  <c r="P72" i="2" s="1"/>
  <c r="K56" i="2"/>
  <c r="N56" i="2"/>
  <c r="P56" i="2" s="1"/>
  <c r="K112" i="2"/>
  <c r="N112" i="2"/>
  <c r="P112" i="2" s="1"/>
  <c r="K101" i="2"/>
  <c r="N101" i="2"/>
  <c r="P101" i="2" s="1"/>
  <c r="K129" i="2"/>
  <c r="N129" i="2"/>
  <c r="P129" i="2" s="1"/>
  <c r="K97" i="2"/>
  <c r="N97" i="2"/>
  <c r="P97" i="2" s="1"/>
  <c r="K80" i="2"/>
  <c r="N80" i="2"/>
  <c r="P80" i="2" s="1"/>
  <c r="K113" i="2"/>
  <c r="N113" i="2"/>
  <c r="P113" i="2" s="1"/>
  <c r="K51" i="2"/>
  <c r="N51" i="2"/>
  <c r="P51" i="2" s="1"/>
  <c r="K130" i="2"/>
  <c r="N130" i="2"/>
  <c r="P130" i="2" s="1"/>
  <c r="K11" i="2"/>
  <c r="N11" i="2"/>
  <c r="P11" i="2" s="1"/>
  <c r="K73" i="2"/>
  <c r="N73" i="2"/>
  <c r="P73" i="2" s="1"/>
  <c r="K77" i="2"/>
  <c r="N77" i="2"/>
  <c r="P77" i="2" s="1"/>
  <c r="K137" i="2"/>
  <c r="N137" i="2"/>
  <c r="P137" i="2" s="1"/>
  <c r="K104" i="2"/>
  <c r="N104" i="2"/>
  <c r="P104" i="2" s="1"/>
  <c r="K135" i="2"/>
  <c r="N135" i="2"/>
  <c r="P135" i="2" s="1"/>
  <c r="K26" i="2"/>
  <c r="N26" i="2"/>
  <c r="P26" i="2" s="1"/>
  <c r="K146" i="2"/>
  <c r="N146" i="2"/>
  <c r="P146" i="2" s="1"/>
  <c r="K32" i="2"/>
  <c r="N32" i="2"/>
  <c r="P32" i="2" s="1"/>
  <c r="K53" i="2"/>
  <c r="N53" i="2"/>
  <c r="P53" i="2" s="1"/>
  <c r="K127" i="2"/>
  <c r="N127" i="2"/>
  <c r="P127" i="2" s="1"/>
  <c r="K121" i="2"/>
  <c r="N121" i="2"/>
  <c r="P121" i="2" s="1"/>
  <c r="K69" i="2"/>
  <c r="N69" i="2"/>
  <c r="P69" i="2" s="1"/>
  <c r="K119" i="2"/>
  <c r="N119" i="2"/>
  <c r="P119" i="2" s="1"/>
  <c r="K93" i="2"/>
  <c r="N93" i="2"/>
  <c r="P93" i="2" s="1"/>
  <c r="K122" i="2"/>
  <c r="N122" i="2"/>
  <c r="P122" i="2" s="1"/>
  <c r="K139" i="2"/>
  <c r="N139" i="2"/>
  <c r="P139" i="2" s="1"/>
  <c r="K98" i="2"/>
  <c r="N98" i="2"/>
  <c r="P98" i="2" s="1"/>
  <c r="K143" i="2"/>
  <c r="N143" i="2"/>
  <c r="P143" i="2" s="1"/>
  <c r="K81" i="2"/>
  <c r="N81" i="2"/>
  <c r="P81" i="2" s="1"/>
  <c r="K141" i="2"/>
  <c r="N141" i="2"/>
  <c r="P141" i="2" s="1"/>
  <c r="K89" i="2"/>
  <c r="N89" i="2"/>
  <c r="P89" i="2" s="1"/>
  <c r="K58" i="2"/>
  <c r="N58" i="2"/>
  <c r="P58" i="2" s="1"/>
  <c r="K31" i="2"/>
  <c r="N31" i="2"/>
  <c r="P31" i="2" s="1"/>
  <c r="K96" i="2"/>
  <c r="N96" i="2"/>
  <c r="P96" i="2" s="1"/>
  <c r="K50" i="2"/>
  <c r="N50" i="2"/>
  <c r="P50" i="2" s="1"/>
  <c r="K18" i="2"/>
  <c r="N18" i="2"/>
  <c r="P18" i="2" s="1"/>
  <c r="K65" i="2"/>
  <c r="N65" i="2"/>
  <c r="P65" i="2" s="1"/>
  <c r="K144" i="2"/>
  <c r="N144" i="2"/>
  <c r="P144" i="2" s="1"/>
  <c r="K61" i="2"/>
  <c r="N61" i="2"/>
  <c r="P61" i="2" s="1"/>
  <c r="K136" i="2"/>
  <c r="N136" i="2"/>
  <c r="P136" i="2" s="1"/>
  <c r="K64" i="2"/>
  <c r="N64" i="2"/>
  <c r="P64" i="2" s="1"/>
  <c r="K48" i="2"/>
  <c r="N48" i="2"/>
  <c r="P48" i="2" s="1"/>
  <c r="K42" i="2"/>
  <c r="N42" i="2"/>
  <c r="P42" i="2" s="1"/>
  <c r="K106" i="2"/>
  <c r="N106" i="2"/>
  <c r="P106" i="2" s="1"/>
  <c r="K128" i="2"/>
  <c r="N128" i="2"/>
  <c r="P128" i="2" s="1"/>
  <c r="K120" i="2"/>
  <c r="N120" i="2"/>
  <c r="P120" i="2" s="1"/>
  <c r="K90" i="2"/>
  <c r="N90" i="2"/>
  <c r="P90" i="2" s="1"/>
  <c r="K133" i="2"/>
  <c r="N133" i="2"/>
  <c r="P133" i="2" s="1"/>
  <c r="K85" i="2"/>
  <c r="N85" i="2"/>
  <c r="P85" i="2" s="1"/>
  <c r="K125" i="2"/>
  <c r="N125" i="2"/>
  <c r="P125" i="2" s="1"/>
  <c r="K109" i="2"/>
  <c r="N109" i="2"/>
  <c r="P109" i="2" s="1"/>
  <c r="K16" i="2"/>
  <c r="N16" i="2"/>
  <c r="P16" i="2" s="1"/>
  <c r="K24" i="2"/>
  <c r="N24" i="2"/>
  <c r="P24" i="2" s="1"/>
  <c r="S1" i="1"/>
  <c r="S2" i="1"/>
  <c r="P16" i="1" l="1"/>
  <c r="X22" i="1" s="1"/>
  <c r="T13" i="1"/>
  <c r="U12" i="1" s="1"/>
  <c r="R10" i="1"/>
  <c r="T14" i="1"/>
  <c r="Q17" i="1"/>
  <c r="AB22" i="1" s="1"/>
  <c r="Q11" i="1"/>
  <c r="R9" i="1"/>
  <c r="Q16" i="1"/>
  <c r="P17" i="1"/>
  <c r="Y22" i="1" s="1"/>
  <c r="T16" i="1"/>
  <c r="P11" i="1"/>
  <c r="N3" i="2"/>
  <c r="P3" i="2" s="1"/>
  <c r="O4" i="2" s="1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M3" i="2"/>
  <c r="L4" i="2" s="1"/>
  <c r="M4" i="2" s="1"/>
  <c r="J5" i="2"/>
  <c r="J6" i="2" s="1"/>
  <c r="J7" i="2" s="1"/>
  <c r="J8" i="2" s="1"/>
  <c r="J9" i="2" s="1"/>
  <c r="U20" i="1" l="1"/>
  <c r="U22" i="1" s="1"/>
  <c r="S10" i="1"/>
  <c r="U17" i="1"/>
  <c r="Q12" i="1"/>
  <c r="P14" i="1" s="1"/>
  <c r="W22" i="1" s="1"/>
  <c r="P18" i="1"/>
  <c r="Z22" i="1" s="1"/>
  <c r="AA22" i="1"/>
  <c r="Q18" i="1"/>
  <c r="AC22" i="1" s="1"/>
  <c r="T17" i="1"/>
  <c r="R3" i="2"/>
  <c r="Q4" i="2" s="1"/>
  <c r="J10" i="2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L5" i="2"/>
  <c r="M5" i="2" s="1"/>
  <c r="J147" i="2" l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R4" i="2"/>
  <c r="Q5" i="2" s="1"/>
  <c r="L6" i="2"/>
  <c r="M6" i="2" s="1"/>
  <c r="L7" i="2" s="1"/>
  <c r="Q20" i="1" l="1"/>
  <c r="M7" i="2"/>
  <c r="L8" i="2" s="1"/>
  <c r="Q22" i="1" l="1"/>
  <c r="R5" i="2"/>
  <c r="M8" i="2"/>
  <c r="L9" i="2" s="1"/>
  <c r="Q6" i="2" l="1"/>
  <c r="M9" i="2"/>
  <c r="L10" i="2" s="1"/>
  <c r="R6" i="2" l="1"/>
  <c r="M10" i="2"/>
  <c r="L11" i="2" s="1"/>
  <c r="Q7" i="2" l="1"/>
  <c r="M11" i="2"/>
  <c r="L12" i="2" s="1"/>
  <c r="R7" i="2" l="1"/>
  <c r="M12" i="2"/>
  <c r="L13" i="2" s="1"/>
  <c r="Q8" i="2" l="1"/>
  <c r="M13" i="2"/>
  <c r="L14" i="2" s="1"/>
  <c r="R8" i="2" l="1"/>
  <c r="M14" i="2"/>
  <c r="L15" i="2" s="1"/>
  <c r="Q9" i="2" l="1"/>
  <c r="M15" i="2"/>
  <c r="L16" i="2" s="1"/>
  <c r="R9" i="2" l="1"/>
  <c r="Q10" i="2" s="1"/>
  <c r="M16" i="2"/>
  <c r="L17" i="2" s="1"/>
  <c r="R10" i="2" l="1"/>
  <c r="Q11" i="2" s="1"/>
  <c r="M17" i="2"/>
  <c r="L18" i="2" s="1"/>
  <c r="R11" i="2" l="1"/>
  <c r="Q12" i="2" s="1"/>
  <c r="M18" i="2"/>
  <c r="L19" i="2" s="1"/>
  <c r="R12" i="2" l="1"/>
  <c r="Q13" i="2" s="1"/>
  <c r="M19" i="2"/>
  <c r="L20" i="2" s="1"/>
  <c r="R13" i="2" l="1"/>
  <c r="Q14" i="2" s="1"/>
  <c r="M20" i="2"/>
  <c r="L21" i="2" s="1"/>
  <c r="R14" i="2" l="1"/>
  <c r="Q15" i="2" s="1"/>
  <c r="M21" i="2"/>
  <c r="L22" i="2" s="1"/>
  <c r="R15" i="2" l="1"/>
  <c r="Q16" i="2" s="1"/>
  <c r="M22" i="2"/>
  <c r="L23" i="2" s="1"/>
  <c r="R16" i="2" l="1"/>
  <c r="Q17" i="2" s="1"/>
  <c r="M23" i="2"/>
  <c r="L24" i="2" s="1"/>
  <c r="R17" i="2" l="1"/>
  <c r="Q18" i="2" s="1"/>
  <c r="M24" i="2"/>
  <c r="L25" i="2" s="1"/>
  <c r="R18" i="2" l="1"/>
  <c r="Q19" i="2" s="1"/>
  <c r="M25" i="2"/>
  <c r="L26" i="2" s="1"/>
  <c r="R19" i="2" l="1"/>
  <c r="Q20" i="2" s="1"/>
  <c r="M26" i="2"/>
  <c r="L27" i="2" s="1"/>
  <c r="R20" i="2" l="1"/>
  <c r="Q21" i="2" s="1"/>
  <c r="M27" i="2"/>
  <c r="L28" i="2" s="1"/>
  <c r="R21" i="2" l="1"/>
  <c r="Q22" i="2" s="1"/>
  <c r="M28" i="2"/>
  <c r="L29" i="2" s="1"/>
  <c r="R22" i="2" l="1"/>
  <c r="Q23" i="2" s="1"/>
  <c r="M29" i="2"/>
  <c r="L30" i="2" s="1"/>
  <c r="R23" i="2" l="1"/>
  <c r="Q24" i="2" s="1"/>
  <c r="M30" i="2"/>
  <c r="L31" i="2" s="1"/>
  <c r="R24" i="2" l="1"/>
  <c r="Q25" i="2" s="1"/>
  <c r="M31" i="2"/>
  <c r="L32" i="2" s="1"/>
  <c r="R25" i="2" l="1"/>
  <c r="Q26" i="2" s="1"/>
  <c r="M32" i="2"/>
  <c r="L33" i="2" s="1"/>
  <c r="R26" i="2" l="1"/>
  <c r="Q27" i="2" s="1"/>
  <c r="M33" i="2"/>
  <c r="L34" i="2" s="1"/>
  <c r="R27" i="2" l="1"/>
  <c r="Q28" i="2" s="1"/>
  <c r="M34" i="2"/>
  <c r="L35" i="2" s="1"/>
  <c r="R28" i="2" l="1"/>
  <c r="Q29" i="2" s="1"/>
  <c r="M35" i="2"/>
  <c r="L36" i="2" s="1"/>
  <c r="R29" i="2" l="1"/>
  <c r="Q30" i="2" s="1"/>
  <c r="M36" i="2"/>
  <c r="L37" i="2" s="1"/>
  <c r="R30" i="2" l="1"/>
  <c r="Q31" i="2" s="1"/>
  <c r="M37" i="2"/>
  <c r="L38" i="2" s="1"/>
  <c r="R31" i="2" l="1"/>
  <c r="Q32" i="2" s="1"/>
  <c r="M38" i="2"/>
  <c r="L39" i="2" s="1"/>
  <c r="R32" i="2" l="1"/>
  <c r="Q33" i="2" s="1"/>
  <c r="M39" i="2"/>
  <c r="L40" i="2" s="1"/>
  <c r="R33" i="2" l="1"/>
  <c r="Q34" i="2" s="1"/>
  <c r="M40" i="2"/>
  <c r="L41" i="2" s="1"/>
  <c r="R34" i="2" l="1"/>
  <c r="Q35" i="2" s="1"/>
  <c r="M41" i="2"/>
  <c r="L42" i="2" s="1"/>
  <c r="R35" i="2" l="1"/>
  <c r="Q36" i="2" s="1"/>
  <c r="M42" i="2"/>
  <c r="L43" i="2" s="1"/>
  <c r="R36" i="2" l="1"/>
  <c r="Q37" i="2" s="1"/>
  <c r="M43" i="2"/>
  <c r="L44" i="2" s="1"/>
  <c r="R37" i="2" l="1"/>
  <c r="Q38" i="2" s="1"/>
  <c r="M44" i="2"/>
  <c r="L45" i="2" s="1"/>
  <c r="R38" i="2" l="1"/>
  <c r="Q39" i="2" s="1"/>
  <c r="M45" i="2"/>
  <c r="L46" i="2" s="1"/>
  <c r="R39" i="2" l="1"/>
  <c r="Q40" i="2" s="1"/>
  <c r="M46" i="2"/>
  <c r="L47" i="2" s="1"/>
  <c r="R40" i="2" l="1"/>
  <c r="Q41" i="2" s="1"/>
  <c r="M47" i="2"/>
  <c r="L48" i="2" s="1"/>
  <c r="R41" i="2" l="1"/>
  <c r="Q42" i="2" s="1"/>
  <c r="M48" i="2"/>
  <c r="L49" i="2" s="1"/>
  <c r="R42" i="2" l="1"/>
  <c r="Q43" i="2" s="1"/>
  <c r="M49" i="2"/>
  <c r="L50" i="2" s="1"/>
  <c r="R43" i="2" l="1"/>
  <c r="Q44" i="2" s="1"/>
  <c r="M50" i="2"/>
  <c r="L51" i="2" s="1"/>
  <c r="R44" i="2" l="1"/>
  <c r="Q45" i="2" s="1"/>
  <c r="M51" i="2"/>
  <c r="L52" i="2" s="1"/>
  <c r="R45" i="2" l="1"/>
  <c r="Q46" i="2" s="1"/>
  <c r="M52" i="2"/>
  <c r="L53" i="2" s="1"/>
  <c r="R46" i="2" l="1"/>
  <c r="Q47" i="2" s="1"/>
  <c r="M53" i="2"/>
  <c r="L54" i="2" s="1"/>
  <c r="R47" i="2" l="1"/>
  <c r="Q48" i="2" s="1"/>
  <c r="M54" i="2"/>
  <c r="L55" i="2" s="1"/>
  <c r="R48" i="2" l="1"/>
  <c r="Q49" i="2" s="1"/>
  <c r="M55" i="2"/>
  <c r="L56" i="2" s="1"/>
  <c r="R49" i="2" l="1"/>
  <c r="Q50" i="2" s="1"/>
  <c r="M56" i="2"/>
  <c r="L57" i="2" s="1"/>
  <c r="R50" i="2" l="1"/>
  <c r="Q51" i="2" s="1"/>
  <c r="M57" i="2"/>
  <c r="L58" i="2" s="1"/>
  <c r="R51" i="2" l="1"/>
  <c r="Q52" i="2" s="1"/>
  <c r="M58" i="2"/>
  <c r="L59" i="2" s="1"/>
  <c r="R52" i="2" l="1"/>
  <c r="Q53" i="2" s="1"/>
  <c r="M59" i="2"/>
  <c r="L60" i="2" s="1"/>
  <c r="R53" i="2" l="1"/>
  <c r="Q54" i="2" s="1"/>
  <c r="M60" i="2"/>
  <c r="L61" i="2" s="1"/>
  <c r="R54" i="2" l="1"/>
  <c r="Q55" i="2" s="1"/>
  <c r="M61" i="2"/>
  <c r="L62" i="2" s="1"/>
  <c r="R55" i="2" l="1"/>
  <c r="Q56" i="2" s="1"/>
  <c r="M62" i="2"/>
  <c r="L63" i="2" s="1"/>
  <c r="R56" i="2" l="1"/>
  <c r="Q57" i="2" s="1"/>
  <c r="M63" i="2"/>
  <c r="L64" i="2" s="1"/>
  <c r="R57" i="2" l="1"/>
  <c r="Q58" i="2" s="1"/>
  <c r="M64" i="2"/>
  <c r="L65" i="2" s="1"/>
  <c r="R58" i="2" l="1"/>
  <c r="Q59" i="2" s="1"/>
  <c r="M65" i="2"/>
  <c r="L66" i="2" s="1"/>
  <c r="R59" i="2" l="1"/>
  <c r="Q60" i="2" s="1"/>
  <c r="M66" i="2"/>
  <c r="L67" i="2" s="1"/>
  <c r="R60" i="2" l="1"/>
  <c r="Q61" i="2" s="1"/>
  <c r="M67" i="2"/>
  <c r="L68" i="2" s="1"/>
  <c r="R61" i="2" l="1"/>
  <c r="Q62" i="2" s="1"/>
  <c r="M68" i="2"/>
  <c r="L69" i="2" s="1"/>
  <c r="R62" i="2" l="1"/>
  <c r="Q63" i="2" s="1"/>
  <c r="M69" i="2"/>
  <c r="L70" i="2" s="1"/>
  <c r="R63" i="2" l="1"/>
  <c r="Q64" i="2" s="1"/>
  <c r="M70" i="2"/>
  <c r="L71" i="2" s="1"/>
  <c r="R64" i="2" l="1"/>
  <c r="Q65" i="2" s="1"/>
  <c r="M71" i="2"/>
  <c r="L72" i="2" s="1"/>
  <c r="R65" i="2" l="1"/>
  <c r="Q66" i="2" s="1"/>
  <c r="M72" i="2"/>
  <c r="L73" i="2" s="1"/>
  <c r="R66" i="2" l="1"/>
  <c r="Q67" i="2" s="1"/>
  <c r="M73" i="2"/>
  <c r="L74" i="2" s="1"/>
  <c r="R67" i="2" l="1"/>
  <c r="Q68" i="2" s="1"/>
  <c r="M74" i="2"/>
  <c r="L75" i="2" s="1"/>
  <c r="R68" i="2" l="1"/>
  <c r="Q69" i="2" s="1"/>
  <c r="M75" i="2"/>
  <c r="L76" i="2" s="1"/>
  <c r="R69" i="2" l="1"/>
  <c r="Q70" i="2" s="1"/>
  <c r="M76" i="2"/>
  <c r="L77" i="2" s="1"/>
  <c r="R70" i="2" l="1"/>
  <c r="Q71" i="2" s="1"/>
  <c r="M77" i="2"/>
  <c r="L78" i="2" s="1"/>
  <c r="R71" i="2" l="1"/>
  <c r="Q72" i="2" s="1"/>
  <c r="M78" i="2"/>
  <c r="L79" i="2" s="1"/>
  <c r="R72" i="2" l="1"/>
  <c r="Q73" i="2" s="1"/>
  <c r="M79" i="2"/>
  <c r="L80" i="2" s="1"/>
  <c r="R73" i="2" l="1"/>
  <c r="Q74" i="2" s="1"/>
  <c r="M80" i="2"/>
  <c r="L81" i="2" s="1"/>
  <c r="R74" i="2" l="1"/>
  <c r="Q75" i="2" s="1"/>
  <c r="M81" i="2"/>
  <c r="L82" i="2" s="1"/>
  <c r="R75" i="2" l="1"/>
  <c r="Q76" i="2" s="1"/>
  <c r="M82" i="2"/>
  <c r="L83" i="2" s="1"/>
  <c r="R76" i="2" l="1"/>
  <c r="Q77" i="2" s="1"/>
  <c r="M83" i="2"/>
  <c r="L84" i="2" s="1"/>
  <c r="R77" i="2" l="1"/>
  <c r="Q78" i="2" s="1"/>
  <c r="M84" i="2"/>
  <c r="L85" i="2" s="1"/>
  <c r="R78" i="2" l="1"/>
  <c r="Q79" i="2" s="1"/>
  <c r="M85" i="2"/>
  <c r="L86" i="2" s="1"/>
  <c r="R79" i="2" l="1"/>
  <c r="Q80" i="2" s="1"/>
  <c r="M86" i="2"/>
  <c r="L87" i="2" s="1"/>
  <c r="R80" i="2" l="1"/>
  <c r="Q81" i="2" s="1"/>
  <c r="M87" i="2"/>
  <c r="L88" i="2" s="1"/>
  <c r="R81" i="2" l="1"/>
  <c r="Q82" i="2" s="1"/>
  <c r="M88" i="2"/>
  <c r="L89" i="2" s="1"/>
  <c r="R82" i="2" l="1"/>
  <c r="Q83" i="2" s="1"/>
  <c r="M89" i="2"/>
  <c r="L90" i="2" s="1"/>
  <c r="R83" i="2" l="1"/>
  <c r="Q84" i="2" s="1"/>
  <c r="M90" i="2"/>
  <c r="L91" i="2" s="1"/>
  <c r="R84" i="2" l="1"/>
  <c r="Q85" i="2" s="1"/>
  <c r="M91" i="2"/>
  <c r="L92" i="2" s="1"/>
  <c r="R85" i="2" l="1"/>
  <c r="Q86" i="2" s="1"/>
  <c r="M92" i="2"/>
  <c r="L93" i="2" s="1"/>
  <c r="R86" i="2" l="1"/>
  <c r="Q87" i="2" s="1"/>
  <c r="M93" i="2"/>
  <c r="L94" i="2" s="1"/>
  <c r="R87" i="2" l="1"/>
  <c r="Q88" i="2" s="1"/>
  <c r="M94" i="2"/>
  <c r="L95" i="2" s="1"/>
  <c r="R88" i="2" l="1"/>
  <c r="Q89" i="2" s="1"/>
  <c r="M95" i="2"/>
  <c r="L96" i="2" s="1"/>
  <c r="R89" i="2" l="1"/>
  <c r="Q90" i="2" s="1"/>
  <c r="M96" i="2"/>
  <c r="L97" i="2" s="1"/>
  <c r="R90" i="2" l="1"/>
  <c r="Q91" i="2" s="1"/>
  <c r="M97" i="2"/>
  <c r="L98" i="2" s="1"/>
  <c r="R91" i="2" l="1"/>
  <c r="Q92" i="2" s="1"/>
  <c r="M98" i="2"/>
  <c r="L99" i="2" s="1"/>
  <c r="R92" i="2" l="1"/>
  <c r="Q93" i="2" s="1"/>
  <c r="M99" i="2"/>
  <c r="L100" i="2" s="1"/>
  <c r="R93" i="2" l="1"/>
  <c r="Q94" i="2" s="1"/>
  <c r="M100" i="2"/>
  <c r="L101" i="2" s="1"/>
  <c r="R94" i="2" l="1"/>
  <c r="Q95" i="2" s="1"/>
  <c r="M101" i="2"/>
  <c r="L102" i="2" s="1"/>
  <c r="R95" i="2" l="1"/>
  <c r="Q96" i="2" s="1"/>
  <c r="M102" i="2"/>
  <c r="L103" i="2" s="1"/>
  <c r="R96" i="2" l="1"/>
  <c r="Q97" i="2" s="1"/>
  <c r="M103" i="2"/>
  <c r="L104" i="2" s="1"/>
  <c r="R97" i="2" l="1"/>
  <c r="Q98" i="2" s="1"/>
  <c r="M104" i="2"/>
  <c r="L105" i="2" s="1"/>
  <c r="R98" i="2" l="1"/>
  <c r="Q99" i="2" s="1"/>
  <c r="M105" i="2"/>
  <c r="L106" i="2" s="1"/>
  <c r="R99" i="2" l="1"/>
  <c r="Q100" i="2" s="1"/>
  <c r="M106" i="2"/>
  <c r="L107" i="2" s="1"/>
  <c r="R100" i="2" l="1"/>
  <c r="Q101" i="2" s="1"/>
  <c r="M107" i="2"/>
  <c r="L108" i="2" s="1"/>
  <c r="R101" i="2" l="1"/>
  <c r="Q102" i="2" s="1"/>
  <c r="M108" i="2"/>
  <c r="L109" i="2" s="1"/>
  <c r="R102" i="2" l="1"/>
  <c r="Q103" i="2" s="1"/>
  <c r="M109" i="2"/>
  <c r="L110" i="2" s="1"/>
  <c r="R103" i="2" l="1"/>
  <c r="Q104" i="2" s="1"/>
  <c r="M110" i="2"/>
  <c r="L111" i="2" s="1"/>
  <c r="R104" i="2" l="1"/>
  <c r="Q105" i="2" s="1"/>
  <c r="M111" i="2"/>
  <c r="L112" i="2" s="1"/>
  <c r="R105" i="2" l="1"/>
  <c r="Q106" i="2" s="1"/>
  <c r="M112" i="2"/>
  <c r="L113" i="2" s="1"/>
  <c r="R106" i="2" l="1"/>
  <c r="Q107" i="2" s="1"/>
  <c r="M113" i="2"/>
  <c r="L114" i="2" s="1"/>
  <c r="R107" i="2" l="1"/>
  <c r="Q108" i="2" s="1"/>
  <c r="M114" i="2"/>
  <c r="L115" i="2" s="1"/>
  <c r="R108" i="2" l="1"/>
  <c r="Q109" i="2" s="1"/>
  <c r="M115" i="2"/>
  <c r="L116" i="2" s="1"/>
  <c r="R109" i="2" l="1"/>
  <c r="Q110" i="2" s="1"/>
  <c r="M116" i="2"/>
  <c r="L117" i="2" s="1"/>
  <c r="R110" i="2" l="1"/>
  <c r="Q111" i="2" s="1"/>
  <c r="M117" i="2"/>
  <c r="L118" i="2" s="1"/>
  <c r="R111" i="2" l="1"/>
  <c r="Q112" i="2" s="1"/>
  <c r="M118" i="2"/>
  <c r="L119" i="2" s="1"/>
  <c r="R112" i="2" l="1"/>
  <c r="Q113" i="2" s="1"/>
  <c r="M119" i="2"/>
  <c r="L120" i="2" s="1"/>
  <c r="R113" i="2" l="1"/>
  <c r="Q114" i="2" s="1"/>
  <c r="M120" i="2"/>
  <c r="L121" i="2" s="1"/>
  <c r="R114" i="2" l="1"/>
  <c r="Q115" i="2" s="1"/>
  <c r="M121" i="2"/>
  <c r="L122" i="2" s="1"/>
  <c r="R115" i="2" l="1"/>
  <c r="Q116" i="2" s="1"/>
  <c r="M122" i="2"/>
  <c r="L123" i="2" s="1"/>
  <c r="R116" i="2" l="1"/>
  <c r="Q117" i="2" s="1"/>
  <c r="M123" i="2"/>
  <c r="L124" i="2" s="1"/>
  <c r="R117" i="2" l="1"/>
  <c r="Q118" i="2" s="1"/>
  <c r="M124" i="2"/>
  <c r="L125" i="2" s="1"/>
  <c r="R118" i="2" l="1"/>
  <c r="Q119" i="2" s="1"/>
  <c r="M125" i="2"/>
  <c r="L126" i="2" s="1"/>
  <c r="R119" i="2" l="1"/>
  <c r="Q120" i="2" s="1"/>
  <c r="M126" i="2"/>
  <c r="L127" i="2" s="1"/>
  <c r="R120" i="2" l="1"/>
  <c r="Q121" i="2" s="1"/>
  <c r="M127" i="2"/>
  <c r="L128" i="2" s="1"/>
  <c r="R121" i="2" l="1"/>
  <c r="Q122" i="2" s="1"/>
  <c r="M128" i="2"/>
  <c r="L129" i="2" s="1"/>
  <c r="R122" i="2" l="1"/>
  <c r="Q123" i="2" s="1"/>
  <c r="M129" i="2"/>
  <c r="L130" i="2" s="1"/>
  <c r="R123" i="2" l="1"/>
  <c r="Q124" i="2" s="1"/>
  <c r="M130" i="2"/>
  <c r="L131" i="2" s="1"/>
  <c r="R124" i="2" l="1"/>
  <c r="Q125" i="2" s="1"/>
  <c r="M131" i="2"/>
  <c r="L132" i="2" s="1"/>
  <c r="R125" i="2" l="1"/>
  <c r="Q126" i="2" s="1"/>
  <c r="M132" i="2"/>
  <c r="L133" i="2" s="1"/>
  <c r="R126" i="2" l="1"/>
  <c r="Q127" i="2" s="1"/>
  <c r="M133" i="2"/>
  <c r="L134" i="2" s="1"/>
  <c r="R127" i="2" l="1"/>
  <c r="Q128" i="2" s="1"/>
  <c r="M134" i="2"/>
  <c r="L135" i="2" s="1"/>
  <c r="R128" i="2" l="1"/>
  <c r="Q129" i="2" s="1"/>
  <c r="M135" i="2"/>
  <c r="L136" i="2" s="1"/>
  <c r="R129" i="2" l="1"/>
  <c r="Q130" i="2" s="1"/>
  <c r="M136" i="2"/>
  <c r="L137" i="2" s="1"/>
  <c r="R130" i="2" l="1"/>
  <c r="Q131" i="2" s="1"/>
  <c r="M137" i="2"/>
  <c r="L138" i="2" s="1"/>
  <c r="R131" i="2" l="1"/>
  <c r="Q132" i="2" s="1"/>
  <c r="M138" i="2"/>
  <c r="L139" i="2" s="1"/>
  <c r="R132" i="2" l="1"/>
  <c r="Q133" i="2" s="1"/>
  <c r="M139" i="2"/>
  <c r="L140" i="2" s="1"/>
  <c r="R133" i="2" l="1"/>
  <c r="Q134" i="2" s="1"/>
  <c r="M140" i="2"/>
  <c r="L141" i="2" s="1"/>
  <c r="R134" i="2" l="1"/>
  <c r="Q135" i="2" s="1"/>
  <c r="M141" i="2"/>
  <c r="L142" i="2" s="1"/>
  <c r="R135" i="2" l="1"/>
  <c r="Q136" i="2" s="1"/>
  <c r="M142" i="2"/>
  <c r="L143" i="2" s="1"/>
  <c r="R136" i="2" l="1"/>
  <c r="Q137" i="2" s="1"/>
  <c r="M143" i="2"/>
  <c r="L144" i="2" s="1"/>
  <c r="R137" i="2" l="1"/>
  <c r="Q138" i="2" s="1"/>
  <c r="M144" i="2"/>
  <c r="L145" i="2" s="1"/>
  <c r="R138" i="2" l="1"/>
  <c r="Q139" i="2" s="1"/>
  <c r="M145" i="2"/>
  <c r="R139" i="2" l="1"/>
  <c r="Q140" i="2" s="1"/>
  <c r="L146" i="2"/>
  <c r="R140" i="2" l="1"/>
  <c r="Q141" i="2" s="1"/>
  <c r="M146" i="2"/>
  <c r="L147" i="2" s="1"/>
  <c r="R141" i="2" l="1"/>
  <c r="Q142" i="2" s="1"/>
  <c r="M147" i="2"/>
  <c r="L148" i="2" s="1"/>
  <c r="M148" i="2" s="1"/>
  <c r="L149" i="2" s="1"/>
  <c r="R142" i="2" l="1"/>
  <c r="Q143" i="2" s="1"/>
  <c r="M149" i="2"/>
  <c r="L150" i="2" s="1"/>
  <c r="M150" i="2" s="1"/>
  <c r="L151" i="2" s="1"/>
  <c r="M151" i="2" s="1"/>
  <c r="L152" i="2" s="1"/>
  <c r="R143" i="2" l="1"/>
  <c r="Q144" i="2" s="1"/>
  <c r="M152" i="2"/>
  <c r="L153" i="2" s="1"/>
  <c r="M153" i="2" s="1"/>
  <c r="L154" i="2" s="1"/>
  <c r="M154" i="2" s="1"/>
  <c r="L155" i="2" s="1"/>
  <c r="M155" i="2" s="1"/>
  <c r="L156" i="2" s="1"/>
  <c r="R144" i="2" l="1"/>
  <c r="Q145" i="2" s="1"/>
  <c r="M156" i="2"/>
  <c r="L157" i="2" s="1"/>
  <c r="R145" i="2" l="1"/>
  <c r="Q146" i="2" s="1"/>
  <c r="M157" i="2"/>
  <c r="L158" i="2" s="1"/>
  <c r="M158" i="2" s="1"/>
  <c r="L159" i="2" s="1"/>
  <c r="R146" i="2" l="1"/>
  <c r="M159" i="2"/>
  <c r="L160" i="2" s="1"/>
  <c r="Q147" i="2" l="1"/>
  <c r="M160" i="2"/>
  <c r="L161" i="2" s="1"/>
  <c r="R147" i="2" l="1"/>
  <c r="Q148" i="2" s="1"/>
  <c r="M161" i="2"/>
  <c r="L162" i="2" s="1"/>
  <c r="R148" i="2" l="1"/>
  <c r="M162" i="2"/>
  <c r="L163" i="2" s="1"/>
  <c r="M163" i="2" s="1"/>
  <c r="L164" i="2" s="1"/>
  <c r="M164" i="2" s="1"/>
  <c r="L165" i="2" s="1"/>
  <c r="M165" i="2" s="1"/>
  <c r="L166" i="2" s="1"/>
  <c r="M166" i="2" s="1"/>
  <c r="L167" i="2" s="1"/>
  <c r="Q149" i="2" l="1"/>
  <c r="M167" i="2"/>
  <c r="L168" i="2" s="1"/>
  <c r="R149" i="2" l="1"/>
  <c r="M168" i="2"/>
  <c r="L169" i="2" s="1"/>
  <c r="R20" i="1" s="1"/>
  <c r="Q150" i="2" l="1"/>
  <c r="M169" i="2"/>
  <c r="R150" i="2" l="1"/>
  <c r="Q151" i="2" s="1"/>
  <c r="R151" i="2" l="1"/>
  <c r="Q152" i="2" s="1"/>
  <c r="R152" i="2" l="1"/>
  <c r="Q153" i="2" s="1"/>
  <c r="R153" i="2" l="1"/>
  <c r="Q154" i="2" l="1"/>
  <c r="R154" i="2" l="1"/>
  <c r="Q155" i="2" l="1"/>
  <c r="R155" i="2" l="1"/>
  <c r="Q156" i="2" s="1"/>
  <c r="R156" i="2" l="1"/>
  <c r="Q157" i="2" s="1"/>
  <c r="R157" i="2" l="1"/>
  <c r="Q158" i="2" l="1"/>
  <c r="R158" i="2" l="1"/>
  <c r="Q159" i="2" s="1"/>
  <c r="R159" i="2" l="1"/>
  <c r="Q160" i="2" s="1"/>
  <c r="R160" i="2" l="1"/>
  <c r="Q161" i="2" s="1"/>
  <c r="R161" i="2" l="1"/>
  <c r="Q162" i="2" l="1"/>
  <c r="R162" i="2" l="1"/>
  <c r="Q163" i="2" s="1"/>
  <c r="R163" i="2" l="1"/>
  <c r="Q164" i="2" s="1"/>
  <c r="R164" i="2" l="1"/>
  <c r="Q165" i="2" s="1"/>
  <c r="R165" i="2" l="1"/>
  <c r="Q166" i="2" l="1"/>
  <c r="R166" i="2" l="1"/>
  <c r="Q167" i="2" s="1"/>
  <c r="R167" i="2" l="1"/>
  <c r="Q168" i="2" s="1"/>
  <c r="R168" i="2" l="1"/>
  <c r="Q169" i="2" s="1"/>
  <c r="V20" i="1" s="1"/>
  <c r="R169" i="2" l="1"/>
  <c r="R22" i="1" l="1"/>
  <c r="V22" i="1" l="1"/>
</calcChain>
</file>

<file path=xl/sharedStrings.xml><?xml version="1.0" encoding="utf-8"?>
<sst xmlns="http://schemas.openxmlformats.org/spreadsheetml/2006/main" count="2158" uniqueCount="405">
  <si>
    <t>apertura</t>
  </si>
  <si>
    <t>cierre</t>
  </si>
  <si>
    <t>prediccion</t>
  </si>
  <si>
    <t>Orden</t>
  </si>
  <si>
    <t>Resultado</t>
  </si>
  <si>
    <t>Rentabilidad</t>
  </si>
  <si>
    <t>Aciertos</t>
  </si>
  <si>
    <t>Errores</t>
  </si>
  <si>
    <t>Monto inicial</t>
  </si>
  <si>
    <t>Rentabilidad simple</t>
  </si>
  <si>
    <t>Rentabilidad compuesta</t>
  </si>
  <si>
    <t>%</t>
  </si>
  <si>
    <t>Monto actual</t>
  </si>
  <si>
    <t>Profit</t>
  </si>
  <si>
    <t>Dia 0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</si>
  <si>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</si>
  <si>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</si>
  <si>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</si>
  <si>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</si>
  <si>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</si>
  <si>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</si>
  <si>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</si>
  <si>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</si>
  <si>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</si>
  <si>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</si>
  <si>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</si>
  <si>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</si>
  <si>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</si>
  <si>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</si>
  <si>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</si>
  <si>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</si>
  <si>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</si>
  <si>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</si>
  <si>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</si>
  <si>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</si>
  <si>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</si>
  <si>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</si>
  <si>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</si>
  <si>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</si>
  <si>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</si>
  <si>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</si>
  <si>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</si>
  <si>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</si>
  <si>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</si>
  <si>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</si>
  <si>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</si>
  <si>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Dia 32</t>
  </si>
  <si>
    <t>Dia 33</t>
  </si>
  <si>
    <t>Dia 34</t>
  </si>
  <si>
    <t>Dia 35</t>
  </si>
  <si>
    <t>Dia 36</t>
  </si>
  <si>
    <t>Dia 37</t>
  </si>
  <si>
    <t>Dia 38</t>
  </si>
  <si>
    <t>Dia 39</t>
  </si>
  <si>
    <t>Dia 40</t>
  </si>
  <si>
    <t>Dia 41</t>
  </si>
  <si>
    <t>Dia 42</t>
  </si>
  <si>
    <t>Dia 43</t>
  </si>
  <si>
    <t>Dia 44</t>
  </si>
  <si>
    <t>Dia 45</t>
  </si>
  <si>
    <t>Dia 46</t>
  </si>
  <si>
    <t>Dia 47</t>
  </si>
  <si>
    <t>Dia 48</t>
  </si>
  <si>
    <t>Dia 49</t>
  </si>
  <si>
    <t>Dia 50</t>
  </si>
  <si>
    <t>Dia 51</t>
  </si>
  <si>
    <t>Dia 52</t>
  </si>
  <si>
    <t>Dia 53</t>
  </si>
  <si>
    <t>Dia 54</t>
  </si>
  <si>
    <t>Dia 55</t>
  </si>
  <si>
    <t>Dia 56</t>
  </si>
  <si>
    <t>Dia 57</t>
  </si>
  <si>
    <t>Dia 58</t>
  </si>
  <si>
    <t>Dia 59</t>
  </si>
  <si>
    <t>Dia 60</t>
  </si>
  <si>
    <t>Dia 61</t>
  </si>
  <si>
    <t>Dia 62</t>
  </si>
  <si>
    <t>Dia 63</t>
  </si>
  <si>
    <t>Dia 64</t>
  </si>
  <si>
    <t>Dia 65</t>
  </si>
  <si>
    <t>Dia 66</t>
  </si>
  <si>
    <t>Dia 67</t>
  </si>
  <si>
    <t>Dia 68</t>
  </si>
  <si>
    <t>Dia 69</t>
  </si>
  <si>
    <t>Dia 70</t>
  </si>
  <si>
    <t>Dia 71</t>
  </si>
  <si>
    <t>Dia 72</t>
  </si>
  <si>
    <t>Dia 73</t>
  </si>
  <si>
    <t>Dia 74</t>
  </si>
  <si>
    <t>Dia 75</t>
  </si>
  <si>
    <t>Dia 76</t>
  </si>
  <si>
    <t>Dia 77</t>
  </si>
  <si>
    <t>Dia 78</t>
  </si>
  <si>
    <t>Dia 79</t>
  </si>
  <si>
    <t>Dia 80</t>
  </si>
  <si>
    <t>Dia 81</t>
  </si>
  <si>
    <t>Dia 82</t>
  </si>
  <si>
    <t>Dia 83</t>
  </si>
  <si>
    <t>Dia 84</t>
  </si>
  <si>
    <t>Dia 85</t>
  </si>
  <si>
    <t>Dia 86</t>
  </si>
  <si>
    <t>Dia 87</t>
  </si>
  <si>
    <t>Dia 88</t>
  </si>
  <si>
    <t>Dia 89</t>
  </si>
  <si>
    <t>Dia 90</t>
  </si>
  <si>
    <t>Dia 91</t>
  </si>
  <si>
    <t>Dia 92</t>
  </si>
  <si>
    <t>Dia 93</t>
  </si>
  <si>
    <t>Dia 94</t>
  </si>
  <si>
    <t>Dia 95</t>
  </si>
  <si>
    <t>Dia 96</t>
  </si>
  <si>
    <t>Dia 97</t>
  </si>
  <si>
    <t>Dia 98</t>
  </si>
  <si>
    <t>Dia 99</t>
  </si>
  <si>
    <t>Dia 100</t>
  </si>
  <si>
    <t>Dia 101</t>
  </si>
  <si>
    <t>Dia 102</t>
  </si>
  <si>
    <t>Dia 103</t>
  </si>
  <si>
    <t>Dia 104</t>
  </si>
  <si>
    <t>Dia 105</t>
  </si>
  <si>
    <t>Dia 106</t>
  </si>
  <si>
    <t>Dia 107</t>
  </si>
  <si>
    <t>Dia 108</t>
  </si>
  <si>
    <t>Dia 109</t>
  </si>
  <si>
    <t>Dia 110</t>
  </si>
  <si>
    <t>Dia 111</t>
  </si>
  <si>
    <t>Dia 112</t>
  </si>
  <si>
    <t>Dia 113</t>
  </si>
  <si>
    <t>Dia 114</t>
  </si>
  <si>
    <t>Dia 115</t>
  </si>
  <si>
    <t>Dia 116</t>
  </si>
  <si>
    <t>Dia 117</t>
  </si>
  <si>
    <t>Dia 118</t>
  </si>
  <si>
    <t>Dia 119</t>
  </si>
  <si>
    <t>Dia 120</t>
  </si>
  <si>
    <t>Dia 121</t>
  </si>
  <si>
    <t>Dia 122</t>
  </si>
  <si>
    <t>Dia 123</t>
  </si>
  <si>
    <t>Dia 124</t>
  </si>
  <si>
    <t>Dia 125</t>
  </si>
  <si>
    <t>Dia 126</t>
  </si>
  <si>
    <t>Dia 127</t>
  </si>
  <si>
    <t>Dia 128</t>
  </si>
  <si>
    <t>Dia 129</t>
  </si>
  <si>
    <t>Dia 130</t>
  </si>
  <si>
    <t>Dia 131</t>
  </si>
  <si>
    <t>Dia 132</t>
  </si>
  <si>
    <t>Dia 133</t>
  </si>
  <si>
    <t>Dia 134</t>
  </si>
  <si>
    <t>Dia 135</t>
  </si>
  <si>
    <t>Dia 136</t>
  </si>
  <si>
    <t>Dia 137</t>
  </si>
  <si>
    <t>Dia 138</t>
  </si>
  <si>
    <t>Dia 139</t>
  </si>
  <si>
    <t>Dia 140</t>
  </si>
  <si>
    <t>Dia 141</t>
  </si>
  <si>
    <t>Dia 142</t>
  </si>
  <si>
    <t>Dia 143</t>
  </si>
  <si>
    <t>Market    </t>
  </si>
  <si>
    <t>Comisión por volumen</t>
  </si>
  <si>
    <t>Min. commission</t>
  </si>
  <si>
    <t>Austria</t>
  </si>
  <si>
    <t>EUR 0.10% of trade value</t>
  </si>
  <si>
    <t>EUR 8.00</t>
  </si>
  <si>
    <t>Bélgica</t>
  </si>
  <si>
    <t>Dinamarca</t>
  </si>
  <si>
    <t>DKK 0.10% of trade value</t>
  </si>
  <si>
    <t>DKK 60.00</t>
  </si>
  <si>
    <t>Finlandia</t>
  </si>
  <si>
    <t>Francia</t>
  </si>
  <si>
    <t>Alemania</t>
  </si>
  <si>
    <t>Hong Kong</t>
  </si>
  <si>
    <t>HKD 0.15% of trade value</t>
  </si>
  <si>
    <t>HKD 30.00</t>
  </si>
  <si>
    <t>Japón</t>
  </si>
  <si>
    <t>   JPY 0.18% of trade value</t>
  </si>
  <si>
    <t>JPY 1'000.00</t>
  </si>
  <si>
    <t>Mexico</t>
  </si>
  <si>
    <t>MXN 0.18% of trade value</t>
  </si>
  <si>
    <t>MXN 110.00</t>
  </si>
  <si>
    <t>Paises Bajos</t>
  </si>
  <si>
    <t>Noruega</t>
  </si>
  <si>
    <t>NOK 0.10% of trade value</t>
  </si>
  <si>
    <t>NOK 80.00</t>
  </si>
  <si>
    <t>Portugal</t>
  </si>
  <si>
    <t>España</t>
  </si>
  <si>
    <t>Suecia</t>
  </si>
  <si>
    <t>SEK 0.10% of trade value</t>
  </si>
  <si>
    <t>SEK 80.00</t>
  </si>
  <si>
    <t>Suiza</t>
  </si>
  <si>
    <t>CHF 0.10% of trade value</t>
  </si>
  <si>
    <t>CHF 8.00</t>
  </si>
  <si>
    <t>Re</t>
  </si>
  <si>
    <t>GBP 0.10% of trade value</t>
  </si>
  <si>
    <t>GBP 7.00</t>
  </si>
  <si>
    <t>Estados Unidos</t>
  </si>
  <si>
    <t>USD 0.02 per share</t>
  </si>
  <si>
    <t>USD 10.00</t>
  </si>
  <si>
    <t>Spread</t>
  </si>
  <si>
    <t>Rentabilidad Estimada</t>
  </si>
  <si>
    <t>Dukascopy Bank - 01.01.2022 - 31.12.2022</t>
  </si>
  <si>
    <t>Temporalidad</t>
  </si>
  <si>
    <t>Comision</t>
  </si>
  <si>
    <t>% Spread</t>
  </si>
  <si>
    <t>% Volatilidad</t>
  </si>
  <si>
    <t>Nº Muestras</t>
  </si>
  <si>
    <t>% Perdida</t>
  </si>
  <si>
    <t>10 Minutaria</t>
  </si>
  <si>
    <t>30 Minutaria</t>
  </si>
  <si>
    <t>Horaria</t>
  </si>
  <si>
    <t>Diaria</t>
  </si>
  <si>
    <t>*Modelo Ganador - Kernel svr rbf</t>
  </si>
  <si>
    <t>Comisiones (€)</t>
  </si>
  <si>
    <t>Regresion Lineal</t>
  </si>
  <si>
    <t>Regresion Polinomica</t>
  </si>
  <si>
    <t>SVR</t>
  </si>
  <si>
    <t>Arbol de decisión</t>
  </si>
  <si>
    <t>Bosques aleatorios</t>
  </si>
  <si>
    <t>Acierto</t>
  </si>
  <si>
    <t>Modelo</t>
  </si>
  <si>
    <t>Bosques Aleatorios</t>
  </si>
  <si>
    <t>Arbol de decision</t>
  </si>
  <si>
    <t>Regresión Polinomica</t>
  </si>
  <si>
    <t>Arbol de Decision</t>
  </si>
  <si>
    <t>Monto Inicial</t>
  </si>
  <si>
    <t>Real</t>
  </si>
  <si>
    <t>Prediccion</t>
  </si>
  <si>
    <t>Compra</t>
  </si>
  <si>
    <t>Venta</t>
  </si>
  <si>
    <t>Predicción</t>
  </si>
  <si>
    <t>Compra&amp;Compra</t>
  </si>
  <si>
    <t>Exactitud</t>
  </si>
  <si>
    <t>Precisión</t>
  </si>
  <si>
    <t>Sensibilidad</t>
  </si>
  <si>
    <t>F1-Score</t>
  </si>
  <si>
    <t>TP</t>
  </si>
  <si>
    <t>FP</t>
  </si>
  <si>
    <t>FN</t>
  </si>
  <si>
    <t>TN</t>
  </si>
  <si>
    <t>Metricas</t>
  </si>
  <si>
    <t>2017</t>
  </si>
  <si>
    <t>2018</t>
  </si>
  <si>
    <t>2019</t>
  </si>
  <si>
    <t>2020</t>
  </si>
  <si>
    <t>2021</t>
  </si>
  <si>
    <t>2022</t>
  </si>
  <si>
    <t>2023</t>
  </si>
  <si>
    <t>Media</t>
  </si>
  <si>
    <t>Mediana</t>
  </si>
  <si>
    <t>Cuartil 25</t>
  </si>
  <si>
    <t>Cuartil 50</t>
  </si>
  <si>
    <t>Cuartil 75</t>
  </si>
  <si>
    <t>Amplitud</t>
  </si>
  <si>
    <t>Varianza</t>
  </si>
  <si>
    <t>Desviacion Estandar</t>
  </si>
  <si>
    <t>2017/2018</t>
  </si>
  <si>
    <t>2018/2019</t>
  </si>
  <si>
    <t>2019/2020</t>
  </si>
  <si>
    <t>2021/2022</t>
  </si>
  <si>
    <t>2021-22/2023</t>
  </si>
  <si>
    <t>2017/2018 - RL</t>
  </si>
  <si>
    <t>2017/2018 - RP</t>
  </si>
  <si>
    <t>2017/2018 - SVR</t>
  </si>
  <si>
    <t>2017/2018 - AD</t>
  </si>
  <si>
    <t>2017/2018 - RF</t>
  </si>
  <si>
    <t>2019/2020 - RL</t>
  </si>
  <si>
    <t>2019/2020 - RP</t>
  </si>
  <si>
    <t>2019/2020 - SVR</t>
  </si>
  <si>
    <t>2019/2020 - AD</t>
  </si>
  <si>
    <t>2019/2020 - RF</t>
  </si>
  <si>
    <t>2018/2019 - RL</t>
  </si>
  <si>
    <t>2018/2019 - RP</t>
  </si>
  <si>
    <t>2018/2019 - SVR</t>
  </si>
  <si>
    <t>2018/2019 - AD</t>
  </si>
  <si>
    <t>2018/2019 - RF</t>
  </si>
  <si>
    <t>2020/2021 - RL</t>
  </si>
  <si>
    <t>2020/2021 - RP</t>
  </si>
  <si>
    <t>2020/2021 - SVR</t>
  </si>
  <si>
    <t>2020/2021 - AD</t>
  </si>
  <si>
    <t>2020/2021 - RF</t>
  </si>
  <si>
    <t>2021-22/2023 - RL</t>
  </si>
  <si>
    <t>2021-22/2023 - RP</t>
  </si>
  <si>
    <t>2021-22/2023 - SVR</t>
  </si>
  <si>
    <t>2021-22/2023 - AD</t>
  </si>
  <si>
    <t>2021-22/2023 - RF</t>
  </si>
  <si>
    <t>compra</t>
  </si>
  <si>
    <t>venta</t>
  </si>
  <si>
    <t>Medidas</t>
  </si>
  <si>
    <t>Modelo Regresion Lineal</t>
  </si>
  <si>
    <t>Modelo Regresion Polinomica</t>
  </si>
  <si>
    <t>Modelo SVR - kernel : rbf</t>
  </si>
  <si>
    <t>Modelo Arbol de decision</t>
  </si>
  <si>
    <t>Modelo Bosques aleatorios - crit: f_mse</t>
  </si>
  <si>
    <t>Modelo Regresion Lineal sc</t>
  </si>
  <si>
    <t>Modelo Regresion Polinomica sc</t>
  </si>
  <si>
    <t>Modelo SVR - kernel : rbf sc</t>
  </si>
  <si>
    <t>Modelo Arbol de decision sc</t>
  </si>
  <si>
    <t>Modelo Bosques aleatorios - crit: f_mse sc</t>
  </si>
  <si>
    <t>RMS</t>
  </si>
  <si>
    <t>MAE</t>
  </si>
  <si>
    <t>MAPE</t>
  </si>
  <si>
    <t>R2</t>
  </si>
  <si>
    <t>R2_adj</t>
  </si>
  <si>
    <t>2020/2021</t>
  </si>
  <si>
    <t>sc</t>
  </si>
  <si>
    <t>2021/2022 - RL</t>
  </si>
  <si>
    <t>2021/2022 - RP</t>
  </si>
  <si>
    <t>2021/2022 - SVR</t>
  </si>
  <si>
    <t>2021/2022 - AD</t>
  </si>
  <si>
    <t>2021/2022 - RF</t>
  </si>
  <si>
    <t>2022/2023 - RL</t>
  </si>
  <si>
    <t>2022/2023 - RP</t>
  </si>
  <si>
    <t>2022/2023 - SVR</t>
  </si>
  <si>
    <t>2022/2023 - AD</t>
  </si>
  <si>
    <t>2022/2023 - RF</t>
  </si>
  <si>
    <t>X_test</t>
  </si>
  <si>
    <t>y_test</t>
  </si>
  <si>
    <t>Dia 144</t>
  </si>
  <si>
    <t>Dia 145</t>
  </si>
  <si>
    <t>Dia 146</t>
  </si>
  <si>
    <t>Dia 147</t>
  </si>
  <si>
    <t>Dia 148</t>
  </si>
  <si>
    <t>Dia 149</t>
  </si>
  <si>
    <t>Dia 150</t>
  </si>
  <si>
    <t>Dia 151</t>
  </si>
  <si>
    <t>Dia 152</t>
  </si>
  <si>
    <t>Dia 153</t>
  </si>
  <si>
    <t>Dia 154</t>
  </si>
  <si>
    <t>Dia 155</t>
  </si>
  <si>
    <t>Dia 156</t>
  </si>
  <si>
    <t>Dia 157</t>
  </si>
  <si>
    <t>Dia 158</t>
  </si>
  <si>
    <t>Dia 159</t>
  </si>
  <si>
    <t>Dia 160</t>
  </si>
  <si>
    <t>Dia 161</t>
  </si>
  <si>
    <t>Dia 162</t>
  </si>
  <si>
    <t>Dia 163</t>
  </si>
  <si>
    <t>Dia 164</t>
  </si>
  <si>
    <t>Dia 165</t>
  </si>
  <si>
    <t>Dia 166</t>
  </si>
  <si>
    <t>2020-22/2023 - RL</t>
  </si>
  <si>
    <t>2020-22/2023 - RP</t>
  </si>
  <si>
    <t>2020-22/2023 - SVR</t>
  </si>
  <si>
    <t>2020-22/2023 - AD</t>
  </si>
  <si>
    <t>2020-22/2023 - RF</t>
  </si>
  <si>
    <t>Modelo 1</t>
  </si>
  <si>
    <t>Modelo 2</t>
  </si>
  <si>
    <t>Modelo 3</t>
  </si>
  <si>
    <t>Modelo 4</t>
  </si>
  <si>
    <t>Modelo 5</t>
  </si>
  <si>
    <t>Valor Real</t>
  </si>
  <si>
    <t>RL</t>
  </si>
  <si>
    <t>RP</t>
  </si>
  <si>
    <t>AD</t>
  </si>
  <si>
    <t>RF</t>
  </si>
  <si>
    <t>2022/2023</t>
  </si>
  <si>
    <t>2020-22/2023</t>
  </si>
  <si>
    <t>Periodo</t>
  </si>
  <si>
    <t>R2 adj</t>
  </si>
  <si>
    <t>SMA</t>
  </si>
  <si>
    <t>SMA_p</t>
  </si>
  <si>
    <t>EMA</t>
  </si>
  <si>
    <t>SMA, SMA_p, EMA</t>
  </si>
  <si>
    <t>SMA14, SMA_p29, EMA50</t>
  </si>
  <si>
    <t>EMA + Vol</t>
  </si>
  <si>
    <t>SMA + Vol</t>
  </si>
  <si>
    <t>SMA_p + Vol</t>
  </si>
  <si>
    <t>Todas</t>
  </si>
  <si>
    <t>Solo SMA</t>
  </si>
  <si>
    <t>Todas - Open Price</t>
  </si>
  <si>
    <t>SMA - Open Price</t>
  </si>
  <si>
    <t>SMA_p - Open</t>
  </si>
  <si>
    <t>EMA - Open</t>
  </si>
  <si>
    <t>EMA - Open Price - Vol</t>
  </si>
  <si>
    <t>SMA - Open Price - Vol</t>
  </si>
  <si>
    <t>SMA_p - Open Price - Vol</t>
  </si>
  <si>
    <t>SMA + RSI + MACD</t>
  </si>
  <si>
    <t>SMA_p + RSI + MACD</t>
  </si>
  <si>
    <t>EMA + RSI + MACD</t>
  </si>
  <si>
    <t>EMA + Vol + RSI + MACD</t>
  </si>
  <si>
    <t>SMA + Vol + RSI + MACD</t>
  </si>
  <si>
    <t>SMA_p + Vol + RSI + MACD</t>
  </si>
  <si>
    <t>Solo SMA + Vol</t>
  </si>
  <si>
    <t>Solo SMA_p</t>
  </si>
  <si>
    <t>Solo EMA</t>
  </si>
  <si>
    <t>Solo SMA_p + Vol</t>
  </si>
  <si>
    <t>Todas - Open - MACD</t>
  </si>
  <si>
    <t>Todas - MACD - Open</t>
  </si>
  <si>
    <t>Todas - RSI - Open</t>
  </si>
  <si>
    <t>Todas - Open - RSI</t>
  </si>
  <si>
    <t>Ideal - Simple</t>
  </si>
  <si>
    <t>Real - Simple</t>
  </si>
  <si>
    <t>Real - Comp</t>
  </si>
  <si>
    <t>Ideal - Comp</t>
  </si>
  <si>
    <t>F1-score</t>
  </si>
  <si>
    <t>Ensayo</t>
  </si>
  <si>
    <t>Indicador</t>
  </si>
  <si>
    <t>SMA_P - Operan Price + Vol + RSI + MACD</t>
  </si>
  <si>
    <t>EMA - Operan Price + Vol + RSI + MACD</t>
  </si>
  <si>
    <t>Precisión(+)</t>
  </si>
  <si>
    <t>Sensibilidad(+)</t>
  </si>
  <si>
    <t>F1-Score(+)</t>
  </si>
  <si>
    <t>Precisión(-)</t>
  </si>
  <si>
    <t>Sensibilidad(-)</t>
  </si>
  <si>
    <t>F1-Score(-)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</si>
</sst>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0.000%"/>
    <numFmt numFmtId="166" formatCode="0.000"/>
    <numFmt numFmtId="168" formatCode="0.0000"/>
    <numFmt numFmtId="169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4171E"/>
      <name val="Open Sans"/>
      <family val="2"/>
    </font>
    <font>
      <sz val="10"/>
      <color rgb="FF14171E"/>
      <name val="Open Sans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9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C7CED6"/>
      </left>
      <right style="medium">
        <color rgb="FFC7CED6"/>
      </right>
      <top style="medium">
        <color rgb="FFC7CED6"/>
      </top>
      <bottom style="medium">
        <color rgb="FFC7CED6"/>
      </bottom>
      <diagonal/>
    </border>
    <border>
      <left style="medium">
        <color rgb="FFC7CED6"/>
      </left>
      <right style="medium">
        <color rgb="FFC7CED6"/>
      </right>
      <top style="medium">
        <color rgb="FFC7CED6"/>
      </top>
      <bottom/>
      <diagonal/>
    </border>
    <border>
      <left style="medium">
        <color rgb="FFC7CED6"/>
      </left>
      <right style="medium">
        <color rgb="FFC7CED6"/>
      </right>
      <top/>
      <bottom/>
      <diagonal/>
    </border>
    <border>
      <left style="medium">
        <color rgb="FFC7CED6"/>
      </left>
      <right style="medium">
        <color rgb="FFC7CED6"/>
      </right>
      <top/>
      <bottom style="medium">
        <color rgb="FFC7CED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10" fontId="0" fillId="0" borderId="0" xfId="0" applyNumberFormat="1"/>
    <xf numFmtId="0" fontId="1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2" fillId="2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2" fontId="0" fillId="0" borderId="0" xfId="0" applyNumberFormat="1"/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10" fontId="5" fillId="0" borderId="14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1" fontId="5" fillId="0" borderId="14" xfId="0" applyNumberFormat="1" applyFont="1" applyBorder="1" applyAlignment="1">
      <alignment horizontal="right" vertical="center"/>
    </xf>
    <xf numFmtId="164" fontId="5" fillId="0" borderId="14" xfId="0" applyNumberFormat="1" applyFont="1" applyBorder="1" applyAlignment="1">
      <alignment horizontal="right" vertical="center"/>
    </xf>
    <xf numFmtId="10" fontId="1" fillId="0" borderId="0" xfId="0" applyNumberFormat="1" applyFont="1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0" fontId="0" fillId="0" borderId="0" xfId="0" quotePrefix="1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9" fontId="0" fillId="0" borderId="0" xfId="1" quotePrefix="1" applyFont="1" applyAlignment="1">
      <alignment horizontal="center" vertical="center"/>
    </xf>
    <xf numFmtId="10" fontId="0" fillId="0" borderId="0" xfId="1" quotePrefix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6" fillId="0" borderId="0" xfId="1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6" xfId="0" applyBorder="1"/>
    <xf numFmtId="0" fontId="0" fillId="0" borderId="17" xfId="0" applyBorder="1"/>
    <xf numFmtId="0" fontId="0" fillId="0" borderId="18" xfId="0" applyBorder="1" applyAlignment="1">
      <alignment horizontal="center" vertical="top"/>
    </xf>
    <xf numFmtId="0" fontId="0" fillId="0" borderId="2" xfId="0" applyBorder="1"/>
    <xf numFmtId="10" fontId="1" fillId="0" borderId="0" xfId="0" applyNumberFormat="1" applyFont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" fillId="0" borderId="20" xfId="0" applyFont="1" applyBorder="1" applyAlignment="1">
      <alignment horizontal="center" vertical="top"/>
    </xf>
    <xf numFmtId="10" fontId="1" fillId="0" borderId="20" xfId="0" applyNumberFormat="1" applyFont="1" applyBorder="1" applyAlignment="1">
      <alignment horizontal="center" vertical="top"/>
    </xf>
    <xf numFmtId="0" fontId="0" fillId="0" borderId="20" xfId="0" applyBorder="1"/>
    <xf numFmtId="0" fontId="0" fillId="0" borderId="21" xfId="0" applyBorder="1"/>
    <xf numFmtId="0" fontId="0" fillId="0" borderId="15" xfId="0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165" fontId="0" fillId="0" borderId="0" xfId="0" applyNumberFormat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0" xfId="1" applyNumberFormat="1" applyFont="1" applyBorder="1"/>
    <xf numFmtId="0" fontId="1" fillId="0" borderId="16" xfId="0" applyFont="1" applyBorder="1" applyAlignment="1">
      <alignment horizontal="center" vertical="top"/>
    </xf>
    <xf numFmtId="0" fontId="1" fillId="0" borderId="17" xfId="0" applyFont="1" applyBorder="1" applyAlignment="1">
      <alignment horizontal="center" vertical="top"/>
    </xf>
    <xf numFmtId="10" fontId="0" fillId="0" borderId="2" xfId="0" applyNumberFormat="1" applyBorder="1"/>
    <xf numFmtId="2" fontId="1" fillId="0" borderId="0" xfId="0" applyNumberFormat="1" applyFont="1"/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1" fontId="0" fillId="0" borderId="0" xfId="0" applyNumberFormat="1" applyAlignment="1">
      <alignment horizontal="center" vertical="center"/>
    </xf>
    <xf numFmtId="10" fontId="0" fillId="0" borderId="0" xfId="1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2" xfId="0" applyNumberFormat="1" applyBorder="1" applyAlignment="1">
      <alignment horizontal="center"/>
    </xf>
    <xf numFmtId="0" fontId="1" fillId="0" borderId="18" xfId="0" applyFont="1" applyBorder="1" applyAlignment="1">
      <alignment horizontal="center" vertical="top"/>
    </xf>
    <xf numFmtId="0" fontId="1" fillId="0" borderId="18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0" fontId="1" fillId="0" borderId="2" xfId="0" applyNumberFormat="1" applyFont="1" applyBorder="1" applyAlignment="1">
      <alignment horizontal="center" vertical="center"/>
    </xf>
    <xf numFmtId="10" fontId="1" fillId="0" borderId="0" xfId="1" applyNumberFormat="1" applyFont="1" applyBorder="1"/>
    <xf numFmtId="10" fontId="1" fillId="0" borderId="2" xfId="0" applyNumberFormat="1" applyFont="1" applyBorder="1"/>
    <xf numFmtId="0" fontId="1" fillId="5" borderId="18" xfId="0" applyFont="1" applyFill="1" applyBorder="1" applyAlignment="1">
      <alignment horizontal="center" vertical="top"/>
    </xf>
    <xf numFmtId="166" fontId="1" fillId="0" borderId="0" xfId="0" applyNumberFormat="1" applyFont="1"/>
    <xf numFmtId="10" fontId="1" fillId="0" borderId="0" xfId="1" applyNumberFormat="1" applyFont="1"/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10" fontId="0" fillId="0" borderId="1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66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0" fontId="0" fillId="5" borderId="0" xfId="0" applyNumberFormat="1" applyFill="1" applyAlignment="1">
      <alignment horizontal="center" vertical="center"/>
    </xf>
    <xf numFmtId="168" fontId="0" fillId="0" borderId="0" xfId="0" applyNumberFormat="1" applyFont="1"/>
    <xf numFmtId="0" fontId="0" fillId="6" borderId="0" xfId="0" applyFill="1"/>
    <xf numFmtId="10" fontId="0" fillId="6" borderId="0" xfId="0" applyNumberFormat="1" applyFill="1" applyAlignment="1">
      <alignment horizontal="center" vertical="center"/>
    </xf>
    <xf numFmtId="0" fontId="1" fillId="0" borderId="18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10" fontId="0" fillId="0" borderId="0" xfId="1" applyNumberFormat="1" applyFont="1"/>
    <xf numFmtId="10" fontId="0" fillId="5" borderId="0" xfId="0" applyNumberFormat="1" applyFill="1"/>
    <xf numFmtId="168" fontId="0" fillId="5" borderId="0" xfId="0" applyNumberFormat="1" applyFont="1" applyFill="1"/>
    <xf numFmtId="9" fontId="6" fillId="0" borderId="16" xfId="1" applyFont="1" applyBorder="1" applyAlignment="1">
      <alignment horizontal="center" vertical="top"/>
    </xf>
    <xf numFmtId="9" fontId="6" fillId="0" borderId="17" xfId="1" applyFont="1" applyBorder="1" applyAlignment="1">
      <alignment horizontal="center" vertical="top"/>
    </xf>
    <xf numFmtId="0" fontId="0" fillId="0" borderId="0" xfId="0" applyFont="1"/>
    <xf numFmtId="0" fontId="0" fillId="0" borderId="16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top"/>
    </xf>
    <xf numFmtId="10" fontId="0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0" fillId="0" borderId="0" xfId="1" applyNumberFormat="1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Operativa ideal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'Flujo de caja'!$J$1:$K$1</c:f>
              <c:strCache>
                <c:ptCount val="1"/>
                <c:pt idx="0">
                  <c:v>Rentabilidad simple</c:v>
                </c:pt>
              </c:strCache>
            </c:strRef>
          </c:tx>
          <c:spPr>
            <a:ln w="12700" cap="sq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caja'!$J$3:$J$4704</c:f>
              <c:numCache>
                <c:formatCode>0</c:formatCode>
                <c:ptCount val="4702"/>
                <c:pt idx="0" formatCode="General">
                  <c:v>100000</c:v>
                </c:pt>
                <c:pt idx="1">
                  <c:v>101401.05998518885</c:v>
                </c:pt>
                <c:pt idx="2">
                  <c:v>102927.79999980686</c:v>
                </c:pt>
                <c:pt idx="3">
                  <c:v>105035.12716926927</c:v>
                </c:pt>
                <c:pt idx="4">
                  <c:v>104289.87985744131</c:v>
                </c:pt>
                <c:pt idx="5">
                  <c:v>104184.71723073351</c:v>
                </c:pt>
                <c:pt idx="6">
                  <c:v>103724.46104780213</c:v>
                </c:pt>
                <c:pt idx="7">
                  <c:v>101969.75638458969</c:v>
                </c:pt>
                <c:pt idx="8">
                  <c:v>100709.40542101045</c:v>
                </c:pt>
                <c:pt idx="9">
                  <c:v>101601.89317753293</c:v>
                </c:pt>
                <c:pt idx="10">
                  <c:v>102614.77933538676</c:v>
                </c:pt>
                <c:pt idx="11">
                  <c:v>105061.8280654273</c:v>
                </c:pt>
                <c:pt idx="12">
                  <c:v>103985.05463425969</c:v>
                </c:pt>
                <c:pt idx="13">
                  <c:v>106183.87288572815</c:v>
                </c:pt>
                <c:pt idx="14">
                  <c:v>106848.17815478412</c:v>
                </c:pt>
                <c:pt idx="15">
                  <c:v>106467.6848524528</c:v>
                </c:pt>
                <c:pt idx="16">
                  <c:v>109301.06441917502</c:v>
                </c:pt>
                <c:pt idx="17">
                  <c:v>110983.90047500498</c:v>
                </c:pt>
                <c:pt idx="18">
                  <c:v>110768.85945070397</c:v>
                </c:pt>
                <c:pt idx="19">
                  <c:v>110169.29046366015</c:v>
                </c:pt>
                <c:pt idx="20">
                  <c:v>111910.14981171828</c:v>
                </c:pt>
                <c:pt idx="21">
                  <c:v>113860.78117833451</c:v>
                </c:pt>
                <c:pt idx="22">
                  <c:v>111748.09650581595</c:v>
                </c:pt>
                <c:pt idx="23">
                  <c:v>112208.23411271939</c:v>
                </c:pt>
                <c:pt idx="24">
                  <c:v>112250.91296857156</c:v>
                </c:pt>
                <c:pt idx="25">
                  <c:v>109511.49773515633</c:v>
                </c:pt>
                <c:pt idx="26">
                  <c:v>111754.54079297578</c:v>
                </c:pt>
                <c:pt idx="27">
                  <c:v>115492.88138009422</c:v>
                </c:pt>
                <c:pt idx="28">
                  <c:v>115024.85533862641</c:v>
                </c:pt>
                <c:pt idx="29">
                  <c:v>113587.15991967793</c:v>
                </c:pt>
                <c:pt idx="30">
                  <c:v>113676.59377667397</c:v>
                </c:pt>
                <c:pt idx="31">
                  <c:v>113441.76508192772</c:v>
                </c:pt>
                <c:pt idx="32">
                  <c:v>114130.7355409491</c:v>
                </c:pt>
                <c:pt idx="33">
                  <c:v>113571.68509195693</c:v>
                </c:pt>
                <c:pt idx="34">
                  <c:v>114231.84084270855</c:v>
                </c:pt>
                <c:pt idx="35">
                  <c:v>115150.98305871942</c:v>
                </c:pt>
                <c:pt idx="36">
                  <c:v>115444.37839754492</c:v>
                </c:pt>
                <c:pt idx="37">
                  <c:v>115238.18220527649</c:v>
                </c:pt>
                <c:pt idx="38">
                  <c:v>114207.31229252892</c:v>
                </c:pt>
                <c:pt idx="39">
                  <c:v>114418.28868630089</c:v>
                </c:pt>
                <c:pt idx="40">
                  <c:v>112571.13776771801</c:v>
                </c:pt>
                <c:pt idx="41">
                  <c:v>114417.29015948983</c:v>
                </c:pt>
                <c:pt idx="42">
                  <c:v>115650.06684273959</c:v>
                </c:pt>
                <c:pt idx="43">
                  <c:v>115827.35272972628</c:v>
                </c:pt>
                <c:pt idx="44">
                  <c:v>115058.23232845376</c:v>
                </c:pt>
                <c:pt idx="45">
                  <c:v>114926.29270076279</c:v>
                </c:pt>
                <c:pt idx="46">
                  <c:v>116336.69562343696</c:v>
                </c:pt>
                <c:pt idx="47">
                  <c:v>115374.74883780802</c:v>
                </c:pt>
                <c:pt idx="48">
                  <c:v>117991.3419317809</c:v>
                </c:pt>
                <c:pt idx="49">
                  <c:v>119372.77139276553</c:v>
                </c:pt>
                <c:pt idx="50">
                  <c:v>121432.2984582926</c:v>
                </c:pt>
                <c:pt idx="51">
                  <c:v>117265.6070853588</c:v>
                </c:pt>
                <c:pt idx="52">
                  <c:v>116840.86618353827</c:v>
                </c:pt>
                <c:pt idx="53">
                  <c:v>118667.70943575267</c:v>
                </c:pt>
                <c:pt idx="54">
                  <c:v>119098.46217910583</c:v>
                </c:pt>
                <c:pt idx="55">
                  <c:v>118600.78774434864</c:v>
                </c:pt>
                <c:pt idx="56">
                  <c:v>118652.38210010178</c:v>
                </c:pt>
                <c:pt idx="57">
                  <c:v>119767.50682973408</c:v>
                </c:pt>
                <c:pt idx="58">
                  <c:v>121262.07711772951</c:v>
                </c:pt>
                <c:pt idx="59">
                  <c:v>121080.22505101454</c:v>
                </c:pt>
                <c:pt idx="60">
                  <c:v>120605.04414775176</c:v>
                </c:pt>
                <c:pt idx="61">
                  <c:v>120584.96286353863</c:v>
                </c:pt>
                <c:pt idx="62">
                  <c:v>118967.90756944173</c:v>
                </c:pt>
                <c:pt idx="63">
                  <c:v>118687.80582007897</c:v>
                </c:pt>
                <c:pt idx="64">
                  <c:v>118815.96852284762</c:v>
                </c:pt>
                <c:pt idx="65">
                  <c:v>118280.03515803309</c:v>
                </c:pt>
                <c:pt idx="66">
                  <c:v>121427.18034072797</c:v>
                </c:pt>
                <c:pt idx="67">
                  <c:v>121499.00673598227</c:v>
                </c:pt>
                <c:pt idx="68">
                  <c:v>120511.27637058958</c:v>
                </c:pt>
                <c:pt idx="69">
                  <c:v>120108.39522420013</c:v>
                </c:pt>
                <c:pt idx="70">
                  <c:v>122321.20750703695</c:v>
                </c:pt>
                <c:pt idx="71">
                  <c:v>122592.23512268295</c:v>
                </c:pt>
                <c:pt idx="72">
                  <c:v>123015.55286954065</c:v>
                </c:pt>
                <c:pt idx="73">
                  <c:v>124078.40184100943</c:v>
                </c:pt>
                <c:pt idx="74">
                  <c:v>124968.02344088348</c:v>
                </c:pt>
                <c:pt idx="75">
                  <c:v>125289.85205839339</c:v>
                </c:pt>
                <c:pt idx="76">
                  <c:v>125606.82906383483</c:v>
                </c:pt>
                <c:pt idx="77">
                  <c:v>125661.1170275202</c:v>
                </c:pt>
                <c:pt idx="78">
                  <c:v>126877.99176790549</c:v>
                </c:pt>
                <c:pt idx="79">
                  <c:v>127261.49704561768</c:v>
                </c:pt>
                <c:pt idx="80">
                  <c:v>124367.66646501177</c:v>
                </c:pt>
                <c:pt idx="81">
                  <c:v>123216.28911583625</c:v>
                </c:pt>
                <c:pt idx="82">
                  <c:v>123588.53353999172</c:v>
                </c:pt>
                <c:pt idx="83">
                  <c:v>124373.32335552823</c:v>
                </c:pt>
                <c:pt idx="84">
                  <c:v>125204.72967680552</c:v>
                </c:pt>
                <c:pt idx="85">
                  <c:v>125463.1201913878</c:v>
                </c:pt>
                <c:pt idx="86">
                  <c:v>123749.71927138847</c:v>
                </c:pt>
                <c:pt idx="87">
                  <c:v>124209.78064957551</c:v>
                </c:pt>
                <c:pt idx="88">
                  <c:v>124483.14201649718</c:v>
                </c:pt>
                <c:pt idx="89">
                  <c:v>123407.37231638878</c:v>
                </c:pt>
                <c:pt idx="90">
                  <c:v>123441.67734484412</c:v>
                </c:pt>
                <c:pt idx="91">
                  <c:v>123853.03558001501</c:v>
                </c:pt>
                <c:pt idx="92">
                  <c:v>123704.66840212075</c:v>
                </c:pt>
                <c:pt idx="93">
                  <c:v>123129.28601265029</c:v>
                </c:pt>
                <c:pt idx="94">
                  <c:v>122503.37187155975</c:v>
                </c:pt>
                <c:pt idx="95">
                  <c:v>121241.76934128223</c:v>
                </c:pt>
                <c:pt idx="96">
                  <c:v>120801.94697182332</c:v>
                </c:pt>
                <c:pt idx="97">
                  <c:v>119861.14728604168</c:v>
                </c:pt>
                <c:pt idx="98">
                  <c:v>118388.09732197582</c:v>
                </c:pt>
                <c:pt idx="99">
                  <c:v>118572.90060379225</c:v>
                </c:pt>
                <c:pt idx="100">
                  <c:v>119336.59504437278</c:v>
                </c:pt>
                <c:pt idx="101">
                  <c:v>122068.62964794427</c:v>
                </c:pt>
                <c:pt idx="102">
                  <c:v>123344.06962887167</c:v>
                </c:pt>
                <c:pt idx="103">
                  <c:v>122284.6618547223</c:v>
                </c:pt>
                <c:pt idx="104">
                  <c:v>124274.73715980601</c:v>
                </c:pt>
                <c:pt idx="105">
                  <c:v>124626.29142876463</c:v>
                </c:pt>
                <c:pt idx="106">
                  <c:v>124851.49323064707</c:v>
                </c:pt>
                <c:pt idx="107">
                  <c:v>124335.58581909811</c:v>
                </c:pt>
                <c:pt idx="108">
                  <c:v>121867.31896546199</c:v>
                </c:pt>
                <c:pt idx="109">
                  <c:v>122242.50945267591</c:v>
                </c:pt>
                <c:pt idx="110">
                  <c:v>122886.24001464665</c:v>
                </c:pt>
                <c:pt idx="111">
                  <c:v>123938.3041378997</c:v>
                </c:pt>
                <c:pt idx="112">
                  <c:v>123911.37049753964</c:v>
                </c:pt>
                <c:pt idx="113">
                  <c:v>124796.73206729317</c:v>
                </c:pt>
                <c:pt idx="114">
                  <c:v>127975.37937019773</c:v>
                </c:pt>
                <c:pt idx="115">
                  <c:v>130493.74792231442</c:v>
                </c:pt>
                <c:pt idx="116">
                  <c:v>130835.51762803641</c:v>
                </c:pt>
                <c:pt idx="117">
                  <c:v>130048.59301329256</c:v>
                </c:pt>
                <c:pt idx="118">
                  <c:v>131748.16795227223</c:v>
                </c:pt>
                <c:pt idx="119">
                  <c:v>131574.74639375688</c:v>
                </c:pt>
                <c:pt idx="120">
                  <c:v>133071.07552815767</c:v>
                </c:pt>
                <c:pt idx="121">
                  <c:v>132318.3799571463</c:v>
                </c:pt>
                <c:pt idx="122">
                  <c:v>132736.91954097792</c:v>
                </c:pt>
                <c:pt idx="123">
                  <c:v>132808.58016405508</c:v>
                </c:pt>
                <c:pt idx="124">
                  <c:v>133532.35590234242</c:v>
                </c:pt>
                <c:pt idx="125">
                  <c:v>133754.91216404669</c:v>
                </c:pt>
                <c:pt idx="126">
                  <c:v>132835.86090188759</c:v>
                </c:pt>
                <c:pt idx="127">
                  <c:v>131696.32605124748</c:v>
                </c:pt>
                <c:pt idx="128">
                  <c:v>132537.23542018238</c:v>
                </c:pt>
                <c:pt idx="129">
                  <c:v>133373.84392096673</c:v>
                </c:pt>
                <c:pt idx="130">
                  <c:v>132960.09364535773</c:v>
                </c:pt>
                <c:pt idx="131">
                  <c:v>132716.44047045984</c:v>
                </c:pt>
                <c:pt idx="132">
                  <c:v>131791.61785917776</c:v>
                </c:pt>
                <c:pt idx="133">
                  <c:v>132438.62037625792</c:v>
                </c:pt>
                <c:pt idx="134">
                  <c:v>132448.52851399349</c:v>
                </c:pt>
                <c:pt idx="135">
                  <c:v>128449.75655880736</c:v>
                </c:pt>
                <c:pt idx="136">
                  <c:v>130257.81551572346</c:v>
                </c:pt>
                <c:pt idx="137">
                  <c:v>132166.16465115588</c:v>
                </c:pt>
                <c:pt idx="138">
                  <c:v>133745.19350240371</c:v>
                </c:pt>
                <c:pt idx="139">
                  <c:v>133937.24479335119</c:v>
                </c:pt>
                <c:pt idx="140">
                  <c:v>132890.19308634318</c:v>
                </c:pt>
                <c:pt idx="141">
                  <c:v>133922.35163614259</c:v>
                </c:pt>
                <c:pt idx="142">
                  <c:v>136761.86814807114</c:v>
                </c:pt>
                <c:pt idx="143">
                  <c:v>135354.76224844129</c:v>
                </c:pt>
                <c:pt idx="144">
                  <c:v>135661.80933903207</c:v>
                </c:pt>
                <c:pt idx="145">
                  <c:v>135272.35316046386</c:v>
                </c:pt>
                <c:pt idx="146">
                  <c:v>137003.42264324322</c:v>
                </c:pt>
                <c:pt idx="147">
                  <c:v>137198.31823887565</c:v>
                </c:pt>
                <c:pt idx="148">
                  <c:v>138440.9626538654</c:v>
                </c:pt>
                <c:pt idx="149">
                  <c:v>138064.04051711067</c:v>
                </c:pt>
                <c:pt idx="150">
                  <c:v>138363.73405933459</c:v>
                </c:pt>
                <c:pt idx="151">
                  <c:v>139657.76774689773</c:v>
                </c:pt>
                <c:pt idx="152">
                  <c:v>138694.97667694773</c:v>
                </c:pt>
                <c:pt idx="153">
                  <c:v>138968.48948144494</c:v>
                </c:pt>
                <c:pt idx="154">
                  <c:v>139771.42510883673</c:v>
                </c:pt>
                <c:pt idx="155">
                  <c:v>139440.31751370407</c:v>
                </c:pt>
                <c:pt idx="156">
                  <c:v>139275.38949874614</c:v>
                </c:pt>
                <c:pt idx="157">
                  <c:v>138044.17438464213</c:v>
                </c:pt>
                <c:pt idx="158">
                  <c:v>138731.4704029604</c:v>
                </c:pt>
                <c:pt idx="159">
                  <c:v>139993.3042317871</c:v>
                </c:pt>
                <c:pt idx="160">
                  <c:v>139051.7341331605</c:v>
                </c:pt>
                <c:pt idx="161">
                  <c:v>140032.34768635887</c:v>
                </c:pt>
                <c:pt idx="162">
                  <c:v>143880.30306161242</c:v>
                </c:pt>
                <c:pt idx="163">
                  <c:v>144337.79887770722</c:v>
                </c:pt>
                <c:pt idx="164">
                  <c:v>143815.68570146072</c:v>
                </c:pt>
                <c:pt idx="165">
                  <c:v>145770.59178601412</c:v>
                </c:pt>
                <c:pt idx="166">
                  <c:v>145822.41108548766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1-421C-84F4-83339C9FA8BF}"/>
            </c:ext>
          </c:extLst>
        </c:ser>
        <c:ser>
          <c:idx val="1"/>
          <c:order val="1"/>
          <c:tx>
            <c:strRef>
              <c:f>'Flujo de caja'!$L$1:$M$1</c:f>
              <c:strCache>
                <c:ptCount val="1"/>
                <c:pt idx="0">
                  <c:v>Rentabilidad compuesta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caja'!$L$3:$L$4704</c:f>
              <c:numCache>
                <c:formatCode>0</c:formatCode>
                <c:ptCount val="4702"/>
                <c:pt idx="0" formatCode="General">
                  <c:v>100000</c:v>
                </c:pt>
                <c:pt idx="1">
                  <c:v>101401.05998518885</c:v>
                </c:pt>
                <c:pt idx="2">
                  <c:v>102949.27460682864</c:v>
                </c:pt>
                <c:pt idx="3">
                  <c:v>105118.92959785921</c:v>
                </c:pt>
                <c:pt idx="4">
                  <c:v>104335.84073658471</c:v>
                </c:pt>
                <c:pt idx="5">
                  <c:v>104226.37857631265</c:v>
                </c:pt>
                <c:pt idx="6">
                  <c:v>103746.92380738429</c:v>
                </c:pt>
                <c:pt idx="7">
                  <c:v>101926.6965128251</c:v>
                </c:pt>
                <c:pt idx="8">
                  <c:v>100642.17801297198</c:v>
                </c:pt>
                <c:pt idx="9">
                  <c:v>101540.43566031608</c:v>
                </c:pt>
                <c:pt idx="10">
                  <c:v>102569.01710388353</c:v>
                </c:pt>
                <c:pt idx="11">
                  <c:v>105079.08507536541</c:v>
                </c:pt>
                <c:pt idx="12">
                  <c:v>103947.92615066438</c:v>
                </c:pt>
                <c:pt idx="13">
                  <c:v>106233.7889984572</c:v>
                </c:pt>
                <c:pt idx="14">
                  <c:v>106939.87968363166</c:v>
                </c:pt>
                <c:pt idx="15">
                  <c:v>106533.39699669529</c:v>
                </c:pt>
                <c:pt idx="16">
                  <c:v>109552.28450275451</c:v>
                </c:pt>
                <c:pt idx="17">
                  <c:v>111396.44298342244</c:v>
                </c:pt>
                <c:pt idx="18">
                  <c:v>111157.578717975</c:v>
                </c:pt>
                <c:pt idx="19">
                  <c:v>110491.78180395628</c:v>
                </c:pt>
                <c:pt idx="20">
                  <c:v>112415.91782323469</c:v>
                </c:pt>
                <c:pt idx="21">
                  <c:v>114609.48293243363</c:v>
                </c:pt>
                <c:pt idx="22">
                  <c:v>112189.02252224328</c:v>
                </c:pt>
                <c:pt idx="23">
                  <c:v>112705.97774703684</c:v>
                </c:pt>
                <c:pt idx="24">
                  <c:v>112754.84172748111</c:v>
                </c:pt>
                <c:pt idx="25">
                  <c:v>109666.78370728889</c:v>
                </c:pt>
                <c:pt idx="26">
                  <c:v>112127.23689299154</c:v>
                </c:pt>
                <c:pt idx="27">
                  <c:v>116319.66253319026</c:v>
                </c:pt>
                <c:pt idx="28">
                  <c:v>115776.23540093945</c:v>
                </c:pt>
                <c:pt idx="29">
                  <c:v>114112.67234247319</c:v>
                </c:pt>
                <c:pt idx="30">
                  <c:v>114215.57446701085</c:v>
                </c:pt>
                <c:pt idx="31">
                  <c:v>113948.21645876106</c:v>
                </c:pt>
                <c:pt idx="32">
                  <c:v>114734.12290173119</c:v>
                </c:pt>
                <c:pt idx="33">
                  <c:v>114093.58531987593</c:v>
                </c:pt>
                <c:pt idx="34">
                  <c:v>114847.62629972301</c:v>
                </c:pt>
                <c:pt idx="35">
                  <c:v>115904.13017470815</c:v>
                </c:pt>
                <c:pt idx="36">
                  <c:v>116245.14173795747</c:v>
                </c:pt>
                <c:pt idx="37">
                  <c:v>116006.42339050105</c:v>
                </c:pt>
                <c:pt idx="38">
                  <c:v>114811.50846031726</c:v>
                </c:pt>
                <c:pt idx="39">
                  <c:v>115054.62233100965</c:v>
                </c:pt>
                <c:pt idx="40">
                  <c:v>112930.29309509021</c:v>
                </c:pt>
                <c:pt idx="41">
                  <c:v>115015.93421968585</c:v>
                </c:pt>
                <c:pt idx="42">
                  <c:v>116434.7247948212</c:v>
                </c:pt>
                <c:pt idx="43">
                  <c:v>116642.13321292191</c:v>
                </c:pt>
                <c:pt idx="44">
                  <c:v>115746.01329789463</c:v>
                </c:pt>
                <c:pt idx="45">
                  <c:v>115594.24319968012</c:v>
                </c:pt>
                <c:pt idx="46">
                  <c:v>117225.52343880347</c:v>
                </c:pt>
                <c:pt idx="47">
                  <c:v>116098.90981555353</c:v>
                </c:pt>
                <c:pt idx="48">
                  <c:v>119137.71180655406</c:v>
                </c:pt>
                <c:pt idx="49">
                  <c:v>120784.66351930115</c:v>
                </c:pt>
                <c:pt idx="50">
                  <c:v>123273.50343529812</c:v>
                </c:pt>
                <c:pt idx="51">
                  <c:v>118138.47341275241</c:v>
                </c:pt>
                <c:pt idx="52">
                  <c:v>117637.77930378684</c:v>
                </c:pt>
                <c:pt idx="53">
                  <c:v>119787.89540381117</c:v>
                </c:pt>
                <c:pt idx="54">
                  <c:v>120305.07232319233</c:v>
                </c:pt>
                <c:pt idx="55">
                  <c:v>119707.56303886305</c:v>
                </c:pt>
                <c:pt idx="56">
                  <c:v>119770.50783858307</c:v>
                </c:pt>
                <c:pt idx="57">
                  <c:v>121107.28462076762</c:v>
                </c:pt>
                <c:pt idx="58">
                  <c:v>122918.58455038491</c:v>
                </c:pt>
                <c:pt idx="59">
                  <c:v>122696.42967907626</c:v>
                </c:pt>
                <c:pt idx="60">
                  <c:v>122114.7614620368</c:v>
                </c:pt>
                <c:pt idx="61">
                  <c:v>122091.56613540914</c:v>
                </c:pt>
                <c:pt idx="62">
                  <c:v>120118.6034955388</c:v>
                </c:pt>
                <c:pt idx="63">
                  <c:v>119783.35630204741</c:v>
                </c:pt>
                <c:pt idx="64">
                  <c:v>119938.06089032923</c:v>
                </c:pt>
                <c:pt idx="65">
                  <c:v>119296.46908855982</c:v>
                </c:pt>
                <c:pt idx="66">
                  <c:v>123052.05995675082</c:v>
                </c:pt>
                <c:pt idx="67">
                  <c:v>123141.82693930133</c:v>
                </c:pt>
                <c:pt idx="68">
                  <c:v>121926.90623173889</c:v>
                </c:pt>
                <c:pt idx="69">
                  <c:v>121437.00132852916</c:v>
                </c:pt>
                <c:pt idx="70">
                  <c:v>124125.46042991529</c:v>
                </c:pt>
                <c:pt idx="71">
                  <c:v>124463.3222333539</c:v>
                </c:pt>
                <c:pt idx="72">
                  <c:v>124991.66536403038</c:v>
                </c:pt>
                <c:pt idx="73">
                  <c:v>126321.63749369551</c:v>
                </c:pt>
                <c:pt idx="74">
                  <c:v>127447.00136440365</c:v>
                </c:pt>
                <c:pt idx="75">
                  <c:v>127858.80910703441</c:v>
                </c:pt>
                <c:pt idx="76">
                  <c:v>128265.7636598814</c:v>
                </c:pt>
                <c:pt idx="77">
                  <c:v>128337.09247689744</c:v>
                </c:pt>
                <c:pt idx="78">
                  <c:v>129900.49436334232</c:v>
                </c:pt>
                <c:pt idx="79">
                  <c:v>130400.46364466178</c:v>
                </c:pt>
                <c:pt idx="80">
                  <c:v>126628.71917827935</c:v>
                </c:pt>
                <c:pt idx="81">
                  <c:v>125172.34251126024</c:v>
                </c:pt>
                <c:pt idx="82">
                  <c:v>125639.79991739389</c:v>
                </c:pt>
                <c:pt idx="83">
                  <c:v>126627.34665940108</c:v>
                </c:pt>
                <c:pt idx="84">
                  <c:v>127681.73206479261</c:v>
                </c:pt>
                <c:pt idx="85">
                  <c:v>128013.31045322628</c:v>
                </c:pt>
                <c:pt idx="86">
                  <c:v>125821.61001282629</c:v>
                </c:pt>
                <c:pt idx="87">
                  <c:v>126402.01594250918</c:v>
                </c:pt>
                <c:pt idx="88">
                  <c:v>126749.13434206272</c:v>
                </c:pt>
                <c:pt idx="89">
                  <c:v>125387.21050772165</c:v>
                </c:pt>
                <c:pt idx="90">
                  <c:v>125431.74785859617</c:v>
                </c:pt>
                <c:pt idx="91">
                  <c:v>125949.24758780281</c:v>
                </c:pt>
                <c:pt idx="92">
                  <c:v>125763.93719843299</c:v>
                </c:pt>
                <c:pt idx="93">
                  <c:v>125041.85948772043</c:v>
                </c:pt>
                <c:pt idx="94">
                  <c:v>124260.70731847349</c:v>
                </c:pt>
                <c:pt idx="95">
                  <c:v>122694.486733242</c:v>
                </c:pt>
                <c:pt idx="96">
                  <c:v>122156.2106037004</c:v>
                </c:pt>
                <c:pt idx="97">
                  <c:v>121008.29473081426</c:v>
                </c:pt>
                <c:pt idx="98">
                  <c:v>119227.04258644913</c:v>
                </c:pt>
                <c:pt idx="99">
                  <c:v>119448.53169651676</c:v>
                </c:pt>
                <c:pt idx="100">
                  <c:v>120361.92040433991</c:v>
                </c:pt>
                <c:pt idx="101">
                  <c:v>123651.4714345339</c:v>
                </c:pt>
                <c:pt idx="102">
                  <c:v>125229.99082650105</c:v>
                </c:pt>
                <c:pt idx="103">
                  <c:v>123904.80836756814</c:v>
                </c:pt>
                <c:pt idx="104">
                  <c:v>126372.04164920446</c:v>
                </c:pt>
                <c:pt idx="105">
                  <c:v>126817.89027889135</c:v>
                </c:pt>
                <c:pt idx="106">
                  <c:v>127105.09552632544</c:v>
                </c:pt>
                <c:pt idx="107">
                  <c:v>126450.97722378031</c:v>
                </c:pt>
                <c:pt idx="108">
                  <c:v>123331.41672550022</c:v>
                </c:pt>
                <c:pt idx="109">
                  <c:v>123795.54435380398</c:v>
                </c:pt>
                <c:pt idx="110">
                  <c:v>124593.88183982871</c:v>
                </c:pt>
                <c:pt idx="111">
                  <c:v>125906.16500334423</c:v>
                </c:pt>
                <c:pt idx="112">
                  <c:v>125873.80825957129</c:v>
                </c:pt>
                <c:pt idx="113">
                  <c:v>126989.79901278236</c:v>
                </c:pt>
                <c:pt idx="114">
                  <c:v>131027.97622200687</c:v>
                </c:pt>
                <c:pt idx="115">
                  <c:v>134329.60524823013</c:v>
                </c:pt>
                <c:pt idx="116">
                  <c:v>134790.76292109941</c:v>
                </c:pt>
                <c:pt idx="117">
                  <c:v>133732.1486750475</c:v>
                </c:pt>
                <c:pt idx="118">
                  <c:v>136007.05068820814</c:v>
                </c:pt>
                <c:pt idx="119">
                  <c:v>135773.3455642552</c:v>
                </c:pt>
                <c:pt idx="120">
                  <c:v>137807.10809141767</c:v>
                </c:pt>
                <c:pt idx="121">
                  <c:v>136772.10851876021</c:v>
                </c:pt>
                <c:pt idx="122">
                  <c:v>137346.76025906348</c:v>
                </c:pt>
                <c:pt idx="123">
                  <c:v>137447.42460885693</c:v>
                </c:pt>
                <c:pt idx="124">
                  <c:v>138444.48256655314</c:v>
                </c:pt>
                <c:pt idx="125">
                  <c:v>138754.9061004431</c:v>
                </c:pt>
                <c:pt idx="126">
                  <c:v>137482.00267898533</c:v>
                </c:pt>
                <c:pt idx="127">
                  <c:v>135917.59626526106</c:v>
                </c:pt>
                <c:pt idx="128">
                  <c:v>137062.69512206267</c:v>
                </c:pt>
                <c:pt idx="129">
                  <c:v>138211.59704256529</c:v>
                </c:pt>
                <c:pt idx="130">
                  <c:v>137642.03887470064</c:v>
                </c:pt>
                <c:pt idx="131">
                  <c:v>137308.92819932074</c:v>
                </c:pt>
                <c:pt idx="132">
                  <c:v>136041.3027197163</c:v>
                </c:pt>
                <c:pt idx="133">
                  <c:v>136923.65585074472</c:v>
                </c:pt>
                <c:pt idx="134">
                  <c:v>136939.43785451</c:v>
                </c:pt>
                <c:pt idx="135">
                  <c:v>131465.75838426559</c:v>
                </c:pt>
                <c:pt idx="136">
                  <c:v>133844.62474951302</c:v>
                </c:pt>
                <c:pt idx="137">
                  <c:v>136400.8781662281</c:v>
                </c:pt>
                <c:pt idx="138">
                  <c:v>138556.8714385182</c:v>
                </c:pt>
                <c:pt idx="139">
                  <c:v>138825.28511109861</c:v>
                </c:pt>
                <c:pt idx="140">
                  <c:v>137374.04211069076</c:v>
                </c:pt>
                <c:pt idx="141">
                  <c:v>138794.20247406792</c:v>
                </c:pt>
                <c:pt idx="142">
                  <c:v>142737.61442306705</c:v>
                </c:pt>
                <c:pt idx="143">
                  <c:v>140731.70928639453</c:v>
                </c:pt>
                <c:pt idx="144">
                  <c:v>141166.26580785427</c:v>
                </c:pt>
                <c:pt idx="145">
                  <c:v>140618.95503956001</c:v>
                </c:pt>
                <c:pt idx="146">
                  <c:v>143055.60399455542</c:v>
                </c:pt>
                <c:pt idx="147">
                  <c:v>143336.99640228585</c:v>
                </c:pt>
                <c:pt idx="148">
                  <c:v>145120.76580247705</c:v>
                </c:pt>
                <c:pt idx="149">
                  <c:v>144576.48075708767</c:v>
                </c:pt>
                <c:pt idx="150">
                  <c:v>145012.44172233669</c:v>
                </c:pt>
                <c:pt idx="151">
                  <c:v>146891.65231588494</c:v>
                </c:pt>
                <c:pt idx="152">
                  <c:v>145480.20610402455</c:v>
                </c:pt>
                <c:pt idx="153">
                  <c:v>145880.84190809421</c:v>
                </c:pt>
                <c:pt idx="154">
                  <c:v>147054.92401182788</c:v>
                </c:pt>
                <c:pt idx="155">
                  <c:v>146570.83728484885</c:v>
                </c:pt>
                <c:pt idx="156">
                  <c:v>146331.89516264483</c:v>
                </c:pt>
                <c:pt idx="157">
                  <c:v>144533.01466635728</c:v>
                </c:pt>
                <c:pt idx="158">
                  <c:v>145529.05630219451</c:v>
                </c:pt>
                <c:pt idx="159">
                  <c:v>147368.12290876597</c:v>
                </c:pt>
                <c:pt idx="160">
                  <c:v>145983.39081592424</c:v>
                </c:pt>
                <c:pt idx="161">
                  <c:v>147417.68273513272</c:v>
                </c:pt>
                <c:pt idx="162">
                  <c:v>153093.0944429776</c:v>
                </c:pt>
                <c:pt idx="163">
                  <c:v>153796.67453045087</c:v>
                </c:pt>
                <c:pt idx="164">
                  <c:v>152996.90962857025</c:v>
                </c:pt>
                <c:pt idx="165">
                  <c:v>155991.03533865555</c:v>
                </c:pt>
                <c:pt idx="166">
                  <c:v>156075.22826252988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31-421C-84F4-83339C9FA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5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6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Operativa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'Flujo de caja'!$J$1:$K$1</c:f>
              <c:strCache>
                <c:ptCount val="1"/>
                <c:pt idx="0">
                  <c:v>Rentabilidad simple</c:v>
                </c:pt>
              </c:strCache>
            </c:strRef>
          </c:tx>
          <c:spPr>
            <a:ln w="12700" cap="sq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caja'!$O$3:$O$146</c:f>
              <c:numCache>
                <c:formatCode>0</c:formatCode>
                <c:ptCount val="144"/>
                <c:pt idx="0" formatCode="General">
                  <c:v>100000</c:v>
                </c:pt>
                <c:pt idx="1">
                  <c:v>101202.05998518885</c:v>
                </c:pt>
                <c:pt idx="2">
                  <c:v>102529.79999980686</c:v>
                </c:pt>
                <c:pt idx="3">
                  <c:v>104438.12716926927</c:v>
                </c:pt>
                <c:pt idx="4">
                  <c:v>103493.87985744131</c:v>
                </c:pt>
                <c:pt idx="5">
                  <c:v>103189.71723073351</c:v>
                </c:pt>
                <c:pt idx="6">
                  <c:v>102530.46104780213</c:v>
                </c:pt>
                <c:pt idx="7">
                  <c:v>100576.75638458969</c:v>
                </c:pt>
                <c:pt idx="8">
                  <c:v>99117.405421010451</c:v>
                </c:pt>
                <c:pt idx="9">
                  <c:v>99810.893177532926</c:v>
                </c:pt>
                <c:pt idx="10">
                  <c:v>100624.77933538676</c:v>
                </c:pt>
                <c:pt idx="11">
                  <c:v>102872.8280654273</c:v>
                </c:pt>
                <c:pt idx="12">
                  <c:v>101597.05463425969</c:v>
                </c:pt>
                <c:pt idx="13">
                  <c:v>103596.87288572815</c:v>
                </c:pt>
                <c:pt idx="14">
                  <c:v>104062.17815478412</c:v>
                </c:pt>
                <c:pt idx="15">
                  <c:v>103482.6848524528</c:v>
                </c:pt>
                <c:pt idx="16">
                  <c:v>106117.06441917502</c:v>
                </c:pt>
                <c:pt idx="17">
                  <c:v>107600.90047500498</c:v>
                </c:pt>
                <c:pt idx="18">
                  <c:v>107186.85945070397</c:v>
                </c:pt>
                <c:pt idx="19">
                  <c:v>106388.29046366015</c:v>
                </c:pt>
                <c:pt idx="20">
                  <c:v>107930.14981171828</c:v>
                </c:pt>
                <c:pt idx="21">
                  <c:v>109681.78117833451</c:v>
                </c:pt>
                <c:pt idx="22">
                  <c:v>107370.09650581595</c:v>
                </c:pt>
                <c:pt idx="23">
                  <c:v>107631.23411271939</c:v>
                </c:pt>
                <c:pt idx="24">
                  <c:v>107474.91296857156</c:v>
                </c:pt>
                <c:pt idx="25">
                  <c:v>104536.49773515633</c:v>
                </c:pt>
                <c:pt idx="26">
                  <c:v>106580.54079297578</c:v>
                </c:pt>
                <c:pt idx="27">
                  <c:v>110119.88138009422</c:v>
                </c:pt>
                <c:pt idx="28">
                  <c:v>109452.85533862641</c:v>
                </c:pt>
                <c:pt idx="29">
                  <c:v>107816.15991967793</c:v>
                </c:pt>
                <c:pt idx="30">
                  <c:v>107706.59377667397</c:v>
                </c:pt>
                <c:pt idx="31">
                  <c:v>107272.76508192772</c:v>
                </c:pt>
                <c:pt idx="32">
                  <c:v>107762.7355409491</c:v>
                </c:pt>
                <c:pt idx="33">
                  <c:v>107004.68509195693</c:v>
                </c:pt>
                <c:pt idx="34">
                  <c:v>107465.84084270855</c:v>
                </c:pt>
                <c:pt idx="35">
                  <c:v>108185.98305871942</c:v>
                </c:pt>
                <c:pt idx="36">
                  <c:v>108280.37839754492</c:v>
                </c:pt>
                <c:pt idx="37">
                  <c:v>107875.18220527649</c:v>
                </c:pt>
                <c:pt idx="38">
                  <c:v>106645.31229252892</c:v>
                </c:pt>
                <c:pt idx="39">
                  <c:v>106657.28868630089</c:v>
                </c:pt>
                <c:pt idx="40">
                  <c:v>104611.13776771801</c:v>
                </c:pt>
                <c:pt idx="41">
                  <c:v>106258.29015948983</c:v>
                </c:pt>
                <c:pt idx="42">
                  <c:v>107292.06684273959</c:v>
                </c:pt>
                <c:pt idx="43">
                  <c:v>107270.35272972628</c:v>
                </c:pt>
                <c:pt idx="44">
                  <c:v>106302.23232845376</c:v>
                </c:pt>
                <c:pt idx="45">
                  <c:v>105971.29270076279</c:v>
                </c:pt>
                <c:pt idx="46">
                  <c:v>107182.69562343696</c:v>
                </c:pt>
                <c:pt idx="47">
                  <c:v>106021.74883780802</c:v>
                </c:pt>
                <c:pt idx="48">
                  <c:v>108439.3419317809</c:v>
                </c:pt>
                <c:pt idx="49">
                  <c:v>109621.77139276553</c:v>
                </c:pt>
                <c:pt idx="50">
                  <c:v>111482.2984582926</c:v>
                </c:pt>
                <c:pt idx="51">
                  <c:v>107116.6070853588</c:v>
                </c:pt>
                <c:pt idx="52">
                  <c:v>106492.86618353827</c:v>
                </c:pt>
                <c:pt idx="53">
                  <c:v>108120.70943575267</c:v>
                </c:pt>
                <c:pt idx="54">
                  <c:v>108352.46217910583</c:v>
                </c:pt>
                <c:pt idx="55">
                  <c:v>107655.78774434864</c:v>
                </c:pt>
                <c:pt idx="56">
                  <c:v>107508.38210010178</c:v>
                </c:pt>
                <c:pt idx="57">
                  <c:v>108424.50682973408</c:v>
                </c:pt>
                <c:pt idx="58">
                  <c:v>109720.07711772951</c:v>
                </c:pt>
                <c:pt idx="59">
                  <c:v>109339.22505101454</c:v>
                </c:pt>
                <c:pt idx="60">
                  <c:v>108665.04414775176</c:v>
                </c:pt>
                <c:pt idx="61">
                  <c:v>108445.96286353863</c:v>
                </c:pt>
                <c:pt idx="62">
                  <c:v>106629.90756944173</c:v>
                </c:pt>
                <c:pt idx="63">
                  <c:v>106150.80582007897</c:v>
                </c:pt>
                <c:pt idx="64">
                  <c:v>106079.96852284762</c:v>
                </c:pt>
                <c:pt idx="65">
                  <c:v>105345.03515803309</c:v>
                </c:pt>
                <c:pt idx="66">
                  <c:v>108293.18034072795</c:v>
                </c:pt>
                <c:pt idx="67">
                  <c:v>108166.00673598226</c:v>
                </c:pt>
                <c:pt idx="68">
                  <c:v>106979.27637058956</c:v>
                </c:pt>
                <c:pt idx="69">
                  <c:v>106377.39522420011</c:v>
                </c:pt>
                <c:pt idx="70">
                  <c:v>108391.20750703693</c:v>
                </c:pt>
                <c:pt idx="71">
                  <c:v>108463.23512268293</c:v>
                </c:pt>
                <c:pt idx="72">
                  <c:v>108687.55286954064</c:v>
                </c:pt>
                <c:pt idx="73">
                  <c:v>109551.40184100941</c:v>
                </c:pt>
                <c:pt idx="74">
                  <c:v>110242.02344088347</c:v>
                </c:pt>
                <c:pt idx="75">
                  <c:v>110364.85205839337</c:v>
                </c:pt>
                <c:pt idx="76">
                  <c:v>110482.82906383481</c:v>
                </c:pt>
                <c:pt idx="77">
                  <c:v>110338.11702752019</c:v>
                </c:pt>
                <c:pt idx="78">
                  <c:v>111355.99176790548</c:v>
                </c:pt>
                <c:pt idx="79">
                  <c:v>111540.49704561767</c:v>
                </c:pt>
                <c:pt idx="80">
                  <c:v>108447.66646501176</c:v>
                </c:pt>
                <c:pt idx="81">
                  <c:v>107097.28911583623</c:v>
                </c:pt>
                <c:pt idx="82">
                  <c:v>107270.53353999171</c:v>
                </c:pt>
                <c:pt idx="83">
                  <c:v>107856.32335552821</c:v>
                </c:pt>
                <c:pt idx="84">
                  <c:v>108488.72967680549</c:v>
                </c:pt>
                <c:pt idx="85">
                  <c:v>108548.12019138777</c:v>
                </c:pt>
                <c:pt idx="86">
                  <c:v>106635.71927138844</c:v>
                </c:pt>
                <c:pt idx="87">
                  <c:v>106896.78064957548</c:v>
                </c:pt>
                <c:pt idx="88">
                  <c:v>106971.14201649715</c:v>
                </c:pt>
                <c:pt idx="89">
                  <c:v>105696.37231638875</c:v>
                </c:pt>
                <c:pt idx="90">
                  <c:v>105531.67734484409</c:v>
                </c:pt>
                <c:pt idx="91">
                  <c:v>105744.03558001498</c:v>
                </c:pt>
                <c:pt idx="92">
                  <c:v>105396.66840212072</c:v>
                </c:pt>
                <c:pt idx="93">
                  <c:v>104622.28601265026</c:v>
                </c:pt>
                <c:pt idx="94">
                  <c:v>103797.37187155972</c:v>
                </c:pt>
                <c:pt idx="95">
                  <c:v>102336.7693412822</c:v>
                </c:pt>
                <c:pt idx="96">
                  <c:v>101697.94697182329</c:v>
                </c:pt>
                <c:pt idx="97">
                  <c:v>100558.14728604167</c:v>
                </c:pt>
                <c:pt idx="98">
                  <c:v>98886.097321975802</c:v>
                </c:pt>
                <c:pt idx="99">
                  <c:v>98871.900603792237</c:v>
                </c:pt>
                <c:pt idx="100">
                  <c:v>99436.595044372763</c:v>
                </c:pt>
                <c:pt idx="101">
                  <c:v>101969.62964794425</c:v>
                </c:pt>
                <c:pt idx="102">
                  <c:v>103046.06962887166</c:v>
                </c:pt>
                <c:pt idx="103">
                  <c:v>101787.66185472229</c:v>
                </c:pt>
                <c:pt idx="104">
                  <c:v>103578.737159806</c:v>
                </c:pt>
                <c:pt idx="105">
                  <c:v>103731.29142876461</c:v>
                </c:pt>
                <c:pt idx="106">
                  <c:v>103757.49323064706</c:v>
                </c:pt>
                <c:pt idx="107">
                  <c:v>103042.58581909809</c:v>
                </c:pt>
                <c:pt idx="108">
                  <c:v>100375.31896546198</c:v>
                </c:pt>
                <c:pt idx="109">
                  <c:v>100551.50945267589</c:v>
                </c:pt>
                <c:pt idx="110">
                  <c:v>100996.24001464664</c:v>
                </c:pt>
                <c:pt idx="111">
                  <c:v>101849.30413789969</c:v>
                </c:pt>
                <c:pt idx="112">
                  <c:v>101623.37049753962</c:v>
                </c:pt>
                <c:pt idx="113">
                  <c:v>102309.73206729315</c:v>
                </c:pt>
                <c:pt idx="114">
                  <c:v>105289.37937019771</c:v>
                </c:pt>
                <c:pt idx="115">
                  <c:v>107608.7479223144</c:v>
                </c:pt>
                <c:pt idx="116">
                  <c:v>107751.5176280364</c:v>
                </c:pt>
                <c:pt idx="117">
                  <c:v>106765.59301329254</c:v>
                </c:pt>
                <c:pt idx="118">
                  <c:v>108266.16795227221</c:v>
                </c:pt>
                <c:pt idx="119">
                  <c:v>107893.74639375688</c:v>
                </c:pt>
                <c:pt idx="120">
                  <c:v>109191.07552815767</c:v>
                </c:pt>
                <c:pt idx="121">
                  <c:v>108239.37995714632</c:v>
                </c:pt>
                <c:pt idx="122">
                  <c:v>108458.91954097792</c:v>
                </c:pt>
                <c:pt idx="123">
                  <c:v>108331.58016405506</c:v>
                </c:pt>
                <c:pt idx="124">
                  <c:v>108856.35590234239</c:v>
                </c:pt>
                <c:pt idx="125">
                  <c:v>108879.91216404668</c:v>
                </c:pt>
                <c:pt idx="126">
                  <c:v>107761.86090188757</c:v>
                </c:pt>
                <c:pt idx="127">
                  <c:v>106423.32605124747</c:v>
                </c:pt>
                <c:pt idx="128">
                  <c:v>107065.23542018236</c:v>
                </c:pt>
                <c:pt idx="129">
                  <c:v>107702.8439209667</c:v>
                </c:pt>
                <c:pt idx="130">
                  <c:v>107090.0936453577</c:v>
                </c:pt>
                <c:pt idx="131">
                  <c:v>106647.44047045981</c:v>
                </c:pt>
                <c:pt idx="132">
                  <c:v>105523.61785917773</c:v>
                </c:pt>
                <c:pt idx="133">
                  <c:v>105971.62037625791</c:v>
                </c:pt>
                <c:pt idx="134">
                  <c:v>105782.52851399346</c:v>
                </c:pt>
                <c:pt idx="135">
                  <c:v>101584.75655880733</c:v>
                </c:pt>
                <c:pt idx="136">
                  <c:v>103193.81551572343</c:v>
                </c:pt>
                <c:pt idx="137">
                  <c:v>104903.16465115585</c:v>
                </c:pt>
                <c:pt idx="138">
                  <c:v>106283.19350240368</c:v>
                </c:pt>
                <c:pt idx="139">
                  <c:v>106276.24479335114</c:v>
                </c:pt>
                <c:pt idx="140">
                  <c:v>105030.19308634312</c:v>
                </c:pt>
                <c:pt idx="141">
                  <c:v>105863.35163614251</c:v>
                </c:pt>
                <c:pt idx="142">
                  <c:v>108503.86814807107</c:v>
                </c:pt>
                <c:pt idx="143">
                  <c:v>106897.76224844121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C-47A8-AA7F-FC61EEEB199B}"/>
            </c:ext>
          </c:extLst>
        </c:ser>
        <c:ser>
          <c:idx val="1"/>
          <c:order val="1"/>
          <c:tx>
            <c:strRef>
              <c:f>'Flujo de caja'!$Q$1</c:f>
              <c:strCache>
                <c:ptCount val="1"/>
                <c:pt idx="0">
                  <c:v>Rentabilidad compuesta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'Flujo de caja'!$H$3:$H$4704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'Flujo de caja'!$Q$3:$Q$146</c:f>
              <c:numCache>
                <c:formatCode>0</c:formatCode>
                <c:ptCount val="144"/>
                <c:pt idx="0">
                  <c:v>100000</c:v>
                </c:pt>
                <c:pt idx="1">
                  <c:v>101202.05998518885</c:v>
                </c:pt>
                <c:pt idx="2">
                  <c:v>102545.90447842814</c:v>
                </c:pt>
                <c:pt idx="3">
                  <c:v>104503.12134329838</c:v>
                </c:pt>
                <c:pt idx="4">
                  <c:v>103516.89380379918</c:v>
                </c:pt>
                <c:pt idx="5">
                  <c:v>103202.45612777567</c:v>
                </c:pt>
                <c:pt idx="6">
                  <c:v>102522.4718495516</c:v>
                </c:pt>
                <c:pt idx="7">
                  <c:v>100519.78823280819</c:v>
                </c:pt>
                <c:pt idx="8">
                  <c:v>99052.914109232821</c:v>
                </c:pt>
                <c:pt idx="9">
                  <c:v>99739.720290752171</c:v>
                </c:pt>
                <c:pt idx="10">
                  <c:v>100551.45683451563</c:v>
                </c:pt>
                <c:pt idx="11">
                  <c:v>102811.96875774136</c:v>
                </c:pt>
                <c:pt idx="12">
                  <c:v>101500.65841252069</c:v>
                </c:pt>
                <c:pt idx="13">
                  <c:v>103530.66718382444</c:v>
                </c:pt>
                <c:pt idx="14">
                  <c:v>104012.82451338164</c:v>
                </c:pt>
                <c:pt idx="15">
                  <c:v>103410.55870070256</c:v>
                </c:pt>
                <c:pt idx="16">
                  <c:v>106135.19459599124</c:v>
                </c:pt>
                <c:pt idx="17">
                  <c:v>107710.80310468336</c:v>
                </c:pt>
                <c:pt idx="18">
                  <c:v>107265.76148859845</c:v>
                </c:pt>
                <c:pt idx="19">
                  <c:v>106410.04227501275</c:v>
                </c:pt>
                <c:pt idx="20">
                  <c:v>108051.50466417565</c:v>
                </c:pt>
                <c:pt idx="21">
                  <c:v>109945.13489253385</c:v>
                </c:pt>
                <c:pt idx="22">
                  <c:v>107404.7434772304</c:v>
                </c:pt>
                <c:pt idx="23">
                  <c:v>107686.1062232649</c:v>
                </c:pt>
                <c:pt idx="24">
                  <c:v>107518.69240267524</c:v>
                </c:pt>
                <c:pt idx="25">
                  <c:v>104360.24900943448</c:v>
                </c:pt>
                <c:pt idx="26">
                  <c:v>106493.94066431605</c:v>
                </c:pt>
                <c:pt idx="27">
                  <c:v>110263.90320194974</c:v>
                </c:pt>
                <c:pt idx="28">
                  <c:v>109529.64592163812</c:v>
                </c:pt>
                <c:pt idx="29">
                  <c:v>107738.12278195877</c:v>
                </c:pt>
                <c:pt idx="30">
                  <c:v>107621.00685101553</c:v>
                </c:pt>
                <c:pt idx="31">
                  <c:v>107155.03056254312</c:v>
                </c:pt>
                <c:pt idx="32">
                  <c:v>107680.91716132242</c:v>
                </c:pt>
                <c:pt idx="33">
                  <c:v>106865.56319536148</c:v>
                </c:pt>
                <c:pt idx="34">
                  <c:v>107359.20375319345</c:v>
                </c:pt>
                <c:pt idx="35">
                  <c:v>108133.22580664369</c:v>
                </c:pt>
                <c:pt idx="36">
                  <c:v>108236.27451862361</c:v>
                </c:pt>
                <c:pt idx="37">
                  <c:v>107798.69360856319</c:v>
                </c:pt>
                <c:pt idx="38">
                  <c:v>106473.84575276957</c:v>
                </c:pt>
                <c:pt idx="39">
                  <c:v>106487.37434129142</c:v>
                </c:pt>
                <c:pt idx="40">
                  <c:v>104309.26043795326</c:v>
                </c:pt>
                <c:pt idx="41">
                  <c:v>106027.91002734905</c:v>
                </c:pt>
                <c:pt idx="42">
                  <c:v>107124.72518815209</c:v>
                </c:pt>
                <c:pt idx="43">
                  <c:v>107102.31897128212</c:v>
                </c:pt>
                <c:pt idx="44">
                  <c:v>106066.29184936172</c:v>
                </c:pt>
                <c:pt idx="45">
                  <c:v>105716.00441303174</c:v>
                </c:pt>
                <c:pt idx="46">
                  <c:v>106997.33710075512</c:v>
                </c:pt>
                <c:pt idx="47">
                  <c:v>105755.99463542743</c:v>
                </c:pt>
                <c:pt idx="48">
                  <c:v>108313.43497755211</c:v>
                </c:pt>
                <c:pt idx="49">
                  <c:v>109595.16255512842</c:v>
                </c:pt>
                <c:pt idx="50">
                  <c:v>111635.3616364816</c:v>
                </c:pt>
                <c:pt idx="51">
                  <c:v>106763.10252777065</c:v>
                </c:pt>
                <c:pt idx="52">
                  <c:v>106097.98896155567</c:v>
                </c:pt>
                <c:pt idx="53">
                  <c:v>107825.82967427693</c:v>
                </c:pt>
                <c:pt idx="54">
                  <c:v>108076.65809215129</c:v>
                </c:pt>
                <c:pt idx="55">
                  <c:v>107324.6848442544</c:v>
                </c:pt>
                <c:pt idx="56">
                  <c:v>107167.36116330513</c:v>
                </c:pt>
                <c:pt idx="57">
                  <c:v>108150.00794435614</c:v>
                </c:pt>
                <c:pt idx="58">
                  <c:v>109552.14531470124</c:v>
                </c:pt>
                <c:pt idx="59">
                  <c:v>109136.05996257738</c:v>
                </c:pt>
                <c:pt idx="60">
                  <c:v>108401.38181493177</c:v>
                </c:pt>
                <c:pt idx="61">
                  <c:v>108164.90284136463</c:v>
                </c:pt>
                <c:pt idx="62">
                  <c:v>106201.54818530021</c:v>
                </c:pt>
                <c:pt idx="63">
                  <c:v>105693.47889587634</c:v>
                </c:pt>
                <c:pt idx="64">
                  <c:v>105619.29170954421</c:v>
                </c:pt>
                <c:pt idx="65">
                  <c:v>104843.73461009514</c:v>
                </c:pt>
                <c:pt idx="66">
                  <c:v>107935.26136951326</c:v>
                </c:pt>
                <c:pt idx="67">
                  <c:v>107798.94843820231</c:v>
                </c:pt>
                <c:pt idx="68">
                  <c:v>106520.60145732474</c:v>
                </c:pt>
                <c:pt idx="69">
                  <c:v>105880.25651230733</c:v>
                </c:pt>
                <c:pt idx="70">
                  <c:v>108013.19175383278</c:v>
                </c:pt>
                <c:pt idx="71">
                  <c:v>108091.95266344667</c:v>
                </c:pt>
                <c:pt idx="72">
                  <c:v>108335.39313051543</c:v>
                </c:pt>
                <c:pt idx="73">
                  <c:v>109272.24755698569</c:v>
                </c:pt>
                <c:pt idx="74">
                  <c:v>110028.01797098892</c:v>
                </c:pt>
                <c:pt idx="75">
                  <c:v>110164.36722649276</c:v>
                </c:pt>
                <c:pt idx="76">
                  <c:v>110295.55557207727</c:v>
                </c:pt>
                <c:pt idx="77">
                  <c:v>110137.18009431304</c:v>
                </c:pt>
                <c:pt idx="78">
                  <c:v>111259.45509187703</c:v>
                </c:pt>
                <c:pt idx="79">
                  <c:v>111466.0857930864</c:v>
                </c:pt>
                <c:pt idx="80">
                  <c:v>108020.00453496858</c:v>
                </c:pt>
                <c:pt idx="81">
                  <c:v>106562.28926169418</c:v>
                </c:pt>
                <c:pt idx="82">
                  <c:v>106747.68996080391</c:v>
                </c:pt>
                <c:pt idx="83">
                  <c:v>107373.81677971008</c:v>
                </c:pt>
                <c:pt idx="84">
                  <c:v>108053.74044243521</c:v>
                </c:pt>
                <c:pt idx="85">
                  <c:v>108118.88056376248</c:v>
                </c:pt>
                <c:pt idx="86">
                  <c:v>106052.18836283575</c:v>
                </c:pt>
                <c:pt idx="87">
                  <c:v>106329.77592997682</c:v>
                </c:pt>
                <c:pt idx="88">
                  <c:v>106409.6037779147</c:v>
                </c:pt>
                <c:pt idx="89">
                  <c:v>105053.8955434018</c:v>
                </c:pt>
                <c:pt idx="90">
                  <c:v>104881.48352749525</c:v>
                </c:pt>
                <c:pt idx="91">
                  <c:v>105104.7937729586</c:v>
                </c:pt>
                <c:pt idx="92">
                  <c:v>104740.30679225065</c:v>
                </c:pt>
                <c:pt idx="93">
                  <c:v>103929.7851385892</c:v>
                </c:pt>
                <c:pt idx="94">
                  <c:v>103072.9252183926</c:v>
                </c:pt>
                <c:pt idx="95">
                  <c:v>101567.80821564791</c:v>
                </c:pt>
                <c:pt idx="96">
                  <c:v>100919.15847358311</c:v>
                </c:pt>
                <c:pt idx="97">
                  <c:v>99768.992521424589</c:v>
                </c:pt>
                <c:pt idx="98">
                  <c:v>98100.777396923804</c:v>
                </c:pt>
                <c:pt idx="99">
                  <c:v>98086.622399308515</c:v>
                </c:pt>
                <c:pt idx="100">
                  <c:v>98640.282497638531</c:v>
                </c:pt>
                <c:pt idx="101">
                  <c:v>101138.7118202641</c:v>
                </c:pt>
                <c:pt idx="102">
                  <c:v>102227.54599591081</c:v>
                </c:pt>
                <c:pt idx="103">
                  <c:v>100941.37391529566</c:v>
                </c:pt>
                <c:pt idx="104">
                  <c:v>102749.42290097455</c:v>
                </c:pt>
                <c:pt idx="105">
                  <c:v>102906.50146268845</c:v>
                </c:pt>
                <c:pt idx="106">
                  <c:v>102933.81360050138</c:v>
                </c:pt>
                <c:pt idx="107">
                  <c:v>102198.28419571345</c:v>
                </c:pt>
                <c:pt idx="108">
                  <c:v>99472.647030479842</c:v>
                </c:pt>
                <c:pt idx="109">
                  <c:v>99647.845089571085</c:v>
                </c:pt>
                <c:pt idx="110">
                  <c:v>100090.96725244043</c:v>
                </c:pt>
                <c:pt idx="111">
                  <c:v>100944.81830075824</c:v>
                </c:pt>
                <c:pt idx="112">
                  <c:v>100716.86337621258</c:v>
                </c:pt>
                <c:pt idx="113">
                  <c:v>101408.23124429323</c:v>
                </c:pt>
                <c:pt idx="114">
                  <c:v>104430.00785923636</c:v>
                </c:pt>
                <c:pt idx="115">
                  <c:v>106852.65622143958</c:v>
                </c:pt>
                <c:pt idx="116">
                  <c:v>107006.03176302963</c:v>
                </c:pt>
                <c:pt idx="117">
                  <c:v>105951.87368042886</c:v>
                </c:pt>
                <c:pt idx="118">
                  <c:v>107542.47516909843</c:v>
                </c:pt>
                <c:pt idx="119">
                  <c:v>107142.868904028</c:v>
                </c:pt>
                <c:pt idx="120">
                  <c:v>108533.72170202128</c:v>
                </c:pt>
                <c:pt idx="121">
                  <c:v>107501.83512613361</c:v>
                </c:pt>
                <c:pt idx="122">
                  <c:v>107738.744427796</c:v>
                </c:pt>
                <c:pt idx="123">
                  <c:v>107602.47923126849</c:v>
                </c:pt>
                <c:pt idx="124">
                  <c:v>108168.0632335776</c:v>
                </c:pt>
                <c:pt idx="125">
                  <c:v>108194.52375322139</c:v>
                </c:pt>
                <c:pt idx="126">
                  <c:v>106985.83685766187</c:v>
                </c:pt>
                <c:pt idx="127">
                  <c:v>105554.63244649601</c:v>
                </c:pt>
                <c:pt idx="128">
                  <c:v>106232.86407740843</c:v>
                </c:pt>
                <c:pt idx="129">
                  <c:v>106910.96179308195</c:v>
                </c:pt>
                <c:pt idx="130">
                  <c:v>106256.69389545379</c:v>
                </c:pt>
                <c:pt idx="131">
                  <c:v>105787.0960696515</c:v>
                </c:pt>
                <c:pt idx="132">
                  <c:v>104598.93121573041</c:v>
                </c:pt>
                <c:pt idx="133">
                  <c:v>105068.08893216174</c:v>
                </c:pt>
                <c:pt idx="134">
                  <c:v>104870.0218968261</c:v>
                </c:pt>
                <c:pt idx="135">
                  <c:v>100468.40193087122</c:v>
                </c:pt>
                <c:pt idx="136">
                  <c:v>102085.05395924207</c:v>
                </c:pt>
                <c:pt idx="137">
                  <c:v>103830.2941529752</c:v>
                </c:pt>
                <c:pt idx="138">
                  <c:v>105263.64180392009</c:v>
                </c:pt>
                <c:pt idx="139">
                  <c:v>105256.95897672951</c:v>
                </c:pt>
                <c:pt idx="140">
                  <c:v>103946.03367773244</c:v>
                </c:pt>
                <c:pt idx="141">
                  <c:v>104812.54246853717</c:v>
                </c:pt>
                <c:pt idx="142">
                  <c:v>107580.71246408724</c:v>
                </c:pt>
                <c:pt idx="143">
                  <c:v>105853.76197983339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C-47A8-AA7F-FC61EEEB1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5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6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predicciones!$A$1</c:f>
              <c:strCache>
                <c:ptCount val="1"/>
                <c:pt idx="0">
                  <c:v>Valor Real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predicciones!$A$2:$A$168</c:f>
              <c:numCache>
                <c:formatCode>General</c:formatCode>
                <c:ptCount val="167"/>
                <c:pt idx="0">
                  <c:v>239.64</c:v>
                </c:pt>
                <c:pt idx="1">
                  <c:v>229.02500000000001</c:v>
                </c:pt>
                <c:pt idx="2">
                  <c:v>222.33</c:v>
                </c:pt>
                <c:pt idx="3">
                  <c:v>224.85</c:v>
                </c:pt>
                <c:pt idx="4">
                  <c:v>227.125</c:v>
                </c:pt>
                <c:pt idx="5">
                  <c:v>228.88</c:v>
                </c:pt>
                <c:pt idx="6">
                  <c:v>235.65</c:v>
                </c:pt>
                <c:pt idx="7">
                  <c:v>238.535</c:v>
                </c:pt>
                <c:pt idx="8">
                  <c:v>239.19499999999999</c:v>
                </c:pt>
                <c:pt idx="9">
                  <c:v>240.43</c:v>
                </c:pt>
                <c:pt idx="10">
                  <c:v>235.81</c:v>
                </c:pt>
                <c:pt idx="11">
                  <c:v>231.9</c:v>
                </c:pt>
                <c:pt idx="12">
                  <c:v>240.12</c:v>
                </c:pt>
                <c:pt idx="13">
                  <c:v>242.55</c:v>
                </c:pt>
                <c:pt idx="14">
                  <c:v>242.08500000000001</c:v>
                </c:pt>
                <c:pt idx="15">
                  <c:v>240.67500000000001</c:v>
                </c:pt>
                <c:pt idx="16">
                  <c:v>248.07499999999999</c:v>
                </c:pt>
                <c:pt idx="17">
                  <c:v>248.23500000000001</c:v>
                </c:pt>
                <c:pt idx="18">
                  <c:v>242.83500000000001</c:v>
                </c:pt>
                <c:pt idx="19">
                  <c:v>247.83500000000001</c:v>
                </c:pt>
                <c:pt idx="20">
                  <c:v>252.72499999999999</c:v>
                </c:pt>
                <c:pt idx="21">
                  <c:v>264.63499999999999</c:v>
                </c:pt>
                <c:pt idx="22">
                  <c:v>258.37</c:v>
                </c:pt>
                <c:pt idx="23">
                  <c:v>256.91000000000003</c:v>
                </c:pt>
                <c:pt idx="24">
                  <c:v>267.60000000000002</c:v>
                </c:pt>
                <c:pt idx="25">
                  <c:v>266.86500000000001</c:v>
                </c:pt>
                <c:pt idx="26">
                  <c:v>263.625</c:v>
                </c:pt>
                <c:pt idx="27">
                  <c:v>263.10000000000002</c:v>
                </c:pt>
                <c:pt idx="28">
                  <c:v>271.34500000000003</c:v>
                </c:pt>
                <c:pt idx="29">
                  <c:v>272.18</c:v>
                </c:pt>
                <c:pt idx="30">
                  <c:v>269.375</c:v>
                </c:pt>
                <c:pt idx="31">
                  <c:v>262.20499999999998</c:v>
                </c:pt>
                <c:pt idx="32">
                  <c:v>258.03500000000003</c:v>
                </c:pt>
                <c:pt idx="33">
                  <c:v>252.75</c:v>
                </c:pt>
                <c:pt idx="34">
                  <c:v>251.66499999999999</c:v>
                </c:pt>
                <c:pt idx="35">
                  <c:v>254.75</c:v>
                </c:pt>
                <c:pt idx="36">
                  <c:v>249.255</c:v>
                </c:pt>
                <c:pt idx="37">
                  <c:v>250.125</c:v>
                </c:pt>
                <c:pt idx="38">
                  <c:v>249.41499999999999</c:v>
                </c:pt>
                <c:pt idx="39">
                  <c:v>246.31</c:v>
                </c:pt>
                <c:pt idx="40">
                  <c:v>251.035</c:v>
                </c:pt>
                <c:pt idx="41">
                  <c:v>255.39</c:v>
                </c:pt>
                <c:pt idx="42">
                  <c:v>256.89999999999998</c:v>
                </c:pt>
                <c:pt idx="43">
                  <c:v>254.23</c:v>
                </c:pt>
                <c:pt idx="44">
                  <c:v>253.77</c:v>
                </c:pt>
                <c:pt idx="45">
                  <c:v>252.30500000000001</c:v>
                </c:pt>
                <c:pt idx="46">
                  <c:v>248.66</c:v>
                </c:pt>
                <c:pt idx="47">
                  <c:v>253.95500000000001</c:v>
                </c:pt>
                <c:pt idx="48">
                  <c:v>260.51499999999999</c:v>
                </c:pt>
                <c:pt idx="49">
                  <c:v>265.10500000000002</c:v>
                </c:pt>
                <c:pt idx="50">
                  <c:v>276.005</c:v>
                </c:pt>
                <c:pt idx="51">
                  <c:v>279.38</c:v>
                </c:pt>
                <c:pt idx="52">
                  <c:v>272.08499999999998</c:v>
                </c:pt>
                <c:pt idx="53">
                  <c:v>273.55500000000001</c:v>
                </c:pt>
                <c:pt idx="54">
                  <c:v>272.20999999999998</c:v>
                </c:pt>
                <c:pt idx="55">
                  <c:v>277.64499999999998</c:v>
                </c:pt>
                <c:pt idx="56">
                  <c:v>280.51</c:v>
                </c:pt>
                <c:pt idx="57">
                  <c:v>276.35000000000002</c:v>
                </c:pt>
                <c:pt idx="58">
                  <c:v>275.31500000000011</c:v>
                </c:pt>
                <c:pt idx="59">
                  <c:v>280.52</c:v>
                </c:pt>
                <c:pt idx="60">
                  <c:v>284.10500000000002</c:v>
                </c:pt>
                <c:pt idx="61">
                  <c:v>288.23500000000001</c:v>
                </c:pt>
                <c:pt idx="62">
                  <c:v>287.17500000000001</c:v>
                </c:pt>
                <c:pt idx="63">
                  <c:v>287.35000000000002</c:v>
                </c:pt>
                <c:pt idx="64">
                  <c:v>284.37</c:v>
                </c:pt>
                <c:pt idx="65">
                  <c:v>291.48500000000001</c:v>
                </c:pt>
                <c:pt idx="66">
                  <c:v>289.33</c:v>
                </c:pt>
                <c:pt idx="67">
                  <c:v>282.91500000000002</c:v>
                </c:pt>
                <c:pt idx="68">
                  <c:v>283.58999999999997</c:v>
                </c:pt>
                <c:pt idx="69">
                  <c:v>289.77499999999998</c:v>
                </c:pt>
                <c:pt idx="70">
                  <c:v>286.17999999999989</c:v>
                </c:pt>
                <c:pt idx="71">
                  <c:v>288.75</c:v>
                </c:pt>
                <c:pt idx="72">
                  <c:v>288.32</c:v>
                </c:pt>
                <c:pt idx="73">
                  <c:v>288.39499999999998</c:v>
                </c:pt>
                <c:pt idx="74">
                  <c:v>286.14499999999998</c:v>
                </c:pt>
                <c:pt idx="75">
                  <c:v>285.77</c:v>
                </c:pt>
                <c:pt idx="76">
                  <c:v>281.81</c:v>
                </c:pt>
                <c:pt idx="77">
                  <c:v>275.84500000000003</c:v>
                </c:pt>
                <c:pt idx="78">
                  <c:v>295.375</c:v>
                </c:pt>
                <c:pt idx="79">
                  <c:v>304.62</c:v>
                </c:pt>
                <c:pt idx="80">
                  <c:v>307.31</c:v>
                </c:pt>
                <c:pt idx="81">
                  <c:v>305.52</c:v>
                </c:pt>
                <c:pt idx="82">
                  <c:v>305.48500000000001</c:v>
                </c:pt>
                <c:pt idx="83">
                  <c:v>304.33</c:v>
                </c:pt>
                <c:pt idx="84">
                  <c:v>305.55500000000001</c:v>
                </c:pt>
                <c:pt idx="85">
                  <c:v>310.64999999999998</c:v>
                </c:pt>
                <c:pt idx="86">
                  <c:v>308.60000000000002</c:v>
                </c:pt>
                <c:pt idx="87">
                  <c:v>306.98500000000001</c:v>
                </c:pt>
                <c:pt idx="88">
                  <c:v>312.25</c:v>
                </c:pt>
                <c:pt idx="89">
                  <c:v>310.01</c:v>
                </c:pt>
                <c:pt idx="90">
                  <c:v>308.99</c:v>
                </c:pt>
                <c:pt idx="91">
                  <c:v>309.5</c:v>
                </c:pt>
                <c:pt idx="92">
                  <c:v>311.75</c:v>
                </c:pt>
                <c:pt idx="93">
                  <c:v>314.07499999999999</c:v>
                </c:pt>
                <c:pt idx="94">
                  <c:v>318.54000000000002</c:v>
                </c:pt>
                <c:pt idx="95">
                  <c:v>318.32499999999999</c:v>
                </c:pt>
                <c:pt idx="96">
                  <c:v>321.22500000000002</c:v>
                </c:pt>
                <c:pt idx="97">
                  <c:v>315.33499999999998</c:v>
                </c:pt>
                <c:pt idx="98">
                  <c:v>313.86</c:v>
                </c:pt>
                <c:pt idx="99">
                  <c:v>325.995</c:v>
                </c:pt>
                <c:pt idx="100">
                  <c:v>332.82499999999999</c:v>
                </c:pt>
                <c:pt idx="101">
                  <c:v>331.26</c:v>
                </c:pt>
                <c:pt idx="102">
                  <c:v>328.755</c:v>
                </c:pt>
                <c:pt idx="103">
                  <c:v>332.65</c:v>
                </c:pt>
                <c:pt idx="104">
                  <c:v>335.41</c:v>
                </c:pt>
                <c:pt idx="105">
                  <c:v>335.98</c:v>
                </c:pt>
                <c:pt idx="106">
                  <c:v>333.64499999999998</c:v>
                </c:pt>
                <c:pt idx="107">
                  <c:v>323.44</c:v>
                </c:pt>
                <c:pt idx="108">
                  <c:v>325.22000000000003</c:v>
                </c:pt>
                <c:pt idx="109">
                  <c:v>326.86</c:v>
                </c:pt>
                <c:pt idx="110">
                  <c:v>331.90499999999997</c:v>
                </c:pt>
                <c:pt idx="111">
                  <c:v>334.32</c:v>
                </c:pt>
                <c:pt idx="112">
                  <c:v>337.3</c:v>
                </c:pt>
                <c:pt idx="113">
                  <c:v>348.14499999999998</c:v>
                </c:pt>
                <c:pt idx="114">
                  <c:v>342.505</c:v>
                </c:pt>
                <c:pt idx="115">
                  <c:v>338.125</c:v>
                </c:pt>
                <c:pt idx="116">
                  <c:v>333.51499999999999</c:v>
                </c:pt>
                <c:pt idx="117">
                  <c:v>339.6</c:v>
                </c:pt>
                <c:pt idx="118">
                  <c:v>335.04500000000002</c:v>
                </c:pt>
                <c:pt idx="119">
                  <c:v>328.8</c:v>
                </c:pt>
                <c:pt idx="120">
                  <c:v>334.61</c:v>
                </c:pt>
                <c:pt idx="121">
                  <c:v>335.9</c:v>
                </c:pt>
                <c:pt idx="122">
                  <c:v>335.05</c:v>
                </c:pt>
                <c:pt idx="123">
                  <c:v>340.24</c:v>
                </c:pt>
                <c:pt idx="124">
                  <c:v>338.31</c:v>
                </c:pt>
                <c:pt idx="125">
                  <c:v>338.2</c:v>
                </c:pt>
                <c:pt idx="126">
                  <c:v>341.26499999999999</c:v>
                </c:pt>
                <c:pt idx="127">
                  <c:v>337.18</c:v>
                </c:pt>
                <c:pt idx="128">
                  <c:v>331.85500000000002</c:v>
                </c:pt>
                <c:pt idx="129">
                  <c:v>332.435</c:v>
                </c:pt>
                <c:pt idx="130">
                  <c:v>337.42500000000001</c:v>
                </c:pt>
                <c:pt idx="131">
                  <c:v>342.685</c:v>
                </c:pt>
                <c:pt idx="132">
                  <c:v>345.35500000000002</c:v>
                </c:pt>
                <c:pt idx="133">
                  <c:v>345.68</c:v>
                </c:pt>
                <c:pt idx="134">
                  <c:v>359.685</c:v>
                </c:pt>
                <c:pt idx="135">
                  <c:v>355.06</c:v>
                </c:pt>
                <c:pt idx="136">
                  <c:v>346.875</c:v>
                </c:pt>
                <c:pt idx="137">
                  <c:v>343.67</c:v>
                </c:pt>
                <c:pt idx="138">
                  <c:v>345.185</c:v>
                </c:pt>
                <c:pt idx="139">
                  <c:v>350.86</c:v>
                </c:pt>
                <c:pt idx="140">
                  <c:v>337.92500000000001</c:v>
                </c:pt>
                <c:pt idx="141">
                  <c:v>330.67500000000001</c:v>
                </c:pt>
                <c:pt idx="142">
                  <c:v>338.34</c:v>
                </c:pt>
                <c:pt idx="143">
                  <c:v>335.95499999999998</c:v>
                </c:pt>
                <c:pt idx="144">
                  <c:v>336.39499999999998</c:v>
                </c:pt>
                <c:pt idx="145">
                  <c:v>327.52999999999997</c:v>
                </c:pt>
                <c:pt idx="146">
                  <c:v>326.69499999999999</c:v>
                </c:pt>
                <c:pt idx="147">
                  <c:v>327.815</c:v>
                </c:pt>
                <c:pt idx="148">
                  <c:v>330.13</c:v>
                </c:pt>
                <c:pt idx="149">
                  <c:v>326.125</c:v>
                </c:pt>
                <c:pt idx="150">
                  <c:v>322.28500000000003</c:v>
                </c:pt>
                <c:pt idx="151">
                  <c:v>322.97000000000003</c:v>
                </c:pt>
                <c:pt idx="152">
                  <c:v>321.09500000000003</c:v>
                </c:pt>
                <c:pt idx="153">
                  <c:v>324.01</c:v>
                </c:pt>
                <c:pt idx="154">
                  <c:v>321.92</c:v>
                </c:pt>
                <c:pt idx="155">
                  <c:v>320.39</c:v>
                </c:pt>
                <c:pt idx="156">
                  <c:v>316.83</c:v>
                </c:pt>
                <c:pt idx="157">
                  <c:v>316.62</c:v>
                </c:pt>
                <c:pt idx="158">
                  <c:v>321.89499999999998</c:v>
                </c:pt>
                <c:pt idx="159">
                  <c:v>322.42500000000001</c:v>
                </c:pt>
                <c:pt idx="160">
                  <c:v>327.02999999999997</c:v>
                </c:pt>
                <c:pt idx="161">
                  <c:v>319.95</c:v>
                </c:pt>
                <c:pt idx="162">
                  <c:v>322.95999999999998</c:v>
                </c:pt>
                <c:pt idx="163">
                  <c:v>323.83</c:v>
                </c:pt>
                <c:pt idx="164">
                  <c:v>328.36</c:v>
                </c:pt>
                <c:pt idx="165">
                  <c:v>328.8</c:v>
                </c:pt>
                <c:pt idx="166">
                  <c:v>327.88499999999999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5A-4901-87BA-567C75B357C0}"/>
            </c:ext>
          </c:extLst>
        </c:ser>
        <c:ser>
          <c:idx val="1"/>
          <c:order val="1"/>
          <c:tx>
            <c:strRef>
              <c:f>predicciones!$B$1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predicciones!$B$2:$B$168</c:f>
              <c:numCache>
                <c:formatCode>General</c:formatCode>
                <c:ptCount val="167"/>
                <c:pt idx="0">
                  <c:v>241.06536476084119</c:v>
                </c:pt>
                <c:pt idx="1">
                  <c:v>231.0569825410081</c:v>
                </c:pt>
                <c:pt idx="2">
                  <c:v>229.2301136569499</c:v>
                </c:pt>
                <c:pt idx="3">
                  <c:v>226.9750280063235</c:v>
                </c:pt>
                <c:pt idx="4">
                  <c:v>228.78130089702239</c:v>
                </c:pt>
                <c:pt idx="5">
                  <c:v>229.2913432276263</c:v>
                </c:pt>
                <c:pt idx="6">
                  <c:v>232.82777780044341</c:v>
                </c:pt>
                <c:pt idx="7">
                  <c:v>234.14944007778891</c:v>
                </c:pt>
                <c:pt idx="8">
                  <c:v>235.7228892632892</c:v>
                </c:pt>
                <c:pt idx="9">
                  <c:v>238.52485858261929</c:v>
                </c:pt>
                <c:pt idx="10">
                  <c:v>240.34457587553189</c:v>
                </c:pt>
                <c:pt idx="11">
                  <c:v>237.87976760270649</c:v>
                </c:pt>
                <c:pt idx="12">
                  <c:v>238.0722099093631</c:v>
                </c:pt>
                <c:pt idx="13">
                  <c:v>240.1392849271061</c:v>
                </c:pt>
                <c:pt idx="14">
                  <c:v>239.99612522440569</c:v>
                </c:pt>
                <c:pt idx="15">
                  <c:v>239.50514944829621</c:v>
                </c:pt>
                <c:pt idx="16">
                  <c:v>245.24244206488569</c:v>
                </c:pt>
                <c:pt idx="17">
                  <c:v>249.37713139194301</c:v>
                </c:pt>
                <c:pt idx="18">
                  <c:v>247.10629261983871</c:v>
                </c:pt>
                <c:pt idx="19">
                  <c:v>246.82095888459961</c:v>
                </c:pt>
                <c:pt idx="20">
                  <c:v>247.85167124353151</c:v>
                </c:pt>
                <c:pt idx="21">
                  <c:v>251.96219149008249</c:v>
                </c:pt>
                <c:pt idx="22">
                  <c:v>253.90037878815841</c:v>
                </c:pt>
                <c:pt idx="23">
                  <c:v>253.88567501589151</c:v>
                </c:pt>
                <c:pt idx="24">
                  <c:v>255.39687850933589</c:v>
                </c:pt>
                <c:pt idx="25">
                  <c:v>263.36610195657488</c:v>
                </c:pt>
                <c:pt idx="26">
                  <c:v>266.14376804016553</c:v>
                </c:pt>
                <c:pt idx="27">
                  <c:v>261.31377368882858</c:v>
                </c:pt>
                <c:pt idx="28">
                  <c:v>262.95234015991127</c:v>
                </c:pt>
                <c:pt idx="29">
                  <c:v>268.16428790968803</c:v>
                </c:pt>
                <c:pt idx="30">
                  <c:v>266.22604401228068</c:v>
                </c:pt>
                <c:pt idx="31">
                  <c:v>263.64137430655131</c:v>
                </c:pt>
                <c:pt idx="32">
                  <c:v>262.77043325000568</c:v>
                </c:pt>
                <c:pt idx="33">
                  <c:v>260.10381701232478</c:v>
                </c:pt>
                <c:pt idx="34">
                  <c:v>257.99928808330208</c:v>
                </c:pt>
                <c:pt idx="35">
                  <c:v>254.94567742825899</c:v>
                </c:pt>
                <c:pt idx="36">
                  <c:v>252.16842432496429</c:v>
                </c:pt>
                <c:pt idx="37">
                  <c:v>253.41580035323071</c:v>
                </c:pt>
                <c:pt idx="38">
                  <c:v>250.638872084518</c:v>
                </c:pt>
                <c:pt idx="39">
                  <c:v>246.63222096856919</c:v>
                </c:pt>
                <c:pt idx="40">
                  <c:v>244.65864119964019</c:v>
                </c:pt>
                <c:pt idx="41">
                  <c:v>250.0657713798191</c:v>
                </c:pt>
                <c:pt idx="42">
                  <c:v>250.55770570171109</c:v>
                </c:pt>
                <c:pt idx="43">
                  <c:v>249.07650091895201</c:v>
                </c:pt>
                <c:pt idx="44">
                  <c:v>249.7437923942648</c:v>
                </c:pt>
                <c:pt idx="45">
                  <c:v>252.5514987598537</c:v>
                </c:pt>
                <c:pt idx="46">
                  <c:v>251.93309077148189</c:v>
                </c:pt>
                <c:pt idx="47">
                  <c:v>251.38431885382479</c:v>
                </c:pt>
                <c:pt idx="48">
                  <c:v>256.17285778985138</c:v>
                </c:pt>
                <c:pt idx="49">
                  <c:v>257.69217396735343</c:v>
                </c:pt>
                <c:pt idx="50">
                  <c:v>263.26380697875601</c:v>
                </c:pt>
                <c:pt idx="51">
                  <c:v>269.0420312862426</c:v>
                </c:pt>
                <c:pt idx="52">
                  <c:v>272.92261093136102</c:v>
                </c:pt>
                <c:pt idx="53">
                  <c:v>273.23937087453322</c:v>
                </c:pt>
                <c:pt idx="54">
                  <c:v>275.79974618357562</c:v>
                </c:pt>
                <c:pt idx="55">
                  <c:v>277.14904029453379</c:v>
                </c:pt>
                <c:pt idx="56">
                  <c:v>277.34309048813719</c:v>
                </c:pt>
                <c:pt idx="57">
                  <c:v>279.55313594231581</c:v>
                </c:pt>
                <c:pt idx="58">
                  <c:v>278.66906782843591</c:v>
                </c:pt>
                <c:pt idx="59">
                  <c:v>279.82751490780362</c:v>
                </c:pt>
                <c:pt idx="60">
                  <c:v>284.35501891262612</c:v>
                </c:pt>
                <c:pt idx="61">
                  <c:v>287.18765080896537</c:v>
                </c:pt>
                <c:pt idx="62">
                  <c:v>287.82823182162127</c:v>
                </c:pt>
                <c:pt idx="63">
                  <c:v>288.87962099332179</c:v>
                </c:pt>
                <c:pt idx="64">
                  <c:v>288.22625387598453</c:v>
                </c:pt>
                <c:pt idx="65">
                  <c:v>282.0663152261821</c:v>
                </c:pt>
                <c:pt idx="66">
                  <c:v>286.66635370370233</c:v>
                </c:pt>
                <c:pt idx="67">
                  <c:v>286.57279503278062</c:v>
                </c:pt>
                <c:pt idx="68">
                  <c:v>286.93516789746087</c:v>
                </c:pt>
                <c:pt idx="69">
                  <c:v>284.63706812211831</c:v>
                </c:pt>
                <c:pt idx="70">
                  <c:v>286.85703675216268</c:v>
                </c:pt>
                <c:pt idx="71">
                  <c:v>287.86210853506992</c:v>
                </c:pt>
                <c:pt idx="72">
                  <c:v>292.51534541990588</c:v>
                </c:pt>
                <c:pt idx="73">
                  <c:v>287.74731711035162</c:v>
                </c:pt>
                <c:pt idx="74">
                  <c:v>285.13082911117891</c:v>
                </c:pt>
                <c:pt idx="75">
                  <c:v>285.07859489581989</c:v>
                </c:pt>
                <c:pt idx="76">
                  <c:v>281.59347347324342</c:v>
                </c:pt>
                <c:pt idx="77">
                  <c:v>279.27696900740801</c:v>
                </c:pt>
                <c:pt idx="78">
                  <c:v>289.23276435732078</c:v>
                </c:pt>
                <c:pt idx="79">
                  <c:v>292.33023980751813</c:v>
                </c:pt>
                <c:pt idx="80">
                  <c:v>295.48926920576088</c:v>
                </c:pt>
                <c:pt idx="81">
                  <c:v>300.56631741588347</c:v>
                </c:pt>
                <c:pt idx="82">
                  <c:v>303.74944071492962</c:v>
                </c:pt>
                <c:pt idx="83">
                  <c:v>305.61469978942978</c:v>
                </c:pt>
                <c:pt idx="84">
                  <c:v>305.90722815409629</c:v>
                </c:pt>
                <c:pt idx="85">
                  <c:v>305.55537221213649</c:v>
                </c:pt>
                <c:pt idx="86">
                  <c:v>307.84130431299042</c:v>
                </c:pt>
                <c:pt idx="87">
                  <c:v>310.5496812940662</c:v>
                </c:pt>
                <c:pt idx="88">
                  <c:v>312.00302129195592</c:v>
                </c:pt>
                <c:pt idx="89">
                  <c:v>313.38406821212499</c:v>
                </c:pt>
                <c:pt idx="90">
                  <c:v>316.12255582115131</c:v>
                </c:pt>
                <c:pt idx="91">
                  <c:v>317.78056567966752</c:v>
                </c:pt>
                <c:pt idx="92">
                  <c:v>315.12150490212758</c:v>
                </c:pt>
                <c:pt idx="93">
                  <c:v>317.36763520418327</c:v>
                </c:pt>
                <c:pt idx="94">
                  <c:v>316.89874028384861</c:v>
                </c:pt>
                <c:pt idx="95">
                  <c:v>318.22021529550659</c:v>
                </c:pt>
                <c:pt idx="96">
                  <c:v>319.71034121111637</c:v>
                </c:pt>
                <c:pt idx="97">
                  <c:v>323.14401174834251</c:v>
                </c:pt>
                <c:pt idx="98">
                  <c:v>318.11018427246393</c:v>
                </c:pt>
                <c:pt idx="99">
                  <c:v>323.73127711089921</c:v>
                </c:pt>
                <c:pt idx="100">
                  <c:v>323.98027449109111</c:v>
                </c:pt>
                <c:pt idx="101">
                  <c:v>331.43317093053008</c:v>
                </c:pt>
                <c:pt idx="102">
                  <c:v>330.84770405983119</c:v>
                </c:pt>
                <c:pt idx="103">
                  <c:v>327.53937398750418</c:v>
                </c:pt>
                <c:pt idx="104">
                  <c:v>331.04165854714188</c:v>
                </c:pt>
                <c:pt idx="105">
                  <c:v>333.38463718429591</c:v>
                </c:pt>
                <c:pt idx="106">
                  <c:v>334.56329153287959</c:v>
                </c:pt>
                <c:pt idx="107">
                  <c:v>332.86625043057518</c:v>
                </c:pt>
                <c:pt idx="108">
                  <c:v>328.48227140423961</c:v>
                </c:pt>
                <c:pt idx="109">
                  <c:v>327.58327703204702</c:v>
                </c:pt>
                <c:pt idx="110">
                  <c:v>328.5128881510438</c:v>
                </c:pt>
                <c:pt idx="111">
                  <c:v>330.83195776984712</c:v>
                </c:pt>
                <c:pt idx="112">
                  <c:v>333.98485240853842</c:v>
                </c:pt>
                <c:pt idx="113">
                  <c:v>334.20941149534139</c:v>
                </c:pt>
                <c:pt idx="114">
                  <c:v>340.61874815039221</c:v>
                </c:pt>
                <c:pt idx="115">
                  <c:v>335.2370883803585</c:v>
                </c:pt>
                <c:pt idx="116">
                  <c:v>335.48532889257689</c:v>
                </c:pt>
                <c:pt idx="117">
                  <c:v>336.4421930494953</c:v>
                </c:pt>
                <c:pt idx="118">
                  <c:v>334.34037964241139</c:v>
                </c:pt>
                <c:pt idx="119">
                  <c:v>333.70781694761109</c:v>
                </c:pt>
                <c:pt idx="120">
                  <c:v>332.78544033305258</c:v>
                </c:pt>
                <c:pt idx="121">
                  <c:v>334.8263998304505</c:v>
                </c:pt>
                <c:pt idx="122">
                  <c:v>338.03927058901468</c:v>
                </c:pt>
                <c:pt idx="123">
                  <c:v>339.39610930258891</c:v>
                </c:pt>
                <c:pt idx="124">
                  <c:v>339.65185361493673</c:v>
                </c:pt>
                <c:pt idx="125">
                  <c:v>336.14966967996918</c:v>
                </c:pt>
                <c:pt idx="126">
                  <c:v>337.52469707549591</c:v>
                </c:pt>
                <c:pt idx="127">
                  <c:v>338.2494831674652</c:v>
                </c:pt>
                <c:pt idx="128">
                  <c:v>329.62229840607648</c:v>
                </c:pt>
                <c:pt idx="129">
                  <c:v>331.57991885023227</c:v>
                </c:pt>
                <c:pt idx="130">
                  <c:v>336.63107589512452</c:v>
                </c:pt>
                <c:pt idx="131">
                  <c:v>339.93238921667779</c:v>
                </c:pt>
                <c:pt idx="132">
                  <c:v>344.49970667156089</c:v>
                </c:pt>
                <c:pt idx="133">
                  <c:v>345.03510515278941</c:v>
                </c:pt>
                <c:pt idx="134">
                  <c:v>346.94743995230311</c:v>
                </c:pt>
                <c:pt idx="135">
                  <c:v>353.3623842672655</c:v>
                </c:pt>
                <c:pt idx="136">
                  <c:v>351.27618687796598</c:v>
                </c:pt>
                <c:pt idx="137">
                  <c:v>349.36611957262011</c:v>
                </c:pt>
                <c:pt idx="138">
                  <c:v>347.63897737456159</c:v>
                </c:pt>
                <c:pt idx="139">
                  <c:v>349.13029443832681</c:v>
                </c:pt>
                <c:pt idx="140">
                  <c:v>345.7429423859308</c:v>
                </c:pt>
                <c:pt idx="141">
                  <c:v>343.74609018882052</c:v>
                </c:pt>
                <c:pt idx="142">
                  <c:v>341.47995770421278</c:v>
                </c:pt>
                <c:pt idx="143">
                  <c:v>342.47338183000488</c:v>
                </c:pt>
                <c:pt idx="144">
                  <c:v>339.52879127896381</c:v>
                </c:pt>
                <c:pt idx="145">
                  <c:v>337.21576711640222</c:v>
                </c:pt>
                <c:pt idx="146">
                  <c:v>330.79774319705791</c:v>
                </c:pt>
                <c:pt idx="147">
                  <c:v>332.89617861103108</c:v>
                </c:pt>
                <c:pt idx="148">
                  <c:v>331.38394982793812</c:v>
                </c:pt>
                <c:pt idx="149">
                  <c:v>323.51123070551569</c:v>
                </c:pt>
                <c:pt idx="150">
                  <c:v>323.65710103565561</c:v>
                </c:pt>
                <c:pt idx="151">
                  <c:v>323.50879489306362</c:v>
                </c:pt>
                <c:pt idx="152">
                  <c:v>321.27538502808522</c:v>
                </c:pt>
                <c:pt idx="153">
                  <c:v>319.94861289146581</c:v>
                </c:pt>
                <c:pt idx="154">
                  <c:v>321.333320621393</c:v>
                </c:pt>
                <c:pt idx="155">
                  <c:v>320.0712065111469</c:v>
                </c:pt>
                <c:pt idx="156">
                  <c:v>320.97752486513411</c:v>
                </c:pt>
                <c:pt idx="157">
                  <c:v>315.1623530682283</c:v>
                </c:pt>
                <c:pt idx="158">
                  <c:v>316.99771206325232</c:v>
                </c:pt>
                <c:pt idx="159">
                  <c:v>322.10326548363929</c:v>
                </c:pt>
                <c:pt idx="160">
                  <c:v>324.22007234150118</c:v>
                </c:pt>
                <c:pt idx="161">
                  <c:v>327.0219269393483</c:v>
                </c:pt>
                <c:pt idx="162">
                  <c:v>323.25338017434689</c:v>
                </c:pt>
                <c:pt idx="163">
                  <c:v>325.25878665508242</c:v>
                </c:pt>
                <c:pt idx="164">
                  <c:v>323.66452054863811</c:v>
                </c:pt>
                <c:pt idx="165">
                  <c:v>326.31310487623318</c:v>
                </c:pt>
                <c:pt idx="166">
                  <c:v>328.81680388020709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5A-4901-87BA-567C75B357C0}"/>
            </c:ext>
          </c:extLst>
        </c:ser>
        <c:ser>
          <c:idx val="3"/>
          <c:order val="2"/>
          <c:tx>
            <c:strRef>
              <c:f>predicciones!$D$1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predicciones!$D$2:$D$168</c:f>
              <c:numCache>
                <c:formatCode>General</c:formatCode>
                <c:ptCount val="167"/>
                <c:pt idx="0">
                  <c:v>238.21859372822431</c:v>
                </c:pt>
                <c:pt idx="1">
                  <c:v>234.75260202476659</c:v>
                </c:pt>
                <c:pt idx="2">
                  <c:v>233.38327732818519</c:v>
                </c:pt>
                <c:pt idx="3">
                  <c:v>232.24516196133791</c:v>
                </c:pt>
                <c:pt idx="4">
                  <c:v>229.5934789976184</c:v>
                </c:pt>
                <c:pt idx="5">
                  <c:v>229.2373367052474</c:v>
                </c:pt>
                <c:pt idx="6">
                  <c:v>231.50930971767721</c:v>
                </c:pt>
                <c:pt idx="7">
                  <c:v>232.5391723896935</c:v>
                </c:pt>
                <c:pt idx="8">
                  <c:v>233.93992841448741</c:v>
                </c:pt>
                <c:pt idx="9">
                  <c:v>237.09056766382071</c:v>
                </c:pt>
                <c:pt idx="10">
                  <c:v>238.75289480171131</c:v>
                </c:pt>
                <c:pt idx="11">
                  <c:v>236.17053456188401</c:v>
                </c:pt>
                <c:pt idx="12">
                  <c:v>236.82662274162519</c:v>
                </c:pt>
                <c:pt idx="13">
                  <c:v>239.24757854033851</c:v>
                </c:pt>
                <c:pt idx="14">
                  <c:v>239.01506955246811</c:v>
                </c:pt>
                <c:pt idx="15">
                  <c:v>239.28249383135679</c:v>
                </c:pt>
                <c:pt idx="16">
                  <c:v>245.53729186288081</c:v>
                </c:pt>
                <c:pt idx="17">
                  <c:v>248.9302416129253</c:v>
                </c:pt>
                <c:pt idx="18">
                  <c:v>247.47954957199539</c:v>
                </c:pt>
                <c:pt idx="19">
                  <c:v>247.4448996661319</c:v>
                </c:pt>
                <c:pt idx="20">
                  <c:v>248.45565300587401</c:v>
                </c:pt>
                <c:pt idx="21">
                  <c:v>252.03927969793551</c:v>
                </c:pt>
                <c:pt idx="22">
                  <c:v>254.03044653554039</c:v>
                </c:pt>
                <c:pt idx="23">
                  <c:v>254.3707374511728</c:v>
                </c:pt>
                <c:pt idx="24">
                  <c:v>256.01918290353501</c:v>
                </c:pt>
                <c:pt idx="25">
                  <c:v>262.8767513799487</c:v>
                </c:pt>
                <c:pt idx="26">
                  <c:v>266.06168017054603</c:v>
                </c:pt>
                <c:pt idx="27">
                  <c:v>262.50413827595793</c:v>
                </c:pt>
                <c:pt idx="28">
                  <c:v>264.42045700558361</c:v>
                </c:pt>
                <c:pt idx="29">
                  <c:v>269.57524182992017</c:v>
                </c:pt>
                <c:pt idx="30">
                  <c:v>268.06107731567448</c:v>
                </c:pt>
                <c:pt idx="31">
                  <c:v>265.07192452337688</c:v>
                </c:pt>
                <c:pt idx="32">
                  <c:v>264.26179941126378</c:v>
                </c:pt>
                <c:pt idx="33">
                  <c:v>261.14264794650472</c:v>
                </c:pt>
                <c:pt idx="34">
                  <c:v>258.46412168866181</c:v>
                </c:pt>
                <c:pt idx="35">
                  <c:v>254.2759381339942</c:v>
                </c:pt>
                <c:pt idx="36">
                  <c:v>250.94801346052861</c:v>
                </c:pt>
                <c:pt idx="37">
                  <c:v>251.8089638764167</c:v>
                </c:pt>
                <c:pt idx="38">
                  <c:v>248.23610296640291</c:v>
                </c:pt>
                <c:pt idx="39">
                  <c:v>244.62050142838839</c:v>
                </c:pt>
                <c:pt idx="40">
                  <c:v>242.9758988785469</c:v>
                </c:pt>
                <c:pt idx="41">
                  <c:v>245.63617533826579</c:v>
                </c:pt>
                <c:pt idx="42">
                  <c:v>245.3664171655729</c:v>
                </c:pt>
                <c:pt idx="43">
                  <c:v>243.82487838283919</c:v>
                </c:pt>
                <c:pt idx="44">
                  <c:v>243.9621793625324</c:v>
                </c:pt>
                <c:pt idx="45">
                  <c:v>246.15030263769719</c:v>
                </c:pt>
                <c:pt idx="46">
                  <c:v>245.57913941506209</c:v>
                </c:pt>
                <c:pt idx="47">
                  <c:v>245.15798058681639</c:v>
                </c:pt>
                <c:pt idx="48">
                  <c:v>250.43573998897591</c:v>
                </c:pt>
                <c:pt idx="49">
                  <c:v>251.80905706355259</c:v>
                </c:pt>
                <c:pt idx="50">
                  <c:v>257.38099316027848</c:v>
                </c:pt>
                <c:pt idx="51">
                  <c:v>262.67329614889002</c:v>
                </c:pt>
                <c:pt idx="52">
                  <c:v>266.52692829952912</c:v>
                </c:pt>
                <c:pt idx="53">
                  <c:v>267.50549089777752</c:v>
                </c:pt>
                <c:pt idx="54">
                  <c:v>270.37886794802421</c:v>
                </c:pt>
                <c:pt idx="55">
                  <c:v>272.20851851062741</c:v>
                </c:pt>
                <c:pt idx="56">
                  <c:v>272.85070892872727</c:v>
                </c:pt>
                <c:pt idx="57">
                  <c:v>275.45070470149727</c:v>
                </c:pt>
                <c:pt idx="58">
                  <c:v>274.91520181158808</c:v>
                </c:pt>
                <c:pt idx="59">
                  <c:v>276.44639271137203</c:v>
                </c:pt>
                <c:pt idx="60">
                  <c:v>281.33484213023252</c:v>
                </c:pt>
                <c:pt idx="61">
                  <c:v>284.09656066535649</c:v>
                </c:pt>
                <c:pt idx="62">
                  <c:v>285.02587312215542</c:v>
                </c:pt>
                <c:pt idx="63">
                  <c:v>286.11099455263007</c:v>
                </c:pt>
                <c:pt idx="64">
                  <c:v>285.23022237303769</c:v>
                </c:pt>
                <c:pt idx="65">
                  <c:v>276.71580964136359</c:v>
                </c:pt>
                <c:pt idx="66">
                  <c:v>282.33238531107509</c:v>
                </c:pt>
                <c:pt idx="67">
                  <c:v>282.02303698186518</c:v>
                </c:pt>
                <c:pt idx="68">
                  <c:v>282.55281519078773</c:v>
                </c:pt>
                <c:pt idx="69">
                  <c:v>279.59898430249609</c:v>
                </c:pt>
                <c:pt idx="70">
                  <c:v>282.25175196016602</c:v>
                </c:pt>
                <c:pt idx="71">
                  <c:v>282.98110070134328</c:v>
                </c:pt>
                <c:pt idx="72">
                  <c:v>288.51432815789889</c:v>
                </c:pt>
                <c:pt idx="73">
                  <c:v>282.5127546493764</c:v>
                </c:pt>
                <c:pt idx="74">
                  <c:v>279.77388101538253</c:v>
                </c:pt>
                <c:pt idx="75">
                  <c:v>279.99032365254311</c:v>
                </c:pt>
                <c:pt idx="76">
                  <c:v>276.96266832195278</c:v>
                </c:pt>
                <c:pt idx="77">
                  <c:v>275.25561688102982</c:v>
                </c:pt>
                <c:pt idx="78">
                  <c:v>284.1245643969516</c:v>
                </c:pt>
                <c:pt idx="79">
                  <c:v>286.64836117067739</c:v>
                </c:pt>
                <c:pt idx="80">
                  <c:v>288.94777331021021</c:v>
                </c:pt>
                <c:pt idx="81">
                  <c:v>293.99502958572248</c:v>
                </c:pt>
                <c:pt idx="82">
                  <c:v>297.21229460682417</c:v>
                </c:pt>
                <c:pt idx="83">
                  <c:v>299.18382302702008</c:v>
                </c:pt>
                <c:pt idx="84">
                  <c:v>299.25289014001493</c:v>
                </c:pt>
                <c:pt idx="85">
                  <c:v>298.66885276264111</c:v>
                </c:pt>
                <c:pt idx="86">
                  <c:v>301.43512568441218</c:v>
                </c:pt>
                <c:pt idx="87">
                  <c:v>305.3679300342219</c:v>
                </c:pt>
                <c:pt idx="88">
                  <c:v>307.45070067447728</c:v>
                </c:pt>
                <c:pt idx="89">
                  <c:v>309.21644186113099</c:v>
                </c:pt>
                <c:pt idx="90">
                  <c:v>312.3251498224119</c:v>
                </c:pt>
                <c:pt idx="91">
                  <c:v>313.80129303159782</c:v>
                </c:pt>
                <c:pt idx="92">
                  <c:v>311.14773743510602</c:v>
                </c:pt>
                <c:pt idx="93">
                  <c:v>313.28546816661111</c:v>
                </c:pt>
                <c:pt idx="94">
                  <c:v>312.41639780203838</c:v>
                </c:pt>
                <c:pt idx="95">
                  <c:v>313.47305108931221</c:v>
                </c:pt>
                <c:pt idx="96">
                  <c:v>314.75318914641838</c:v>
                </c:pt>
                <c:pt idx="97">
                  <c:v>318.07608016879482</c:v>
                </c:pt>
                <c:pt idx="98">
                  <c:v>313.31346365817689</c:v>
                </c:pt>
                <c:pt idx="99">
                  <c:v>318.9223302888808</c:v>
                </c:pt>
                <c:pt idx="100">
                  <c:v>319.09496230192809</c:v>
                </c:pt>
                <c:pt idx="101">
                  <c:v>324.20252509860302</c:v>
                </c:pt>
                <c:pt idx="102">
                  <c:v>323.99246349651048</c:v>
                </c:pt>
                <c:pt idx="103">
                  <c:v>321.48981028423509</c:v>
                </c:pt>
                <c:pt idx="104">
                  <c:v>324.35920344262689</c:v>
                </c:pt>
                <c:pt idx="105">
                  <c:v>325.92424861883069</c:v>
                </c:pt>
                <c:pt idx="106">
                  <c:v>326.67719471511379</c:v>
                </c:pt>
                <c:pt idx="107">
                  <c:v>326.07083744621139</c:v>
                </c:pt>
                <c:pt idx="108">
                  <c:v>324.13439887736411</c:v>
                </c:pt>
                <c:pt idx="109">
                  <c:v>325.19155687703528</c:v>
                </c:pt>
                <c:pt idx="110">
                  <c:v>326.81364192603093</c:v>
                </c:pt>
                <c:pt idx="111">
                  <c:v>328.420520184895</c:v>
                </c:pt>
                <c:pt idx="112">
                  <c:v>330.45054719841733</c:v>
                </c:pt>
                <c:pt idx="113">
                  <c:v>330.29000932392529</c:v>
                </c:pt>
                <c:pt idx="114">
                  <c:v>331.61461978675533</c:v>
                </c:pt>
                <c:pt idx="115">
                  <c:v>327.20161462325638</c:v>
                </c:pt>
                <c:pt idx="116">
                  <c:v>328.49613618651949</c:v>
                </c:pt>
                <c:pt idx="117">
                  <c:v>331.02832959754312</c:v>
                </c:pt>
                <c:pt idx="118">
                  <c:v>329.8071203086505</c:v>
                </c:pt>
                <c:pt idx="119">
                  <c:v>330.16710678628152</c:v>
                </c:pt>
                <c:pt idx="120">
                  <c:v>330.34613518906588</c:v>
                </c:pt>
                <c:pt idx="121">
                  <c:v>333.01412542861749</c:v>
                </c:pt>
                <c:pt idx="122">
                  <c:v>335.05971354603662</c:v>
                </c:pt>
                <c:pt idx="123">
                  <c:v>335.34866348171442</c:v>
                </c:pt>
                <c:pt idx="124">
                  <c:v>335.35359844560361</c:v>
                </c:pt>
                <c:pt idx="125">
                  <c:v>333.60673054134583</c:v>
                </c:pt>
                <c:pt idx="126">
                  <c:v>334.46957673510713</c:v>
                </c:pt>
                <c:pt idx="127">
                  <c:v>334.44591399528292</c:v>
                </c:pt>
                <c:pt idx="128">
                  <c:v>321.36808862470423</c:v>
                </c:pt>
                <c:pt idx="129">
                  <c:v>327.48492863443289</c:v>
                </c:pt>
                <c:pt idx="130">
                  <c:v>334.08974206595587</c:v>
                </c:pt>
                <c:pt idx="131">
                  <c:v>335.44261856743032</c:v>
                </c:pt>
                <c:pt idx="132">
                  <c:v>335.72213709155233</c:v>
                </c:pt>
                <c:pt idx="133">
                  <c:v>335.96907219648062</c:v>
                </c:pt>
                <c:pt idx="134">
                  <c:v>335.74737170399737</c:v>
                </c:pt>
                <c:pt idx="135">
                  <c:v>333.591595553714</c:v>
                </c:pt>
                <c:pt idx="136">
                  <c:v>334.9703601185642</c:v>
                </c:pt>
                <c:pt idx="137">
                  <c:v>334.45853713826261</c:v>
                </c:pt>
                <c:pt idx="138">
                  <c:v>333.87903713822072</c:v>
                </c:pt>
                <c:pt idx="139">
                  <c:v>334.51235391287628</c:v>
                </c:pt>
                <c:pt idx="140">
                  <c:v>333.73923606959153</c:v>
                </c:pt>
                <c:pt idx="141">
                  <c:v>333.14304054928948</c:v>
                </c:pt>
                <c:pt idx="142">
                  <c:v>332.86944279339139</c:v>
                </c:pt>
                <c:pt idx="143">
                  <c:v>333.75712826860803</c:v>
                </c:pt>
                <c:pt idx="144">
                  <c:v>331.98969395838247</c:v>
                </c:pt>
                <c:pt idx="145">
                  <c:v>330.04850836270128</c:v>
                </c:pt>
                <c:pt idx="146">
                  <c:v>321.88624806902448</c:v>
                </c:pt>
                <c:pt idx="147">
                  <c:v>325.44155055673701</c:v>
                </c:pt>
                <c:pt idx="148">
                  <c:v>323.48259062559038</c:v>
                </c:pt>
                <c:pt idx="149">
                  <c:v>309.93662110094442</c:v>
                </c:pt>
                <c:pt idx="150">
                  <c:v>311.43438890295272</c:v>
                </c:pt>
                <c:pt idx="151">
                  <c:v>312.13316317178982</c:v>
                </c:pt>
                <c:pt idx="152">
                  <c:v>309.96900323289219</c:v>
                </c:pt>
                <c:pt idx="153">
                  <c:v>308.81836415863779</c:v>
                </c:pt>
                <c:pt idx="154">
                  <c:v>311.74725606997669</c:v>
                </c:pt>
                <c:pt idx="155">
                  <c:v>310.58679726007063</c:v>
                </c:pt>
                <c:pt idx="156">
                  <c:v>312.46376324083531</c:v>
                </c:pt>
                <c:pt idx="157">
                  <c:v>305.30634244379002</c:v>
                </c:pt>
                <c:pt idx="158">
                  <c:v>308.52102107028782</c:v>
                </c:pt>
                <c:pt idx="159">
                  <c:v>314.77785206698769</c:v>
                </c:pt>
                <c:pt idx="160">
                  <c:v>316.95335216639882</c:v>
                </c:pt>
                <c:pt idx="161">
                  <c:v>320.23567804611798</c:v>
                </c:pt>
                <c:pt idx="162">
                  <c:v>318.21757962469519</c:v>
                </c:pt>
                <c:pt idx="163">
                  <c:v>320.32988281642457</c:v>
                </c:pt>
                <c:pt idx="164">
                  <c:v>319.66192706350643</c:v>
                </c:pt>
                <c:pt idx="165">
                  <c:v>322.05875837588832</c:v>
                </c:pt>
                <c:pt idx="166">
                  <c:v>323.40660894999479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5A-4901-87BA-567C75B357C0}"/>
            </c:ext>
          </c:extLst>
        </c:ser>
        <c:ser>
          <c:idx val="4"/>
          <c:order val="3"/>
          <c:tx>
            <c:strRef>
              <c:f>predicciones!$E$1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predicciones!$E$2:$E$168</c:f>
              <c:numCache>
                <c:formatCode>General</c:formatCode>
                <c:ptCount val="167"/>
                <c:pt idx="0">
                  <c:v>239.75</c:v>
                </c:pt>
                <c:pt idx="1">
                  <c:v>225.45500000000001</c:v>
                </c:pt>
                <c:pt idx="2">
                  <c:v>225.45500000000001</c:v>
                </c:pt>
                <c:pt idx="3">
                  <c:v>214.255</c:v>
                </c:pt>
                <c:pt idx="4">
                  <c:v>214.255</c:v>
                </c:pt>
                <c:pt idx="5">
                  <c:v>214.255</c:v>
                </c:pt>
                <c:pt idx="6">
                  <c:v>227.97</c:v>
                </c:pt>
                <c:pt idx="7">
                  <c:v>227.97</c:v>
                </c:pt>
                <c:pt idx="8">
                  <c:v>230.745</c:v>
                </c:pt>
                <c:pt idx="9">
                  <c:v>230.745</c:v>
                </c:pt>
                <c:pt idx="10">
                  <c:v>230.745</c:v>
                </c:pt>
                <c:pt idx="11">
                  <c:v>237.125</c:v>
                </c:pt>
                <c:pt idx="12">
                  <c:v>242.10499999999999</c:v>
                </c:pt>
                <c:pt idx="13">
                  <c:v>249.03</c:v>
                </c:pt>
                <c:pt idx="14">
                  <c:v>241.98</c:v>
                </c:pt>
                <c:pt idx="15">
                  <c:v>241.98</c:v>
                </c:pt>
                <c:pt idx="16">
                  <c:v>254.89</c:v>
                </c:pt>
                <c:pt idx="17">
                  <c:v>254.89</c:v>
                </c:pt>
                <c:pt idx="18">
                  <c:v>254.89</c:v>
                </c:pt>
                <c:pt idx="19">
                  <c:v>254.89</c:v>
                </c:pt>
                <c:pt idx="20">
                  <c:v>254.89</c:v>
                </c:pt>
                <c:pt idx="21">
                  <c:v>254.89</c:v>
                </c:pt>
                <c:pt idx="22">
                  <c:v>256.98500000000001</c:v>
                </c:pt>
                <c:pt idx="23">
                  <c:v>256.98500000000001</c:v>
                </c:pt>
                <c:pt idx="24">
                  <c:v>259.54500000000002</c:v>
                </c:pt>
                <c:pt idx="25">
                  <c:v>257.82499999999999</c:v>
                </c:pt>
                <c:pt idx="26">
                  <c:v>257.82499999999999</c:v>
                </c:pt>
                <c:pt idx="27">
                  <c:v>258.64499999999998</c:v>
                </c:pt>
                <c:pt idx="28">
                  <c:v>258.64499999999998</c:v>
                </c:pt>
                <c:pt idx="29">
                  <c:v>258.64499999999998</c:v>
                </c:pt>
                <c:pt idx="30">
                  <c:v>258.64499999999998</c:v>
                </c:pt>
                <c:pt idx="31">
                  <c:v>258.64499999999998</c:v>
                </c:pt>
                <c:pt idx="32">
                  <c:v>258.64499999999998</c:v>
                </c:pt>
                <c:pt idx="33">
                  <c:v>252.45</c:v>
                </c:pt>
                <c:pt idx="34">
                  <c:v>252.45</c:v>
                </c:pt>
                <c:pt idx="35">
                  <c:v>268.60500000000002</c:v>
                </c:pt>
                <c:pt idx="36">
                  <c:v>268.60500000000002</c:v>
                </c:pt>
                <c:pt idx="37">
                  <c:v>268.60500000000002</c:v>
                </c:pt>
                <c:pt idx="38">
                  <c:v>268.60500000000002</c:v>
                </c:pt>
                <c:pt idx="39">
                  <c:v>268.60500000000002</c:v>
                </c:pt>
                <c:pt idx="40">
                  <c:v>268.60500000000002</c:v>
                </c:pt>
                <c:pt idx="41">
                  <c:v>268.60500000000002</c:v>
                </c:pt>
                <c:pt idx="42">
                  <c:v>268.60500000000002</c:v>
                </c:pt>
                <c:pt idx="43">
                  <c:v>268.60500000000002</c:v>
                </c:pt>
                <c:pt idx="44">
                  <c:v>268.60500000000002</c:v>
                </c:pt>
                <c:pt idx="45">
                  <c:v>252.42</c:v>
                </c:pt>
                <c:pt idx="46">
                  <c:v>252.42</c:v>
                </c:pt>
                <c:pt idx="47">
                  <c:v>252.42</c:v>
                </c:pt>
                <c:pt idx="48">
                  <c:v>262.58999999999997</c:v>
                </c:pt>
                <c:pt idx="49">
                  <c:v>262.58999999999997</c:v>
                </c:pt>
                <c:pt idx="50">
                  <c:v>262.58999999999997</c:v>
                </c:pt>
                <c:pt idx="51">
                  <c:v>266.64</c:v>
                </c:pt>
                <c:pt idx="52">
                  <c:v>265.08499999999998</c:v>
                </c:pt>
                <c:pt idx="53">
                  <c:v>253.75</c:v>
                </c:pt>
                <c:pt idx="54">
                  <c:v>277.61</c:v>
                </c:pt>
                <c:pt idx="55">
                  <c:v>277.61</c:v>
                </c:pt>
                <c:pt idx="56">
                  <c:v>277.87</c:v>
                </c:pt>
                <c:pt idx="57">
                  <c:v>277.87</c:v>
                </c:pt>
                <c:pt idx="58">
                  <c:v>277.87</c:v>
                </c:pt>
                <c:pt idx="59">
                  <c:v>277.11</c:v>
                </c:pt>
                <c:pt idx="60">
                  <c:v>281.05500000000001</c:v>
                </c:pt>
                <c:pt idx="61">
                  <c:v>282.85500000000002</c:v>
                </c:pt>
                <c:pt idx="62">
                  <c:v>282.85500000000002</c:v>
                </c:pt>
                <c:pt idx="63">
                  <c:v>293.53500000000003</c:v>
                </c:pt>
                <c:pt idx="64">
                  <c:v>291.33999999999997</c:v>
                </c:pt>
                <c:pt idx="65">
                  <c:v>290.27</c:v>
                </c:pt>
                <c:pt idx="66">
                  <c:v>290.27</c:v>
                </c:pt>
                <c:pt idx="67">
                  <c:v>290.27</c:v>
                </c:pt>
                <c:pt idx="68">
                  <c:v>290.27</c:v>
                </c:pt>
                <c:pt idx="69">
                  <c:v>289.03500000000003</c:v>
                </c:pt>
                <c:pt idx="70">
                  <c:v>286.495</c:v>
                </c:pt>
                <c:pt idx="71">
                  <c:v>286.495</c:v>
                </c:pt>
                <c:pt idx="72">
                  <c:v>286.495</c:v>
                </c:pt>
                <c:pt idx="73">
                  <c:v>286.495</c:v>
                </c:pt>
                <c:pt idx="74">
                  <c:v>286.495</c:v>
                </c:pt>
                <c:pt idx="75">
                  <c:v>286.495</c:v>
                </c:pt>
                <c:pt idx="76">
                  <c:v>268.22500000000002</c:v>
                </c:pt>
                <c:pt idx="77">
                  <c:v>268.22500000000002</c:v>
                </c:pt>
                <c:pt idx="78">
                  <c:v>289.42500000000001</c:v>
                </c:pt>
                <c:pt idx="79">
                  <c:v>290.91000000000003</c:v>
                </c:pt>
                <c:pt idx="80">
                  <c:v>290.91000000000003</c:v>
                </c:pt>
                <c:pt idx="81">
                  <c:v>301.91000000000003</c:v>
                </c:pt>
                <c:pt idx="82">
                  <c:v>301.91000000000003</c:v>
                </c:pt>
                <c:pt idx="83">
                  <c:v>302.01499999999999</c:v>
                </c:pt>
                <c:pt idx="84">
                  <c:v>301.91000000000003</c:v>
                </c:pt>
                <c:pt idx="85">
                  <c:v>301.23</c:v>
                </c:pt>
                <c:pt idx="86">
                  <c:v>301.91000000000003</c:v>
                </c:pt>
                <c:pt idx="87">
                  <c:v>302.01499999999999</c:v>
                </c:pt>
                <c:pt idx="88">
                  <c:v>310.70999999999998</c:v>
                </c:pt>
                <c:pt idx="89">
                  <c:v>310.70999999999998</c:v>
                </c:pt>
                <c:pt idx="90">
                  <c:v>315.42849999999999</c:v>
                </c:pt>
                <c:pt idx="91">
                  <c:v>315.42849999999999</c:v>
                </c:pt>
                <c:pt idx="92">
                  <c:v>299.875</c:v>
                </c:pt>
                <c:pt idx="93">
                  <c:v>310.70999999999998</c:v>
                </c:pt>
                <c:pt idx="94">
                  <c:v>299.875</c:v>
                </c:pt>
                <c:pt idx="95">
                  <c:v>301.09500000000003</c:v>
                </c:pt>
                <c:pt idx="96">
                  <c:v>301.09500000000003</c:v>
                </c:pt>
                <c:pt idx="97">
                  <c:v>331.59500000000003</c:v>
                </c:pt>
                <c:pt idx="98">
                  <c:v>301.09500000000003</c:v>
                </c:pt>
                <c:pt idx="99">
                  <c:v>332.51</c:v>
                </c:pt>
                <c:pt idx="100">
                  <c:v>332.51</c:v>
                </c:pt>
                <c:pt idx="101">
                  <c:v>337.005</c:v>
                </c:pt>
                <c:pt idx="102">
                  <c:v>337.005</c:v>
                </c:pt>
                <c:pt idx="103">
                  <c:v>332.51</c:v>
                </c:pt>
                <c:pt idx="104">
                  <c:v>332.51</c:v>
                </c:pt>
                <c:pt idx="105">
                  <c:v>332.51</c:v>
                </c:pt>
                <c:pt idx="106">
                  <c:v>332.51</c:v>
                </c:pt>
                <c:pt idx="107">
                  <c:v>332.51</c:v>
                </c:pt>
                <c:pt idx="108">
                  <c:v>332.51</c:v>
                </c:pt>
                <c:pt idx="109">
                  <c:v>332.51</c:v>
                </c:pt>
                <c:pt idx="110">
                  <c:v>339.52499999999998</c:v>
                </c:pt>
                <c:pt idx="111">
                  <c:v>339.52499999999998</c:v>
                </c:pt>
                <c:pt idx="112">
                  <c:v>339.52499999999998</c:v>
                </c:pt>
                <c:pt idx="113">
                  <c:v>339.52499999999998</c:v>
                </c:pt>
                <c:pt idx="114">
                  <c:v>339.21499999999997</c:v>
                </c:pt>
                <c:pt idx="115">
                  <c:v>339.21499999999997</c:v>
                </c:pt>
                <c:pt idx="116">
                  <c:v>339.21499999999997</c:v>
                </c:pt>
                <c:pt idx="117">
                  <c:v>339.21499999999997</c:v>
                </c:pt>
                <c:pt idx="118">
                  <c:v>326.44</c:v>
                </c:pt>
                <c:pt idx="119">
                  <c:v>326.44</c:v>
                </c:pt>
                <c:pt idx="120">
                  <c:v>326.44</c:v>
                </c:pt>
                <c:pt idx="121">
                  <c:v>337.86</c:v>
                </c:pt>
                <c:pt idx="122">
                  <c:v>337.86</c:v>
                </c:pt>
                <c:pt idx="123">
                  <c:v>337.86</c:v>
                </c:pt>
                <c:pt idx="124">
                  <c:v>336.26</c:v>
                </c:pt>
                <c:pt idx="125">
                  <c:v>326.44</c:v>
                </c:pt>
                <c:pt idx="126">
                  <c:v>336.26</c:v>
                </c:pt>
                <c:pt idx="127">
                  <c:v>336.26</c:v>
                </c:pt>
                <c:pt idx="128">
                  <c:v>326.44</c:v>
                </c:pt>
                <c:pt idx="129">
                  <c:v>326.44</c:v>
                </c:pt>
                <c:pt idx="130">
                  <c:v>326.44</c:v>
                </c:pt>
                <c:pt idx="131">
                  <c:v>336.26</c:v>
                </c:pt>
                <c:pt idx="132">
                  <c:v>336.26</c:v>
                </c:pt>
                <c:pt idx="133">
                  <c:v>336.26</c:v>
                </c:pt>
                <c:pt idx="134">
                  <c:v>336.26</c:v>
                </c:pt>
                <c:pt idx="135">
                  <c:v>336.26</c:v>
                </c:pt>
                <c:pt idx="136">
                  <c:v>336.26</c:v>
                </c:pt>
                <c:pt idx="137">
                  <c:v>336.26</c:v>
                </c:pt>
                <c:pt idx="138">
                  <c:v>336.26</c:v>
                </c:pt>
                <c:pt idx="139">
                  <c:v>336.26</c:v>
                </c:pt>
                <c:pt idx="140">
                  <c:v>336.26</c:v>
                </c:pt>
                <c:pt idx="141">
                  <c:v>326.44</c:v>
                </c:pt>
                <c:pt idx="142">
                  <c:v>326.44</c:v>
                </c:pt>
                <c:pt idx="143">
                  <c:v>336.26</c:v>
                </c:pt>
                <c:pt idx="144">
                  <c:v>326.44</c:v>
                </c:pt>
                <c:pt idx="145">
                  <c:v>326.44</c:v>
                </c:pt>
                <c:pt idx="146">
                  <c:v>326.44</c:v>
                </c:pt>
                <c:pt idx="147">
                  <c:v>326.44</c:v>
                </c:pt>
                <c:pt idx="148">
                  <c:v>326.44</c:v>
                </c:pt>
                <c:pt idx="149">
                  <c:v>326.44</c:v>
                </c:pt>
                <c:pt idx="150">
                  <c:v>326.44</c:v>
                </c:pt>
                <c:pt idx="151">
                  <c:v>326.44</c:v>
                </c:pt>
                <c:pt idx="152">
                  <c:v>326.44</c:v>
                </c:pt>
                <c:pt idx="153">
                  <c:v>326.44</c:v>
                </c:pt>
                <c:pt idx="154">
                  <c:v>326.44</c:v>
                </c:pt>
                <c:pt idx="155">
                  <c:v>326.44</c:v>
                </c:pt>
                <c:pt idx="156">
                  <c:v>326.44</c:v>
                </c:pt>
                <c:pt idx="157">
                  <c:v>326.44</c:v>
                </c:pt>
                <c:pt idx="158">
                  <c:v>326.44</c:v>
                </c:pt>
                <c:pt idx="159">
                  <c:v>326.44</c:v>
                </c:pt>
                <c:pt idx="160">
                  <c:v>326.44</c:v>
                </c:pt>
                <c:pt idx="161">
                  <c:v>326.44</c:v>
                </c:pt>
                <c:pt idx="162">
                  <c:v>326.44</c:v>
                </c:pt>
                <c:pt idx="163">
                  <c:v>326.44</c:v>
                </c:pt>
                <c:pt idx="164">
                  <c:v>326.44</c:v>
                </c:pt>
                <c:pt idx="165">
                  <c:v>339.52499999999998</c:v>
                </c:pt>
                <c:pt idx="166">
                  <c:v>339.52499999999998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5A-4901-87BA-567C75B357C0}"/>
            </c:ext>
          </c:extLst>
        </c:ser>
        <c:ser>
          <c:idx val="5"/>
          <c:order val="4"/>
          <c:tx>
            <c:strRef>
              <c:f>predicciones!$F$1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predicciones!$F$2:$F$168</c:f>
              <c:numCache>
                <c:formatCode>General</c:formatCode>
                <c:ptCount val="167"/>
                <c:pt idx="0">
                  <c:v>239.75</c:v>
                </c:pt>
                <c:pt idx="1">
                  <c:v>229.15</c:v>
                </c:pt>
                <c:pt idx="2">
                  <c:v>225.45500000000001</c:v>
                </c:pt>
                <c:pt idx="3">
                  <c:v>221.46</c:v>
                </c:pt>
                <c:pt idx="4">
                  <c:v>221.46</c:v>
                </c:pt>
                <c:pt idx="5">
                  <c:v>221.46</c:v>
                </c:pt>
                <c:pt idx="6">
                  <c:v>230.785</c:v>
                </c:pt>
                <c:pt idx="7">
                  <c:v>230.785</c:v>
                </c:pt>
                <c:pt idx="8">
                  <c:v>241.61500000000001</c:v>
                </c:pt>
                <c:pt idx="9">
                  <c:v>241.61500000000001</c:v>
                </c:pt>
                <c:pt idx="10">
                  <c:v>230.745</c:v>
                </c:pt>
                <c:pt idx="11">
                  <c:v>237.125</c:v>
                </c:pt>
                <c:pt idx="12">
                  <c:v>242.10499999999999</c:v>
                </c:pt>
                <c:pt idx="13">
                  <c:v>247.28</c:v>
                </c:pt>
                <c:pt idx="14">
                  <c:v>247.28</c:v>
                </c:pt>
                <c:pt idx="15">
                  <c:v>247.28</c:v>
                </c:pt>
                <c:pt idx="16">
                  <c:v>254.89</c:v>
                </c:pt>
                <c:pt idx="17">
                  <c:v>254.89</c:v>
                </c:pt>
                <c:pt idx="18">
                  <c:v>254.89</c:v>
                </c:pt>
                <c:pt idx="19">
                  <c:v>254.89</c:v>
                </c:pt>
                <c:pt idx="20">
                  <c:v>254.89</c:v>
                </c:pt>
                <c:pt idx="21">
                  <c:v>254.89</c:v>
                </c:pt>
                <c:pt idx="22">
                  <c:v>256.98500000000001</c:v>
                </c:pt>
                <c:pt idx="23">
                  <c:v>256.98500000000001</c:v>
                </c:pt>
                <c:pt idx="24">
                  <c:v>258.43</c:v>
                </c:pt>
                <c:pt idx="25">
                  <c:v>261.005</c:v>
                </c:pt>
                <c:pt idx="26">
                  <c:v>261.04500000000002</c:v>
                </c:pt>
                <c:pt idx="27">
                  <c:v>261.04500000000002</c:v>
                </c:pt>
                <c:pt idx="28">
                  <c:v>261.67500000000001</c:v>
                </c:pt>
                <c:pt idx="29">
                  <c:v>261.99</c:v>
                </c:pt>
                <c:pt idx="30">
                  <c:v>261.99</c:v>
                </c:pt>
                <c:pt idx="31">
                  <c:v>261.99</c:v>
                </c:pt>
                <c:pt idx="32">
                  <c:v>261.99</c:v>
                </c:pt>
                <c:pt idx="33">
                  <c:v>252.45</c:v>
                </c:pt>
                <c:pt idx="34">
                  <c:v>252.45</c:v>
                </c:pt>
                <c:pt idx="35">
                  <c:v>251.745</c:v>
                </c:pt>
                <c:pt idx="36">
                  <c:v>251.745</c:v>
                </c:pt>
                <c:pt idx="37">
                  <c:v>254.405</c:v>
                </c:pt>
                <c:pt idx="38">
                  <c:v>267.77999999999997</c:v>
                </c:pt>
                <c:pt idx="39">
                  <c:v>267.77999999999997</c:v>
                </c:pt>
                <c:pt idx="40">
                  <c:v>267.77999999999997</c:v>
                </c:pt>
                <c:pt idx="41">
                  <c:v>267.77999999999997</c:v>
                </c:pt>
                <c:pt idx="42">
                  <c:v>267.77999999999997</c:v>
                </c:pt>
                <c:pt idx="43">
                  <c:v>267.77999999999997</c:v>
                </c:pt>
                <c:pt idx="44">
                  <c:v>267.77999999999997</c:v>
                </c:pt>
                <c:pt idx="45">
                  <c:v>252.42</c:v>
                </c:pt>
                <c:pt idx="46">
                  <c:v>252.42</c:v>
                </c:pt>
                <c:pt idx="47">
                  <c:v>252.42</c:v>
                </c:pt>
                <c:pt idx="48">
                  <c:v>262.97000000000003</c:v>
                </c:pt>
                <c:pt idx="49">
                  <c:v>262.97000000000003</c:v>
                </c:pt>
                <c:pt idx="50">
                  <c:v>262.97000000000003</c:v>
                </c:pt>
                <c:pt idx="51">
                  <c:v>266.24</c:v>
                </c:pt>
                <c:pt idx="52">
                  <c:v>264.66500000000002</c:v>
                </c:pt>
                <c:pt idx="53">
                  <c:v>258.815</c:v>
                </c:pt>
                <c:pt idx="54">
                  <c:v>277.61</c:v>
                </c:pt>
                <c:pt idx="55">
                  <c:v>277.61</c:v>
                </c:pt>
                <c:pt idx="56">
                  <c:v>286.185</c:v>
                </c:pt>
                <c:pt idx="57">
                  <c:v>277.11</c:v>
                </c:pt>
                <c:pt idx="58">
                  <c:v>277.11</c:v>
                </c:pt>
                <c:pt idx="59">
                  <c:v>277.11</c:v>
                </c:pt>
                <c:pt idx="60">
                  <c:v>280.82499999999999</c:v>
                </c:pt>
                <c:pt idx="61">
                  <c:v>277.31</c:v>
                </c:pt>
                <c:pt idx="62">
                  <c:v>282.85500000000002</c:v>
                </c:pt>
                <c:pt idx="63">
                  <c:v>293.53500000000003</c:v>
                </c:pt>
                <c:pt idx="64">
                  <c:v>291.77499999999998</c:v>
                </c:pt>
                <c:pt idx="65">
                  <c:v>290.27</c:v>
                </c:pt>
                <c:pt idx="66">
                  <c:v>290.27</c:v>
                </c:pt>
                <c:pt idx="67">
                  <c:v>290.27</c:v>
                </c:pt>
                <c:pt idx="68">
                  <c:v>290.27</c:v>
                </c:pt>
                <c:pt idx="69">
                  <c:v>289.03500000000003</c:v>
                </c:pt>
                <c:pt idx="70">
                  <c:v>285.09500000000003</c:v>
                </c:pt>
                <c:pt idx="71">
                  <c:v>284.85000000000002</c:v>
                </c:pt>
                <c:pt idx="72">
                  <c:v>284.85000000000002</c:v>
                </c:pt>
                <c:pt idx="73">
                  <c:v>288.33499999999998</c:v>
                </c:pt>
                <c:pt idx="74">
                  <c:v>288.33499999999998</c:v>
                </c:pt>
                <c:pt idx="75">
                  <c:v>288.33499999999998</c:v>
                </c:pt>
                <c:pt idx="76">
                  <c:v>268.22500000000002</c:v>
                </c:pt>
                <c:pt idx="77">
                  <c:v>268.22500000000002</c:v>
                </c:pt>
                <c:pt idx="78">
                  <c:v>288.33499999999998</c:v>
                </c:pt>
                <c:pt idx="79">
                  <c:v>290.91000000000003</c:v>
                </c:pt>
                <c:pt idx="80">
                  <c:v>290.91000000000003</c:v>
                </c:pt>
                <c:pt idx="81">
                  <c:v>302.01499999999999</c:v>
                </c:pt>
                <c:pt idx="82">
                  <c:v>302.01499999999999</c:v>
                </c:pt>
                <c:pt idx="83">
                  <c:v>302.01499999999999</c:v>
                </c:pt>
                <c:pt idx="84">
                  <c:v>301.91000000000003</c:v>
                </c:pt>
                <c:pt idx="85">
                  <c:v>301.91000000000003</c:v>
                </c:pt>
                <c:pt idx="86">
                  <c:v>301.91000000000003</c:v>
                </c:pt>
                <c:pt idx="87">
                  <c:v>301.23</c:v>
                </c:pt>
                <c:pt idx="88">
                  <c:v>304.7</c:v>
                </c:pt>
                <c:pt idx="89">
                  <c:v>304.7</c:v>
                </c:pt>
                <c:pt idx="90">
                  <c:v>302.69499999999999</c:v>
                </c:pt>
                <c:pt idx="91">
                  <c:v>302.69499999999999</c:v>
                </c:pt>
                <c:pt idx="92">
                  <c:v>299.875</c:v>
                </c:pt>
                <c:pt idx="93">
                  <c:v>302.69499999999999</c:v>
                </c:pt>
                <c:pt idx="94">
                  <c:v>299.875</c:v>
                </c:pt>
                <c:pt idx="95">
                  <c:v>301.09500000000003</c:v>
                </c:pt>
                <c:pt idx="96">
                  <c:v>301.09500000000003</c:v>
                </c:pt>
                <c:pt idx="97">
                  <c:v>331.59500000000003</c:v>
                </c:pt>
                <c:pt idx="98">
                  <c:v>301.09500000000003</c:v>
                </c:pt>
                <c:pt idx="99">
                  <c:v>332.51</c:v>
                </c:pt>
                <c:pt idx="100">
                  <c:v>339.21499999999997</c:v>
                </c:pt>
                <c:pt idx="101">
                  <c:v>333.95499999999998</c:v>
                </c:pt>
                <c:pt idx="102">
                  <c:v>336.79</c:v>
                </c:pt>
                <c:pt idx="103">
                  <c:v>339.23</c:v>
                </c:pt>
                <c:pt idx="104">
                  <c:v>339.23</c:v>
                </c:pt>
                <c:pt idx="105">
                  <c:v>339.23</c:v>
                </c:pt>
                <c:pt idx="106">
                  <c:v>339.23</c:v>
                </c:pt>
                <c:pt idx="107">
                  <c:v>339.23</c:v>
                </c:pt>
                <c:pt idx="108">
                  <c:v>339.21499999999997</c:v>
                </c:pt>
                <c:pt idx="109">
                  <c:v>339.21499999999997</c:v>
                </c:pt>
                <c:pt idx="110">
                  <c:v>339.21499999999997</c:v>
                </c:pt>
                <c:pt idx="111">
                  <c:v>339.21499999999997</c:v>
                </c:pt>
                <c:pt idx="112">
                  <c:v>339.21499999999997</c:v>
                </c:pt>
                <c:pt idx="113">
                  <c:v>339.21499999999997</c:v>
                </c:pt>
                <c:pt idx="114">
                  <c:v>339.21499999999997</c:v>
                </c:pt>
                <c:pt idx="115">
                  <c:v>339.21499999999997</c:v>
                </c:pt>
                <c:pt idx="116">
                  <c:v>339.21499999999997</c:v>
                </c:pt>
                <c:pt idx="117">
                  <c:v>339.21499999999997</c:v>
                </c:pt>
                <c:pt idx="118">
                  <c:v>326.44</c:v>
                </c:pt>
                <c:pt idx="119">
                  <c:v>326.44</c:v>
                </c:pt>
                <c:pt idx="120">
                  <c:v>326.44</c:v>
                </c:pt>
                <c:pt idx="121">
                  <c:v>337.86</c:v>
                </c:pt>
                <c:pt idx="122">
                  <c:v>338.05</c:v>
                </c:pt>
                <c:pt idx="123">
                  <c:v>338.05</c:v>
                </c:pt>
                <c:pt idx="124">
                  <c:v>336.26</c:v>
                </c:pt>
                <c:pt idx="125">
                  <c:v>326.44</c:v>
                </c:pt>
                <c:pt idx="126">
                  <c:v>336.26</c:v>
                </c:pt>
                <c:pt idx="127">
                  <c:v>336.26</c:v>
                </c:pt>
                <c:pt idx="128">
                  <c:v>326.44</c:v>
                </c:pt>
                <c:pt idx="129">
                  <c:v>326.44</c:v>
                </c:pt>
                <c:pt idx="130">
                  <c:v>326.44</c:v>
                </c:pt>
                <c:pt idx="131">
                  <c:v>336.26</c:v>
                </c:pt>
                <c:pt idx="132">
                  <c:v>336.26</c:v>
                </c:pt>
                <c:pt idx="133">
                  <c:v>336.26</c:v>
                </c:pt>
                <c:pt idx="134">
                  <c:v>336.26</c:v>
                </c:pt>
                <c:pt idx="135">
                  <c:v>332.51</c:v>
                </c:pt>
                <c:pt idx="136">
                  <c:v>336.26</c:v>
                </c:pt>
                <c:pt idx="137">
                  <c:v>336.26</c:v>
                </c:pt>
                <c:pt idx="138">
                  <c:v>336.26</c:v>
                </c:pt>
                <c:pt idx="139">
                  <c:v>336.26</c:v>
                </c:pt>
                <c:pt idx="140">
                  <c:v>336.26</c:v>
                </c:pt>
                <c:pt idx="141">
                  <c:v>326.44</c:v>
                </c:pt>
                <c:pt idx="142">
                  <c:v>326.44</c:v>
                </c:pt>
                <c:pt idx="143">
                  <c:v>336.26</c:v>
                </c:pt>
                <c:pt idx="144">
                  <c:v>326.44</c:v>
                </c:pt>
                <c:pt idx="145">
                  <c:v>326.44</c:v>
                </c:pt>
                <c:pt idx="146">
                  <c:v>326.44</c:v>
                </c:pt>
                <c:pt idx="147">
                  <c:v>326.44</c:v>
                </c:pt>
                <c:pt idx="148">
                  <c:v>326.44</c:v>
                </c:pt>
                <c:pt idx="149">
                  <c:v>326.44</c:v>
                </c:pt>
                <c:pt idx="150">
                  <c:v>326.44</c:v>
                </c:pt>
                <c:pt idx="151">
                  <c:v>326.44</c:v>
                </c:pt>
                <c:pt idx="152">
                  <c:v>326.44</c:v>
                </c:pt>
                <c:pt idx="153">
                  <c:v>326.44</c:v>
                </c:pt>
                <c:pt idx="154">
                  <c:v>326.44</c:v>
                </c:pt>
                <c:pt idx="155">
                  <c:v>326.44</c:v>
                </c:pt>
                <c:pt idx="156">
                  <c:v>326.44</c:v>
                </c:pt>
                <c:pt idx="157">
                  <c:v>326.44</c:v>
                </c:pt>
                <c:pt idx="158">
                  <c:v>326.44</c:v>
                </c:pt>
                <c:pt idx="159">
                  <c:v>326.44</c:v>
                </c:pt>
                <c:pt idx="160">
                  <c:v>326.44</c:v>
                </c:pt>
                <c:pt idx="161">
                  <c:v>326.44</c:v>
                </c:pt>
                <c:pt idx="162">
                  <c:v>326.44</c:v>
                </c:pt>
                <c:pt idx="163">
                  <c:v>326.44</c:v>
                </c:pt>
                <c:pt idx="164">
                  <c:v>326.44</c:v>
                </c:pt>
                <c:pt idx="165">
                  <c:v>339.52499999999998</c:v>
                </c:pt>
                <c:pt idx="166">
                  <c:v>339.52499999999998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5A-4901-87BA-567C75B357C0}"/>
            </c:ext>
          </c:extLst>
        </c:ser>
        <c:ser>
          <c:idx val="2"/>
          <c:order val="5"/>
          <c:tx>
            <c:strRef>
              <c:f>predicciones!$C$1</c:f>
              <c:strCache>
                <c:ptCount val="1"/>
                <c:pt idx="0">
                  <c:v>Regresión Polinomica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predicciones!$G$2:$G$168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predicciones!$C$2:$C$168</c:f>
              <c:numCache>
                <c:formatCode>General</c:formatCode>
                <c:ptCount val="167"/>
                <c:pt idx="0">
                  <c:v>250.8457427075839</c:v>
                </c:pt>
                <c:pt idx="1">
                  <c:v>185.02332046257581</c:v>
                </c:pt>
                <c:pt idx="2">
                  <c:v>185.38433399878011</c:v>
                </c:pt>
                <c:pt idx="3">
                  <c:v>184.0458899487806</c:v>
                </c:pt>
                <c:pt idx="4">
                  <c:v>210.4856853780951</c:v>
                </c:pt>
                <c:pt idx="5">
                  <c:v>218.161287523688</c:v>
                </c:pt>
                <c:pt idx="6">
                  <c:v>234.98664332707099</c:v>
                </c:pt>
                <c:pt idx="7">
                  <c:v>237.09962157060741</c:v>
                </c:pt>
                <c:pt idx="8">
                  <c:v>239.71911372566291</c:v>
                </c:pt>
                <c:pt idx="9">
                  <c:v>244.69445004030121</c:v>
                </c:pt>
                <c:pt idx="10">
                  <c:v>246.91379615801461</c:v>
                </c:pt>
                <c:pt idx="11">
                  <c:v>242.14162330117469</c:v>
                </c:pt>
                <c:pt idx="12">
                  <c:v>243.0501378143536</c:v>
                </c:pt>
                <c:pt idx="13">
                  <c:v>246.6338380796609</c:v>
                </c:pt>
                <c:pt idx="14">
                  <c:v>244.98675513294529</c:v>
                </c:pt>
                <c:pt idx="15">
                  <c:v>245.9804029693089</c:v>
                </c:pt>
                <c:pt idx="16">
                  <c:v>249.69496614890801</c:v>
                </c:pt>
                <c:pt idx="17">
                  <c:v>247.53428952858289</c:v>
                </c:pt>
                <c:pt idx="18">
                  <c:v>253.74348255268589</c:v>
                </c:pt>
                <c:pt idx="19">
                  <c:v>254.74777781144479</c:v>
                </c:pt>
                <c:pt idx="20">
                  <c:v>256.14312514853759</c:v>
                </c:pt>
                <c:pt idx="21">
                  <c:v>258.66594307661092</c:v>
                </c:pt>
                <c:pt idx="22">
                  <c:v>261.1232548162659</c:v>
                </c:pt>
                <c:pt idx="23">
                  <c:v>261.71820083894471</c:v>
                </c:pt>
                <c:pt idx="24">
                  <c:v>263.07081047327722</c:v>
                </c:pt>
                <c:pt idx="25">
                  <c:v>267.36742316668528</c:v>
                </c:pt>
                <c:pt idx="26">
                  <c:v>271.09438301855272</c:v>
                </c:pt>
                <c:pt idx="27">
                  <c:v>267.0853944858813</c:v>
                </c:pt>
                <c:pt idx="28">
                  <c:v>269.66298791163928</c:v>
                </c:pt>
                <c:pt idx="29">
                  <c:v>275.56463308967773</c:v>
                </c:pt>
                <c:pt idx="30">
                  <c:v>273.91503128308511</c:v>
                </c:pt>
                <c:pt idx="31">
                  <c:v>269.69088352987802</c:v>
                </c:pt>
                <c:pt idx="32">
                  <c:v>270.48623423636428</c:v>
                </c:pt>
                <c:pt idx="33">
                  <c:v>268.44544463444942</c:v>
                </c:pt>
                <c:pt idx="34">
                  <c:v>267.00477451073613</c:v>
                </c:pt>
                <c:pt idx="35">
                  <c:v>259.71575179208247</c:v>
                </c:pt>
                <c:pt idx="36">
                  <c:v>255.18289464471869</c:v>
                </c:pt>
                <c:pt idx="37">
                  <c:v>262.84131008232538</c:v>
                </c:pt>
                <c:pt idx="38">
                  <c:v>256.36245789393979</c:v>
                </c:pt>
                <c:pt idx="39">
                  <c:v>235.3369759984931</c:v>
                </c:pt>
                <c:pt idx="40">
                  <c:v>228.5212691493191</c:v>
                </c:pt>
                <c:pt idx="41">
                  <c:v>258.46943854560789</c:v>
                </c:pt>
                <c:pt idx="42">
                  <c:v>255.87836556919311</c:v>
                </c:pt>
                <c:pt idx="43">
                  <c:v>243.67290642468831</c:v>
                </c:pt>
                <c:pt idx="44">
                  <c:v>246.52350319609309</c:v>
                </c:pt>
                <c:pt idx="45">
                  <c:v>258.28101683527461</c:v>
                </c:pt>
                <c:pt idx="46">
                  <c:v>258.54463242560149</c:v>
                </c:pt>
                <c:pt idx="47">
                  <c:v>261.05125563224033</c:v>
                </c:pt>
                <c:pt idx="48">
                  <c:v>270.4138510431037</c:v>
                </c:pt>
                <c:pt idx="49">
                  <c:v>271.14975539086811</c:v>
                </c:pt>
                <c:pt idx="50">
                  <c:v>272.6746391615556</c:v>
                </c:pt>
                <c:pt idx="51">
                  <c:v>273.41379882069992</c:v>
                </c:pt>
                <c:pt idx="52">
                  <c:v>274.36477268991268</c:v>
                </c:pt>
                <c:pt idx="53">
                  <c:v>276.382016385577</c:v>
                </c:pt>
                <c:pt idx="54">
                  <c:v>276.71274848238852</c:v>
                </c:pt>
                <c:pt idx="55">
                  <c:v>277.9852220741339</c:v>
                </c:pt>
                <c:pt idx="56">
                  <c:v>278.82356260590092</c:v>
                </c:pt>
                <c:pt idx="57">
                  <c:v>279.79731544873857</c:v>
                </c:pt>
                <c:pt idx="58">
                  <c:v>279.77589804591003</c:v>
                </c:pt>
                <c:pt idx="59">
                  <c:v>280.3526753762124</c:v>
                </c:pt>
                <c:pt idx="60">
                  <c:v>281.63243721582592</c:v>
                </c:pt>
                <c:pt idx="61">
                  <c:v>282.40743485273367</c:v>
                </c:pt>
                <c:pt idx="62">
                  <c:v>283.51691840059289</c:v>
                </c:pt>
                <c:pt idx="63">
                  <c:v>284.30246178565483</c:v>
                </c:pt>
                <c:pt idx="64">
                  <c:v>284.12523128341621</c:v>
                </c:pt>
                <c:pt idx="65">
                  <c:v>279.5024104027957</c:v>
                </c:pt>
                <c:pt idx="66">
                  <c:v>282.8186749834781</c:v>
                </c:pt>
                <c:pt idx="67">
                  <c:v>282.4785852919685</c:v>
                </c:pt>
                <c:pt idx="68">
                  <c:v>282.43895638078533</c:v>
                </c:pt>
                <c:pt idx="69">
                  <c:v>280.91022748660811</c:v>
                </c:pt>
                <c:pt idx="70">
                  <c:v>281.95182872981349</c:v>
                </c:pt>
                <c:pt idx="71">
                  <c:v>282.2062180602282</c:v>
                </c:pt>
                <c:pt idx="72">
                  <c:v>283.97873794544688</c:v>
                </c:pt>
                <c:pt idx="73">
                  <c:v>281.82983183647588</c:v>
                </c:pt>
                <c:pt idx="74">
                  <c:v>280.54673505093172</c:v>
                </c:pt>
                <c:pt idx="75">
                  <c:v>280.57836253847972</c:v>
                </c:pt>
                <c:pt idx="76">
                  <c:v>278.76115878352482</c:v>
                </c:pt>
                <c:pt idx="77">
                  <c:v>277.55447108085991</c:v>
                </c:pt>
                <c:pt idx="78">
                  <c:v>281.66595315991498</c:v>
                </c:pt>
                <c:pt idx="79">
                  <c:v>282.41380435411412</c:v>
                </c:pt>
                <c:pt idx="80">
                  <c:v>283.48520833809772</c:v>
                </c:pt>
                <c:pt idx="81">
                  <c:v>286.02085395705672</c:v>
                </c:pt>
                <c:pt idx="82">
                  <c:v>288.25214085845943</c:v>
                </c:pt>
                <c:pt idx="83">
                  <c:v>289.70619529413131</c:v>
                </c:pt>
                <c:pt idx="84">
                  <c:v>289.81715626027562</c:v>
                </c:pt>
                <c:pt idx="85">
                  <c:v>289.64692450002849</c:v>
                </c:pt>
                <c:pt idx="86">
                  <c:v>291.50056705932877</c:v>
                </c:pt>
                <c:pt idx="87">
                  <c:v>294.21008535566449</c:v>
                </c:pt>
                <c:pt idx="88">
                  <c:v>295.95892168518799</c:v>
                </c:pt>
                <c:pt idx="89">
                  <c:v>297.81070220774097</c:v>
                </c:pt>
                <c:pt idx="90">
                  <c:v>303.50591225905788</c:v>
                </c:pt>
                <c:pt idx="91">
                  <c:v>308.02753180391022</c:v>
                </c:pt>
                <c:pt idx="92">
                  <c:v>299.02667661151389</c:v>
                </c:pt>
                <c:pt idx="93">
                  <c:v>303.00294291799429</c:v>
                </c:pt>
                <c:pt idx="94">
                  <c:v>299.99893915260782</c:v>
                </c:pt>
                <c:pt idx="95">
                  <c:v>301.2247214880245</c:v>
                </c:pt>
                <c:pt idx="96">
                  <c:v>303.0874709138202</c:v>
                </c:pt>
                <c:pt idx="97">
                  <c:v>310.36589511536079</c:v>
                </c:pt>
                <c:pt idx="98">
                  <c:v>300.79507551287747</c:v>
                </c:pt>
                <c:pt idx="99">
                  <c:v>309.66094100397612</c:v>
                </c:pt>
                <c:pt idx="100">
                  <c:v>309.16356523819331</c:v>
                </c:pt>
                <c:pt idx="101">
                  <c:v>329.69705138454168</c:v>
                </c:pt>
                <c:pt idx="102">
                  <c:v>323.83400578563078</c:v>
                </c:pt>
                <c:pt idx="103">
                  <c:v>317.40186984610779</c:v>
                </c:pt>
                <c:pt idx="104">
                  <c:v>324.23394254363689</c:v>
                </c:pt>
                <c:pt idx="105">
                  <c:v>330.26895872937939</c:v>
                </c:pt>
                <c:pt idx="106">
                  <c:v>333.70244146533332</c:v>
                </c:pt>
                <c:pt idx="107">
                  <c:v>330.96258102117417</c:v>
                </c:pt>
                <c:pt idx="108">
                  <c:v>327.77098464626812</c:v>
                </c:pt>
                <c:pt idx="109">
                  <c:v>326.0267224883832</c:v>
                </c:pt>
                <c:pt idx="110">
                  <c:v>325.86080140054821</c:v>
                </c:pt>
                <c:pt idx="111">
                  <c:v>328.71950213693458</c:v>
                </c:pt>
                <c:pt idx="112">
                  <c:v>333.80615499342377</c:v>
                </c:pt>
                <c:pt idx="113">
                  <c:v>335.12210966739582</c:v>
                </c:pt>
                <c:pt idx="114">
                  <c:v>349.71659764073928</c:v>
                </c:pt>
                <c:pt idx="115">
                  <c:v>349.67168081755472</c:v>
                </c:pt>
                <c:pt idx="116">
                  <c:v>349.60717881560021</c:v>
                </c:pt>
                <c:pt idx="117">
                  <c:v>347.19364276093251</c:v>
                </c:pt>
                <c:pt idx="118">
                  <c:v>349.52550658827539</c:v>
                </c:pt>
                <c:pt idx="119">
                  <c:v>349.66134910963632</c:v>
                </c:pt>
                <c:pt idx="120">
                  <c:v>349.25000659772252</c:v>
                </c:pt>
                <c:pt idx="121">
                  <c:v>346.58818570081303</c:v>
                </c:pt>
                <c:pt idx="122">
                  <c:v>350.08759243772619</c:v>
                </c:pt>
                <c:pt idx="123">
                  <c:v>353.84741116463829</c:v>
                </c:pt>
                <c:pt idx="124">
                  <c:v>354.47265158709308</c:v>
                </c:pt>
                <c:pt idx="125">
                  <c:v>351.10438838846341</c:v>
                </c:pt>
                <c:pt idx="126">
                  <c:v>352.14268664933849</c:v>
                </c:pt>
                <c:pt idx="127">
                  <c:v>354.19550904036498</c:v>
                </c:pt>
                <c:pt idx="128">
                  <c:v>378.70427110375778</c:v>
                </c:pt>
                <c:pt idx="129">
                  <c:v>360.54715312802358</c:v>
                </c:pt>
                <c:pt idx="130">
                  <c:v>352.5075730613155</c:v>
                </c:pt>
                <c:pt idx="131">
                  <c:v>358.60108317475152</c:v>
                </c:pt>
                <c:pt idx="132">
                  <c:v>373.222564697113</c:v>
                </c:pt>
                <c:pt idx="133">
                  <c:v>373.61872625637977</c:v>
                </c:pt>
                <c:pt idx="134">
                  <c:v>381.76185389883352</c:v>
                </c:pt>
                <c:pt idx="135">
                  <c:v>409.91532499630591</c:v>
                </c:pt>
                <c:pt idx="136">
                  <c:v>393.70032921747583</c:v>
                </c:pt>
                <c:pt idx="137">
                  <c:v>390.03578165872801</c:v>
                </c:pt>
                <c:pt idx="138">
                  <c:v>389.24365361536172</c:v>
                </c:pt>
                <c:pt idx="139">
                  <c:v>394.41153813129051</c:v>
                </c:pt>
                <c:pt idx="140">
                  <c:v>389.04233385571939</c:v>
                </c:pt>
                <c:pt idx="141">
                  <c:v>386.85279867594249</c:v>
                </c:pt>
                <c:pt idx="142">
                  <c:v>382.21864916918071</c:v>
                </c:pt>
                <c:pt idx="143">
                  <c:v>383.773961932492</c:v>
                </c:pt>
                <c:pt idx="144">
                  <c:v>377.34283213358498</c:v>
                </c:pt>
                <c:pt idx="145">
                  <c:v>372.94993703148242</c:v>
                </c:pt>
                <c:pt idx="146">
                  <c:v>372.38210109792311</c:v>
                </c:pt>
                <c:pt idx="147">
                  <c:v>363.75179479280888</c:v>
                </c:pt>
                <c:pt idx="148">
                  <c:v>359.93553940961789</c:v>
                </c:pt>
                <c:pt idx="149">
                  <c:v>378.97788556136658</c:v>
                </c:pt>
                <c:pt idx="150">
                  <c:v>366.80868226471438</c:v>
                </c:pt>
                <c:pt idx="151">
                  <c:v>358.35472321345111</c:v>
                </c:pt>
                <c:pt idx="152">
                  <c:v>352.16100578313501</c:v>
                </c:pt>
                <c:pt idx="153">
                  <c:v>346.68458587657238</c:v>
                </c:pt>
                <c:pt idx="154">
                  <c:v>336.61031366863699</c:v>
                </c:pt>
                <c:pt idx="155">
                  <c:v>333.08922939517868</c:v>
                </c:pt>
                <c:pt idx="156">
                  <c:v>327.22109354702673</c:v>
                </c:pt>
                <c:pt idx="157">
                  <c:v>328.54751029466229</c:v>
                </c:pt>
                <c:pt idx="158">
                  <c:v>319.3464299059288</c:v>
                </c:pt>
                <c:pt idx="159">
                  <c:v>321.26050326122009</c:v>
                </c:pt>
                <c:pt idx="160">
                  <c:v>325.75853842107858</c:v>
                </c:pt>
                <c:pt idx="161">
                  <c:v>331.46729005453659</c:v>
                </c:pt>
                <c:pt idx="162">
                  <c:v>322.24300062477693</c:v>
                </c:pt>
                <c:pt idx="163">
                  <c:v>326.42213371488799</c:v>
                </c:pt>
                <c:pt idx="164">
                  <c:v>323.10384677566691</c:v>
                </c:pt>
                <c:pt idx="165">
                  <c:v>329.58896034781418</c:v>
                </c:pt>
                <c:pt idx="166">
                  <c:v>338.56250780026488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5A-4901-87BA-567C75B35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420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'Ideal - Simple'!$C$1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102927.79999980686</c:v>
                </c:pt>
                <c:pt idx="3">
                  <c:v>105035.12716926927</c:v>
                </c:pt>
                <c:pt idx="4">
                  <c:v>104289.87985744131</c:v>
                </c:pt>
                <c:pt idx="5">
                  <c:v>104184.71723073351</c:v>
                </c:pt>
                <c:pt idx="6">
                  <c:v>103724.46104780213</c:v>
                </c:pt>
                <c:pt idx="7">
                  <c:v>101969.75638458969</c:v>
                </c:pt>
                <c:pt idx="8">
                  <c:v>100709.40542101045</c:v>
                </c:pt>
                <c:pt idx="9">
                  <c:v>101601.89317753293</c:v>
                </c:pt>
                <c:pt idx="10">
                  <c:v>102614.77933538676</c:v>
                </c:pt>
                <c:pt idx="11">
                  <c:v>105061.8280654273</c:v>
                </c:pt>
                <c:pt idx="12">
                  <c:v>103985.05463425969</c:v>
                </c:pt>
                <c:pt idx="13">
                  <c:v>106183.87288572815</c:v>
                </c:pt>
                <c:pt idx="14">
                  <c:v>106848.17815478412</c:v>
                </c:pt>
                <c:pt idx="15">
                  <c:v>106467.6848524528</c:v>
                </c:pt>
                <c:pt idx="16">
                  <c:v>109301.06441917502</c:v>
                </c:pt>
                <c:pt idx="17">
                  <c:v>110983.90047500498</c:v>
                </c:pt>
                <c:pt idx="18">
                  <c:v>110768.85945070397</c:v>
                </c:pt>
                <c:pt idx="19">
                  <c:v>110169.29046366015</c:v>
                </c:pt>
                <c:pt idx="20">
                  <c:v>111910.14981171828</c:v>
                </c:pt>
                <c:pt idx="21">
                  <c:v>113860.78117833451</c:v>
                </c:pt>
                <c:pt idx="22">
                  <c:v>111748.09650581595</c:v>
                </c:pt>
                <c:pt idx="23">
                  <c:v>112208.23411271939</c:v>
                </c:pt>
                <c:pt idx="24">
                  <c:v>112250.91296857156</c:v>
                </c:pt>
                <c:pt idx="25">
                  <c:v>109511.49773515633</c:v>
                </c:pt>
                <c:pt idx="26">
                  <c:v>111754.54079297578</c:v>
                </c:pt>
                <c:pt idx="27">
                  <c:v>115492.88138009422</c:v>
                </c:pt>
                <c:pt idx="28">
                  <c:v>115024.85533862641</c:v>
                </c:pt>
                <c:pt idx="29">
                  <c:v>113587.15991967793</c:v>
                </c:pt>
                <c:pt idx="30">
                  <c:v>113676.59377667397</c:v>
                </c:pt>
                <c:pt idx="31">
                  <c:v>113441.76508192772</c:v>
                </c:pt>
                <c:pt idx="32">
                  <c:v>114130.7355409491</c:v>
                </c:pt>
                <c:pt idx="33">
                  <c:v>113571.68509195693</c:v>
                </c:pt>
                <c:pt idx="34">
                  <c:v>114231.84084270855</c:v>
                </c:pt>
                <c:pt idx="35">
                  <c:v>115150.98305871942</c:v>
                </c:pt>
                <c:pt idx="36">
                  <c:v>115444.37839754492</c:v>
                </c:pt>
                <c:pt idx="37">
                  <c:v>115238.18220527649</c:v>
                </c:pt>
                <c:pt idx="38">
                  <c:v>114207.31229252892</c:v>
                </c:pt>
                <c:pt idx="39">
                  <c:v>114418.28868630089</c:v>
                </c:pt>
                <c:pt idx="40">
                  <c:v>112571.13776771801</c:v>
                </c:pt>
                <c:pt idx="41">
                  <c:v>114417.29015948983</c:v>
                </c:pt>
                <c:pt idx="42">
                  <c:v>115650.06684273959</c:v>
                </c:pt>
                <c:pt idx="43">
                  <c:v>115827.35272972628</c:v>
                </c:pt>
                <c:pt idx="44">
                  <c:v>115058.23232845376</c:v>
                </c:pt>
                <c:pt idx="45">
                  <c:v>114926.29270076279</c:v>
                </c:pt>
                <c:pt idx="46">
                  <c:v>116336.69562343696</c:v>
                </c:pt>
                <c:pt idx="47">
                  <c:v>115374.74883780802</c:v>
                </c:pt>
                <c:pt idx="48">
                  <c:v>117991.3419317809</c:v>
                </c:pt>
                <c:pt idx="49">
                  <c:v>119372.77139276553</c:v>
                </c:pt>
                <c:pt idx="50">
                  <c:v>121432.2984582926</c:v>
                </c:pt>
                <c:pt idx="51">
                  <c:v>117265.6070853588</c:v>
                </c:pt>
                <c:pt idx="52">
                  <c:v>116840.86618353827</c:v>
                </c:pt>
                <c:pt idx="53">
                  <c:v>118667.70943575267</c:v>
                </c:pt>
                <c:pt idx="54">
                  <c:v>119098.46217910583</c:v>
                </c:pt>
                <c:pt idx="55">
                  <c:v>118600.78774434864</c:v>
                </c:pt>
                <c:pt idx="56">
                  <c:v>118652.38210010178</c:v>
                </c:pt>
                <c:pt idx="57">
                  <c:v>119767.50682973408</c:v>
                </c:pt>
                <c:pt idx="58">
                  <c:v>121262.07711772951</c:v>
                </c:pt>
                <c:pt idx="59">
                  <c:v>121080.22505101454</c:v>
                </c:pt>
                <c:pt idx="60">
                  <c:v>120605.04414775176</c:v>
                </c:pt>
                <c:pt idx="61">
                  <c:v>120584.96286353863</c:v>
                </c:pt>
                <c:pt idx="62">
                  <c:v>118967.90756944173</c:v>
                </c:pt>
                <c:pt idx="63">
                  <c:v>118687.80582007897</c:v>
                </c:pt>
                <c:pt idx="64">
                  <c:v>118815.96852284762</c:v>
                </c:pt>
                <c:pt idx="65">
                  <c:v>118280.03515803309</c:v>
                </c:pt>
                <c:pt idx="66">
                  <c:v>121427.18034072797</c:v>
                </c:pt>
                <c:pt idx="67">
                  <c:v>121499.00673598227</c:v>
                </c:pt>
                <c:pt idx="68">
                  <c:v>120511.27637058958</c:v>
                </c:pt>
                <c:pt idx="69">
                  <c:v>120108.39522420013</c:v>
                </c:pt>
                <c:pt idx="70">
                  <c:v>122321.20750703695</c:v>
                </c:pt>
                <c:pt idx="71">
                  <c:v>122592.23512268295</c:v>
                </c:pt>
                <c:pt idx="72">
                  <c:v>123015.55286954065</c:v>
                </c:pt>
                <c:pt idx="73">
                  <c:v>124078.40184100943</c:v>
                </c:pt>
                <c:pt idx="74">
                  <c:v>124968.02344088348</c:v>
                </c:pt>
                <c:pt idx="75">
                  <c:v>125289.85205839339</c:v>
                </c:pt>
                <c:pt idx="76">
                  <c:v>125606.82906383483</c:v>
                </c:pt>
                <c:pt idx="77">
                  <c:v>125661.1170275202</c:v>
                </c:pt>
                <c:pt idx="78">
                  <c:v>126877.99176790549</c:v>
                </c:pt>
                <c:pt idx="79">
                  <c:v>127261.49704561768</c:v>
                </c:pt>
                <c:pt idx="80">
                  <c:v>124367.66646501177</c:v>
                </c:pt>
                <c:pt idx="81">
                  <c:v>123216.28911583625</c:v>
                </c:pt>
                <c:pt idx="82">
                  <c:v>123588.53353999172</c:v>
                </c:pt>
                <c:pt idx="83">
                  <c:v>124373.32335552823</c:v>
                </c:pt>
                <c:pt idx="84">
                  <c:v>125204.72967680552</c:v>
                </c:pt>
                <c:pt idx="85">
                  <c:v>125463.1201913878</c:v>
                </c:pt>
                <c:pt idx="86">
                  <c:v>123749.71927138847</c:v>
                </c:pt>
                <c:pt idx="87">
                  <c:v>124209.78064957551</c:v>
                </c:pt>
                <c:pt idx="88">
                  <c:v>124483.14201649718</c:v>
                </c:pt>
                <c:pt idx="89">
                  <c:v>123407.37231638878</c:v>
                </c:pt>
                <c:pt idx="90">
                  <c:v>123441.67734484412</c:v>
                </c:pt>
                <c:pt idx="91">
                  <c:v>123853.03558001501</c:v>
                </c:pt>
                <c:pt idx="92">
                  <c:v>123704.66840212075</c:v>
                </c:pt>
                <c:pt idx="93">
                  <c:v>123129.28601265029</c:v>
                </c:pt>
                <c:pt idx="94">
                  <c:v>122503.37187155975</c:v>
                </c:pt>
                <c:pt idx="95">
                  <c:v>121241.76934128223</c:v>
                </c:pt>
                <c:pt idx="96">
                  <c:v>120801.94697182332</c:v>
                </c:pt>
                <c:pt idx="97">
                  <c:v>119861.14728604168</c:v>
                </c:pt>
                <c:pt idx="98">
                  <c:v>118388.09732197582</c:v>
                </c:pt>
                <c:pt idx="99">
                  <c:v>118572.90060379225</c:v>
                </c:pt>
                <c:pt idx="100">
                  <c:v>119336.59504437278</c:v>
                </c:pt>
                <c:pt idx="101">
                  <c:v>122068.62964794427</c:v>
                </c:pt>
                <c:pt idx="102">
                  <c:v>123344.06962887167</c:v>
                </c:pt>
                <c:pt idx="103">
                  <c:v>122284.6618547223</c:v>
                </c:pt>
                <c:pt idx="104">
                  <c:v>124274.73715980601</c:v>
                </c:pt>
                <c:pt idx="105">
                  <c:v>124626.29142876463</c:v>
                </c:pt>
                <c:pt idx="106">
                  <c:v>124851.49323064707</c:v>
                </c:pt>
                <c:pt idx="107">
                  <c:v>124335.58581909811</c:v>
                </c:pt>
                <c:pt idx="108">
                  <c:v>121867.31896546199</c:v>
                </c:pt>
                <c:pt idx="109">
                  <c:v>122242.50945267591</c:v>
                </c:pt>
                <c:pt idx="110">
                  <c:v>122886.24001464665</c:v>
                </c:pt>
                <c:pt idx="111">
                  <c:v>123938.3041378997</c:v>
                </c:pt>
                <c:pt idx="112">
                  <c:v>123911.37049753964</c:v>
                </c:pt>
                <c:pt idx="113">
                  <c:v>124796.73206729317</c:v>
                </c:pt>
                <c:pt idx="114">
                  <c:v>127975.37937019773</c:v>
                </c:pt>
                <c:pt idx="115">
                  <c:v>130493.74792231442</c:v>
                </c:pt>
                <c:pt idx="116">
                  <c:v>130835.51762803641</c:v>
                </c:pt>
                <c:pt idx="117">
                  <c:v>130048.59301329256</c:v>
                </c:pt>
                <c:pt idx="118">
                  <c:v>131748.16795227223</c:v>
                </c:pt>
                <c:pt idx="119">
                  <c:v>131574.74639375688</c:v>
                </c:pt>
                <c:pt idx="120">
                  <c:v>133071.07552815767</c:v>
                </c:pt>
                <c:pt idx="121">
                  <c:v>132318.3799571463</c:v>
                </c:pt>
                <c:pt idx="122">
                  <c:v>132736.91954097792</c:v>
                </c:pt>
                <c:pt idx="123">
                  <c:v>132808.58016405508</c:v>
                </c:pt>
                <c:pt idx="124">
                  <c:v>133532.35590234242</c:v>
                </c:pt>
                <c:pt idx="125">
                  <c:v>133754.91216404669</c:v>
                </c:pt>
                <c:pt idx="126">
                  <c:v>132835.86090188759</c:v>
                </c:pt>
                <c:pt idx="127">
                  <c:v>131696.32605124748</c:v>
                </c:pt>
                <c:pt idx="128">
                  <c:v>132537.23542018238</c:v>
                </c:pt>
                <c:pt idx="129">
                  <c:v>133373.84392096673</c:v>
                </c:pt>
                <c:pt idx="130">
                  <c:v>132960.09364535773</c:v>
                </c:pt>
                <c:pt idx="131">
                  <c:v>132716.44047045984</c:v>
                </c:pt>
                <c:pt idx="132">
                  <c:v>131791.61785917776</c:v>
                </c:pt>
                <c:pt idx="133">
                  <c:v>132438.62037625792</c:v>
                </c:pt>
                <c:pt idx="134">
                  <c:v>132448.52851399349</c:v>
                </c:pt>
                <c:pt idx="135">
                  <c:v>128449.75655880736</c:v>
                </c:pt>
                <c:pt idx="136">
                  <c:v>130257.81551572346</c:v>
                </c:pt>
                <c:pt idx="137">
                  <c:v>132166.16465115588</c:v>
                </c:pt>
                <c:pt idx="138">
                  <c:v>133745.19350240371</c:v>
                </c:pt>
                <c:pt idx="139">
                  <c:v>133937.24479335119</c:v>
                </c:pt>
                <c:pt idx="140">
                  <c:v>132890.19308634318</c:v>
                </c:pt>
                <c:pt idx="141">
                  <c:v>133922.35163614259</c:v>
                </c:pt>
                <c:pt idx="142">
                  <c:v>136761.86814807114</c:v>
                </c:pt>
                <c:pt idx="143">
                  <c:v>135354.76224844129</c:v>
                </c:pt>
                <c:pt idx="144">
                  <c:v>135661.80933903207</c:v>
                </c:pt>
                <c:pt idx="145">
                  <c:v>135272.35316046386</c:v>
                </c:pt>
                <c:pt idx="146">
                  <c:v>137003.42264324322</c:v>
                </c:pt>
                <c:pt idx="147">
                  <c:v>137198.31823887565</c:v>
                </c:pt>
                <c:pt idx="148">
                  <c:v>138440.9626538654</c:v>
                </c:pt>
                <c:pt idx="149">
                  <c:v>138064.04051711067</c:v>
                </c:pt>
                <c:pt idx="150">
                  <c:v>138363.73405933459</c:v>
                </c:pt>
                <c:pt idx="151">
                  <c:v>139657.76774689773</c:v>
                </c:pt>
                <c:pt idx="152">
                  <c:v>138694.97667694773</c:v>
                </c:pt>
                <c:pt idx="153">
                  <c:v>138968.48948144494</c:v>
                </c:pt>
                <c:pt idx="154">
                  <c:v>139771.42510883673</c:v>
                </c:pt>
                <c:pt idx="155">
                  <c:v>139440.31751370407</c:v>
                </c:pt>
                <c:pt idx="156">
                  <c:v>139275.38949874614</c:v>
                </c:pt>
                <c:pt idx="157">
                  <c:v>138044.17438464213</c:v>
                </c:pt>
                <c:pt idx="158">
                  <c:v>138731.4704029604</c:v>
                </c:pt>
                <c:pt idx="159">
                  <c:v>139993.3042317871</c:v>
                </c:pt>
                <c:pt idx="160">
                  <c:v>139051.7341331605</c:v>
                </c:pt>
                <c:pt idx="161">
                  <c:v>140032.34768635887</c:v>
                </c:pt>
                <c:pt idx="162">
                  <c:v>143880.30306161242</c:v>
                </c:pt>
                <c:pt idx="163">
                  <c:v>144337.79887770722</c:v>
                </c:pt>
                <c:pt idx="164">
                  <c:v>143815.68570146072</c:v>
                </c:pt>
                <c:pt idx="165">
                  <c:v>145770.59178601412</c:v>
                </c:pt>
                <c:pt idx="166">
                  <c:v>145822.41108548766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91-4373-ABAF-D07601F85895}"/>
            </c:ext>
          </c:extLst>
        </c:ser>
        <c:ser>
          <c:idx val="1"/>
          <c:order val="1"/>
          <c:tx>
            <c:strRef>
              <c:f>'Ideal - Simple'!$D$1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102927.79999980686</c:v>
                </c:pt>
                <c:pt idx="3">
                  <c:v>105035.12716926927</c:v>
                </c:pt>
                <c:pt idx="4">
                  <c:v>104289.87985744131</c:v>
                </c:pt>
                <c:pt idx="5">
                  <c:v>104184.71723073351</c:v>
                </c:pt>
                <c:pt idx="6">
                  <c:v>103724.46104780213</c:v>
                </c:pt>
                <c:pt idx="7">
                  <c:v>101969.75638458969</c:v>
                </c:pt>
                <c:pt idx="8">
                  <c:v>100709.40542101045</c:v>
                </c:pt>
                <c:pt idx="9">
                  <c:v>99804.917664487977</c:v>
                </c:pt>
                <c:pt idx="10">
                  <c:v>98780.031506634143</c:v>
                </c:pt>
                <c:pt idx="11">
                  <c:v>101227.08023667468</c:v>
                </c:pt>
                <c:pt idx="12">
                  <c:v>100150.30680550708</c:v>
                </c:pt>
                <c:pt idx="13">
                  <c:v>102349.12505697554</c:v>
                </c:pt>
                <c:pt idx="14">
                  <c:v>103013.43032603151</c:v>
                </c:pt>
                <c:pt idx="15">
                  <c:v>103381.92362836283</c:v>
                </c:pt>
                <c:pt idx="16">
                  <c:v>106215.30319508504</c:v>
                </c:pt>
                <c:pt idx="17">
                  <c:v>107898.139250915</c:v>
                </c:pt>
                <c:pt idx="18">
                  <c:v>107683.09822661399</c:v>
                </c:pt>
                <c:pt idx="19">
                  <c:v>107083.52923957017</c:v>
                </c:pt>
                <c:pt idx="20">
                  <c:v>108824.3885876283</c:v>
                </c:pt>
                <c:pt idx="21">
                  <c:v>110775.01995424453</c:v>
                </c:pt>
                <c:pt idx="22">
                  <c:v>108662.33528172597</c:v>
                </c:pt>
                <c:pt idx="23">
                  <c:v>109122.47288862942</c:v>
                </c:pt>
                <c:pt idx="24">
                  <c:v>109165.15174448158</c:v>
                </c:pt>
                <c:pt idx="25">
                  <c:v>106425.73651106635</c:v>
                </c:pt>
                <c:pt idx="26">
                  <c:v>108668.7795688858</c:v>
                </c:pt>
                <c:pt idx="27">
                  <c:v>112407.12015600424</c:v>
                </c:pt>
                <c:pt idx="28">
                  <c:v>111939.09411453643</c:v>
                </c:pt>
                <c:pt idx="29">
                  <c:v>110501.39869558795</c:v>
                </c:pt>
                <c:pt idx="30">
                  <c:v>110590.83255258399</c:v>
                </c:pt>
                <c:pt idx="31">
                  <c:v>110356.00385783774</c:v>
                </c:pt>
                <c:pt idx="32">
                  <c:v>111044.97431685912</c:v>
                </c:pt>
                <c:pt idx="33">
                  <c:v>111592.0247658513</c:v>
                </c:pt>
                <c:pt idx="34">
                  <c:v>112252.18051660292</c:v>
                </c:pt>
                <c:pt idx="35">
                  <c:v>113171.32273261379</c:v>
                </c:pt>
                <c:pt idx="36">
                  <c:v>112865.92739378828</c:v>
                </c:pt>
                <c:pt idx="37">
                  <c:v>112659.73120151985</c:v>
                </c:pt>
                <c:pt idx="38">
                  <c:v>111628.86128877228</c:v>
                </c:pt>
                <c:pt idx="39">
                  <c:v>111839.83768254425</c:v>
                </c:pt>
                <c:pt idx="40">
                  <c:v>109992.68676396138</c:v>
                </c:pt>
                <c:pt idx="41">
                  <c:v>111838.83915573319</c:v>
                </c:pt>
                <c:pt idx="42">
                  <c:v>113071.61583898295</c:v>
                </c:pt>
                <c:pt idx="43">
                  <c:v>113248.90172596964</c:v>
                </c:pt>
                <c:pt idx="44">
                  <c:v>112479.78132469712</c:v>
                </c:pt>
                <c:pt idx="45">
                  <c:v>112347.84169700615</c:v>
                </c:pt>
                <c:pt idx="46">
                  <c:v>113758.24461968032</c:v>
                </c:pt>
                <c:pt idx="47">
                  <c:v>112796.29783405138</c:v>
                </c:pt>
                <c:pt idx="48">
                  <c:v>115412.89092802427</c:v>
                </c:pt>
                <c:pt idx="49">
                  <c:v>116794.32038900889</c:v>
                </c:pt>
                <c:pt idx="50">
                  <c:v>118853.84745453596</c:v>
                </c:pt>
                <c:pt idx="51">
                  <c:v>114687.15608160217</c:v>
                </c:pt>
                <c:pt idx="52">
                  <c:v>114262.41517978163</c:v>
                </c:pt>
                <c:pt idx="53">
                  <c:v>116089.25843199603</c:v>
                </c:pt>
                <c:pt idx="54">
                  <c:v>116520.01117534919</c:v>
                </c:pt>
                <c:pt idx="55">
                  <c:v>116022.336740592</c:v>
                </c:pt>
                <c:pt idx="56">
                  <c:v>116073.93109634514</c:v>
                </c:pt>
                <c:pt idx="57">
                  <c:v>117189.05582597744</c:v>
                </c:pt>
                <c:pt idx="58">
                  <c:v>118683.62611397287</c:v>
                </c:pt>
                <c:pt idx="59">
                  <c:v>118501.7740472579</c:v>
                </c:pt>
                <c:pt idx="60">
                  <c:v>118026.59314399512</c:v>
                </c:pt>
                <c:pt idx="61">
                  <c:v>118006.511859782</c:v>
                </c:pt>
                <c:pt idx="62">
                  <c:v>116389.45656568509</c:v>
                </c:pt>
                <c:pt idx="63">
                  <c:v>116109.35481632233</c:v>
                </c:pt>
                <c:pt idx="64">
                  <c:v>116237.51751909098</c:v>
                </c:pt>
                <c:pt idx="65">
                  <c:v>115701.58415427645</c:v>
                </c:pt>
                <c:pt idx="66">
                  <c:v>118848.72933697133</c:v>
                </c:pt>
                <c:pt idx="67">
                  <c:v>118920.55573222564</c:v>
                </c:pt>
                <c:pt idx="68">
                  <c:v>117932.82536683294</c:v>
                </c:pt>
                <c:pt idx="69">
                  <c:v>117529.94422044349</c:v>
                </c:pt>
                <c:pt idx="70">
                  <c:v>119742.75650328031</c:v>
                </c:pt>
                <c:pt idx="71">
                  <c:v>120013.78411892631</c:v>
                </c:pt>
                <c:pt idx="72">
                  <c:v>120437.10186578402</c:v>
                </c:pt>
                <c:pt idx="73">
                  <c:v>121499.95083725279</c:v>
                </c:pt>
                <c:pt idx="74">
                  <c:v>122389.57243712684</c:v>
                </c:pt>
                <c:pt idx="75">
                  <c:v>122711.40105463675</c:v>
                </c:pt>
                <c:pt idx="76">
                  <c:v>123028.37806007819</c:v>
                </c:pt>
                <c:pt idx="77">
                  <c:v>123082.66602376357</c:v>
                </c:pt>
                <c:pt idx="78">
                  <c:v>124299.54076414886</c:v>
                </c:pt>
                <c:pt idx="79">
                  <c:v>124683.04604186105</c:v>
                </c:pt>
                <c:pt idx="80">
                  <c:v>121789.21546125514</c:v>
                </c:pt>
                <c:pt idx="81">
                  <c:v>120637.83811207961</c:v>
                </c:pt>
                <c:pt idx="82">
                  <c:v>121010.08253623509</c:v>
                </c:pt>
                <c:pt idx="83">
                  <c:v>121794.8723517716</c:v>
                </c:pt>
                <c:pt idx="84">
                  <c:v>122626.27867304889</c:v>
                </c:pt>
                <c:pt idx="85">
                  <c:v>122884.66918763117</c:v>
                </c:pt>
                <c:pt idx="86">
                  <c:v>121171.26826763184</c:v>
                </c:pt>
                <c:pt idx="87">
                  <c:v>121631.32964581887</c:v>
                </c:pt>
                <c:pt idx="88">
                  <c:v>121904.69101274054</c:v>
                </c:pt>
                <c:pt idx="89">
                  <c:v>122968.46071284894</c:v>
                </c:pt>
                <c:pt idx="90">
                  <c:v>122922.1556843936</c:v>
                </c:pt>
                <c:pt idx="91">
                  <c:v>122498.79744922271</c:v>
                </c:pt>
                <c:pt idx="92">
                  <c:v>122635.16462711697</c:v>
                </c:pt>
                <c:pt idx="93">
                  <c:v>122059.78223764652</c:v>
                </c:pt>
                <c:pt idx="94">
                  <c:v>121433.86809655598</c:v>
                </c:pt>
                <c:pt idx="95">
                  <c:v>120172.26556627845</c:v>
                </c:pt>
                <c:pt idx="96">
                  <c:v>119732.44319681954</c:v>
                </c:pt>
                <c:pt idx="97">
                  <c:v>118791.64351103791</c:v>
                </c:pt>
                <c:pt idx="98">
                  <c:v>117318.59354697204</c:v>
                </c:pt>
                <c:pt idx="99">
                  <c:v>117503.39682878848</c:v>
                </c:pt>
                <c:pt idx="100">
                  <c:v>118267.091269369</c:v>
                </c:pt>
                <c:pt idx="101">
                  <c:v>120999.12587294049</c:v>
                </c:pt>
                <c:pt idx="102">
                  <c:v>119711.68589201309</c:v>
                </c:pt>
                <c:pt idx="103">
                  <c:v>118652.27811786372</c:v>
                </c:pt>
                <c:pt idx="104">
                  <c:v>120642.35342294743</c:v>
                </c:pt>
                <c:pt idx="105">
                  <c:v>120278.79915398882</c:v>
                </c:pt>
                <c:pt idx="106">
                  <c:v>120041.59735210637</c:v>
                </c:pt>
                <c:pt idx="107">
                  <c:v>120545.50476365534</c:v>
                </c:pt>
                <c:pt idx="108">
                  <c:v>118077.23791001922</c:v>
                </c:pt>
                <c:pt idx="109">
                  <c:v>118452.42839723313</c:v>
                </c:pt>
                <c:pt idx="110">
                  <c:v>119096.15895920388</c:v>
                </c:pt>
                <c:pt idx="111">
                  <c:v>120148.22308245693</c:v>
                </c:pt>
                <c:pt idx="112">
                  <c:v>120121.28944209687</c:v>
                </c:pt>
                <c:pt idx="113">
                  <c:v>121006.65101185039</c:v>
                </c:pt>
                <c:pt idx="114">
                  <c:v>124185.29831475495</c:v>
                </c:pt>
                <c:pt idx="115">
                  <c:v>126703.66686687164</c:v>
                </c:pt>
                <c:pt idx="116">
                  <c:v>127045.43657259364</c:v>
                </c:pt>
                <c:pt idx="117">
                  <c:v>126258.51195784978</c:v>
                </c:pt>
                <c:pt idx="118">
                  <c:v>127958.08689682945</c:v>
                </c:pt>
                <c:pt idx="119">
                  <c:v>127784.66533831412</c:v>
                </c:pt>
                <c:pt idx="120">
                  <c:v>129280.99447271491</c:v>
                </c:pt>
                <c:pt idx="121">
                  <c:v>128528.29890170356</c:v>
                </c:pt>
                <c:pt idx="122">
                  <c:v>128946.83848553516</c:v>
                </c:pt>
                <c:pt idx="123">
                  <c:v>129018.4991086123</c:v>
                </c:pt>
                <c:pt idx="124">
                  <c:v>129742.27484689963</c:v>
                </c:pt>
                <c:pt idx="125">
                  <c:v>129964.83110860392</c:v>
                </c:pt>
                <c:pt idx="126">
                  <c:v>129045.77984644481</c:v>
                </c:pt>
                <c:pt idx="127">
                  <c:v>127906.24499580471</c:v>
                </c:pt>
                <c:pt idx="128">
                  <c:v>128747.1543647396</c:v>
                </c:pt>
                <c:pt idx="129">
                  <c:v>129583.76286552394</c:v>
                </c:pt>
                <c:pt idx="130">
                  <c:v>129170.01258991494</c:v>
                </c:pt>
                <c:pt idx="131">
                  <c:v>128926.35941501705</c:v>
                </c:pt>
                <c:pt idx="132">
                  <c:v>128001.53680373497</c:v>
                </c:pt>
                <c:pt idx="133">
                  <c:v>128648.53932081515</c:v>
                </c:pt>
                <c:pt idx="134">
                  <c:v>128658.4474585507</c:v>
                </c:pt>
                <c:pt idx="135">
                  <c:v>124659.67550336457</c:v>
                </c:pt>
                <c:pt idx="136">
                  <c:v>126467.73446028067</c:v>
                </c:pt>
                <c:pt idx="137">
                  <c:v>128376.08359571309</c:v>
                </c:pt>
                <c:pt idx="138">
                  <c:v>129955.11244696092</c:v>
                </c:pt>
                <c:pt idx="139">
                  <c:v>130147.16373790838</c:v>
                </c:pt>
                <c:pt idx="140">
                  <c:v>129100.11203090036</c:v>
                </c:pt>
                <c:pt idx="141">
                  <c:v>130132.27058069975</c:v>
                </c:pt>
                <c:pt idx="142">
                  <c:v>132971.78709262831</c:v>
                </c:pt>
                <c:pt idx="143">
                  <c:v>131564.68119299845</c:v>
                </c:pt>
                <c:pt idx="144">
                  <c:v>131871.72828358924</c:v>
                </c:pt>
                <c:pt idx="145">
                  <c:v>131482.27210502102</c:v>
                </c:pt>
                <c:pt idx="146">
                  <c:v>133213.34158780039</c:v>
                </c:pt>
                <c:pt idx="147">
                  <c:v>133408.23718343282</c:v>
                </c:pt>
                <c:pt idx="148">
                  <c:v>134650.88159842257</c:v>
                </c:pt>
                <c:pt idx="149">
                  <c:v>134273.95946166784</c:v>
                </c:pt>
                <c:pt idx="150">
                  <c:v>134573.65300389176</c:v>
                </c:pt>
                <c:pt idx="151">
                  <c:v>135867.6866914549</c:v>
                </c:pt>
                <c:pt idx="152">
                  <c:v>134904.8956215049</c:v>
                </c:pt>
                <c:pt idx="153">
                  <c:v>135178.4084260021</c:v>
                </c:pt>
                <c:pt idx="154">
                  <c:v>135981.3440533939</c:v>
                </c:pt>
                <c:pt idx="155">
                  <c:v>135650.23645826124</c:v>
                </c:pt>
                <c:pt idx="156">
                  <c:v>135485.30844330331</c:v>
                </c:pt>
                <c:pt idx="157">
                  <c:v>134254.0933291993</c:v>
                </c:pt>
                <c:pt idx="158">
                  <c:v>134941.38934751757</c:v>
                </c:pt>
                <c:pt idx="159">
                  <c:v>136203.22317634427</c:v>
                </c:pt>
                <c:pt idx="160">
                  <c:v>135261.65307771767</c:v>
                </c:pt>
                <c:pt idx="161">
                  <c:v>136242.26663091604</c:v>
                </c:pt>
                <c:pt idx="162">
                  <c:v>140090.22200616958</c:v>
                </c:pt>
                <c:pt idx="163">
                  <c:v>140547.71782226439</c:v>
                </c:pt>
                <c:pt idx="164">
                  <c:v>140025.60464601789</c:v>
                </c:pt>
                <c:pt idx="165">
                  <c:v>141980.51073057129</c:v>
                </c:pt>
                <c:pt idx="166">
                  <c:v>142032.33003004483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91-4373-ABAF-D07601F85895}"/>
            </c:ext>
          </c:extLst>
        </c:ser>
        <c:ser>
          <c:idx val="2"/>
          <c:order val="2"/>
          <c:tx>
            <c:strRef>
              <c:f>'Ideal - Simple'!$E$1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99862.319970570854</c:v>
                </c:pt>
                <c:pt idx="3">
                  <c:v>97742.992801108441</c:v>
                </c:pt>
                <c:pt idx="4">
                  <c:v>98476.240112936401</c:v>
                </c:pt>
                <c:pt idx="5">
                  <c:v>98569.402739644196</c:v>
                </c:pt>
                <c:pt idx="6">
                  <c:v>99017.658922575574</c:v>
                </c:pt>
                <c:pt idx="7">
                  <c:v>97262.954259363134</c:v>
                </c:pt>
                <c:pt idx="8">
                  <c:v>96002.603295783891</c:v>
                </c:pt>
                <c:pt idx="9">
                  <c:v>95098.115539261416</c:v>
                </c:pt>
                <c:pt idx="10">
                  <c:v>94073.229381407582</c:v>
                </c:pt>
                <c:pt idx="11">
                  <c:v>96520.278111448119</c:v>
                </c:pt>
                <c:pt idx="12">
                  <c:v>95443.504680280515</c:v>
                </c:pt>
                <c:pt idx="13">
                  <c:v>97642.322931748975</c:v>
                </c:pt>
                <c:pt idx="14">
                  <c:v>96966.017662693004</c:v>
                </c:pt>
                <c:pt idx="15">
                  <c:v>97334.510965024325</c:v>
                </c:pt>
                <c:pt idx="16">
                  <c:v>100167.89053174654</c:v>
                </c:pt>
                <c:pt idx="17">
                  <c:v>101850.7265875765</c:v>
                </c:pt>
                <c:pt idx="18">
                  <c:v>101635.68556327549</c:v>
                </c:pt>
                <c:pt idx="19">
                  <c:v>101036.11657623167</c:v>
                </c:pt>
                <c:pt idx="20">
                  <c:v>102776.9759242898</c:v>
                </c:pt>
                <c:pt idx="21">
                  <c:v>104727.60729090603</c:v>
                </c:pt>
                <c:pt idx="22">
                  <c:v>102614.92261838747</c:v>
                </c:pt>
                <c:pt idx="23">
                  <c:v>103075.06022529092</c:v>
                </c:pt>
                <c:pt idx="24">
                  <c:v>103020.38136943875</c:v>
                </c:pt>
                <c:pt idx="25">
                  <c:v>100280.96613602352</c:v>
                </c:pt>
                <c:pt idx="26">
                  <c:v>102524.00919384297</c:v>
                </c:pt>
                <c:pt idx="27">
                  <c:v>106262.34978096141</c:v>
                </c:pt>
                <c:pt idx="28">
                  <c:v>106718.37582242921</c:v>
                </c:pt>
                <c:pt idx="29">
                  <c:v>105280.68040348073</c:v>
                </c:pt>
                <c:pt idx="30">
                  <c:v>105370.11426047677</c:v>
                </c:pt>
                <c:pt idx="31">
                  <c:v>105135.28556573052</c:v>
                </c:pt>
                <c:pt idx="32">
                  <c:v>104434.31510670914</c:v>
                </c:pt>
                <c:pt idx="33">
                  <c:v>103875.26465771697</c:v>
                </c:pt>
                <c:pt idx="34">
                  <c:v>103203.10890696534</c:v>
                </c:pt>
                <c:pt idx="35">
                  <c:v>102271.96669095448</c:v>
                </c:pt>
                <c:pt idx="36">
                  <c:v>102565.36202977998</c:v>
                </c:pt>
                <c:pt idx="37">
                  <c:v>102359.16583751155</c:v>
                </c:pt>
                <c:pt idx="38">
                  <c:v>103378.03575025912</c:v>
                </c:pt>
                <c:pt idx="39">
                  <c:v>103155.05935648715</c:v>
                </c:pt>
                <c:pt idx="40">
                  <c:v>104990.21027507003</c:v>
                </c:pt>
                <c:pt idx="41">
                  <c:v>103132.05788329821</c:v>
                </c:pt>
                <c:pt idx="42">
                  <c:v>101887.28120004846</c:v>
                </c:pt>
                <c:pt idx="43">
                  <c:v>101697.99531306177</c:v>
                </c:pt>
                <c:pt idx="44">
                  <c:v>102455.11571433429</c:v>
                </c:pt>
                <c:pt idx="45">
                  <c:v>102575.05534202525</c:v>
                </c:pt>
                <c:pt idx="46">
                  <c:v>103985.45826469942</c:v>
                </c:pt>
                <c:pt idx="47">
                  <c:v>104935.40505032837</c:v>
                </c:pt>
                <c:pt idx="48">
                  <c:v>102306.81195635548</c:v>
                </c:pt>
                <c:pt idx="49">
                  <c:v>100913.38249537085</c:v>
                </c:pt>
                <c:pt idx="50">
                  <c:v>98841.855429843781</c:v>
                </c:pt>
                <c:pt idx="51">
                  <c:v>94675.164056909984</c:v>
                </c:pt>
                <c:pt idx="52">
                  <c:v>94250.423155089447</c:v>
                </c:pt>
                <c:pt idx="53">
                  <c:v>96077.266407303847</c:v>
                </c:pt>
                <c:pt idx="54">
                  <c:v>96508.019150657012</c:v>
                </c:pt>
                <c:pt idx="55">
                  <c:v>96993.693585414207</c:v>
                </c:pt>
                <c:pt idx="56">
                  <c:v>97045.287941167349</c:v>
                </c:pt>
                <c:pt idx="57">
                  <c:v>95918.163211535051</c:v>
                </c:pt>
                <c:pt idx="58">
                  <c:v>97412.733499530485</c:v>
                </c:pt>
                <c:pt idx="59">
                  <c:v>97582.585566245456</c:v>
                </c:pt>
                <c:pt idx="60">
                  <c:v>97107.404662982677</c:v>
                </c:pt>
                <c:pt idx="61">
                  <c:v>97087.32337876955</c:v>
                </c:pt>
                <c:pt idx="62">
                  <c:v>98692.378672866456</c:v>
                </c:pt>
                <c:pt idx="63">
                  <c:v>98412.276923503698</c:v>
                </c:pt>
                <c:pt idx="64">
                  <c:v>98272.114220735049</c:v>
                </c:pt>
                <c:pt idx="65">
                  <c:v>98796.047585549575</c:v>
                </c:pt>
                <c:pt idx="66">
                  <c:v>95636.902402854699</c:v>
                </c:pt>
                <c:pt idx="67">
                  <c:v>95553.076007600393</c:v>
                </c:pt>
                <c:pt idx="68">
                  <c:v>96528.806372993087</c:v>
                </c:pt>
                <c:pt idx="69">
                  <c:v>96919.68751938254</c:v>
                </c:pt>
                <c:pt idx="70">
                  <c:v>94694.875236545719</c:v>
                </c:pt>
                <c:pt idx="71">
                  <c:v>94965.902852191721</c:v>
                </c:pt>
                <c:pt idx="72">
                  <c:v>95389.220599049426</c:v>
                </c:pt>
                <c:pt idx="73">
                  <c:v>96452.069570518201</c:v>
                </c:pt>
                <c:pt idx="74">
                  <c:v>95550.447970644149</c:v>
                </c:pt>
                <c:pt idx="75">
                  <c:v>95216.619353134243</c:v>
                </c:pt>
                <c:pt idx="76">
                  <c:v>94887.642347692803</c:v>
                </c:pt>
                <c:pt idx="77">
                  <c:v>94941.930311378179</c:v>
                </c:pt>
                <c:pt idx="78">
                  <c:v>96158.805051763469</c:v>
                </c:pt>
                <c:pt idx="79">
                  <c:v>96542.310329475658</c:v>
                </c:pt>
                <c:pt idx="80">
                  <c:v>93648.479748869751</c:v>
                </c:pt>
                <c:pt idx="81">
                  <c:v>92497.102399694224</c:v>
                </c:pt>
                <c:pt idx="82">
                  <c:v>92869.346823849701</c:v>
                </c:pt>
                <c:pt idx="83">
                  <c:v>93654.136639386212</c:v>
                </c:pt>
                <c:pt idx="84">
                  <c:v>94485.542960663501</c:v>
                </c:pt>
                <c:pt idx="85">
                  <c:v>94743.93347524578</c:v>
                </c:pt>
                <c:pt idx="86">
                  <c:v>93030.532555246449</c:v>
                </c:pt>
                <c:pt idx="87">
                  <c:v>93490.593933433483</c:v>
                </c:pt>
                <c:pt idx="88">
                  <c:v>93763.955300355155</c:v>
                </c:pt>
                <c:pt idx="89">
                  <c:v>92688.185600246754</c:v>
                </c:pt>
                <c:pt idx="90">
                  <c:v>92722.4906287021</c:v>
                </c:pt>
                <c:pt idx="91">
                  <c:v>92299.13239353121</c:v>
                </c:pt>
                <c:pt idx="92">
                  <c:v>92435.499571425476</c:v>
                </c:pt>
                <c:pt idx="93">
                  <c:v>92998.881960895931</c:v>
                </c:pt>
                <c:pt idx="94">
                  <c:v>93612.796101986474</c:v>
                </c:pt>
                <c:pt idx="95">
                  <c:v>92351.193571708951</c:v>
                </c:pt>
                <c:pt idx="96">
                  <c:v>91911.37120225004</c:v>
                </c:pt>
                <c:pt idx="97">
                  <c:v>90970.571516468408</c:v>
                </c:pt>
                <c:pt idx="98">
                  <c:v>92431.621480534275</c:v>
                </c:pt>
                <c:pt idx="99">
                  <c:v>92616.424762350711</c:v>
                </c:pt>
                <c:pt idx="100">
                  <c:v>91840.730321770185</c:v>
                </c:pt>
                <c:pt idx="101">
                  <c:v>89096.695718198695</c:v>
                </c:pt>
                <c:pt idx="102">
                  <c:v>90372.135699126098</c:v>
                </c:pt>
                <c:pt idx="103">
                  <c:v>91419.543473275466</c:v>
                </c:pt>
                <c:pt idx="104">
                  <c:v>89417.468168191757</c:v>
                </c:pt>
                <c:pt idx="105">
                  <c:v>89053.913899233143</c:v>
                </c:pt>
                <c:pt idx="106">
                  <c:v>88816.712097350697</c:v>
                </c:pt>
                <c:pt idx="107">
                  <c:v>89320.619508899661</c:v>
                </c:pt>
                <c:pt idx="108">
                  <c:v>91776.886362535777</c:v>
                </c:pt>
                <c:pt idx="109">
                  <c:v>92152.07684974969</c:v>
                </c:pt>
                <c:pt idx="110">
                  <c:v>92795.807411720438</c:v>
                </c:pt>
                <c:pt idx="111">
                  <c:v>91731.743288467391</c:v>
                </c:pt>
                <c:pt idx="112">
                  <c:v>91746.676928827452</c:v>
                </c:pt>
                <c:pt idx="113">
                  <c:v>90849.315359073924</c:v>
                </c:pt>
                <c:pt idx="114">
                  <c:v>87658.668056169365</c:v>
                </c:pt>
                <c:pt idx="115">
                  <c:v>90177.036608286056</c:v>
                </c:pt>
                <c:pt idx="116">
                  <c:v>90518.806314008049</c:v>
                </c:pt>
                <c:pt idx="117">
                  <c:v>91293.730928751902</c:v>
                </c:pt>
                <c:pt idx="118">
                  <c:v>89582.155989772233</c:v>
                </c:pt>
                <c:pt idx="119">
                  <c:v>89408.734431256904</c:v>
                </c:pt>
                <c:pt idx="120">
                  <c:v>90905.063565657692</c:v>
                </c:pt>
                <c:pt idx="121">
                  <c:v>90152.367994646338</c:v>
                </c:pt>
                <c:pt idx="122">
                  <c:v>89721.828410814735</c:v>
                </c:pt>
                <c:pt idx="123">
                  <c:v>89793.489033891878</c:v>
                </c:pt>
                <c:pt idx="124">
                  <c:v>89057.713295604553</c:v>
                </c:pt>
                <c:pt idx="125">
                  <c:v>89280.269557308842</c:v>
                </c:pt>
                <c:pt idx="126">
                  <c:v>88361.218295149738</c:v>
                </c:pt>
                <c:pt idx="127">
                  <c:v>87221.683444509632</c:v>
                </c:pt>
                <c:pt idx="128">
                  <c:v>88062.592813444528</c:v>
                </c:pt>
                <c:pt idx="129">
                  <c:v>88899.201314228863</c:v>
                </c:pt>
                <c:pt idx="130">
                  <c:v>88485.451038619867</c:v>
                </c:pt>
                <c:pt idx="131">
                  <c:v>88241.797863721979</c:v>
                </c:pt>
                <c:pt idx="132">
                  <c:v>87316.975252439894</c:v>
                </c:pt>
                <c:pt idx="133">
                  <c:v>87963.977769520076</c:v>
                </c:pt>
                <c:pt idx="134">
                  <c:v>87973.885907255622</c:v>
                </c:pt>
                <c:pt idx="135">
                  <c:v>83975.1139520695</c:v>
                </c:pt>
                <c:pt idx="136">
                  <c:v>85783.172908985594</c:v>
                </c:pt>
                <c:pt idx="137">
                  <c:v>87691.522044418016</c:v>
                </c:pt>
                <c:pt idx="138">
                  <c:v>89270.550895665845</c:v>
                </c:pt>
                <c:pt idx="139">
                  <c:v>89462.602186613309</c:v>
                </c:pt>
                <c:pt idx="140">
                  <c:v>88415.550479605285</c:v>
                </c:pt>
                <c:pt idx="141">
                  <c:v>89447.709029404679</c:v>
                </c:pt>
                <c:pt idx="142">
                  <c:v>92287.225541333231</c:v>
                </c:pt>
                <c:pt idx="143">
                  <c:v>90880.119641703379</c:v>
                </c:pt>
                <c:pt idx="144">
                  <c:v>91187.166732294165</c:v>
                </c:pt>
                <c:pt idx="145">
                  <c:v>90797.710553725949</c:v>
                </c:pt>
                <c:pt idx="146">
                  <c:v>92528.780036505297</c:v>
                </c:pt>
                <c:pt idx="147">
                  <c:v>92321.884440872862</c:v>
                </c:pt>
                <c:pt idx="148">
                  <c:v>93564.52885586262</c:v>
                </c:pt>
                <c:pt idx="149">
                  <c:v>93187.606719107891</c:v>
                </c:pt>
                <c:pt idx="150">
                  <c:v>93487.300261331809</c:v>
                </c:pt>
                <c:pt idx="151">
                  <c:v>94781.333948894957</c:v>
                </c:pt>
                <c:pt idx="152">
                  <c:v>95732.125018844948</c:v>
                </c:pt>
                <c:pt idx="153">
                  <c:v>95446.612214347741</c:v>
                </c:pt>
                <c:pt idx="154">
                  <c:v>94631.676586955946</c:v>
                </c:pt>
                <c:pt idx="155">
                  <c:v>94950.784182088624</c:v>
                </c:pt>
                <c:pt idx="156">
                  <c:v>95103.712197046552</c:v>
                </c:pt>
                <c:pt idx="157">
                  <c:v>96322.927311150561</c:v>
                </c:pt>
                <c:pt idx="158">
                  <c:v>95623.631292832273</c:v>
                </c:pt>
                <c:pt idx="159">
                  <c:v>94349.797464005576</c:v>
                </c:pt>
                <c:pt idx="160">
                  <c:v>95279.367562632178</c:v>
                </c:pt>
                <c:pt idx="161">
                  <c:v>94286.754009433789</c:v>
                </c:pt>
                <c:pt idx="162">
                  <c:v>98134.709384687332</c:v>
                </c:pt>
                <c:pt idx="163">
                  <c:v>97665.213568592531</c:v>
                </c:pt>
                <c:pt idx="164">
                  <c:v>98175.32674483904</c:v>
                </c:pt>
                <c:pt idx="165">
                  <c:v>96208.420660285643</c:v>
                </c:pt>
                <c:pt idx="166">
                  <c:v>96144.601360812099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391-4373-ABAF-D07601F85895}"/>
            </c:ext>
          </c:extLst>
        </c:ser>
        <c:ser>
          <c:idx val="3"/>
          <c:order val="3"/>
          <c:tx>
            <c:strRef>
              <c:f>'Ideal - Simple'!$F$1</c:f>
              <c:strCache>
                <c:ptCount val="1"/>
                <c:pt idx="0">
                  <c:v>Regresión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100113.68002942915</c:v>
                </c:pt>
                <c:pt idx="3">
                  <c:v>102221.00719889156</c:v>
                </c:pt>
                <c:pt idx="4">
                  <c:v>101475.7598870636</c:v>
                </c:pt>
                <c:pt idx="5">
                  <c:v>101370.5972603558</c:v>
                </c:pt>
                <c:pt idx="6">
                  <c:v>100910.34107742443</c:v>
                </c:pt>
                <c:pt idx="7">
                  <c:v>102653.04574063687</c:v>
                </c:pt>
                <c:pt idx="8">
                  <c:v>103901.39670421611</c:v>
                </c:pt>
                <c:pt idx="9">
                  <c:v>104793.88446073858</c:v>
                </c:pt>
                <c:pt idx="10">
                  <c:v>105806.77061859242</c:v>
                </c:pt>
                <c:pt idx="11">
                  <c:v>103347.72188855188</c:v>
                </c:pt>
                <c:pt idx="12">
                  <c:v>102270.94845738428</c:v>
                </c:pt>
                <c:pt idx="13">
                  <c:v>104469.76670885274</c:v>
                </c:pt>
                <c:pt idx="14">
                  <c:v>105134.07197790871</c:v>
                </c:pt>
                <c:pt idx="15">
                  <c:v>104753.57867557739</c:v>
                </c:pt>
                <c:pt idx="16">
                  <c:v>107586.9582422996</c:v>
                </c:pt>
                <c:pt idx="17">
                  <c:v>109269.79429812956</c:v>
                </c:pt>
                <c:pt idx="18">
                  <c:v>109472.83532243058</c:v>
                </c:pt>
                <c:pt idx="19">
                  <c:v>108873.26633538675</c:v>
                </c:pt>
                <c:pt idx="20">
                  <c:v>110614.12568344489</c:v>
                </c:pt>
                <c:pt idx="21">
                  <c:v>112564.75705006112</c:v>
                </c:pt>
                <c:pt idx="22">
                  <c:v>110452.07237754256</c:v>
                </c:pt>
                <c:pt idx="23">
                  <c:v>109979.93477063911</c:v>
                </c:pt>
                <c:pt idx="24">
                  <c:v>110022.61362649128</c:v>
                </c:pt>
                <c:pt idx="25">
                  <c:v>112750.02885990651</c:v>
                </c:pt>
                <c:pt idx="26">
                  <c:v>114993.07191772596</c:v>
                </c:pt>
                <c:pt idx="27">
                  <c:v>118731.4125048444</c:v>
                </c:pt>
                <c:pt idx="28">
                  <c:v>119187.4385463122</c:v>
                </c:pt>
                <c:pt idx="29">
                  <c:v>120613.13396526068</c:v>
                </c:pt>
                <c:pt idx="30">
                  <c:v>120511.70010826465</c:v>
                </c:pt>
                <c:pt idx="31">
                  <c:v>120734.52880301089</c:v>
                </c:pt>
                <c:pt idx="32">
                  <c:v>120033.55834398951</c:v>
                </c:pt>
                <c:pt idx="33">
                  <c:v>119474.50789499734</c:v>
                </c:pt>
                <c:pt idx="34">
                  <c:v>118802.35214424571</c:v>
                </c:pt>
                <c:pt idx="35">
                  <c:v>117871.20992823485</c:v>
                </c:pt>
                <c:pt idx="36">
                  <c:v>117565.81458940935</c:v>
                </c:pt>
                <c:pt idx="37">
                  <c:v>117359.61839714092</c:v>
                </c:pt>
                <c:pt idx="38">
                  <c:v>116328.74848439335</c:v>
                </c:pt>
                <c:pt idx="39">
                  <c:v>116539.72487816532</c:v>
                </c:pt>
                <c:pt idx="40">
                  <c:v>118374.87579674819</c:v>
                </c:pt>
                <c:pt idx="41">
                  <c:v>116516.72340497638</c:v>
                </c:pt>
                <c:pt idx="42">
                  <c:v>117749.50008822614</c:v>
                </c:pt>
                <c:pt idx="43">
                  <c:v>117560.21420123945</c:v>
                </c:pt>
                <c:pt idx="44">
                  <c:v>118317.33460251197</c:v>
                </c:pt>
                <c:pt idx="45">
                  <c:v>118437.27423020294</c:v>
                </c:pt>
                <c:pt idx="46">
                  <c:v>117014.87130752877</c:v>
                </c:pt>
                <c:pt idx="47">
                  <c:v>116052.92452189983</c:v>
                </c:pt>
                <c:pt idx="48">
                  <c:v>118669.51761587271</c:v>
                </c:pt>
                <c:pt idx="49">
                  <c:v>120050.94707685734</c:v>
                </c:pt>
                <c:pt idx="50">
                  <c:v>122110.47414238441</c:v>
                </c:pt>
                <c:pt idx="51">
                  <c:v>126265.16551531821</c:v>
                </c:pt>
                <c:pt idx="52">
                  <c:v>125840.42461349767</c:v>
                </c:pt>
                <c:pt idx="53">
                  <c:v>127667.26786571207</c:v>
                </c:pt>
                <c:pt idx="54">
                  <c:v>127224.51512235891</c:v>
                </c:pt>
                <c:pt idx="55">
                  <c:v>126726.84068760171</c:v>
                </c:pt>
                <c:pt idx="56">
                  <c:v>126663.24633184857</c:v>
                </c:pt>
                <c:pt idx="57">
                  <c:v>127778.37106148087</c:v>
                </c:pt>
                <c:pt idx="58">
                  <c:v>129272.9413494763</c:v>
                </c:pt>
                <c:pt idx="59">
                  <c:v>129091.08928276133</c:v>
                </c:pt>
                <c:pt idx="60">
                  <c:v>129554.27018602411</c:v>
                </c:pt>
                <c:pt idx="61">
                  <c:v>129534.18890181098</c:v>
                </c:pt>
                <c:pt idx="62">
                  <c:v>127917.13360771407</c:v>
                </c:pt>
                <c:pt idx="63">
                  <c:v>127637.03185835131</c:v>
                </c:pt>
                <c:pt idx="64">
                  <c:v>127496.86915558267</c:v>
                </c:pt>
                <c:pt idx="65">
                  <c:v>128020.80252039719</c:v>
                </c:pt>
                <c:pt idx="66">
                  <c:v>124861.65733770232</c:v>
                </c:pt>
                <c:pt idx="67">
                  <c:v>124777.83094244801</c:v>
                </c:pt>
                <c:pt idx="68">
                  <c:v>125753.5613078407</c:v>
                </c:pt>
                <c:pt idx="69">
                  <c:v>126144.44245423016</c:v>
                </c:pt>
                <c:pt idx="70">
                  <c:v>123919.63017139334</c:v>
                </c:pt>
                <c:pt idx="71">
                  <c:v>124190.65778703934</c:v>
                </c:pt>
                <c:pt idx="72">
                  <c:v>124613.97553389704</c:v>
                </c:pt>
                <c:pt idx="73">
                  <c:v>125676.82450536582</c:v>
                </c:pt>
                <c:pt idx="74">
                  <c:v>124775.20290549177</c:v>
                </c:pt>
                <c:pt idx="75">
                  <c:v>124441.37428798186</c:v>
                </c:pt>
                <c:pt idx="76">
                  <c:v>124112.39728254042</c:v>
                </c:pt>
                <c:pt idx="77">
                  <c:v>124166.6852462258</c:v>
                </c:pt>
                <c:pt idx="78">
                  <c:v>125383.55998661109</c:v>
                </c:pt>
                <c:pt idx="79">
                  <c:v>125767.06526432328</c:v>
                </c:pt>
                <c:pt idx="80">
                  <c:v>122873.23468371737</c:v>
                </c:pt>
                <c:pt idx="81">
                  <c:v>121721.85733454184</c:v>
                </c:pt>
                <c:pt idx="82">
                  <c:v>122094.10175869732</c:v>
                </c:pt>
                <c:pt idx="83">
                  <c:v>122878.89157423383</c:v>
                </c:pt>
                <c:pt idx="84">
                  <c:v>123710.29789551112</c:v>
                </c:pt>
                <c:pt idx="85">
                  <c:v>123968.6884100934</c:v>
                </c:pt>
                <c:pt idx="86">
                  <c:v>122255.28749009407</c:v>
                </c:pt>
                <c:pt idx="87">
                  <c:v>122715.3488682811</c:v>
                </c:pt>
                <c:pt idx="88">
                  <c:v>122988.71023520277</c:v>
                </c:pt>
                <c:pt idx="89">
                  <c:v>121912.94053509437</c:v>
                </c:pt>
                <c:pt idx="90">
                  <c:v>121947.24556354972</c:v>
                </c:pt>
                <c:pt idx="91">
                  <c:v>122358.60379872061</c:v>
                </c:pt>
                <c:pt idx="92">
                  <c:v>122210.23662082634</c:v>
                </c:pt>
                <c:pt idx="93">
                  <c:v>121634.85423135589</c:v>
                </c:pt>
                <c:pt idx="94">
                  <c:v>121008.94009026534</c:v>
                </c:pt>
                <c:pt idx="95">
                  <c:v>119747.33755998782</c:v>
                </c:pt>
                <c:pt idx="96">
                  <c:v>119307.51519052891</c:v>
                </c:pt>
                <c:pt idx="97">
                  <c:v>118366.71550474728</c:v>
                </c:pt>
                <c:pt idx="98">
                  <c:v>119827.76546881314</c:v>
                </c:pt>
                <c:pt idx="99">
                  <c:v>120012.56875062958</c:v>
                </c:pt>
                <c:pt idx="100">
                  <c:v>119236.87431004905</c:v>
                </c:pt>
                <c:pt idx="101">
                  <c:v>116492.83970647756</c:v>
                </c:pt>
                <c:pt idx="102">
                  <c:v>117768.27968740497</c:v>
                </c:pt>
                <c:pt idx="103">
                  <c:v>118815.68746155433</c:v>
                </c:pt>
                <c:pt idx="104">
                  <c:v>116813.61215647063</c:v>
                </c:pt>
                <c:pt idx="105">
                  <c:v>116450.05788751201</c:v>
                </c:pt>
                <c:pt idx="106">
                  <c:v>116212.85608562957</c:v>
                </c:pt>
                <c:pt idx="107">
                  <c:v>116716.76349717853</c:v>
                </c:pt>
                <c:pt idx="108">
                  <c:v>119173.03035081465</c:v>
                </c:pt>
                <c:pt idx="109">
                  <c:v>119548.22083802856</c:v>
                </c:pt>
                <c:pt idx="110">
                  <c:v>120191.95139999931</c:v>
                </c:pt>
                <c:pt idx="111">
                  <c:v>119127.88727674626</c:v>
                </c:pt>
                <c:pt idx="112">
                  <c:v>119142.82091710632</c:v>
                </c:pt>
                <c:pt idx="113">
                  <c:v>118245.45934735279</c:v>
                </c:pt>
                <c:pt idx="114">
                  <c:v>115054.81204444823</c:v>
                </c:pt>
                <c:pt idx="115">
                  <c:v>117573.18059656493</c:v>
                </c:pt>
                <c:pt idx="116">
                  <c:v>117219.41089084293</c:v>
                </c:pt>
                <c:pt idx="117">
                  <c:v>116432.48627609908</c:v>
                </c:pt>
                <c:pt idx="118">
                  <c:v>118132.06121507875</c:v>
                </c:pt>
                <c:pt idx="119">
                  <c:v>118293.48277359408</c:v>
                </c:pt>
                <c:pt idx="120">
                  <c:v>116785.15363919329</c:v>
                </c:pt>
                <c:pt idx="121">
                  <c:v>117525.84921020464</c:v>
                </c:pt>
                <c:pt idx="122">
                  <c:v>117944.38879403625</c:v>
                </c:pt>
                <c:pt idx="123">
                  <c:v>118016.04941711339</c:v>
                </c:pt>
                <c:pt idx="124">
                  <c:v>118739.82515540071</c:v>
                </c:pt>
                <c:pt idx="125">
                  <c:v>118505.26889369643</c:v>
                </c:pt>
                <c:pt idx="126">
                  <c:v>119412.32015585553</c:v>
                </c:pt>
                <c:pt idx="127">
                  <c:v>120539.85500649564</c:v>
                </c:pt>
                <c:pt idx="128">
                  <c:v>119686.94563756074</c:v>
                </c:pt>
                <c:pt idx="129">
                  <c:v>118838.3371367764</c:v>
                </c:pt>
                <c:pt idx="130">
                  <c:v>119240.0874123854</c:v>
                </c:pt>
                <c:pt idx="131">
                  <c:v>119471.74058728329</c:v>
                </c:pt>
                <c:pt idx="132">
                  <c:v>120384.56319856537</c:v>
                </c:pt>
                <c:pt idx="133">
                  <c:v>119725.56068148519</c:v>
                </c:pt>
                <c:pt idx="134">
                  <c:v>119703.65254374965</c:v>
                </c:pt>
                <c:pt idx="135">
                  <c:v>123690.42449893577</c:v>
                </c:pt>
                <c:pt idx="136">
                  <c:v>121870.36554201967</c:v>
                </c:pt>
                <c:pt idx="137">
                  <c:v>119950.01640658725</c:v>
                </c:pt>
                <c:pt idx="138">
                  <c:v>118358.98755533942</c:v>
                </c:pt>
                <c:pt idx="139">
                  <c:v>118154.93626439196</c:v>
                </c:pt>
                <c:pt idx="140">
                  <c:v>119189.98797139998</c:v>
                </c:pt>
                <c:pt idx="141">
                  <c:v>118145.82942160059</c:v>
                </c:pt>
                <c:pt idx="142">
                  <c:v>115294.31290967204</c:v>
                </c:pt>
                <c:pt idx="143">
                  <c:v>116689.41880930189</c:v>
                </c:pt>
                <c:pt idx="144">
                  <c:v>116370.3717187111</c:v>
                </c:pt>
                <c:pt idx="145">
                  <c:v>116747.82789727932</c:v>
                </c:pt>
                <c:pt idx="146">
                  <c:v>115004.75841449997</c:v>
                </c:pt>
                <c:pt idx="147">
                  <c:v>115199.65401013241</c:v>
                </c:pt>
                <c:pt idx="148">
                  <c:v>113945.00959514265</c:v>
                </c:pt>
                <c:pt idx="149">
                  <c:v>114309.93173189738</c:v>
                </c:pt>
                <c:pt idx="150">
                  <c:v>113998.23818967346</c:v>
                </c:pt>
                <c:pt idx="151">
                  <c:v>112692.20450211031</c:v>
                </c:pt>
                <c:pt idx="152">
                  <c:v>111729.41343216032</c:v>
                </c:pt>
                <c:pt idx="153">
                  <c:v>112002.92623665753</c:v>
                </c:pt>
                <c:pt idx="154">
                  <c:v>112805.86186404932</c:v>
                </c:pt>
                <c:pt idx="155">
                  <c:v>112474.75426891664</c:v>
                </c:pt>
                <c:pt idx="156">
                  <c:v>112309.82625395872</c:v>
                </c:pt>
                <c:pt idx="157">
                  <c:v>111078.61113985471</c:v>
                </c:pt>
                <c:pt idx="158">
                  <c:v>111765.90715817299</c:v>
                </c:pt>
                <c:pt idx="159">
                  <c:v>113027.74098699969</c:v>
                </c:pt>
                <c:pt idx="160">
                  <c:v>113957.31108562629</c:v>
                </c:pt>
                <c:pt idx="161">
                  <c:v>114937.92463882468</c:v>
                </c:pt>
                <c:pt idx="162">
                  <c:v>118785.88001407823</c:v>
                </c:pt>
                <c:pt idx="163">
                  <c:v>119243.37583017303</c:v>
                </c:pt>
                <c:pt idx="164">
                  <c:v>118721.26265392652</c:v>
                </c:pt>
                <c:pt idx="165">
                  <c:v>120676.16873847992</c:v>
                </c:pt>
                <c:pt idx="166">
                  <c:v>120727.98803795346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391-4373-ABAF-D07601F85895}"/>
            </c:ext>
          </c:extLst>
        </c:ser>
        <c:ser>
          <c:idx val="4"/>
          <c:order val="4"/>
          <c:tx>
            <c:strRef>
              <c:f>'Ideal - Simple'!$G$1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102927.79999980686</c:v>
                </c:pt>
                <c:pt idx="3">
                  <c:v>100808.47283034444</c:v>
                </c:pt>
                <c:pt idx="4">
                  <c:v>101541.7201421724</c:v>
                </c:pt>
                <c:pt idx="5">
                  <c:v>101634.8827688802</c:v>
                </c:pt>
                <c:pt idx="6">
                  <c:v>102083.13895181158</c:v>
                </c:pt>
                <c:pt idx="7">
                  <c:v>103825.84361502402</c:v>
                </c:pt>
                <c:pt idx="8">
                  <c:v>102565.49265144477</c:v>
                </c:pt>
                <c:pt idx="9">
                  <c:v>101661.0048949223</c:v>
                </c:pt>
                <c:pt idx="10">
                  <c:v>102673.89105277613</c:v>
                </c:pt>
                <c:pt idx="11">
                  <c:v>105120.93978281667</c:v>
                </c:pt>
                <c:pt idx="12">
                  <c:v>104044.16635164907</c:v>
                </c:pt>
                <c:pt idx="13">
                  <c:v>106242.98460311753</c:v>
                </c:pt>
                <c:pt idx="14">
                  <c:v>105566.67933406155</c:v>
                </c:pt>
                <c:pt idx="15">
                  <c:v>105935.17263639288</c:v>
                </c:pt>
                <c:pt idx="16">
                  <c:v>108768.55220311509</c:v>
                </c:pt>
                <c:pt idx="17">
                  <c:v>110451.38825894505</c:v>
                </c:pt>
                <c:pt idx="18">
                  <c:v>110236.34723464404</c:v>
                </c:pt>
                <c:pt idx="19">
                  <c:v>109636.77824760022</c:v>
                </c:pt>
                <c:pt idx="20">
                  <c:v>111377.63759565835</c:v>
                </c:pt>
                <c:pt idx="21">
                  <c:v>109415.00622904212</c:v>
                </c:pt>
                <c:pt idx="22">
                  <c:v>107302.32155652356</c:v>
                </c:pt>
                <c:pt idx="23">
                  <c:v>107762.459163427</c:v>
                </c:pt>
                <c:pt idx="24">
                  <c:v>107707.78030757484</c:v>
                </c:pt>
                <c:pt idx="25">
                  <c:v>104968.36507415961</c:v>
                </c:pt>
                <c:pt idx="26">
                  <c:v>107211.40813197906</c:v>
                </c:pt>
                <c:pt idx="27">
                  <c:v>110949.74871909749</c:v>
                </c:pt>
                <c:pt idx="28">
                  <c:v>110481.72267762969</c:v>
                </c:pt>
                <c:pt idx="29">
                  <c:v>109044.02725868121</c:v>
                </c:pt>
                <c:pt idx="30">
                  <c:v>109133.46111567724</c:v>
                </c:pt>
                <c:pt idx="31">
                  <c:v>108898.632420931</c:v>
                </c:pt>
                <c:pt idx="32">
                  <c:v>109587.60287995238</c:v>
                </c:pt>
                <c:pt idx="33">
                  <c:v>109028.5524309602</c:v>
                </c:pt>
                <c:pt idx="34">
                  <c:v>108356.39668020858</c:v>
                </c:pt>
                <c:pt idx="35">
                  <c:v>107425.25446419771</c:v>
                </c:pt>
                <c:pt idx="36">
                  <c:v>107718.64980302322</c:v>
                </c:pt>
                <c:pt idx="37">
                  <c:v>107512.45361075479</c:v>
                </c:pt>
                <c:pt idx="38">
                  <c:v>106481.58369800722</c:v>
                </c:pt>
                <c:pt idx="39">
                  <c:v>106692.56009177919</c:v>
                </c:pt>
                <c:pt idx="40">
                  <c:v>108527.71101036207</c:v>
                </c:pt>
                <c:pt idx="41">
                  <c:v>106669.55861859025</c:v>
                </c:pt>
                <c:pt idx="42">
                  <c:v>105424.78193534049</c:v>
                </c:pt>
                <c:pt idx="43">
                  <c:v>105235.4960483538</c:v>
                </c:pt>
                <c:pt idx="44">
                  <c:v>105992.61644962632</c:v>
                </c:pt>
                <c:pt idx="45">
                  <c:v>106112.55607731729</c:v>
                </c:pt>
                <c:pt idx="46">
                  <c:v>107522.95899999146</c:v>
                </c:pt>
                <c:pt idx="47">
                  <c:v>106561.01221436252</c:v>
                </c:pt>
                <c:pt idx="48">
                  <c:v>109177.60530833541</c:v>
                </c:pt>
                <c:pt idx="49">
                  <c:v>107784.17584735078</c:v>
                </c:pt>
                <c:pt idx="50">
                  <c:v>105712.64878182371</c:v>
                </c:pt>
                <c:pt idx="51">
                  <c:v>101545.95740888991</c:v>
                </c:pt>
                <c:pt idx="52">
                  <c:v>101121.21650706937</c:v>
                </c:pt>
                <c:pt idx="53">
                  <c:v>102948.05975928377</c:v>
                </c:pt>
                <c:pt idx="54">
                  <c:v>103378.81250263694</c:v>
                </c:pt>
                <c:pt idx="55">
                  <c:v>102881.13806787974</c:v>
                </c:pt>
                <c:pt idx="56">
                  <c:v>102932.73242363289</c:v>
                </c:pt>
                <c:pt idx="57">
                  <c:v>101805.60769400059</c:v>
                </c:pt>
                <c:pt idx="58">
                  <c:v>103300.17798199602</c:v>
                </c:pt>
                <c:pt idx="59">
                  <c:v>103118.32591528105</c:v>
                </c:pt>
                <c:pt idx="60">
                  <c:v>103581.50681854383</c:v>
                </c:pt>
                <c:pt idx="61">
                  <c:v>103589.58810275696</c:v>
                </c:pt>
                <c:pt idx="62">
                  <c:v>105194.64339685386</c:v>
                </c:pt>
                <c:pt idx="63">
                  <c:v>105462.74514621662</c:v>
                </c:pt>
                <c:pt idx="64">
                  <c:v>105590.90784898527</c:v>
                </c:pt>
                <c:pt idx="65">
                  <c:v>105054.97448417074</c:v>
                </c:pt>
                <c:pt idx="66">
                  <c:v>101895.82930147587</c:v>
                </c:pt>
                <c:pt idx="67">
                  <c:v>101812.00290622156</c:v>
                </c:pt>
                <c:pt idx="68">
                  <c:v>100824.27254082887</c:v>
                </c:pt>
                <c:pt idx="69">
                  <c:v>100421.39139443942</c:v>
                </c:pt>
                <c:pt idx="70">
                  <c:v>102634.20367727624</c:v>
                </c:pt>
                <c:pt idx="71">
                  <c:v>102905.23129292224</c:v>
                </c:pt>
                <c:pt idx="72">
                  <c:v>103328.54903977994</c:v>
                </c:pt>
                <c:pt idx="73">
                  <c:v>102253.70006831117</c:v>
                </c:pt>
                <c:pt idx="74">
                  <c:v>103143.32166818522</c:v>
                </c:pt>
                <c:pt idx="75">
                  <c:v>102809.49305067532</c:v>
                </c:pt>
                <c:pt idx="76">
                  <c:v>103126.47005611676</c:v>
                </c:pt>
                <c:pt idx="77">
                  <c:v>103180.75801980213</c:v>
                </c:pt>
                <c:pt idx="78">
                  <c:v>101951.88327941684</c:v>
                </c:pt>
                <c:pt idx="79">
                  <c:v>102335.38855712903</c:v>
                </c:pt>
                <c:pt idx="80">
                  <c:v>99441.557976523123</c:v>
                </c:pt>
                <c:pt idx="81">
                  <c:v>98290.180627347596</c:v>
                </c:pt>
                <c:pt idx="82">
                  <c:v>98662.425051503073</c:v>
                </c:pt>
                <c:pt idx="83">
                  <c:v>99447.214867039584</c:v>
                </c:pt>
                <c:pt idx="84">
                  <c:v>100278.62118831687</c:v>
                </c:pt>
                <c:pt idx="85">
                  <c:v>100537.01170289915</c:v>
                </c:pt>
                <c:pt idx="86">
                  <c:v>102238.41262289848</c:v>
                </c:pt>
                <c:pt idx="87">
                  <c:v>102698.47400108552</c:v>
                </c:pt>
                <c:pt idx="88">
                  <c:v>102413.11263416384</c:v>
                </c:pt>
                <c:pt idx="89">
                  <c:v>103476.88233427225</c:v>
                </c:pt>
                <c:pt idx="90">
                  <c:v>103430.5773058169</c:v>
                </c:pt>
                <c:pt idx="91">
                  <c:v>103007.21907064601</c:v>
                </c:pt>
                <c:pt idx="92">
                  <c:v>103143.58624854028</c:v>
                </c:pt>
                <c:pt idx="93">
                  <c:v>103706.96863801073</c:v>
                </c:pt>
                <c:pt idx="94">
                  <c:v>104320.88277910127</c:v>
                </c:pt>
                <c:pt idx="95">
                  <c:v>105570.4853093788</c:v>
                </c:pt>
                <c:pt idx="96">
                  <c:v>105998.30767883771</c:v>
                </c:pt>
                <c:pt idx="97">
                  <c:v>106927.10736461934</c:v>
                </c:pt>
                <c:pt idx="98">
                  <c:v>105454.05740055347</c:v>
                </c:pt>
                <c:pt idx="99">
                  <c:v>105257.25411873704</c:v>
                </c:pt>
                <c:pt idx="100">
                  <c:v>106020.94855931756</c:v>
                </c:pt>
                <c:pt idx="101">
                  <c:v>108752.98316288905</c:v>
                </c:pt>
                <c:pt idx="102">
                  <c:v>110028.42314381646</c:v>
                </c:pt>
                <c:pt idx="103">
                  <c:v>111075.83091796582</c:v>
                </c:pt>
                <c:pt idx="104">
                  <c:v>113065.90622304953</c:v>
                </c:pt>
                <c:pt idx="105">
                  <c:v>112702.35195409092</c:v>
                </c:pt>
                <c:pt idx="106">
                  <c:v>112465.15015220847</c:v>
                </c:pt>
                <c:pt idx="107">
                  <c:v>112969.05756375744</c:v>
                </c:pt>
                <c:pt idx="108">
                  <c:v>110500.79071012132</c:v>
                </c:pt>
                <c:pt idx="109">
                  <c:v>110875.98119733523</c:v>
                </c:pt>
                <c:pt idx="110">
                  <c:v>111519.71175930598</c:v>
                </c:pt>
                <c:pt idx="111">
                  <c:v>112571.77588255903</c:v>
                </c:pt>
                <c:pt idx="112">
                  <c:v>112586.70952291909</c:v>
                </c:pt>
                <c:pt idx="113">
                  <c:v>111689.34795316556</c:v>
                </c:pt>
                <c:pt idx="114">
                  <c:v>108498.700650261</c:v>
                </c:pt>
                <c:pt idx="115">
                  <c:v>111017.06920237769</c:v>
                </c:pt>
                <c:pt idx="116">
                  <c:v>111358.83890809969</c:v>
                </c:pt>
                <c:pt idx="117">
                  <c:v>112133.76352284354</c:v>
                </c:pt>
                <c:pt idx="118">
                  <c:v>113833.33846182321</c:v>
                </c:pt>
                <c:pt idx="119">
                  <c:v>113659.91690330788</c:v>
                </c:pt>
                <c:pt idx="120">
                  <c:v>115156.24603770867</c:v>
                </c:pt>
                <c:pt idx="121">
                  <c:v>115896.94160872002</c:v>
                </c:pt>
                <c:pt idx="122">
                  <c:v>116315.48119255163</c:v>
                </c:pt>
                <c:pt idx="123">
                  <c:v>116387.14181562877</c:v>
                </c:pt>
                <c:pt idx="124">
                  <c:v>117110.91755391609</c:v>
                </c:pt>
                <c:pt idx="125">
                  <c:v>116876.3612922118</c:v>
                </c:pt>
                <c:pt idx="126">
                  <c:v>117783.41255437091</c:v>
                </c:pt>
                <c:pt idx="127">
                  <c:v>118910.94740501101</c:v>
                </c:pt>
                <c:pt idx="128">
                  <c:v>119751.85677394591</c:v>
                </c:pt>
                <c:pt idx="129">
                  <c:v>120588.46527473025</c:v>
                </c:pt>
                <c:pt idx="130">
                  <c:v>120990.21555033924</c:v>
                </c:pt>
                <c:pt idx="131">
                  <c:v>121221.86872523713</c:v>
                </c:pt>
                <c:pt idx="132">
                  <c:v>122134.69133651922</c:v>
                </c:pt>
                <c:pt idx="133">
                  <c:v>122781.6938535994</c:v>
                </c:pt>
                <c:pt idx="134">
                  <c:v>122791.60199133494</c:v>
                </c:pt>
                <c:pt idx="135">
                  <c:v>126778.37394652107</c:v>
                </c:pt>
                <c:pt idx="136">
                  <c:v>128586.43290343716</c:v>
                </c:pt>
                <c:pt idx="137">
                  <c:v>130494.78203886958</c:v>
                </c:pt>
                <c:pt idx="138">
                  <c:v>128903.75318762175</c:v>
                </c:pt>
                <c:pt idx="139">
                  <c:v>128699.70189667429</c:v>
                </c:pt>
                <c:pt idx="140">
                  <c:v>129734.75360368231</c:v>
                </c:pt>
                <c:pt idx="141">
                  <c:v>128690.59505388292</c:v>
                </c:pt>
                <c:pt idx="142">
                  <c:v>125839.07854195437</c:v>
                </c:pt>
                <c:pt idx="143">
                  <c:v>127234.18444158422</c:v>
                </c:pt>
                <c:pt idx="144">
                  <c:v>126915.13735099343</c:v>
                </c:pt>
                <c:pt idx="145">
                  <c:v>127292.59352956165</c:v>
                </c:pt>
                <c:pt idx="146">
                  <c:v>125549.5240467823</c:v>
                </c:pt>
                <c:pt idx="147">
                  <c:v>125744.41964241474</c:v>
                </c:pt>
                <c:pt idx="148">
                  <c:v>124489.77522742498</c:v>
                </c:pt>
                <c:pt idx="149">
                  <c:v>124854.69736417971</c:v>
                </c:pt>
                <c:pt idx="150">
                  <c:v>125154.39090640363</c:v>
                </c:pt>
                <c:pt idx="151">
                  <c:v>126448.42459396677</c:v>
                </c:pt>
                <c:pt idx="152">
                  <c:v>127399.21566391677</c:v>
                </c:pt>
                <c:pt idx="153">
                  <c:v>127672.72846841397</c:v>
                </c:pt>
                <c:pt idx="154">
                  <c:v>126857.79284102218</c:v>
                </c:pt>
                <c:pt idx="155">
                  <c:v>127176.90043615486</c:v>
                </c:pt>
                <c:pt idx="156">
                  <c:v>127329.82845111279</c:v>
                </c:pt>
                <c:pt idx="157">
                  <c:v>126098.61333700878</c:v>
                </c:pt>
                <c:pt idx="158">
                  <c:v>126785.90935532706</c:v>
                </c:pt>
                <c:pt idx="159">
                  <c:v>125512.07552650037</c:v>
                </c:pt>
                <c:pt idx="160">
                  <c:v>126441.64562512697</c:v>
                </c:pt>
                <c:pt idx="161">
                  <c:v>127422.25917832536</c:v>
                </c:pt>
                <c:pt idx="162">
                  <c:v>131270.2145535789</c:v>
                </c:pt>
                <c:pt idx="163">
                  <c:v>131727.7103696737</c:v>
                </c:pt>
                <c:pt idx="164">
                  <c:v>132237.8235459202</c:v>
                </c:pt>
                <c:pt idx="165">
                  <c:v>134192.72963047359</c:v>
                </c:pt>
                <c:pt idx="166">
                  <c:v>134128.91033100005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391-4373-ABAF-D07601F85895}"/>
            </c:ext>
          </c:extLst>
        </c:ser>
        <c:ser>
          <c:idx val="5"/>
          <c:order val="5"/>
          <c:tx>
            <c:strRef>
              <c:f>'Ideal - Simple'!$A$1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'Ideal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Simple'!$A$4:$A$170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D1-4DCE-8D18-25E44C89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60000"/>
          <c:min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'Ideal - Compuesta'!$C$1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102949.27460682864</c:v>
                </c:pt>
                <c:pt idx="3">
                  <c:v>105118.92959785921</c:v>
                </c:pt>
                <c:pt idx="4">
                  <c:v>104335.84073658471</c:v>
                </c:pt>
                <c:pt idx="5">
                  <c:v>104226.37857631265</c:v>
                </c:pt>
                <c:pt idx="6">
                  <c:v>103746.92380738429</c:v>
                </c:pt>
                <c:pt idx="7">
                  <c:v>101926.6965128251</c:v>
                </c:pt>
                <c:pt idx="8">
                  <c:v>100642.17801297198</c:v>
                </c:pt>
                <c:pt idx="9">
                  <c:v>101540.43566031608</c:v>
                </c:pt>
                <c:pt idx="10">
                  <c:v>102569.01710388353</c:v>
                </c:pt>
                <c:pt idx="11">
                  <c:v>105079.08507536541</c:v>
                </c:pt>
                <c:pt idx="12">
                  <c:v>103947.92615066438</c:v>
                </c:pt>
                <c:pt idx="13">
                  <c:v>106233.7889984572</c:v>
                </c:pt>
                <c:pt idx="14">
                  <c:v>106939.87968363166</c:v>
                </c:pt>
                <c:pt idx="15">
                  <c:v>106533.39699669529</c:v>
                </c:pt>
                <c:pt idx="16">
                  <c:v>109552.28450275451</c:v>
                </c:pt>
                <c:pt idx="17">
                  <c:v>111396.44298342244</c:v>
                </c:pt>
                <c:pt idx="18">
                  <c:v>111157.578717975</c:v>
                </c:pt>
                <c:pt idx="19">
                  <c:v>110491.78180395628</c:v>
                </c:pt>
                <c:pt idx="20">
                  <c:v>112415.91782323469</c:v>
                </c:pt>
                <c:pt idx="21">
                  <c:v>114609.48293243363</c:v>
                </c:pt>
                <c:pt idx="22">
                  <c:v>112189.02252224328</c:v>
                </c:pt>
                <c:pt idx="23">
                  <c:v>112705.97774703684</c:v>
                </c:pt>
                <c:pt idx="24">
                  <c:v>112754.84172748111</c:v>
                </c:pt>
                <c:pt idx="25">
                  <c:v>109666.78370728889</c:v>
                </c:pt>
                <c:pt idx="26">
                  <c:v>112127.23689299154</c:v>
                </c:pt>
                <c:pt idx="27">
                  <c:v>116319.66253319026</c:v>
                </c:pt>
                <c:pt idx="28">
                  <c:v>115776.23540093945</c:v>
                </c:pt>
                <c:pt idx="29">
                  <c:v>114112.67234247319</c:v>
                </c:pt>
                <c:pt idx="30">
                  <c:v>114215.57446701085</c:v>
                </c:pt>
                <c:pt idx="31">
                  <c:v>113948.21645876106</c:v>
                </c:pt>
                <c:pt idx="32">
                  <c:v>114734.12290173119</c:v>
                </c:pt>
                <c:pt idx="33">
                  <c:v>114093.58531987593</c:v>
                </c:pt>
                <c:pt idx="34">
                  <c:v>114847.62629972301</c:v>
                </c:pt>
                <c:pt idx="35">
                  <c:v>115904.13017470815</c:v>
                </c:pt>
                <c:pt idx="36">
                  <c:v>116245.14173795747</c:v>
                </c:pt>
                <c:pt idx="37">
                  <c:v>116006.42339050105</c:v>
                </c:pt>
                <c:pt idx="38">
                  <c:v>114811.50846031726</c:v>
                </c:pt>
                <c:pt idx="39">
                  <c:v>115054.62233100965</c:v>
                </c:pt>
                <c:pt idx="40">
                  <c:v>112930.29309509021</c:v>
                </c:pt>
                <c:pt idx="41">
                  <c:v>115015.93421968585</c:v>
                </c:pt>
                <c:pt idx="42">
                  <c:v>116434.7247948212</c:v>
                </c:pt>
                <c:pt idx="43">
                  <c:v>116642.13321292191</c:v>
                </c:pt>
                <c:pt idx="44">
                  <c:v>115746.01329789463</c:v>
                </c:pt>
                <c:pt idx="45">
                  <c:v>115594.24319968012</c:v>
                </c:pt>
                <c:pt idx="46">
                  <c:v>117225.52343880347</c:v>
                </c:pt>
                <c:pt idx="47">
                  <c:v>116098.90981555353</c:v>
                </c:pt>
                <c:pt idx="48">
                  <c:v>119137.71180655406</c:v>
                </c:pt>
                <c:pt idx="49">
                  <c:v>120784.66351930115</c:v>
                </c:pt>
                <c:pt idx="50">
                  <c:v>123273.50343529812</c:v>
                </c:pt>
                <c:pt idx="51">
                  <c:v>118138.47341275241</c:v>
                </c:pt>
                <c:pt idx="52">
                  <c:v>117637.77930378684</c:v>
                </c:pt>
                <c:pt idx="53">
                  <c:v>119787.89540381117</c:v>
                </c:pt>
                <c:pt idx="54">
                  <c:v>120305.07232319233</c:v>
                </c:pt>
                <c:pt idx="55">
                  <c:v>119707.56303886305</c:v>
                </c:pt>
                <c:pt idx="56">
                  <c:v>119770.50783858307</c:v>
                </c:pt>
                <c:pt idx="57">
                  <c:v>121107.28462076762</c:v>
                </c:pt>
                <c:pt idx="58">
                  <c:v>122918.58455038491</c:v>
                </c:pt>
                <c:pt idx="59">
                  <c:v>122696.42967907626</c:v>
                </c:pt>
                <c:pt idx="60">
                  <c:v>122114.7614620368</c:v>
                </c:pt>
                <c:pt idx="61">
                  <c:v>122091.56613540914</c:v>
                </c:pt>
                <c:pt idx="62">
                  <c:v>120118.6034955388</c:v>
                </c:pt>
                <c:pt idx="63">
                  <c:v>119783.35630204741</c:v>
                </c:pt>
                <c:pt idx="64">
                  <c:v>119938.06089032923</c:v>
                </c:pt>
                <c:pt idx="65">
                  <c:v>119296.46908855982</c:v>
                </c:pt>
                <c:pt idx="66">
                  <c:v>123052.05995675082</c:v>
                </c:pt>
                <c:pt idx="67">
                  <c:v>123141.82693930133</c:v>
                </c:pt>
                <c:pt idx="68">
                  <c:v>121926.90623173889</c:v>
                </c:pt>
                <c:pt idx="69">
                  <c:v>121437.00132852916</c:v>
                </c:pt>
                <c:pt idx="70">
                  <c:v>124125.46042991529</c:v>
                </c:pt>
                <c:pt idx="71">
                  <c:v>124463.3222333539</c:v>
                </c:pt>
                <c:pt idx="72">
                  <c:v>124991.66536403038</c:v>
                </c:pt>
                <c:pt idx="73">
                  <c:v>126321.63749369551</c:v>
                </c:pt>
                <c:pt idx="74">
                  <c:v>127447.00136440365</c:v>
                </c:pt>
                <c:pt idx="75">
                  <c:v>127858.80910703441</c:v>
                </c:pt>
                <c:pt idx="76">
                  <c:v>128265.7636598814</c:v>
                </c:pt>
                <c:pt idx="77">
                  <c:v>128337.09247689744</c:v>
                </c:pt>
                <c:pt idx="78">
                  <c:v>129900.49436334232</c:v>
                </c:pt>
                <c:pt idx="79">
                  <c:v>130400.46364466178</c:v>
                </c:pt>
                <c:pt idx="80">
                  <c:v>126628.71917827935</c:v>
                </c:pt>
                <c:pt idx="81">
                  <c:v>125172.34251126024</c:v>
                </c:pt>
                <c:pt idx="82">
                  <c:v>125639.79991739389</c:v>
                </c:pt>
                <c:pt idx="83">
                  <c:v>126627.34665940108</c:v>
                </c:pt>
                <c:pt idx="84">
                  <c:v>127681.73206479261</c:v>
                </c:pt>
                <c:pt idx="85">
                  <c:v>128013.31045322628</c:v>
                </c:pt>
                <c:pt idx="86">
                  <c:v>125821.61001282629</c:v>
                </c:pt>
                <c:pt idx="87">
                  <c:v>126402.01594250918</c:v>
                </c:pt>
                <c:pt idx="88">
                  <c:v>126749.13434206272</c:v>
                </c:pt>
                <c:pt idx="89">
                  <c:v>125387.21050772165</c:v>
                </c:pt>
                <c:pt idx="90">
                  <c:v>125431.74785859617</c:v>
                </c:pt>
                <c:pt idx="91">
                  <c:v>125949.24758780281</c:v>
                </c:pt>
                <c:pt idx="92">
                  <c:v>125763.93719843299</c:v>
                </c:pt>
                <c:pt idx="93">
                  <c:v>125041.85948772043</c:v>
                </c:pt>
                <c:pt idx="94">
                  <c:v>124260.70731847349</c:v>
                </c:pt>
                <c:pt idx="95">
                  <c:v>122694.486733242</c:v>
                </c:pt>
                <c:pt idx="96">
                  <c:v>122156.2106037004</c:v>
                </c:pt>
                <c:pt idx="97">
                  <c:v>121008.29473081426</c:v>
                </c:pt>
                <c:pt idx="98">
                  <c:v>119227.04258644913</c:v>
                </c:pt>
                <c:pt idx="99">
                  <c:v>119448.53169651676</c:v>
                </c:pt>
                <c:pt idx="100">
                  <c:v>120361.92040433991</c:v>
                </c:pt>
                <c:pt idx="101">
                  <c:v>123651.4714345339</c:v>
                </c:pt>
                <c:pt idx="102">
                  <c:v>125229.99082650105</c:v>
                </c:pt>
                <c:pt idx="103">
                  <c:v>123904.80836756814</c:v>
                </c:pt>
                <c:pt idx="104">
                  <c:v>126372.04164920446</c:v>
                </c:pt>
                <c:pt idx="105">
                  <c:v>126817.89027889135</c:v>
                </c:pt>
                <c:pt idx="106">
                  <c:v>127105.09552632544</c:v>
                </c:pt>
                <c:pt idx="107">
                  <c:v>126450.97722378031</c:v>
                </c:pt>
                <c:pt idx="108">
                  <c:v>123331.41672550022</c:v>
                </c:pt>
                <c:pt idx="109">
                  <c:v>123795.54435380398</c:v>
                </c:pt>
                <c:pt idx="110">
                  <c:v>124593.88183982871</c:v>
                </c:pt>
                <c:pt idx="111">
                  <c:v>125906.16500334423</c:v>
                </c:pt>
                <c:pt idx="112">
                  <c:v>125873.80825957129</c:v>
                </c:pt>
                <c:pt idx="113">
                  <c:v>126989.79901278236</c:v>
                </c:pt>
                <c:pt idx="114">
                  <c:v>131027.97622200687</c:v>
                </c:pt>
                <c:pt idx="115">
                  <c:v>134329.60524823013</c:v>
                </c:pt>
                <c:pt idx="116">
                  <c:v>134790.76292109941</c:v>
                </c:pt>
                <c:pt idx="117">
                  <c:v>133732.1486750475</c:v>
                </c:pt>
                <c:pt idx="118">
                  <c:v>136007.05068820814</c:v>
                </c:pt>
                <c:pt idx="119">
                  <c:v>135773.3455642552</c:v>
                </c:pt>
                <c:pt idx="120">
                  <c:v>137807.10809141767</c:v>
                </c:pt>
                <c:pt idx="121">
                  <c:v>136772.10851876021</c:v>
                </c:pt>
                <c:pt idx="122">
                  <c:v>137346.76025906348</c:v>
                </c:pt>
                <c:pt idx="123">
                  <c:v>137447.42460885693</c:v>
                </c:pt>
                <c:pt idx="124">
                  <c:v>138444.48256655314</c:v>
                </c:pt>
                <c:pt idx="125">
                  <c:v>138754.9061004431</c:v>
                </c:pt>
                <c:pt idx="126">
                  <c:v>137482.00267898533</c:v>
                </c:pt>
                <c:pt idx="127">
                  <c:v>135917.59626526106</c:v>
                </c:pt>
                <c:pt idx="128">
                  <c:v>137062.69512206267</c:v>
                </c:pt>
                <c:pt idx="129">
                  <c:v>138211.59704256529</c:v>
                </c:pt>
                <c:pt idx="130">
                  <c:v>137642.03887470064</c:v>
                </c:pt>
                <c:pt idx="131">
                  <c:v>137308.92819932074</c:v>
                </c:pt>
                <c:pt idx="132">
                  <c:v>136041.3027197163</c:v>
                </c:pt>
                <c:pt idx="133">
                  <c:v>136923.65585074472</c:v>
                </c:pt>
                <c:pt idx="134">
                  <c:v>136939.43785451</c:v>
                </c:pt>
                <c:pt idx="135">
                  <c:v>131465.75838426559</c:v>
                </c:pt>
                <c:pt idx="136">
                  <c:v>133844.62474951302</c:v>
                </c:pt>
                <c:pt idx="137">
                  <c:v>136400.8781662281</c:v>
                </c:pt>
                <c:pt idx="138">
                  <c:v>138556.8714385182</c:v>
                </c:pt>
                <c:pt idx="139">
                  <c:v>138825.28511109861</c:v>
                </c:pt>
                <c:pt idx="140">
                  <c:v>137374.04211069076</c:v>
                </c:pt>
                <c:pt idx="141">
                  <c:v>138794.20247406792</c:v>
                </c:pt>
                <c:pt idx="142">
                  <c:v>142737.61442306705</c:v>
                </c:pt>
                <c:pt idx="143">
                  <c:v>140731.70928639453</c:v>
                </c:pt>
                <c:pt idx="144">
                  <c:v>141166.26580785427</c:v>
                </c:pt>
                <c:pt idx="145">
                  <c:v>140618.95503956001</c:v>
                </c:pt>
                <c:pt idx="146">
                  <c:v>143055.60399455542</c:v>
                </c:pt>
                <c:pt idx="147">
                  <c:v>143336.99640228585</c:v>
                </c:pt>
                <c:pt idx="148">
                  <c:v>145120.76580247705</c:v>
                </c:pt>
                <c:pt idx="149">
                  <c:v>144576.48075708767</c:v>
                </c:pt>
                <c:pt idx="150">
                  <c:v>145012.44172233669</c:v>
                </c:pt>
                <c:pt idx="151">
                  <c:v>146891.65231588494</c:v>
                </c:pt>
                <c:pt idx="152">
                  <c:v>145480.20610402455</c:v>
                </c:pt>
                <c:pt idx="153">
                  <c:v>145880.84190809421</c:v>
                </c:pt>
                <c:pt idx="154">
                  <c:v>147054.92401182788</c:v>
                </c:pt>
                <c:pt idx="155">
                  <c:v>146570.83728484885</c:v>
                </c:pt>
                <c:pt idx="156">
                  <c:v>146331.89516264483</c:v>
                </c:pt>
                <c:pt idx="157">
                  <c:v>144533.01466635728</c:v>
                </c:pt>
                <c:pt idx="158">
                  <c:v>145529.05630219451</c:v>
                </c:pt>
                <c:pt idx="159">
                  <c:v>147368.12290876597</c:v>
                </c:pt>
                <c:pt idx="160">
                  <c:v>145983.39081592424</c:v>
                </c:pt>
                <c:pt idx="161">
                  <c:v>147417.68273513272</c:v>
                </c:pt>
                <c:pt idx="162">
                  <c:v>153093.0944429776</c:v>
                </c:pt>
                <c:pt idx="163">
                  <c:v>153796.67453045087</c:v>
                </c:pt>
                <c:pt idx="164">
                  <c:v>152996.90962857025</c:v>
                </c:pt>
                <c:pt idx="165">
                  <c:v>155991.03533865555</c:v>
                </c:pt>
                <c:pt idx="166">
                  <c:v>156075.22826252988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F9-4AAC-A280-486E938570A0}"/>
            </c:ext>
          </c:extLst>
        </c:ser>
        <c:ser>
          <c:idx val="1"/>
          <c:order val="1"/>
          <c:tx>
            <c:strRef>
              <c:f>'Ideal - Compuesta'!$D$1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102949.27460682864</c:v>
                </c:pt>
                <c:pt idx="3">
                  <c:v>105118.92959785921</c:v>
                </c:pt>
                <c:pt idx="4">
                  <c:v>104335.84073658471</c:v>
                </c:pt>
                <c:pt idx="5">
                  <c:v>104226.37857631265</c:v>
                </c:pt>
                <c:pt idx="6">
                  <c:v>103746.92380738429</c:v>
                </c:pt>
                <c:pt idx="7">
                  <c:v>101926.6965128251</c:v>
                </c:pt>
                <c:pt idx="8">
                  <c:v>100642.17801297198</c:v>
                </c:pt>
                <c:pt idx="9">
                  <c:v>99731.920365627884</c:v>
                </c:pt>
                <c:pt idx="10">
                  <c:v>98709.765634060692</c:v>
                </c:pt>
                <c:pt idx="11">
                  <c:v>101125.16428637301</c:v>
                </c:pt>
                <c:pt idx="12">
                  <c:v>100036.34289496993</c:v>
                </c:pt>
                <c:pt idx="13">
                  <c:v>102235.9624412198</c:v>
                </c:pt>
                <c:pt idx="14">
                  <c:v>102915.25548433338</c:v>
                </c:pt>
                <c:pt idx="15">
                  <c:v>103294.66622319937</c:v>
                </c:pt>
                <c:pt idx="16">
                  <c:v>106221.59386945481</c:v>
                </c:pt>
                <c:pt idx="17">
                  <c:v>108009.50244579943</c:v>
                </c:pt>
                <c:pt idx="18">
                  <c:v>107777.71827554431</c:v>
                </c:pt>
                <c:pt idx="19">
                  <c:v>107131.98316491721</c:v>
                </c:pt>
                <c:pt idx="20">
                  <c:v>108997.42822759363</c:v>
                </c:pt>
                <c:pt idx="21">
                  <c:v>111124.10609709975</c:v>
                </c:pt>
                <c:pt idx="22">
                  <c:v>108777.07158647888</c:v>
                </c:pt>
                <c:pt idx="23">
                  <c:v>109278.12242483174</c:v>
                </c:pt>
                <c:pt idx="24">
                  <c:v>109325.31776452489</c:v>
                </c:pt>
                <c:pt idx="25">
                  <c:v>106331.00287476977</c:v>
                </c:pt>
                <c:pt idx="26">
                  <c:v>108716.43291323457</c:v>
                </c:pt>
                <c:pt idx="27">
                  <c:v>112781.14643567221</c:v>
                </c:pt>
                <c:pt idx="28">
                  <c:v>112254.06816927347</c:v>
                </c:pt>
                <c:pt idx="29">
                  <c:v>110640.93181771066</c:v>
                </c:pt>
                <c:pt idx="30">
                  <c:v>110740.52072636066</c:v>
                </c:pt>
                <c:pt idx="31">
                  <c:v>110481.11463822733</c:v>
                </c:pt>
                <c:pt idx="32">
                  <c:v>111242.92574776054</c:v>
                </c:pt>
                <c:pt idx="33">
                  <c:v>111852.15524808057</c:v>
                </c:pt>
                <c:pt idx="34">
                  <c:v>112591.26481260531</c:v>
                </c:pt>
                <c:pt idx="35">
                  <c:v>113626.89413492731</c:v>
                </c:pt>
                <c:pt idx="36">
                  <c:v>113280.70051023514</c:v>
                </c:pt>
                <c:pt idx="37">
                  <c:v>113047.91686123866</c:v>
                </c:pt>
                <c:pt idx="38">
                  <c:v>111883.32277433995</c:v>
                </c:pt>
                <c:pt idx="39">
                  <c:v>112120.08317332796</c:v>
                </c:pt>
                <c:pt idx="40">
                  <c:v>110049.78323206636</c:v>
                </c:pt>
                <c:pt idx="41">
                  <c:v>112082.07292433878</c:v>
                </c:pt>
                <c:pt idx="42">
                  <c:v>113464.51950982847</c:v>
                </c:pt>
                <c:pt idx="43">
                  <c:v>113666.48396082725</c:v>
                </c:pt>
                <c:pt idx="44">
                  <c:v>112793.07183231301</c:v>
                </c:pt>
                <c:pt idx="45">
                  <c:v>112645.02065758618</c:v>
                </c:pt>
                <c:pt idx="46">
                  <c:v>114234.52802242716</c:v>
                </c:pt>
                <c:pt idx="47">
                  <c:v>113136.50672371838</c:v>
                </c:pt>
                <c:pt idx="48">
                  <c:v>116097.6169358168</c:v>
                </c:pt>
                <c:pt idx="49">
                  <c:v>117702.38947668539</c:v>
                </c:pt>
                <c:pt idx="50">
                  <c:v>120127.56418809842</c:v>
                </c:pt>
                <c:pt idx="51">
                  <c:v>115123.4269884087</c:v>
                </c:pt>
                <c:pt idx="52">
                  <c:v>114635.35811203072</c:v>
                </c:pt>
                <c:pt idx="53">
                  <c:v>116730.44453783889</c:v>
                </c:pt>
                <c:pt idx="54">
                  <c:v>117234.26795668625</c:v>
                </c:pt>
                <c:pt idx="55">
                  <c:v>116651.85703236848</c:v>
                </c:pt>
                <c:pt idx="56">
                  <c:v>116713.04191790035</c:v>
                </c:pt>
                <c:pt idx="57">
                  <c:v>118015.54069354806</c:v>
                </c:pt>
                <c:pt idx="58">
                  <c:v>119780.44683241259</c:v>
                </c:pt>
                <c:pt idx="59">
                  <c:v>119563.81044113736</c:v>
                </c:pt>
                <c:pt idx="60">
                  <c:v>118996.83987533423</c:v>
                </c:pt>
                <c:pt idx="61">
                  <c:v>118974.08359210675</c:v>
                </c:pt>
                <c:pt idx="62">
                  <c:v>117051.34531979283</c:v>
                </c:pt>
                <c:pt idx="63">
                  <c:v>116724.50553461863</c:v>
                </c:pt>
                <c:pt idx="64">
                  <c:v>116875.1062860372</c:v>
                </c:pt>
                <c:pt idx="65">
                  <c:v>116249.74610266506</c:v>
                </c:pt>
                <c:pt idx="66">
                  <c:v>119909.26937179625</c:v>
                </c:pt>
                <c:pt idx="67">
                  <c:v>119996.59043372409</c:v>
                </c:pt>
                <c:pt idx="68">
                  <c:v>118812.54746800032</c:v>
                </c:pt>
                <c:pt idx="69">
                  <c:v>118335.00286755481</c:v>
                </c:pt>
                <c:pt idx="70">
                  <c:v>120954.63444607542</c:v>
                </c:pt>
                <c:pt idx="71">
                  <c:v>121283.71218589472</c:v>
                </c:pt>
                <c:pt idx="72">
                  <c:v>121798.40468635659</c:v>
                </c:pt>
                <c:pt idx="73">
                  <c:v>123094.24568211209</c:v>
                </c:pt>
                <c:pt idx="74">
                  <c:v>124190.70433464312</c:v>
                </c:pt>
                <c:pt idx="75">
                  <c:v>124591.83700373919</c:v>
                </c:pt>
                <c:pt idx="76">
                  <c:v>124988.23998791835</c:v>
                </c:pt>
                <c:pt idx="77">
                  <c:v>125057.59285265325</c:v>
                </c:pt>
                <c:pt idx="78">
                  <c:v>126580.89056658222</c:v>
                </c:pt>
                <c:pt idx="79">
                  <c:v>127067.92981591416</c:v>
                </c:pt>
                <c:pt idx="80">
                  <c:v>123392.42328054734</c:v>
                </c:pt>
                <c:pt idx="81">
                  <c:v>121973.11441369315</c:v>
                </c:pt>
                <c:pt idx="82">
                  <c:v>122428.47091793173</c:v>
                </c:pt>
                <c:pt idx="83">
                  <c:v>123390.6227972678</c:v>
                </c:pt>
                <c:pt idx="84">
                  <c:v>124417.90367243554</c:v>
                </c:pt>
                <c:pt idx="85">
                  <c:v>124740.85280818757</c:v>
                </c:pt>
                <c:pt idx="86">
                  <c:v>122605.02633972556</c:v>
                </c:pt>
                <c:pt idx="87">
                  <c:v>123170.44101521106</c:v>
                </c:pt>
                <c:pt idx="88">
                  <c:v>123508.5316428746</c:v>
                </c:pt>
                <c:pt idx="89">
                  <c:v>124823.78849143887</c:v>
                </c:pt>
                <c:pt idx="90">
                  <c:v>124767.47822796836</c:v>
                </c:pt>
                <c:pt idx="91">
                  <c:v>124240.75088276887</c:v>
                </c:pt>
                <c:pt idx="92">
                  <c:v>124411.6289335953</c:v>
                </c:pt>
                <c:pt idx="93">
                  <c:v>123697.25102799409</c:v>
                </c:pt>
                <c:pt idx="94">
                  <c:v>122924.43427673129</c:v>
                </c:pt>
                <c:pt idx="95">
                  <c:v>121374.99196962333</c:v>
                </c:pt>
                <c:pt idx="96">
                  <c:v>120842.44010353016</c:v>
                </c:pt>
                <c:pt idx="97">
                  <c:v>119706.8053531515</c:v>
                </c:pt>
                <c:pt idx="98">
                  <c:v>117944.6467082337</c:v>
                </c:pt>
                <c:pt idx="99">
                  <c:v>118163.68896487981</c:v>
                </c:pt>
                <c:pt idx="100">
                  <c:v>119067.18830962735</c:v>
                </c:pt>
                <c:pt idx="101">
                  <c:v>122321.28912704457</c:v>
                </c:pt>
                <c:pt idx="102">
                  <c:v>120747.81522298481</c:v>
                </c:pt>
                <c:pt idx="103">
                  <c:v>119469.84835031036</c:v>
                </c:pt>
                <c:pt idx="104">
                  <c:v>121848.55649025185</c:v>
                </c:pt>
                <c:pt idx="105">
                  <c:v>121406.88177485651</c:v>
                </c:pt>
                <c:pt idx="106">
                  <c:v>121120.18687658376</c:v>
                </c:pt>
                <c:pt idx="107">
                  <c:v>121731.78768634942</c:v>
                </c:pt>
                <c:pt idx="108">
                  <c:v>118728.42622780974</c:v>
                </c:pt>
                <c:pt idx="109">
                  <c:v>119175.00769420895</c:v>
                </c:pt>
                <c:pt idx="110">
                  <c:v>119943.32414142921</c:v>
                </c:pt>
                <c:pt idx="111">
                  <c:v>121206.40142240678</c:v>
                </c:pt>
                <c:pt idx="112">
                  <c:v>121175.02851023964</c:v>
                </c:pt>
                <c:pt idx="113">
                  <c:v>122249.13614651781</c:v>
                </c:pt>
                <c:pt idx="114">
                  <c:v>126136.33996363201</c:v>
                </c:pt>
                <c:pt idx="115">
                  <c:v>129314.48606246493</c:v>
                </c:pt>
                <c:pt idx="116">
                  <c:v>129758.20267010028</c:v>
                </c:pt>
                <c:pt idx="117">
                  <c:v>128738.88892580025</c:v>
                </c:pt>
                <c:pt idx="118">
                  <c:v>130928.62715203957</c:v>
                </c:pt>
                <c:pt idx="119">
                  <c:v>130703.42440391889</c:v>
                </c:pt>
                <c:pt idx="120">
                  <c:v>132661.02002839849</c:v>
                </c:pt>
                <c:pt idx="121">
                  <c:v>131664.44606738794</c:v>
                </c:pt>
                <c:pt idx="122">
                  <c:v>132217.41375877662</c:v>
                </c:pt>
                <c:pt idx="123">
                  <c:v>132314.09462611817</c:v>
                </c:pt>
                <c:pt idx="124">
                  <c:v>133273.69078703411</c:v>
                </c:pt>
                <c:pt idx="125">
                  <c:v>133572.29615253228</c:v>
                </c:pt>
                <c:pt idx="126">
                  <c:v>132346.71261661669</c:v>
                </c:pt>
                <c:pt idx="127">
                  <c:v>130840.51650543082</c:v>
                </c:pt>
                <c:pt idx="128">
                  <c:v>131942.6170980781</c:v>
                </c:pt>
                <c:pt idx="129">
                  <c:v>133048.37680590386</c:v>
                </c:pt>
                <c:pt idx="130">
                  <c:v>132499.87168278449</c:v>
                </c:pt>
                <c:pt idx="131">
                  <c:v>132178.98153099473</c:v>
                </c:pt>
                <c:pt idx="132">
                  <c:v>130958.49116132558</c:v>
                </c:pt>
                <c:pt idx="133">
                  <c:v>131807.65340493928</c:v>
                </c:pt>
                <c:pt idx="134">
                  <c:v>131822.62154798894</c:v>
                </c:pt>
                <c:pt idx="135">
                  <c:v>126553.2448842297</c:v>
                </c:pt>
                <c:pt idx="136">
                  <c:v>128842.99535832004</c:v>
                </c:pt>
                <c:pt idx="137">
                  <c:v>131303.50012602727</c:v>
                </c:pt>
                <c:pt idx="138">
                  <c:v>133378.69848572303</c:v>
                </c:pt>
                <c:pt idx="139">
                  <c:v>133636.85671992294</c:v>
                </c:pt>
                <c:pt idx="140">
                  <c:v>132239.62794184833</c:v>
                </c:pt>
                <c:pt idx="141">
                  <c:v>133606.48494554954</c:v>
                </c:pt>
                <c:pt idx="142">
                  <c:v>137402.27953568249</c:v>
                </c:pt>
                <c:pt idx="143">
                  <c:v>135471.12809088215</c:v>
                </c:pt>
                <c:pt idx="144">
                  <c:v>135889.21651596116</c:v>
                </c:pt>
                <c:pt idx="145">
                  <c:v>135362.14091922276</c:v>
                </c:pt>
                <c:pt idx="146">
                  <c:v>137707.47536036736</c:v>
                </c:pt>
                <c:pt idx="147">
                  <c:v>137978.12361322294</c:v>
                </c:pt>
                <c:pt idx="148">
                  <c:v>139694.97974762711</c:v>
                </c:pt>
                <c:pt idx="149">
                  <c:v>139170.82014380812</c:v>
                </c:pt>
                <c:pt idx="150">
                  <c:v>139590.2563536478</c:v>
                </c:pt>
                <c:pt idx="151">
                  <c:v>141398.97671080098</c:v>
                </c:pt>
                <c:pt idx="152">
                  <c:v>140040.08392863136</c:v>
                </c:pt>
                <c:pt idx="153">
                  <c:v>140425.51389464052</c:v>
                </c:pt>
                <c:pt idx="154">
                  <c:v>141555.46590648228</c:v>
                </c:pt>
                <c:pt idx="155">
                  <c:v>141089.25833549484</c:v>
                </c:pt>
                <c:pt idx="156">
                  <c:v>140859.02797790337</c:v>
                </c:pt>
                <c:pt idx="157">
                  <c:v>139127.20187753811</c:v>
                </c:pt>
                <c:pt idx="158">
                  <c:v>140085.76522855271</c:v>
                </c:pt>
                <c:pt idx="159">
                  <c:v>141855.81994949104</c:v>
                </c:pt>
                <c:pt idx="160">
                  <c:v>140522.65931488201</c:v>
                </c:pt>
                <c:pt idx="161">
                  <c:v>141903.07491699743</c:v>
                </c:pt>
                <c:pt idx="162">
                  <c:v>147365.95610041113</c:v>
                </c:pt>
                <c:pt idx="163">
                  <c:v>148042.99114128464</c:v>
                </c:pt>
                <c:pt idx="164">
                  <c:v>147272.92175749503</c:v>
                </c:pt>
                <c:pt idx="165">
                  <c:v>150154.80544113732</c:v>
                </c:pt>
                <c:pt idx="166">
                  <c:v>150235.62389776923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F9-4AAC-A280-486E938570A0}"/>
            </c:ext>
          </c:extLst>
        </c:ser>
        <c:ser>
          <c:idx val="2"/>
          <c:order val="2"/>
          <c:tx>
            <c:strRef>
              <c:f>'Ideal - Compuesta'!$E$1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99840.845363549073</c:v>
                </c:pt>
                <c:pt idx="3">
                  <c:v>97724.881652260228</c:v>
                </c:pt>
                <c:pt idx="4">
                  <c:v>98441.310212861616</c:v>
                </c:pt>
                <c:pt idx="5">
                  <c:v>98532.92720183426</c:v>
                </c:pt>
                <c:pt idx="6">
                  <c:v>98974.519115871866</c:v>
                </c:pt>
                <c:pt idx="7">
                  <c:v>97237.747084700532</c:v>
                </c:pt>
                <c:pt idx="8">
                  <c:v>96012.044467180836</c:v>
                </c:pt>
                <c:pt idx="9">
                  <c:v>95143.3880028563</c:v>
                </c:pt>
                <c:pt idx="10">
                  <c:v>94167.985192382039</c:v>
                </c:pt>
                <c:pt idx="11">
                  <c:v>96471.971757248539</c:v>
                </c:pt>
                <c:pt idx="12">
                  <c:v>95432.975515148399</c:v>
                </c:pt>
                <c:pt idx="13">
                  <c:v>97531.099177225813</c:v>
                </c:pt>
                <c:pt idx="14">
                  <c:v>96871.343080472667</c:v>
                </c:pt>
                <c:pt idx="15">
                  <c:v>97228.119772187434</c:v>
                </c:pt>
                <c:pt idx="16">
                  <c:v>99982.795138107133</c:v>
                </c:pt>
                <c:pt idx="17">
                  <c:v>101665.34063202608</c:v>
                </c:pt>
                <c:pt idx="18">
                  <c:v>101446.81836260979</c:v>
                </c:pt>
                <c:pt idx="19">
                  <c:v>100838.66151046667</c:v>
                </c:pt>
                <c:pt idx="20">
                  <c:v>102594.17109551895</c:v>
                </c:pt>
                <c:pt idx="21">
                  <c:v>104595.5608274938</c:v>
                </c:pt>
                <c:pt idx="22">
                  <c:v>102386.06217940616</c:v>
                </c:pt>
                <c:pt idx="23">
                  <c:v>102857.32211945193</c:v>
                </c:pt>
                <c:pt idx="24">
                  <c:v>102801.252351884</c:v>
                </c:pt>
                <c:pt idx="25">
                  <c:v>99985.267259955974</c:v>
                </c:pt>
                <c:pt idx="26">
                  <c:v>102227.97897210823</c:v>
                </c:pt>
                <c:pt idx="27">
                  <c:v>106049.74268015179</c:v>
                </c:pt>
                <c:pt idx="28">
                  <c:v>106533.72010824368</c:v>
                </c:pt>
                <c:pt idx="29">
                  <c:v>105002.48171781855</c:v>
                </c:pt>
                <c:pt idx="30">
                  <c:v>105096.68963606341</c:v>
                </c:pt>
                <c:pt idx="31">
                  <c:v>104850.1982529477</c:v>
                </c:pt>
                <c:pt idx="32">
                  <c:v>104115.52034886436</c:v>
                </c:pt>
                <c:pt idx="33">
                  <c:v>103533.70899610443</c:v>
                </c:pt>
                <c:pt idx="34">
                  <c:v>102838.01323966042</c:v>
                </c:pt>
                <c:pt idx="35">
                  <c:v>101880.61536507348</c:v>
                </c:pt>
                <c:pt idx="36">
                  <c:v>102179.64117864324</c:v>
                </c:pt>
                <c:pt idx="37">
                  <c:v>101969.08142773007</c:v>
                </c:pt>
                <c:pt idx="38">
                  <c:v>103008.13186358793</c:v>
                </c:pt>
                <c:pt idx="39">
                  <c:v>102778.62853377844</c:v>
                </c:pt>
                <c:pt idx="40">
                  <c:v>104664.93819713498</c:v>
                </c:pt>
                <c:pt idx="41">
                  <c:v>102720.38404097025</c:v>
                </c:pt>
                <c:pt idx="42">
                  <c:v>101441.90787452611</c:v>
                </c:pt>
                <c:pt idx="43">
                  <c:v>101249.97917390206</c:v>
                </c:pt>
                <c:pt idx="44">
                  <c:v>102016.63842126228</c:v>
                </c:pt>
                <c:pt idx="45">
                  <c:v>102139.11779587287</c:v>
                </c:pt>
                <c:pt idx="46">
                  <c:v>103579.81924552722</c:v>
                </c:pt>
                <c:pt idx="47">
                  <c:v>104563.98719816509</c:v>
                </c:pt>
                <c:pt idx="48">
                  <c:v>101815.69929112332</c:v>
                </c:pt>
                <c:pt idx="49">
                  <c:v>100397.07828325077</c:v>
                </c:pt>
                <c:pt idx="50">
                  <c:v>98317.34945831183</c:v>
                </c:pt>
                <c:pt idx="51">
                  <c:v>94220.667981302671</c:v>
                </c:pt>
                <c:pt idx="52">
                  <c:v>93820.127506496428</c:v>
                </c:pt>
                <c:pt idx="53">
                  <c:v>95533.703382718188</c:v>
                </c:pt>
                <c:pt idx="54">
                  <c:v>95944.949453069086</c:v>
                </c:pt>
                <c:pt idx="55">
                  <c:v>96410.686240970535</c:v>
                </c:pt>
                <c:pt idx="56">
                  <c:v>96460.21335458821</c:v>
                </c:pt>
                <c:pt idx="57">
                  <c:v>95372.774048413834</c:v>
                </c:pt>
                <c:pt idx="58">
                  <c:v>96797.909558621352</c:v>
                </c:pt>
                <c:pt idx="59">
                  <c:v>96962.13068311708</c:v>
                </c:pt>
                <c:pt idx="60">
                  <c:v>96501.202882555197</c:v>
                </c:pt>
                <c:pt idx="61">
                  <c:v>96481.614273908213</c:v>
                </c:pt>
                <c:pt idx="62">
                  <c:v>98029.986428498174</c:v>
                </c:pt>
                <c:pt idx="63">
                  <c:v>97755.284520797577</c:v>
                </c:pt>
                <c:pt idx="64">
                  <c:v>97618.133388985298</c:v>
                </c:pt>
                <c:pt idx="65">
                  <c:v>98129.444447922666</c:v>
                </c:pt>
                <c:pt idx="66">
                  <c:v>95029.28059750775</c:v>
                </c:pt>
                <c:pt idx="67">
                  <c:v>94949.322733982612</c:v>
                </c:pt>
                <c:pt idx="68">
                  <c:v>95875.469066996826</c:v>
                </c:pt>
                <c:pt idx="69">
                  <c:v>96249.980727736183</c:v>
                </c:pt>
                <c:pt idx="70">
                  <c:v>94108.374333121101</c:v>
                </c:pt>
                <c:pt idx="71">
                  <c:v>94363.080518659364</c:v>
                </c:pt>
                <c:pt idx="72">
                  <c:v>94762.197969807603</c:v>
                </c:pt>
                <c:pt idx="73">
                  <c:v>95769.062748149096</c:v>
                </c:pt>
                <c:pt idx="74">
                  <c:v>94905.334336179731</c:v>
                </c:pt>
                <c:pt idx="75">
                  <c:v>94588.207490682282</c:v>
                </c:pt>
                <c:pt idx="76">
                  <c:v>94276.709330628131</c:v>
                </c:pt>
                <c:pt idx="77">
                  <c:v>94327.546838913142</c:v>
                </c:pt>
                <c:pt idx="78">
                  <c:v>95475.054582431316</c:v>
                </c:pt>
                <c:pt idx="79">
                  <c:v>95840.934958928483</c:v>
                </c:pt>
                <c:pt idx="80">
                  <c:v>93067.211130445939</c:v>
                </c:pt>
                <c:pt idx="81">
                  <c:v>91995.240374648449</c:v>
                </c:pt>
                <c:pt idx="82">
                  <c:v>92337.20724185399</c:v>
                </c:pt>
                <c:pt idx="83">
                  <c:v>93061.400472673413</c:v>
                </c:pt>
                <c:pt idx="84">
                  <c:v>93834.702522900756</c:v>
                </c:pt>
                <c:pt idx="85">
                  <c:v>94076.792575757805</c:v>
                </c:pt>
                <c:pt idx="86">
                  <c:v>92464.524553813448</c:v>
                </c:pt>
                <c:pt idx="87">
                  <c:v>92889.465991283039</c:v>
                </c:pt>
                <c:pt idx="88">
                  <c:v>93142.96327320252</c:v>
                </c:pt>
                <c:pt idx="89">
                  <c:v>92140.548074322709</c:v>
                </c:pt>
                <c:pt idx="90">
                  <c:v>92171.685348442974</c:v>
                </c:pt>
                <c:pt idx="91">
                  <c:v>91780.99922914544</c:v>
                </c:pt>
                <c:pt idx="92">
                  <c:v>91905.665247591125</c:v>
                </c:pt>
                <c:pt idx="93">
                  <c:v>92422.95992043658</c:v>
                </c:pt>
                <c:pt idx="94">
                  <c:v>92989.9029185978</c:v>
                </c:pt>
                <c:pt idx="95">
                  <c:v>91816.319344649281</c:v>
                </c:pt>
                <c:pt idx="96">
                  <c:v>91411.999612518368</c:v>
                </c:pt>
                <c:pt idx="97">
                  <c:v>90551.480527373846</c:v>
                </c:pt>
                <c:pt idx="98">
                  <c:v>91873.915989911795</c:v>
                </c:pt>
                <c:pt idx="99">
                  <c:v>92043.214436753828</c:v>
                </c:pt>
                <c:pt idx="100">
                  <c:v>91328.762932302532</c:v>
                </c:pt>
                <c:pt idx="101">
                  <c:v>88822.149800202315</c:v>
                </c:pt>
                <c:pt idx="102">
                  <c:v>89954.352339661345</c:v>
                </c:pt>
                <c:pt idx="103">
                  <c:v>90895.938480393059</c:v>
                </c:pt>
                <c:pt idx="104">
                  <c:v>89075.587099061857</c:v>
                </c:pt>
                <c:pt idx="105">
                  <c:v>88751.093534789208</c:v>
                </c:pt>
                <c:pt idx="106">
                  <c:v>88539.899407346413</c:v>
                </c:pt>
                <c:pt idx="107">
                  <c:v>88985.370916602478</c:v>
                </c:pt>
                <c:pt idx="108">
                  <c:v>91170.42820926712</c:v>
                </c:pt>
                <c:pt idx="109">
                  <c:v>91511.96120875304</c:v>
                </c:pt>
                <c:pt idx="110">
                  <c:v>92100.542388585134</c:v>
                </c:pt>
                <c:pt idx="111">
                  <c:v>91120.059592250051</c:v>
                </c:pt>
                <c:pt idx="112">
                  <c:v>91133.134337820957</c:v>
                </c:pt>
                <c:pt idx="113">
                  <c:v>90314.808601021752</c:v>
                </c:pt>
                <c:pt idx="114">
                  <c:v>87432.600484785886</c:v>
                </c:pt>
                <c:pt idx="115">
                  <c:v>89633.72155572164</c:v>
                </c:pt>
                <c:pt idx="116">
                  <c:v>89939.44048540364</c:v>
                </c:pt>
                <c:pt idx="117">
                  <c:v>90635.799714517052</c:v>
                </c:pt>
                <c:pt idx="118">
                  <c:v>89083.938228842453</c:v>
                </c:pt>
                <c:pt idx="119">
                  <c:v>88928.792511072897</c:v>
                </c:pt>
                <c:pt idx="120">
                  <c:v>90258.795669837564</c:v>
                </c:pt>
                <c:pt idx="121">
                  <c:v>89578.837240122695</c:v>
                </c:pt>
                <c:pt idx="122">
                  <c:v>89192.539617302289</c:v>
                </c:pt>
                <c:pt idx="123">
                  <c:v>89255.807099307422</c:v>
                </c:pt>
                <c:pt idx="124">
                  <c:v>88598.439874084128</c:v>
                </c:pt>
                <c:pt idx="125">
                  <c:v>88794.937156188651</c:v>
                </c:pt>
                <c:pt idx="126">
                  <c:v>87978.193861750697</c:v>
                </c:pt>
                <c:pt idx="127">
                  <c:v>86974.930373364041</c:v>
                </c:pt>
                <c:pt idx="128">
                  <c:v>87705.529207320666</c:v>
                </c:pt>
                <c:pt idx="129">
                  <c:v>88438.543452079437</c:v>
                </c:pt>
                <c:pt idx="130">
                  <c:v>88071.935047409002</c:v>
                </c:pt>
                <c:pt idx="131">
                  <c:v>87856.629297574837</c:v>
                </c:pt>
                <c:pt idx="132">
                  <c:v>87043.382722078444</c:v>
                </c:pt>
                <c:pt idx="133">
                  <c:v>87605.778202205358</c:v>
                </c:pt>
                <c:pt idx="134">
                  <c:v>87613.71465006606</c:v>
                </c:pt>
                <c:pt idx="135">
                  <c:v>84109.498822621434</c:v>
                </c:pt>
                <c:pt idx="136">
                  <c:v>85629.294719630445</c:v>
                </c:pt>
                <c:pt idx="137">
                  <c:v>87262.538382772575</c:v>
                </c:pt>
                <c:pt idx="138">
                  <c:v>88639.674792470731</c:v>
                </c:pt>
                <c:pt idx="139">
                  <c:v>88809.226812688852</c:v>
                </c:pt>
                <c:pt idx="140">
                  <c:v>87878.676840974731</c:v>
                </c:pt>
                <c:pt idx="141">
                  <c:v>88784.99683804989</c:v>
                </c:pt>
                <c:pt idx="142">
                  <c:v>91305.388583191845</c:v>
                </c:pt>
                <c:pt idx="143">
                  <c:v>90020.103397072788</c:v>
                </c:pt>
                <c:pt idx="144">
                  <c:v>90295.908711704134</c:v>
                </c:pt>
                <c:pt idx="145">
                  <c:v>89943.663470754778</c:v>
                </c:pt>
                <c:pt idx="146">
                  <c:v>91500.047400599025</c:v>
                </c:pt>
                <c:pt idx="147">
                  <c:v>91310.227835369631</c:v>
                </c:pt>
                <c:pt idx="148">
                  <c:v>92444.367895550386</c:v>
                </c:pt>
                <c:pt idx="149">
                  <c:v>92095.471270842812</c:v>
                </c:pt>
                <c:pt idx="150">
                  <c:v>92371.001179198458</c:v>
                </c:pt>
                <c:pt idx="151">
                  <c:v>93565.85531206739</c:v>
                </c:pt>
                <c:pt idx="152">
                  <c:v>94455.085060215584</c:v>
                </c:pt>
                <c:pt idx="153">
                  <c:v>94185.071002973564</c:v>
                </c:pt>
                <c:pt idx="154">
                  <c:v>93417.174407946251</c:v>
                </c:pt>
                <c:pt idx="155">
                  <c:v>93714.880737104831</c:v>
                </c:pt>
                <c:pt idx="156">
                  <c:v>93857.819936780506</c:v>
                </c:pt>
                <c:pt idx="157">
                  <c:v>95001.780132414468</c:v>
                </c:pt>
                <c:pt idx="158">
                  <c:v>94337.136573424956</c:v>
                </c:pt>
                <c:pt idx="159">
                  <c:v>93135.098442800634</c:v>
                </c:pt>
                <c:pt idx="160">
                  <c:v>94000.442575157926</c:v>
                </c:pt>
                <c:pt idx="161">
                  <c:v>93067.021468644947</c:v>
                </c:pt>
                <c:pt idx="162">
                  <c:v>96647.782945124156</c:v>
                </c:pt>
                <c:pt idx="163">
                  <c:v>96193.824514825115</c:v>
                </c:pt>
                <c:pt idx="164">
                  <c:v>96684.293517881568</c:v>
                </c:pt>
                <c:pt idx="165">
                  <c:v>94782.405323481958</c:v>
                </c:pt>
                <c:pt idx="166">
                  <c:v>94721.602800699751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F9-4AAC-A280-486E938570A0}"/>
            </c:ext>
          </c:extLst>
        </c:ser>
        <c:ser>
          <c:idx val="3"/>
          <c:order val="3"/>
          <c:tx>
            <c:strRef>
              <c:f>'Ideal - Compuesta'!$F$1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98586.940014811145</c:v>
                </c:pt>
                <c:pt idx="2">
                  <c:v>100092.0214936056</c:v>
                </c:pt>
                <c:pt idx="3">
                  <c:v>102201.29337829413</c:v>
                </c:pt>
                <c:pt idx="4">
                  <c:v>101439.77306434167</c:v>
                </c:pt>
                <c:pt idx="5">
                  <c:v>101333.18272084465</c:v>
                </c:pt>
                <c:pt idx="6">
                  <c:v>100866.87047297406</c:v>
                </c:pt>
                <c:pt idx="7">
                  <c:v>102624.73414057141</c:v>
                </c:pt>
                <c:pt idx="8">
                  <c:v>103906.0084821343</c:v>
                </c:pt>
                <c:pt idx="9">
                  <c:v>104833.59124663749</c:v>
                </c:pt>
                <c:pt idx="10">
                  <c:v>105895.72619663054</c:v>
                </c:pt>
                <c:pt idx="11">
                  <c:v>103292.05242999688</c:v>
                </c:pt>
                <c:pt idx="12">
                  <c:v>102180.02857606875</c:v>
                </c:pt>
                <c:pt idx="13">
                  <c:v>104426.91249546962</c:v>
                </c:pt>
                <c:pt idx="14">
                  <c:v>105120.89159223922</c:v>
                </c:pt>
                <c:pt idx="15">
                  <c:v>104721.22089387532</c:v>
                </c:pt>
                <c:pt idx="16">
                  <c:v>107688.65384195805</c:v>
                </c:pt>
                <c:pt idx="17">
                  <c:v>109501.33865607895</c:v>
                </c:pt>
                <c:pt idx="18">
                  <c:v>109724.24137602893</c:v>
                </c:pt>
                <c:pt idx="19">
                  <c:v>109066.95230795172</c:v>
                </c:pt>
                <c:pt idx="20">
                  <c:v>110966.19855998528</c:v>
                </c:pt>
                <c:pt idx="21">
                  <c:v>113131.3980073516</c:v>
                </c:pt>
                <c:pt idx="22">
                  <c:v>110742.07618572476</c:v>
                </c:pt>
                <c:pt idx="23">
                  <c:v>110219.86572195742</c:v>
                </c:pt>
                <c:pt idx="24">
                  <c:v>110267.51949151268</c:v>
                </c:pt>
                <c:pt idx="25">
                  <c:v>113275.5886668028</c:v>
                </c:pt>
                <c:pt idx="26">
                  <c:v>115817.20542991764</c:v>
                </c:pt>
                <c:pt idx="27">
                  <c:v>120147.7960596964</c:v>
                </c:pt>
                <c:pt idx="28">
                  <c:v>120696.91016574182</c:v>
                </c:pt>
                <c:pt idx="29">
                  <c:v>122418.92229939712</c:v>
                </c:pt>
                <c:pt idx="30">
                  <c:v>122296.09320015383</c:v>
                </c:pt>
                <c:pt idx="31">
                  <c:v>122569.94175394939</c:v>
                </c:pt>
                <c:pt idx="32">
                  <c:v>121712.11686711974</c:v>
                </c:pt>
                <c:pt idx="33">
                  <c:v>121032.98745830824</c:v>
                </c:pt>
                <c:pt idx="34">
                  <c:v>120220.71925204822</c:v>
                </c:pt>
                <c:pt idx="35">
                  <c:v>119102.50662585562</c:v>
                </c:pt>
                <c:pt idx="36">
                  <c:v>118739.91927259347</c:v>
                </c:pt>
                <c:pt idx="37">
                  <c:v>118496.20647550713</c:v>
                </c:pt>
                <c:pt idx="38">
                  <c:v>117275.77450759243</c:v>
                </c:pt>
                <c:pt idx="39">
                  <c:v>117524.23525388715</c:v>
                </c:pt>
                <c:pt idx="40">
                  <c:v>119682.03379082159</c:v>
                </c:pt>
                <c:pt idx="41">
                  <c:v>117459.34013944372</c:v>
                </c:pt>
                <c:pt idx="42">
                  <c:v>118908.39905739018</c:v>
                </c:pt>
                <c:pt idx="43">
                  <c:v>118684.45674347617</c:v>
                </c:pt>
                <c:pt idx="44">
                  <c:v>119584.1620460251</c:v>
                </c:pt>
                <c:pt idx="45">
                  <c:v>119728.76589448324</c:v>
                </c:pt>
                <c:pt idx="46">
                  <c:v>118026.92415507206</c:v>
                </c:pt>
                <c:pt idx="47">
                  <c:v>116892.64956743494</c:v>
                </c:pt>
                <c:pt idx="48">
                  <c:v>119952.26812235243</c:v>
                </c:pt>
                <c:pt idx="49">
                  <c:v>121610.52122940122</c:v>
                </c:pt>
                <c:pt idx="50">
                  <c:v>124116.41945992304</c:v>
                </c:pt>
                <c:pt idx="51">
                  <c:v>129274.52061678638</c:v>
                </c:pt>
                <c:pt idx="52">
                  <c:v>128727.19532333147</c:v>
                </c:pt>
                <c:pt idx="53">
                  <c:v>131080.56303657999</c:v>
                </c:pt>
                <c:pt idx="54">
                  <c:v>130502.06508151496</c:v>
                </c:pt>
                <c:pt idx="55">
                  <c:v>129854.41979067896</c:v>
                </c:pt>
                <c:pt idx="56">
                  <c:v>129773.63097418354</c:v>
                </c:pt>
                <c:pt idx="57">
                  <c:v>131222.55524357688</c:v>
                </c:pt>
                <c:pt idx="58">
                  <c:v>133185.64191871037</c:v>
                </c:pt>
                <c:pt idx="59">
                  <c:v>132945.4322148287</c:v>
                </c:pt>
                <c:pt idx="60">
                  <c:v>133563.18679454084</c:v>
                </c:pt>
                <c:pt idx="61">
                  <c:v>133538.37938260421</c:v>
                </c:pt>
                <c:pt idx="62">
                  <c:v>131381.00225190955</c:v>
                </c:pt>
                <c:pt idx="63">
                  <c:v>131014.88462640673</c:v>
                </c:pt>
                <c:pt idx="64">
                  <c:v>130833.11151616271</c:v>
                </c:pt>
                <c:pt idx="65">
                  <c:v>131520.43982631183</c:v>
                </c:pt>
                <c:pt idx="66">
                  <c:v>127367.40941366937</c:v>
                </c:pt>
                <c:pt idx="67">
                  <c:v>127262.28395019392</c:v>
                </c:pt>
                <c:pt idx="68">
                  <c:v>128505.65643542525</c:v>
                </c:pt>
                <c:pt idx="69">
                  <c:v>129009.67115786146</c:v>
                </c:pt>
                <c:pt idx="70">
                  <c:v>126141.18872816344</c:v>
                </c:pt>
                <c:pt idx="71">
                  <c:v>126484.63465564461</c:v>
                </c:pt>
                <c:pt idx="72">
                  <c:v>127021.65563926942</c:v>
                </c:pt>
                <c:pt idx="73">
                  <c:v>128373.32529911236</c:v>
                </c:pt>
                <c:pt idx="74">
                  <c:v>127217.58606925693</c:v>
                </c:pt>
                <c:pt idx="75">
                  <c:v>126794.53041561661</c:v>
                </c:pt>
                <c:pt idx="76">
                  <c:v>126379.01323821671</c:v>
                </c:pt>
                <c:pt idx="77">
                  <c:v>126449.20457182369</c:v>
                </c:pt>
                <c:pt idx="78">
                  <c:v>127989.51995395064</c:v>
                </c:pt>
                <c:pt idx="79">
                  <c:v>128482.04588908979</c:v>
                </c:pt>
                <c:pt idx="80">
                  <c:v>124765.70207731654</c:v>
                </c:pt>
                <c:pt idx="81">
                  <c:v>123330.66398618314</c:v>
                </c:pt>
                <c:pt idx="82">
                  <c:v>123791.15534598481</c:v>
                </c:pt>
                <c:pt idx="83">
                  <c:v>124764.08319499582</c:v>
                </c:pt>
                <c:pt idx="84">
                  <c:v>125802.86551435437</c:v>
                </c:pt>
                <c:pt idx="85">
                  <c:v>126129.47635784703</c:v>
                </c:pt>
                <c:pt idx="86">
                  <c:v>123969.94051812281</c:v>
                </c:pt>
                <c:pt idx="87">
                  <c:v>124541.71653143922</c:v>
                </c:pt>
                <c:pt idx="88">
                  <c:v>124883.63797312915</c:v>
                </c:pt>
                <c:pt idx="89">
                  <c:v>123541.67065369955</c:v>
                </c:pt>
                <c:pt idx="90">
                  <c:v>123585.46415921074</c:v>
                </c:pt>
                <c:pt idx="91">
                  <c:v>124095.25827135338</c:v>
                </c:pt>
                <c:pt idx="92">
                  <c:v>123912.58735425185</c:v>
                </c:pt>
                <c:pt idx="93">
                  <c:v>123201.05090351956</c:v>
                </c:pt>
                <c:pt idx="94">
                  <c:v>122431.31016699648</c:v>
                </c:pt>
                <c:pt idx="95">
                  <c:v>120888.05953868775</c:v>
                </c:pt>
                <c:pt idx="96">
                  <c:v>120357.62009440413</c:v>
                </c:pt>
                <c:pt idx="97">
                  <c:v>119226.51743994741</c:v>
                </c:pt>
                <c:pt idx="98">
                  <c:v>120969.63002120714</c:v>
                </c:pt>
                <c:pt idx="99">
                  <c:v>121194.44404528879</c:v>
                </c:pt>
                <c:pt idx="100">
                  <c:v>120255.61714717974</c:v>
                </c:pt>
                <c:pt idx="101">
                  <c:v>116956.97673695152</c:v>
                </c:pt>
                <c:pt idx="102">
                  <c:v>118449.71019734278</c:v>
                </c:pt>
                <c:pt idx="103">
                  <c:v>119691.46865301899</c:v>
                </c:pt>
                <c:pt idx="104">
                  <c:v>117296.33680494408</c:v>
                </c:pt>
                <c:pt idx="105">
                  <c:v>116870.93874536591</c:v>
                </c:pt>
                <c:pt idx="106">
                  <c:v>116594.73102910971</c:v>
                </c:pt>
                <c:pt idx="107">
                  <c:v>117183.25620410273</c:v>
                </c:pt>
                <c:pt idx="108">
                  <c:v>120062.62067962783</c:v>
                </c:pt>
                <c:pt idx="109">
                  <c:v>120514.2879683583</c:v>
                </c:pt>
                <c:pt idx="110">
                  <c:v>121291.30612883017</c:v>
                </c:pt>
                <c:pt idx="111">
                  <c:v>120001.96633405599</c:v>
                </c:pt>
                <c:pt idx="112">
                  <c:v>120021.08711411335</c:v>
                </c:pt>
                <c:pt idx="113">
                  <c:v>118945.26526797774</c:v>
                </c:pt>
                <c:pt idx="114">
                  <c:v>115151.27808568841</c:v>
                </c:pt>
                <c:pt idx="115">
                  <c:v>118052.12073704395</c:v>
                </c:pt>
                <c:pt idx="116">
                  <c:v>117635.57122415816</c:v>
                </c:pt>
                <c:pt idx="117">
                  <c:v>116710.92609277417</c:v>
                </c:pt>
                <c:pt idx="118">
                  <c:v>118695.5183992636</c:v>
                </c:pt>
                <c:pt idx="119">
                  <c:v>118888.2402860555</c:v>
                </c:pt>
                <c:pt idx="120">
                  <c:v>117096.14761486168</c:v>
                </c:pt>
                <c:pt idx="121">
                  <c:v>117964.49936292677</c:v>
                </c:pt>
                <c:pt idx="122">
                  <c:v>118459.30535759118</c:v>
                </c:pt>
                <c:pt idx="123">
                  <c:v>118545.30159222474</c:v>
                </c:pt>
                <c:pt idx="124">
                  <c:v>119404.41644212435</c:v>
                </c:pt>
                <c:pt idx="125">
                  <c:v>119125.5101715944</c:v>
                </c:pt>
                <c:pt idx="126">
                  <c:v>120207.18714576961</c:v>
                </c:pt>
                <c:pt idx="127">
                  <c:v>121563.77750504109</c:v>
                </c:pt>
                <c:pt idx="128">
                  <c:v>120528.24248411972</c:v>
                </c:pt>
                <c:pt idx="129">
                  <c:v>119506.66126710257</c:v>
                </c:pt>
                <c:pt idx="130">
                  <c:v>119987.95000779028</c:v>
                </c:pt>
                <c:pt idx="131">
                  <c:v>120267.10518047868</c:v>
                </c:pt>
                <c:pt idx="132">
                  <c:v>121366.14653681133</c:v>
                </c:pt>
                <c:pt idx="133">
                  <c:v>120567.62254504273</c:v>
                </c:pt>
                <c:pt idx="134">
                  <c:v>120542.44248158378</c:v>
                </c:pt>
                <c:pt idx="135">
                  <c:v>125349.42731908482</c:v>
                </c:pt>
                <c:pt idx="136">
                  <c:v>123069.51480535993</c:v>
                </c:pt>
                <c:pt idx="137">
                  <c:v>120707.53461270264</c:v>
                </c:pt>
                <c:pt idx="138">
                  <c:v>118788.28536346136</c:v>
                </c:pt>
                <c:pt idx="139">
                  <c:v>118547.02363080466</c:v>
                </c:pt>
                <c:pt idx="140">
                  <c:v>119775.15944392036</c:v>
                </c:pt>
                <c:pt idx="141">
                  <c:v>118525.70338561744</c:v>
                </c:pt>
                <c:pt idx="142">
                  <c:v>115147.03492490025</c:v>
                </c:pt>
                <c:pt idx="143">
                  <c:v>116754.36682448187</c:v>
                </c:pt>
                <c:pt idx="144">
                  <c:v>116382.87067600014</c:v>
                </c:pt>
                <c:pt idx="145">
                  <c:v>116823.14798440233</c:v>
                </c:pt>
                <c:pt idx="146">
                  <c:v>114787.84873194312</c:v>
                </c:pt>
                <c:pt idx="147">
                  <c:v>115012.4524643668</c:v>
                </c:pt>
                <c:pt idx="148">
                  <c:v>113570.35590012773</c:v>
                </c:pt>
                <c:pt idx="149">
                  <c:v>113985.61349095243</c:v>
                </c:pt>
                <c:pt idx="150">
                  <c:v>113631.16683144627</c:v>
                </c:pt>
                <c:pt idx="151">
                  <c:v>112147.92338306639</c:v>
                </c:pt>
                <c:pt idx="152">
                  <c:v>111068.90206700284</c:v>
                </c:pt>
                <c:pt idx="153">
                  <c:v>111373.35387009456</c:v>
                </c:pt>
                <c:pt idx="154">
                  <c:v>112268.29260897089</c:v>
                </c:pt>
                <c:pt idx="155">
                  <c:v>111897.29986277335</c:v>
                </c:pt>
                <c:pt idx="156">
                  <c:v>111713.46370530991</c:v>
                </c:pt>
                <c:pt idx="157">
                  <c:v>110338.73346350336</c:v>
                </c:pt>
                <c:pt idx="158">
                  <c:v>111097.70750926866</c:v>
                </c:pt>
                <c:pt idx="159">
                  <c:v>112500.2418281221</c:v>
                </c:pt>
                <c:pt idx="160">
                  <c:v>113546.76045154863</c:v>
                </c:pt>
                <c:pt idx="161">
                  <c:v>114661.02817938132</c:v>
                </c:pt>
                <c:pt idx="162">
                  <c:v>119074.01303822157</c:v>
                </c:pt>
                <c:pt idx="163">
                  <c:v>119619.9161067099</c:v>
                </c:pt>
                <c:pt idx="164">
                  <c:v>118996.54195826815</c:v>
                </c:pt>
                <c:pt idx="165">
                  <c:v>121323.95238993596</c:v>
                </c:pt>
                <c:pt idx="166">
                  <c:v>121388.10104930143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F9-4AAC-A280-486E938570A0}"/>
            </c:ext>
          </c:extLst>
        </c:ser>
        <c:ser>
          <c:idx val="4"/>
          <c:order val="4"/>
          <c:tx>
            <c:strRef>
              <c:f>'Ideal - Compuesta'!$G$1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101401.05998518885</c:v>
                </c:pt>
                <c:pt idx="2">
                  <c:v>102949.27460682864</c:v>
                </c:pt>
                <c:pt idx="3">
                  <c:v>100767.61961579806</c:v>
                </c:pt>
                <c:pt idx="4">
                  <c:v>101506.54153500087</c:v>
                </c:pt>
                <c:pt idx="5">
                  <c:v>101601.19808786722</c:v>
                </c:pt>
                <c:pt idx="6">
                  <c:v>102056.72781211371</c:v>
                </c:pt>
                <c:pt idx="7">
                  <c:v>103835.39857048617</c:v>
                </c:pt>
                <c:pt idx="8">
                  <c:v>102526.93824798093</c:v>
                </c:pt>
                <c:pt idx="9">
                  <c:v>101599.74626068547</c:v>
                </c:pt>
                <c:pt idx="10">
                  <c:v>102628.93201175021</c:v>
                </c:pt>
                <c:pt idx="11">
                  <c:v>105140.46972511862</c:v>
                </c:pt>
                <c:pt idx="12">
                  <c:v>104008.65350989722</c:v>
                </c:pt>
                <c:pt idx="13">
                  <c:v>106295.85528559003</c:v>
                </c:pt>
                <c:pt idx="14">
                  <c:v>105577.34856682261</c:v>
                </c:pt>
                <c:pt idx="15">
                  <c:v>105966.72866598435</c:v>
                </c:pt>
                <c:pt idx="16">
                  <c:v>108969.52630725029</c:v>
                </c:pt>
                <c:pt idx="17">
                  <c:v>110803.84295739424</c:v>
                </c:pt>
                <c:pt idx="18">
                  <c:v>110566.21746911122</c:v>
                </c:pt>
                <c:pt idx="19">
                  <c:v>109903.93069206715</c:v>
                </c:pt>
                <c:pt idx="20">
                  <c:v>111817.79777924485</c:v>
                </c:pt>
                <c:pt idx="21">
                  <c:v>109623.93567443664</c:v>
                </c:pt>
                <c:pt idx="22">
                  <c:v>107308.50502417168</c:v>
                </c:pt>
                <c:pt idx="23">
                  <c:v>107802.71032149522</c:v>
                </c:pt>
                <c:pt idx="24">
                  <c:v>107744.23319553309</c:v>
                </c:pt>
                <c:pt idx="25">
                  <c:v>104793.13591223996</c:v>
                </c:pt>
                <c:pt idx="26">
                  <c:v>107143.97866054549</c:v>
                </c:pt>
                <c:pt idx="27">
                  <c:v>111149.81414018582</c:v>
                </c:pt>
                <c:pt idx="28">
                  <c:v>110630.27305381509</c:v>
                </c:pt>
                <c:pt idx="29">
                  <c:v>109040.38450253342</c:v>
                </c:pt>
                <c:pt idx="30">
                  <c:v>109138.44594714748</c:v>
                </c:pt>
                <c:pt idx="31">
                  <c:v>108882.70586582029</c:v>
                </c:pt>
                <c:pt idx="32">
                  <c:v>109633.40850657088</c:v>
                </c:pt>
                <c:pt idx="33">
                  <c:v>109021.08044857986</c:v>
                </c:pt>
                <c:pt idx="34">
                  <c:v>108288.83025164007</c:v>
                </c:pt>
                <c:pt idx="35">
                  <c:v>107281.0045677578</c:v>
                </c:pt>
                <c:pt idx="36">
                  <c:v>107596.19889487885</c:v>
                </c:pt>
                <c:pt idx="37">
                  <c:v>107374.79540166575</c:v>
                </c:pt>
                <c:pt idx="38">
                  <c:v>106268.34342971983</c:v>
                </c:pt>
                <c:pt idx="39">
                  <c:v>106492.92064901485</c:v>
                </c:pt>
                <c:pt idx="40">
                  <c:v>108447.61603576991</c:v>
                </c:pt>
                <c:pt idx="41">
                  <c:v>106433.00092154388</c:v>
                </c:pt>
                <c:pt idx="42">
                  <c:v>105108.53372284479</c:v>
                </c:pt>
                <c:pt idx="43">
                  <c:v>104909.88461451216</c:v>
                </c:pt>
                <c:pt idx="44">
                  <c:v>105704.47334695698</c:v>
                </c:pt>
                <c:pt idx="45">
                  <c:v>105831.59716714284</c:v>
                </c:pt>
                <c:pt idx="46">
                  <c:v>107324.599002531</c:v>
                </c:pt>
                <c:pt idx="47">
                  <c:v>106292.63294817717</c:v>
                </c:pt>
                <c:pt idx="48">
                  <c:v>109074.25619927801</c:v>
                </c:pt>
                <c:pt idx="49">
                  <c:v>107554.92783441937</c:v>
                </c:pt>
                <c:pt idx="50">
                  <c:v>105327.35168969134</c:v>
                </c:pt>
                <c:pt idx="51">
                  <c:v>100939.0056545987</c:v>
                </c:pt>
                <c:pt idx="52">
                  <c:v>100510.33275203194</c:v>
                </c:pt>
                <c:pt idx="53">
                  <c:v>102346.5296036558</c:v>
                </c:pt>
                <c:pt idx="54">
                  <c:v>102787.53087942653</c:v>
                </c:pt>
                <c:pt idx="55">
                  <c:v>102276.15086797424</c:v>
                </c:pt>
                <c:pt idx="56">
                  <c:v>102329.05615815577</c:v>
                </c:pt>
                <c:pt idx="57">
                  <c:v>101175.81980396736</c:v>
                </c:pt>
                <c:pt idx="58">
                  <c:v>102688.03409458148</c:v>
                </c:pt>
                <c:pt idx="59">
                  <c:v>102501.45506435719</c:v>
                </c:pt>
                <c:pt idx="60">
                  <c:v>102976.37231708562</c:v>
                </c:pt>
                <c:pt idx="61">
                  <c:v>102984.87271274396</c:v>
                </c:pt>
                <c:pt idx="62">
                  <c:v>104638.01595670158</c:v>
                </c:pt>
                <c:pt idx="63">
                  <c:v>104918.83058893739</c:v>
                </c:pt>
                <c:pt idx="64">
                  <c:v>105053.59252776876</c:v>
                </c:pt>
                <c:pt idx="65">
                  <c:v>104490.87849002783</c:v>
                </c:pt>
                <c:pt idx="66">
                  <c:v>101190.12938856396</c:v>
                </c:pt>
                <c:pt idx="67">
                  <c:v>101105.37675850767</c:v>
                </c:pt>
                <c:pt idx="68">
                  <c:v>100106.79457382471</c:v>
                </c:pt>
                <c:pt idx="69">
                  <c:v>99703.489579906382</c:v>
                </c:pt>
                <c:pt idx="70">
                  <c:v>101909.72285312228</c:v>
                </c:pt>
                <c:pt idx="71">
                  <c:v>102186.04092845373</c:v>
                </c:pt>
                <c:pt idx="72">
                  <c:v>102618.74373697086</c:v>
                </c:pt>
                <c:pt idx="73">
                  <c:v>101515.90435000407</c:v>
                </c:pt>
                <c:pt idx="74">
                  <c:v>102419.1027166702</c:v>
                </c:pt>
                <c:pt idx="75">
                  <c:v>102077.34358816809</c:v>
                </c:pt>
                <c:pt idx="76">
                  <c:v>102401.02993572333</c:v>
                </c:pt>
                <c:pt idx="77">
                  <c:v>102456.76543146443</c:v>
                </c:pt>
                <c:pt idx="78">
                  <c:v>101197.84752718724</c:v>
                </c:pt>
                <c:pt idx="79">
                  <c:v>101586.01848423677</c:v>
                </c:pt>
                <c:pt idx="80">
                  <c:v>98646.386376829018</c:v>
                </c:pt>
                <c:pt idx="81">
                  <c:v>97510.513011488641</c:v>
                </c:pt>
                <c:pt idx="82">
                  <c:v>97873.341089919995</c:v>
                </c:pt>
                <c:pt idx="83">
                  <c:v>98641.313503384386</c:v>
                </c:pt>
                <c:pt idx="84">
                  <c:v>99461.342098052672</c:v>
                </c:pt>
                <c:pt idx="85">
                  <c:v>99718.308452236161</c:v>
                </c:pt>
                <c:pt idx="86">
                  <c:v>101414.89976815741</c:v>
                </c:pt>
                <c:pt idx="87">
                  <c:v>101881.55544770388</c:v>
                </c:pt>
                <c:pt idx="88">
                  <c:v>101590.93774176412</c:v>
                </c:pt>
                <c:pt idx="89">
                  <c:v>102671.7268117815</c:v>
                </c:pt>
                <c:pt idx="90">
                  <c:v>102624.34494307441</c:v>
                </c:pt>
                <c:pt idx="91">
                  <c:v>102190.03378816431</c:v>
                </c:pt>
                <c:pt idx="92">
                  <c:v>102329.5188553577</c:v>
                </c:pt>
                <c:pt idx="93">
                  <c:v>102906.16511494995</c:v>
                </c:pt>
                <c:pt idx="94">
                  <c:v>103538.0949845515</c:v>
                </c:pt>
                <c:pt idx="95">
                  <c:v>104832.12192497867</c:v>
                </c:pt>
                <c:pt idx="96">
                  <c:v>105280.90712026766</c:v>
                </c:pt>
                <c:pt idx="97">
                  <c:v>106259.07270921597</c:v>
                </c:pt>
                <c:pt idx="98">
                  <c:v>104694.19902121869</c:v>
                </c:pt>
                <c:pt idx="99">
                  <c:v>104488.43905361478</c:v>
                </c:pt>
                <c:pt idx="100">
                  <c:v>105286.68076005983</c:v>
                </c:pt>
                <c:pt idx="101">
                  <c:v>108163.4665122221</c:v>
                </c:pt>
                <c:pt idx="102">
                  <c:v>109543.51641686675</c:v>
                </c:pt>
                <c:pt idx="103">
                  <c:v>110691.45633487862</c:v>
                </c:pt>
                <c:pt idx="104">
                  <c:v>112894.94115961665</c:v>
                </c:pt>
                <c:pt idx="105">
                  <c:v>112485.28047806212</c:v>
                </c:pt>
                <c:pt idx="106">
                  <c:v>112219.21248274433</c:v>
                </c:pt>
                <c:pt idx="107">
                  <c:v>112785.42656437572</c:v>
                </c:pt>
                <c:pt idx="108">
                  <c:v>110002.34839034901</c:v>
                </c:pt>
                <c:pt idx="109">
                  <c:v>110415.66687812493</c:v>
                </c:pt>
                <c:pt idx="110">
                  <c:v>111127.07121103593</c:v>
                </c:pt>
                <c:pt idx="111">
                  <c:v>112296.86688274176</c:v>
                </c:pt>
                <c:pt idx="112">
                  <c:v>112314.37470499061</c:v>
                </c:pt>
                <c:pt idx="113">
                  <c:v>111307.24753156134</c:v>
                </c:pt>
                <c:pt idx="114">
                  <c:v>107756.50427511016</c:v>
                </c:pt>
                <c:pt idx="115">
                  <c:v>110470.67558189131</c:v>
                </c:pt>
                <c:pt idx="116">
                  <c:v>110848.85912527154</c:v>
                </c:pt>
                <c:pt idx="117">
                  <c:v>111708.50515134353</c:v>
                </c:pt>
                <c:pt idx="118">
                  <c:v>113607.77741991366</c:v>
                </c:pt>
                <c:pt idx="119">
                  <c:v>113411.57350836262</c:v>
                </c:pt>
                <c:pt idx="120">
                  <c:v>115109.38861896112</c:v>
                </c:pt>
                <c:pt idx="121">
                  <c:v>115962.90532559715</c:v>
                </c:pt>
                <c:pt idx="122">
                  <c:v>116449.21376126548</c:v>
                </c:pt>
                <c:pt idx="123">
                  <c:v>116533.64894624092</c:v>
                </c:pt>
                <c:pt idx="124">
                  <c:v>117378.08324319152</c:v>
                </c:pt>
                <c:pt idx="125">
                  <c:v>117103.80828407074</c:v>
                </c:pt>
                <c:pt idx="126">
                  <c:v>118167.02608364481</c:v>
                </c:pt>
                <c:pt idx="127">
                  <c:v>119500.49050626792</c:v>
                </c:pt>
                <c:pt idx="128">
                  <c:v>120506.55135628865</c:v>
                </c:pt>
                <c:pt idx="129">
                  <c:v>121515.94980201879</c:v>
                </c:pt>
                <c:pt idx="130">
                  <c:v>122005.4314222454</c:v>
                </c:pt>
                <c:pt idx="131">
                  <c:v>122289.38120356823</c:v>
                </c:pt>
                <c:pt idx="132">
                  <c:v>123407.00368926355</c:v>
                </c:pt>
                <c:pt idx="133">
                  <c:v>124206.85452960768</c:v>
                </c:pt>
                <c:pt idx="134">
                  <c:v>124220.61352710324</c:v>
                </c:pt>
                <c:pt idx="135">
                  <c:v>129174.45934657355</c:v>
                </c:pt>
                <c:pt idx="136">
                  <c:v>131511.76019639801</c:v>
                </c:pt>
                <c:pt idx="137">
                  <c:v>134023.35444070972</c:v>
                </c:pt>
                <c:pt idx="138">
                  <c:v>131893.04560541434</c:v>
                </c:pt>
                <c:pt idx="139">
                  <c:v>131625.8297259229</c:v>
                </c:pt>
                <c:pt idx="140">
                  <c:v>132990.12267314809</c:v>
                </c:pt>
                <c:pt idx="141">
                  <c:v>131603.47434422807</c:v>
                </c:pt>
                <c:pt idx="142">
                  <c:v>127852.67575149142</c:v>
                </c:pt>
                <c:pt idx="143">
                  <c:v>129638.0271342802</c:v>
                </c:pt>
                <c:pt idx="144">
                  <c:v>129226.19906203705</c:v>
                </c:pt>
                <c:pt idx="145">
                  <c:v>129715.7249066693</c:v>
                </c:pt>
                <c:pt idx="146">
                  <c:v>127456.47263494953</c:v>
                </c:pt>
                <c:pt idx="147">
                  <c:v>127706.5270748216</c:v>
                </c:pt>
                <c:pt idx="148">
                  <c:v>126105.92665692446</c:v>
                </c:pt>
                <c:pt idx="149">
                  <c:v>126567.68145465468</c:v>
                </c:pt>
                <c:pt idx="150">
                  <c:v>126948.59068340411</c:v>
                </c:pt>
                <c:pt idx="151">
                  <c:v>128592.96512817501</c:v>
                </c:pt>
                <c:pt idx="152">
                  <c:v>129817.33113510531</c:v>
                </c:pt>
                <c:pt idx="153">
                  <c:v>130174.18719808446</c:v>
                </c:pt>
                <c:pt idx="154">
                  <c:v>129115.16182017146</c:v>
                </c:pt>
                <c:pt idx="155">
                  <c:v>129528.92501771668</c:v>
                </c:pt>
                <c:pt idx="156">
                  <c:v>129728.78276704368</c:v>
                </c:pt>
                <c:pt idx="157">
                  <c:v>128133.32611323871</c:v>
                </c:pt>
                <c:pt idx="158">
                  <c:v>129015.66936132057</c:v>
                </c:pt>
                <c:pt idx="159">
                  <c:v>127373.96506067055</c:v>
                </c:pt>
                <c:pt idx="160">
                  <c:v>128559.63779121329</c:v>
                </c:pt>
                <c:pt idx="161">
                  <c:v>129822.02460160415</c:v>
                </c:pt>
                <c:pt idx="162">
                  <c:v>134819.30749700064</c:v>
                </c:pt>
                <c:pt idx="163">
                  <c:v>135438.18934653723</c:v>
                </c:pt>
                <c:pt idx="164">
                  <c:v>136131.20368742439</c:v>
                </c:pt>
                <c:pt idx="165">
                  <c:v>138794.60874350689</c:v>
                </c:pt>
                <c:pt idx="166">
                  <c:v>138708.35867302437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F9-4AAC-A280-486E938570A0}"/>
            </c:ext>
          </c:extLst>
        </c:ser>
        <c:ser>
          <c:idx val="5"/>
          <c:order val="5"/>
          <c:tx>
            <c:strRef>
              <c:f>'Ideal - Compuesta'!$A$1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'Ideal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'Ideal - Compuesta'!$A$4:$A$170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89-4BF0-8C95-F67702BAC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60000"/>
          <c:min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'Real - Simple'!$C$1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102529.79999980686</c:v>
                </c:pt>
                <c:pt idx="3">
                  <c:v>104438.12716926927</c:v>
                </c:pt>
                <c:pt idx="4">
                  <c:v>103493.87985744131</c:v>
                </c:pt>
                <c:pt idx="5">
                  <c:v>103189.71723073351</c:v>
                </c:pt>
                <c:pt idx="6">
                  <c:v>102530.46104780213</c:v>
                </c:pt>
                <c:pt idx="7">
                  <c:v>100576.75638458969</c:v>
                </c:pt>
                <c:pt idx="8">
                  <c:v>99117.405421010451</c:v>
                </c:pt>
                <c:pt idx="9">
                  <c:v>99810.893177532926</c:v>
                </c:pt>
                <c:pt idx="10">
                  <c:v>100624.77933538676</c:v>
                </c:pt>
                <c:pt idx="11">
                  <c:v>102872.8280654273</c:v>
                </c:pt>
                <c:pt idx="12">
                  <c:v>101597.05463425969</c:v>
                </c:pt>
                <c:pt idx="13">
                  <c:v>103596.87288572815</c:v>
                </c:pt>
                <c:pt idx="14">
                  <c:v>104062.17815478412</c:v>
                </c:pt>
                <c:pt idx="15">
                  <c:v>103482.6848524528</c:v>
                </c:pt>
                <c:pt idx="16">
                  <c:v>106117.06441917502</c:v>
                </c:pt>
                <c:pt idx="17">
                  <c:v>107600.90047500498</c:v>
                </c:pt>
                <c:pt idx="18">
                  <c:v>107186.85945070397</c:v>
                </c:pt>
                <c:pt idx="19">
                  <c:v>106388.29046366015</c:v>
                </c:pt>
                <c:pt idx="20">
                  <c:v>107930.14981171828</c:v>
                </c:pt>
                <c:pt idx="21">
                  <c:v>109681.78117833451</c:v>
                </c:pt>
                <c:pt idx="22">
                  <c:v>107370.09650581595</c:v>
                </c:pt>
                <c:pt idx="23">
                  <c:v>107631.23411271939</c:v>
                </c:pt>
                <c:pt idx="24">
                  <c:v>107474.91296857156</c:v>
                </c:pt>
                <c:pt idx="25">
                  <c:v>104536.49773515633</c:v>
                </c:pt>
                <c:pt idx="26">
                  <c:v>106580.54079297578</c:v>
                </c:pt>
                <c:pt idx="27">
                  <c:v>110119.88138009422</c:v>
                </c:pt>
                <c:pt idx="28">
                  <c:v>109452.85533862641</c:v>
                </c:pt>
                <c:pt idx="29">
                  <c:v>107816.15991967793</c:v>
                </c:pt>
                <c:pt idx="30">
                  <c:v>107706.59377667397</c:v>
                </c:pt>
                <c:pt idx="31">
                  <c:v>107272.76508192772</c:v>
                </c:pt>
                <c:pt idx="32">
                  <c:v>107762.7355409491</c:v>
                </c:pt>
                <c:pt idx="33">
                  <c:v>107004.68509195693</c:v>
                </c:pt>
                <c:pt idx="34">
                  <c:v>107465.84084270855</c:v>
                </c:pt>
                <c:pt idx="35">
                  <c:v>108185.98305871942</c:v>
                </c:pt>
                <c:pt idx="36">
                  <c:v>108280.37839754492</c:v>
                </c:pt>
                <c:pt idx="37">
                  <c:v>107875.18220527649</c:v>
                </c:pt>
                <c:pt idx="38">
                  <c:v>106645.31229252892</c:v>
                </c:pt>
                <c:pt idx="39">
                  <c:v>106657.28868630089</c:v>
                </c:pt>
                <c:pt idx="40">
                  <c:v>104611.13776771801</c:v>
                </c:pt>
                <c:pt idx="41">
                  <c:v>106258.29015948983</c:v>
                </c:pt>
                <c:pt idx="42">
                  <c:v>107292.06684273959</c:v>
                </c:pt>
                <c:pt idx="43">
                  <c:v>107270.35272972628</c:v>
                </c:pt>
                <c:pt idx="44">
                  <c:v>106302.23232845376</c:v>
                </c:pt>
                <c:pt idx="45">
                  <c:v>105971.29270076279</c:v>
                </c:pt>
                <c:pt idx="46">
                  <c:v>107182.69562343696</c:v>
                </c:pt>
                <c:pt idx="47">
                  <c:v>106021.74883780802</c:v>
                </c:pt>
                <c:pt idx="48">
                  <c:v>108439.3419317809</c:v>
                </c:pt>
                <c:pt idx="49">
                  <c:v>109621.77139276553</c:v>
                </c:pt>
                <c:pt idx="50">
                  <c:v>111482.2984582926</c:v>
                </c:pt>
                <c:pt idx="51">
                  <c:v>107116.6070853588</c:v>
                </c:pt>
                <c:pt idx="52">
                  <c:v>106492.86618353827</c:v>
                </c:pt>
                <c:pt idx="53">
                  <c:v>108120.70943575267</c:v>
                </c:pt>
                <c:pt idx="54">
                  <c:v>108352.46217910583</c:v>
                </c:pt>
                <c:pt idx="55">
                  <c:v>107655.78774434864</c:v>
                </c:pt>
                <c:pt idx="56">
                  <c:v>107508.38210010178</c:v>
                </c:pt>
                <c:pt idx="57">
                  <c:v>108424.50682973408</c:v>
                </c:pt>
                <c:pt idx="58">
                  <c:v>109720.07711772951</c:v>
                </c:pt>
                <c:pt idx="59">
                  <c:v>109339.22505101454</c:v>
                </c:pt>
                <c:pt idx="60">
                  <c:v>108665.04414775176</c:v>
                </c:pt>
                <c:pt idx="61">
                  <c:v>108445.96286353863</c:v>
                </c:pt>
                <c:pt idx="62">
                  <c:v>106629.90756944173</c:v>
                </c:pt>
                <c:pt idx="63">
                  <c:v>106150.80582007897</c:v>
                </c:pt>
                <c:pt idx="64">
                  <c:v>106079.96852284762</c:v>
                </c:pt>
                <c:pt idx="65">
                  <c:v>105345.03515803309</c:v>
                </c:pt>
                <c:pt idx="66">
                  <c:v>108293.18034072795</c:v>
                </c:pt>
                <c:pt idx="67">
                  <c:v>108166.00673598226</c:v>
                </c:pt>
                <c:pt idx="68">
                  <c:v>106979.27637058956</c:v>
                </c:pt>
                <c:pt idx="69">
                  <c:v>106377.39522420011</c:v>
                </c:pt>
                <c:pt idx="70">
                  <c:v>108391.20750703693</c:v>
                </c:pt>
                <c:pt idx="71">
                  <c:v>108463.23512268293</c:v>
                </c:pt>
                <c:pt idx="72">
                  <c:v>108687.55286954064</c:v>
                </c:pt>
                <c:pt idx="73">
                  <c:v>109551.40184100941</c:v>
                </c:pt>
                <c:pt idx="74">
                  <c:v>110242.02344088347</c:v>
                </c:pt>
                <c:pt idx="75">
                  <c:v>110364.85205839337</c:v>
                </c:pt>
                <c:pt idx="76">
                  <c:v>110482.82906383481</c:v>
                </c:pt>
                <c:pt idx="77">
                  <c:v>110338.11702752019</c:v>
                </c:pt>
                <c:pt idx="78">
                  <c:v>111355.99176790548</c:v>
                </c:pt>
                <c:pt idx="79">
                  <c:v>111540.49704561767</c:v>
                </c:pt>
                <c:pt idx="80">
                  <c:v>108447.66646501176</c:v>
                </c:pt>
                <c:pt idx="81">
                  <c:v>107097.28911583623</c:v>
                </c:pt>
                <c:pt idx="82">
                  <c:v>107270.53353999171</c:v>
                </c:pt>
                <c:pt idx="83">
                  <c:v>107856.32335552821</c:v>
                </c:pt>
                <c:pt idx="84">
                  <c:v>108488.72967680549</c:v>
                </c:pt>
                <c:pt idx="85">
                  <c:v>108548.12019138777</c:v>
                </c:pt>
                <c:pt idx="86">
                  <c:v>106635.71927138844</c:v>
                </c:pt>
                <c:pt idx="87">
                  <c:v>106896.78064957548</c:v>
                </c:pt>
                <c:pt idx="88">
                  <c:v>106971.14201649715</c:v>
                </c:pt>
                <c:pt idx="89">
                  <c:v>105696.37231638875</c:v>
                </c:pt>
                <c:pt idx="90">
                  <c:v>105531.67734484409</c:v>
                </c:pt>
                <c:pt idx="91">
                  <c:v>105744.03558001498</c:v>
                </c:pt>
                <c:pt idx="92">
                  <c:v>105396.66840212072</c:v>
                </c:pt>
                <c:pt idx="93">
                  <c:v>104622.28601265026</c:v>
                </c:pt>
                <c:pt idx="94">
                  <c:v>103797.37187155972</c:v>
                </c:pt>
                <c:pt idx="95">
                  <c:v>102336.7693412822</c:v>
                </c:pt>
                <c:pt idx="96">
                  <c:v>101697.94697182329</c:v>
                </c:pt>
                <c:pt idx="97">
                  <c:v>100558.14728604167</c:v>
                </c:pt>
                <c:pt idx="98">
                  <c:v>98886.097321975802</c:v>
                </c:pt>
                <c:pt idx="99">
                  <c:v>98871.900603792237</c:v>
                </c:pt>
                <c:pt idx="100">
                  <c:v>99436.595044372763</c:v>
                </c:pt>
                <c:pt idx="101">
                  <c:v>101969.62964794425</c:v>
                </c:pt>
                <c:pt idx="102">
                  <c:v>103046.06962887166</c:v>
                </c:pt>
                <c:pt idx="103">
                  <c:v>101787.66185472229</c:v>
                </c:pt>
                <c:pt idx="104">
                  <c:v>103578.737159806</c:v>
                </c:pt>
                <c:pt idx="105">
                  <c:v>103731.29142876461</c:v>
                </c:pt>
                <c:pt idx="106">
                  <c:v>103757.49323064706</c:v>
                </c:pt>
                <c:pt idx="107">
                  <c:v>103042.58581909809</c:v>
                </c:pt>
                <c:pt idx="108">
                  <c:v>100375.31896546198</c:v>
                </c:pt>
                <c:pt idx="109">
                  <c:v>100551.50945267589</c:v>
                </c:pt>
                <c:pt idx="110">
                  <c:v>100996.24001464664</c:v>
                </c:pt>
                <c:pt idx="111">
                  <c:v>101849.30413789969</c:v>
                </c:pt>
                <c:pt idx="112">
                  <c:v>101623.37049753962</c:v>
                </c:pt>
                <c:pt idx="113">
                  <c:v>102309.73206729315</c:v>
                </c:pt>
                <c:pt idx="114">
                  <c:v>105289.37937019771</c:v>
                </c:pt>
                <c:pt idx="115">
                  <c:v>107608.7479223144</c:v>
                </c:pt>
                <c:pt idx="116">
                  <c:v>107751.5176280364</c:v>
                </c:pt>
                <c:pt idx="117">
                  <c:v>106765.59301329254</c:v>
                </c:pt>
                <c:pt idx="118">
                  <c:v>108266.16795227221</c:v>
                </c:pt>
                <c:pt idx="119">
                  <c:v>107893.74639375688</c:v>
                </c:pt>
                <c:pt idx="120">
                  <c:v>109191.07552815767</c:v>
                </c:pt>
                <c:pt idx="121">
                  <c:v>108239.37995714632</c:v>
                </c:pt>
                <c:pt idx="122">
                  <c:v>108458.91954097792</c:v>
                </c:pt>
                <c:pt idx="123">
                  <c:v>108331.58016405506</c:v>
                </c:pt>
                <c:pt idx="124">
                  <c:v>108856.35590234239</c:v>
                </c:pt>
                <c:pt idx="125">
                  <c:v>108879.91216404668</c:v>
                </c:pt>
                <c:pt idx="126">
                  <c:v>107761.86090188757</c:v>
                </c:pt>
                <c:pt idx="127">
                  <c:v>106423.32605124747</c:v>
                </c:pt>
                <c:pt idx="128">
                  <c:v>107065.23542018236</c:v>
                </c:pt>
                <c:pt idx="129">
                  <c:v>107702.8439209667</c:v>
                </c:pt>
                <c:pt idx="130">
                  <c:v>107090.0936453577</c:v>
                </c:pt>
                <c:pt idx="131">
                  <c:v>106647.44047045981</c:v>
                </c:pt>
                <c:pt idx="132">
                  <c:v>105523.61785917773</c:v>
                </c:pt>
                <c:pt idx="133">
                  <c:v>105971.62037625791</c:v>
                </c:pt>
                <c:pt idx="134">
                  <c:v>105782.52851399346</c:v>
                </c:pt>
                <c:pt idx="135">
                  <c:v>101584.75655880733</c:v>
                </c:pt>
                <c:pt idx="136">
                  <c:v>103193.81551572343</c:v>
                </c:pt>
                <c:pt idx="137">
                  <c:v>104903.16465115585</c:v>
                </c:pt>
                <c:pt idx="138">
                  <c:v>106283.19350240368</c:v>
                </c:pt>
                <c:pt idx="139">
                  <c:v>106276.24479335114</c:v>
                </c:pt>
                <c:pt idx="140">
                  <c:v>105030.19308634312</c:v>
                </c:pt>
                <c:pt idx="141">
                  <c:v>105863.35163614251</c:v>
                </c:pt>
                <c:pt idx="142">
                  <c:v>108503.86814807107</c:v>
                </c:pt>
                <c:pt idx="143">
                  <c:v>106897.76224844121</c:v>
                </c:pt>
                <c:pt idx="144">
                  <c:v>107005.809339032</c:v>
                </c:pt>
                <c:pt idx="145">
                  <c:v>106417.35316046378</c:v>
                </c:pt>
                <c:pt idx="146">
                  <c:v>107949.42264324313</c:v>
                </c:pt>
                <c:pt idx="147">
                  <c:v>107945.31823887557</c:v>
                </c:pt>
                <c:pt idx="148">
                  <c:v>108988.96265386532</c:v>
                </c:pt>
                <c:pt idx="149">
                  <c:v>108413.0405171106</c:v>
                </c:pt>
                <c:pt idx="150">
                  <c:v>108513.73405933451</c:v>
                </c:pt>
                <c:pt idx="151">
                  <c:v>109608.76774689766</c:v>
                </c:pt>
                <c:pt idx="152">
                  <c:v>108446.97667694767</c:v>
                </c:pt>
                <c:pt idx="153">
                  <c:v>108521.48948144488</c:v>
                </c:pt>
                <c:pt idx="154">
                  <c:v>109125.42510883667</c:v>
                </c:pt>
                <c:pt idx="155">
                  <c:v>108595.31751370399</c:v>
                </c:pt>
                <c:pt idx="156">
                  <c:v>108231.38949874607</c:v>
                </c:pt>
                <c:pt idx="157">
                  <c:v>106801.17438464206</c:v>
                </c:pt>
                <c:pt idx="158">
                  <c:v>107289.47040296035</c:v>
                </c:pt>
                <c:pt idx="159">
                  <c:v>108352.30423178704</c:v>
                </c:pt>
                <c:pt idx="160">
                  <c:v>107211.73413316044</c:v>
                </c:pt>
                <c:pt idx="161">
                  <c:v>107993.34768635883</c:v>
                </c:pt>
                <c:pt idx="162">
                  <c:v>111642.30306161237</c:v>
                </c:pt>
                <c:pt idx="163">
                  <c:v>111900.79887770717</c:v>
                </c:pt>
                <c:pt idx="164">
                  <c:v>111179.68570146066</c:v>
                </c:pt>
                <c:pt idx="165">
                  <c:v>112935.59178601406</c:v>
                </c:pt>
                <c:pt idx="166">
                  <c:v>112788.41108548761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B9-451E-AB2C-4103AFBA2C24}"/>
            </c:ext>
          </c:extLst>
        </c:ser>
        <c:ser>
          <c:idx val="1"/>
          <c:order val="1"/>
          <c:tx>
            <c:strRef>
              <c:f>'Real - Simple'!$D$1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102529.79999980686</c:v>
                </c:pt>
                <c:pt idx="3">
                  <c:v>104438.12716926927</c:v>
                </c:pt>
                <c:pt idx="4">
                  <c:v>103493.87985744131</c:v>
                </c:pt>
                <c:pt idx="5">
                  <c:v>103189.71723073351</c:v>
                </c:pt>
                <c:pt idx="6">
                  <c:v>102530.46104780213</c:v>
                </c:pt>
                <c:pt idx="7">
                  <c:v>100576.75638458969</c:v>
                </c:pt>
                <c:pt idx="8">
                  <c:v>99117.405421010451</c:v>
                </c:pt>
                <c:pt idx="9">
                  <c:v>98013.917664487977</c:v>
                </c:pt>
                <c:pt idx="10">
                  <c:v>96790.031506634143</c:v>
                </c:pt>
                <c:pt idx="11">
                  <c:v>99038.080236674679</c:v>
                </c:pt>
                <c:pt idx="12">
                  <c:v>97762.306805507076</c:v>
                </c:pt>
                <c:pt idx="13">
                  <c:v>99762.125056975536</c:v>
                </c:pt>
                <c:pt idx="14">
                  <c:v>100227.43032603151</c:v>
                </c:pt>
                <c:pt idx="15">
                  <c:v>100396.92362836283</c:v>
                </c:pt>
                <c:pt idx="16">
                  <c:v>103031.30319508504</c:v>
                </c:pt>
                <c:pt idx="17">
                  <c:v>104515.139250915</c:v>
                </c:pt>
                <c:pt idx="18">
                  <c:v>104101.09822661399</c:v>
                </c:pt>
                <c:pt idx="19">
                  <c:v>103302.52923957017</c:v>
                </c:pt>
                <c:pt idx="20">
                  <c:v>104844.3885876283</c:v>
                </c:pt>
                <c:pt idx="21">
                  <c:v>106596.01995424453</c:v>
                </c:pt>
                <c:pt idx="22">
                  <c:v>104284.33528172597</c:v>
                </c:pt>
                <c:pt idx="23">
                  <c:v>104545.47288862942</c:v>
                </c:pt>
                <c:pt idx="24">
                  <c:v>104389.15174448158</c:v>
                </c:pt>
                <c:pt idx="25">
                  <c:v>101450.73651106635</c:v>
                </c:pt>
                <c:pt idx="26">
                  <c:v>103494.7795688858</c:v>
                </c:pt>
                <c:pt idx="27">
                  <c:v>107034.12015600424</c:v>
                </c:pt>
                <c:pt idx="28">
                  <c:v>106367.09411453643</c:v>
                </c:pt>
                <c:pt idx="29">
                  <c:v>104730.39869558795</c:v>
                </c:pt>
                <c:pt idx="30">
                  <c:v>104620.83255258399</c:v>
                </c:pt>
                <c:pt idx="31">
                  <c:v>104187.00385783774</c:v>
                </c:pt>
                <c:pt idx="32">
                  <c:v>104676.97431685912</c:v>
                </c:pt>
                <c:pt idx="33">
                  <c:v>105025.0247658513</c:v>
                </c:pt>
                <c:pt idx="34">
                  <c:v>105486.18051660292</c:v>
                </c:pt>
                <c:pt idx="35">
                  <c:v>106206.32273261379</c:v>
                </c:pt>
                <c:pt idx="36">
                  <c:v>105701.92739378828</c:v>
                </c:pt>
                <c:pt idx="37">
                  <c:v>105296.73120151985</c:v>
                </c:pt>
                <c:pt idx="38">
                  <c:v>104066.86128877228</c:v>
                </c:pt>
                <c:pt idx="39">
                  <c:v>104078.83768254425</c:v>
                </c:pt>
                <c:pt idx="40">
                  <c:v>102032.68676396138</c:v>
                </c:pt>
                <c:pt idx="41">
                  <c:v>103679.83915573319</c:v>
                </c:pt>
                <c:pt idx="42">
                  <c:v>104713.61583898295</c:v>
                </c:pt>
                <c:pt idx="43">
                  <c:v>104691.90172596964</c:v>
                </c:pt>
                <c:pt idx="44">
                  <c:v>103723.78132469712</c:v>
                </c:pt>
                <c:pt idx="45">
                  <c:v>103392.84169700615</c:v>
                </c:pt>
                <c:pt idx="46">
                  <c:v>104604.24461968032</c:v>
                </c:pt>
                <c:pt idx="47">
                  <c:v>103443.29783405138</c:v>
                </c:pt>
                <c:pt idx="48">
                  <c:v>105860.89092802427</c:v>
                </c:pt>
                <c:pt idx="49">
                  <c:v>107043.32038900889</c:v>
                </c:pt>
                <c:pt idx="50">
                  <c:v>108903.84745453596</c:v>
                </c:pt>
                <c:pt idx="51">
                  <c:v>104538.15608160217</c:v>
                </c:pt>
                <c:pt idx="52">
                  <c:v>103914.41517978163</c:v>
                </c:pt>
                <c:pt idx="53">
                  <c:v>105542.25843199603</c:v>
                </c:pt>
                <c:pt idx="54">
                  <c:v>105774.01117534919</c:v>
                </c:pt>
                <c:pt idx="55">
                  <c:v>105077.336740592</c:v>
                </c:pt>
                <c:pt idx="56">
                  <c:v>104929.93109634514</c:v>
                </c:pt>
                <c:pt idx="57">
                  <c:v>105846.05582597744</c:v>
                </c:pt>
                <c:pt idx="58">
                  <c:v>107141.62611397287</c:v>
                </c:pt>
                <c:pt idx="59">
                  <c:v>106760.7740472579</c:v>
                </c:pt>
                <c:pt idx="60">
                  <c:v>106086.59314399512</c:v>
                </c:pt>
                <c:pt idx="61">
                  <c:v>105867.511859782</c:v>
                </c:pt>
                <c:pt idx="62">
                  <c:v>104051.45656568509</c:v>
                </c:pt>
                <c:pt idx="63">
                  <c:v>103572.35481632233</c:v>
                </c:pt>
                <c:pt idx="64">
                  <c:v>103501.51751909098</c:v>
                </c:pt>
                <c:pt idx="65">
                  <c:v>102766.58415427645</c:v>
                </c:pt>
                <c:pt idx="66">
                  <c:v>105714.72933697132</c:v>
                </c:pt>
                <c:pt idx="67">
                  <c:v>105587.55573222562</c:v>
                </c:pt>
                <c:pt idx="68">
                  <c:v>104400.82536683293</c:v>
                </c:pt>
                <c:pt idx="69">
                  <c:v>103798.94422044347</c:v>
                </c:pt>
                <c:pt idx="70">
                  <c:v>105812.7565032803</c:v>
                </c:pt>
                <c:pt idx="71">
                  <c:v>105884.7841189263</c:v>
                </c:pt>
                <c:pt idx="72">
                  <c:v>106109.101865784</c:v>
                </c:pt>
                <c:pt idx="73">
                  <c:v>106972.95083725278</c:v>
                </c:pt>
                <c:pt idx="74">
                  <c:v>107663.57243712683</c:v>
                </c:pt>
                <c:pt idx="75">
                  <c:v>107786.40105463674</c:v>
                </c:pt>
                <c:pt idx="76">
                  <c:v>107904.37806007818</c:v>
                </c:pt>
                <c:pt idx="77">
                  <c:v>107759.66602376355</c:v>
                </c:pt>
                <c:pt idx="78">
                  <c:v>108777.54076414884</c:v>
                </c:pt>
                <c:pt idx="79">
                  <c:v>108962.04604186103</c:v>
                </c:pt>
                <c:pt idx="80">
                  <c:v>105869.21546125512</c:v>
                </c:pt>
                <c:pt idx="81">
                  <c:v>104518.8381120796</c:v>
                </c:pt>
                <c:pt idx="82">
                  <c:v>104692.08253623507</c:v>
                </c:pt>
                <c:pt idx="83">
                  <c:v>105277.87235177157</c:v>
                </c:pt>
                <c:pt idx="84">
                  <c:v>105910.27867304886</c:v>
                </c:pt>
                <c:pt idx="85">
                  <c:v>105969.66918763114</c:v>
                </c:pt>
                <c:pt idx="86">
                  <c:v>104057.26826763181</c:v>
                </c:pt>
                <c:pt idx="87">
                  <c:v>104318.32964581884</c:v>
                </c:pt>
                <c:pt idx="88">
                  <c:v>104392.69101274051</c:v>
                </c:pt>
                <c:pt idx="89">
                  <c:v>105257.46071284892</c:v>
                </c:pt>
                <c:pt idx="90">
                  <c:v>105012.15568439357</c:v>
                </c:pt>
                <c:pt idx="91">
                  <c:v>104389.79744922268</c:v>
                </c:pt>
                <c:pt idx="92">
                  <c:v>104327.16462711694</c:v>
                </c:pt>
                <c:pt idx="93">
                  <c:v>103552.78223764649</c:v>
                </c:pt>
                <c:pt idx="94">
                  <c:v>102727.86809655595</c:v>
                </c:pt>
                <c:pt idx="95">
                  <c:v>101267.26556627842</c:v>
                </c:pt>
                <c:pt idx="96">
                  <c:v>100628.44319681951</c:v>
                </c:pt>
                <c:pt idx="97">
                  <c:v>99488.643511037895</c:v>
                </c:pt>
                <c:pt idx="98">
                  <c:v>97816.593546972028</c:v>
                </c:pt>
                <c:pt idx="99">
                  <c:v>97802.396828788464</c:v>
                </c:pt>
                <c:pt idx="100">
                  <c:v>98367.09126936899</c:v>
                </c:pt>
                <c:pt idx="101">
                  <c:v>100900.12587294048</c:v>
                </c:pt>
                <c:pt idx="102">
                  <c:v>99413.685892013076</c:v>
                </c:pt>
                <c:pt idx="103">
                  <c:v>98155.278117863709</c:v>
                </c:pt>
                <c:pt idx="104">
                  <c:v>99946.353422947417</c:v>
                </c:pt>
                <c:pt idx="105">
                  <c:v>99383.799153988803</c:v>
                </c:pt>
                <c:pt idx="106">
                  <c:v>98947.597352106357</c:v>
                </c:pt>
                <c:pt idx="107">
                  <c:v>99252.504763655321</c:v>
                </c:pt>
                <c:pt idx="108">
                  <c:v>96585.237910019205</c:v>
                </c:pt>
                <c:pt idx="109">
                  <c:v>96761.428397233118</c:v>
                </c:pt>
                <c:pt idx="110">
                  <c:v>97206.158959203865</c:v>
                </c:pt>
                <c:pt idx="111">
                  <c:v>98059.223082456912</c:v>
                </c:pt>
                <c:pt idx="112">
                  <c:v>97833.289442096851</c:v>
                </c:pt>
                <c:pt idx="113">
                  <c:v>98519.651011850379</c:v>
                </c:pt>
                <c:pt idx="114">
                  <c:v>101499.29831475494</c:v>
                </c:pt>
                <c:pt idx="115">
                  <c:v>103818.66686687163</c:v>
                </c:pt>
                <c:pt idx="116">
                  <c:v>103961.43657259362</c:v>
                </c:pt>
                <c:pt idx="117">
                  <c:v>102975.51195784977</c:v>
                </c:pt>
                <c:pt idx="118">
                  <c:v>104476.08689682944</c:v>
                </c:pt>
                <c:pt idx="119">
                  <c:v>104103.66533831411</c:v>
                </c:pt>
                <c:pt idx="120">
                  <c:v>105400.9944727149</c:v>
                </c:pt>
                <c:pt idx="121">
                  <c:v>104449.29890170354</c:v>
                </c:pt>
                <c:pt idx="122">
                  <c:v>104668.83848553515</c:v>
                </c:pt>
                <c:pt idx="123">
                  <c:v>104541.49910861229</c:v>
                </c:pt>
                <c:pt idx="124">
                  <c:v>105066.27484689961</c:v>
                </c:pt>
                <c:pt idx="125">
                  <c:v>105089.8311086039</c:v>
                </c:pt>
                <c:pt idx="126">
                  <c:v>103971.7798464448</c:v>
                </c:pt>
                <c:pt idx="127">
                  <c:v>102633.24499580469</c:v>
                </c:pt>
                <c:pt idx="128">
                  <c:v>103275.15436473959</c:v>
                </c:pt>
                <c:pt idx="129">
                  <c:v>103912.76286552392</c:v>
                </c:pt>
                <c:pt idx="130">
                  <c:v>103300.01258991493</c:v>
                </c:pt>
                <c:pt idx="131">
                  <c:v>102857.35941501704</c:v>
                </c:pt>
                <c:pt idx="132">
                  <c:v>101733.53680373495</c:v>
                </c:pt>
                <c:pt idx="133">
                  <c:v>102181.53932081514</c:v>
                </c:pt>
                <c:pt idx="134">
                  <c:v>101992.44745855068</c:v>
                </c:pt>
                <c:pt idx="135">
                  <c:v>97794.67550336456</c:v>
                </c:pt>
                <c:pt idx="136">
                  <c:v>99403.734460280655</c:v>
                </c:pt>
                <c:pt idx="137">
                  <c:v>101113.08359571308</c:v>
                </c:pt>
                <c:pt idx="138">
                  <c:v>102493.11244696091</c:v>
                </c:pt>
                <c:pt idx="139">
                  <c:v>102486.16373790837</c:v>
                </c:pt>
                <c:pt idx="140">
                  <c:v>101240.11203090035</c:v>
                </c:pt>
                <c:pt idx="141">
                  <c:v>102073.27058069974</c:v>
                </c:pt>
                <c:pt idx="142">
                  <c:v>104713.78709262829</c:v>
                </c:pt>
                <c:pt idx="143">
                  <c:v>103107.68119299844</c:v>
                </c:pt>
                <c:pt idx="144">
                  <c:v>103215.72828358923</c:v>
                </c:pt>
                <c:pt idx="145">
                  <c:v>102627.27210502101</c:v>
                </c:pt>
                <c:pt idx="146">
                  <c:v>104159.34158780036</c:v>
                </c:pt>
                <c:pt idx="147">
                  <c:v>104155.23718343279</c:v>
                </c:pt>
                <c:pt idx="148">
                  <c:v>105198.88159842255</c:v>
                </c:pt>
                <c:pt idx="149">
                  <c:v>104622.95946166782</c:v>
                </c:pt>
                <c:pt idx="150">
                  <c:v>104723.65300389174</c:v>
                </c:pt>
                <c:pt idx="151">
                  <c:v>105818.68669145489</c:v>
                </c:pt>
                <c:pt idx="152">
                  <c:v>104656.8956215049</c:v>
                </c:pt>
                <c:pt idx="153">
                  <c:v>104731.4084260021</c:v>
                </c:pt>
                <c:pt idx="154">
                  <c:v>105335.3440533939</c:v>
                </c:pt>
                <c:pt idx="155">
                  <c:v>104805.23645826122</c:v>
                </c:pt>
                <c:pt idx="156">
                  <c:v>104441.30844330329</c:v>
                </c:pt>
                <c:pt idx="157">
                  <c:v>103011.09332919928</c:v>
                </c:pt>
                <c:pt idx="158">
                  <c:v>103499.38934751757</c:v>
                </c:pt>
                <c:pt idx="159">
                  <c:v>104562.22317634427</c:v>
                </c:pt>
                <c:pt idx="160">
                  <c:v>103421.65307771767</c:v>
                </c:pt>
                <c:pt idx="161">
                  <c:v>104203.26663091606</c:v>
                </c:pt>
                <c:pt idx="162">
                  <c:v>107852.2220061696</c:v>
                </c:pt>
                <c:pt idx="163">
                  <c:v>108110.7178222644</c:v>
                </c:pt>
                <c:pt idx="164">
                  <c:v>107389.60464601789</c:v>
                </c:pt>
                <c:pt idx="165">
                  <c:v>109145.51073057129</c:v>
                </c:pt>
                <c:pt idx="166">
                  <c:v>108998.33003004483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9-451E-AB2C-4103AFBA2C24}"/>
            </c:ext>
          </c:extLst>
        </c:ser>
        <c:ser>
          <c:idx val="2"/>
          <c:order val="2"/>
          <c:tx>
            <c:strRef>
              <c:f>'Real - Simple'!$E$1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99464.319970570854</c:v>
                </c:pt>
                <c:pt idx="3">
                  <c:v>97145.992801108441</c:v>
                </c:pt>
                <c:pt idx="4">
                  <c:v>97680.240112936401</c:v>
                </c:pt>
                <c:pt idx="5">
                  <c:v>97574.402739644196</c:v>
                </c:pt>
                <c:pt idx="6">
                  <c:v>97823.658922575574</c:v>
                </c:pt>
                <c:pt idx="7">
                  <c:v>95869.954259363134</c:v>
                </c:pt>
                <c:pt idx="8">
                  <c:v>94410.603295783891</c:v>
                </c:pt>
                <c:pt idx="9">
                  <c:v>93307.115539261416</c:v>
                </c:pt>
                <c:pt idx="10">
                  <c:v>92083.229381407582</c:v>
                </c:pt>
                <c:pt idx="11">
                  <c:v>94331.278111448119</c:v>
                </c:pt>
                <c:pt idx="12">
                  <c:v>93055.504680280515</c:v>
                </c:pt>
                <c:pt idx="13">
                  <c:v>95055.322931748975</c:v>
                </c:pt>
                <c:pt idx="14">
                  <c:v>94180.017662693004</c:v>
                </c:pt>
                <c:pt idx="15">
                  <c:v>94349.510965024325</c:v>
                </c:pt>
                <c:pt idx="16">
                  <c:v>96983.89053174654</c:v>
                </c:pt>
                <c:pt idx="17">
                  <c:v>98467.726587576501</c:v>
                </c:pt>
                <c:pt idx="18">
                  <c:v>98053.685563275489</c:v>
                </c:pt>
                <c:pt idx="19">
                  <c:v>97255.116576231667</c:v>
                </c:pt>
                <c:pt idx="20">
                  <c:v>98796.9759242898</c:v>
                </c:pt>
                <c:pt idx="21">
                  <c:v>100548.60729090603</c:v>
                </c:pt>
                <c:pt idx="22">
                  <c:v>98236.922618387471</c:v>
                </c:pt>
                <c:pt idx="23">
                  <c:v>98498.060225290916</c:v>
                </c:pt>
                <c:pt idx="24">
                  <c:v>98244.38136943875</c:v>
                </c:pt>
                <c:pt idx="25">
                  <c:v>95305.966136023519</c:v>
                </c:pt>
                <c:pt idx="26">
                  <c:v>97350.009193842969</c:v>
                </c:pt>
                <c:pt idx="27">
                  <c:v>100889.34978096141</c:v>
                </c:pt>
                <c:pt idx="28">
                  <c:v>101146.37582242921</c:v>
                </c:pt>
                <c:pt idx="29">
                  <c:v>99509.680403480728</c:v>
                </c:pt>
                <c:pt idx="30">
                  <c:v>99400.114260476767</c:v>
                </c:pt>
                <c:pt idx="31">
                  <c:v>98966.285565730519</c:v>
                </c:pt>
                <c:pt idx="32">
                  <c:v>98066.315106709138</c:v>
                </c:pt>
                <c:pt idx="33">
                  <c:v>97308.264657716965</c:v>
                </c:pt>
                <c:pt idx="34">
                  <c:v>96437.108906965339</c:v>
                </c:pt>
                <c:pt idx="35">
                  <c:v>95306.966690954476</c:v>
                </c:pt>
                <c:pt idx="36">
                  <c:v>95401.362029779979</c:v>
                </c:pt>
                <c:pt idx="37">
                  <c:v>94996.165837511551</c:v>
                </c:pt>
                <c:pt idx="38">
                  <c:v>95816.035750259121</c:v>
                </c:pt>
                <c:pt idx="39">
                  <c:v>95394.059356487152</c:v>
                </c:pt>
                <c:pt idx="40">
                  <c:v>97030.210275070029</c:v>
                </c:pt>
                <c:pt idx="41">
                  <c:v>94973.057883298214</c:v>
                </c:pt>
                <c:pt idx="42">
                  <c:v>93529.281200048456</c:v>
                </c:pt>
                <c:pt idx="43">
                  <c:v>93140.995313061765</c:v>
                </c:pt>
                <c:pt idx="44">
                  <c:v>93699.115714334286</c:v>
                </c:pt>
                <c:pt idx="45">
                  <c:v>93620.055342025255</c:v>
                </c:pt>
                <c:pt idx="46">
                  <c:v>94831.458264699424</c:v>
                </c:pt>
                <c:pt idx="47">
                  <c:v>95582.405050328365</c:v>
                </c:pt>
                <c:pt idx="48">
                  <c:v>92754.811956355479</c:v>
                </c:pt>
                <c:pt idx="49">
                  <c:v>91162.382495370854</c:v>
                </c:pt>
                <c:pt idx="50">
                  <c:v>88891.855429843781</c:v>
                </c:pt>
                <c:pt idx="51">
                  <c:v>84526.164056909984</c:v>
                </c:pt>
                <c:pt idx="52">
                  <c:v>83902.423155089447</c:v>
                </c:pt>
                <c:pt idx="53">
                  <c:v>85530.266407303847</c:v>
                </c:pt>
                <c:pt idx="54">
                  <c:v>85762.019150657012</c:v>
                </c:pt>
                <c:pt idx="55">
                  <c:v>86048.693585414207</c:v>
                </c:pt>
                <c:pt idx="56">
                  <c:v>85901.287941167349</c:v>
                </c:pt>
                <c:pt idx="57">
                  <c:v>84575.163211535051</c:v>
                </c:pt>
                <c:pt idx="58">
                  <c:v>85870.733499530485</c:v>
                </c:pt>
                <c:pt idx="59">
                  <c:v>85841.585566245456</c:v>
                </c:pt>
                <c:pt idx="60">
                  <c:v>85167.404662982677</c:v>
                </c:pt>
                <c:pt idx="61">
                  <c:v>84948.32337876955</c:v>
                </c:pt>
                <c:pt idx="62">
                  <c:v>86354.378672866456</c:v>
                </c:pt>
                <c:pt idx="63">
                  <c:v>85875.276923503698</c:v>
                </c:pt>
                <c:pt idx="64">
                  <c:v>85536.114220735049</c:v>
                </c:pt>
                <c:pt idx="65">
                  <c:v>85861.047585549575</c:v>
                </c:pt>
                <c:pt idx="66">
                  <c:v>82502.902402854699</c:v>
                </c:pt>
                <c:pt idx="67">
                  <c:v>82220.076007600393</c:v>
                </c:pt>
                <c:pt idx="68">
                  <c:v>82996.806372993087</c:v>
                </c:pt>
                <c:pt idx="69">
                  <c:v>83188.68751938254</c:v>
                </c:pt>
                <c:pt idx="70">
                  <c:v>80764.875236545719</c:v>
                </c:pt>
                <c:pt idx="71">
                  <c:v>80836.902852191721</c:v>
                </c:pt>
                <c:pt idx="72">
                  <c:v>81061.220599049426</c:v>
                </c:pt>
                <c:pt idx="73">
                  <c:v>81925.069570518201</c:v>
                </c:pt>
                <c:pt idx="74">
                  <c:v>80824.447970644149</c:v>
                </c:pt>
                <c:pt idx="75">
                  <c:v>80291.619353134243</c:v>
                </c:pt>
                <c:pt idx="76">
                  <c:v>79763.642347692803</c:v>
                </c:pt>
                <c:pt idx="77">
                  <c:v>79618.930311378179</c:v>
                </c:pt>
                <c:pt idx="78">
                  <c:v>80636.805051763469</c:v>
                </c:pt>
                <c:pt idx="79">
                  <c:v>80821.310329475658</c:v>
                </c:pt>
                <c:pt idx="80">
                  <c:v>77728.479748869751</c:v>
                </c:pt>
                <c:pt idx="81">
                  <c:v>76378.102399694224</c:v>
                </c:pt>
                <c:pt idx="82">
                  <c:v>76551.346823849701</c:v>
                </c:pt>
                <c:pt idx="83">
                  <c:v>77137.136639386197</c:v>
                </c:pt>
                <c:pt idx="84">
                  <c:v>77769.542960663486</c:v>
                </c:pt>
                <c:pt idx="85">
                  <c:v>77828.933475245765</c:v>
                </c:pt>
                <c:pt idx="86">
                  <c:v>75916.532555246435</c:v>
                </c:pt>
                <c:pt idx="87">
                  <c:v>76177.593933433469</c:v>
                </c:pt>
                <c:pt idx="88">
                  <c:v>76251.955300355141</c:v>
                </c:pt>
                <c:pt idx="89">
                  <c:v>74977.185600246739</c:v>
                </c:pt>
                <c:pt idx="90">
                  <c:v>74812.490628702086</c:v>
                </c:pt>
                <c:pt idx="91">
                  <c:v>74190.132393531196</c:v>
                </c:pt>
                <c:pt idx="92">
                  <c:v>74127.499571425462</c:v>
                </c:pt>
                <c:pt idx="93">
                  <c:v>74491.881960895917</c:v>
                </c:pt>
                <c:pt idx="94">
                  <c:v>74906.79610198646</c:v>
                </c:pt>
                <c:pt idx="95">
                  <c:v>73446.193571708936</c:v>
                </c:pt>
                <c:pt idx="96">
                  <c:v>72807.371202250026</c:v>
                </c:pt>
                <c:pt idx="97">
                  <c:v>71667.571516468393</c:v>
                </c:pt>
                <c:pt idx="98">
                  <c:v>72929.621480534261</c:v>
                </c:pt>
                <c:pt idx="99">
                  <c:v>72915.424762350696</c:v>
                </c:pt>
                <c:pt idx="100">
                  <c:v>71940.73032177017</c:v>
                </c:pt>
                <c:pt idx="101">
                  <c:v>68997.69571819868</c:v>
                </c:pt>
                <c:pt idx="102">
                  <c:v>70074.135699126084</c:v>
                </c:pt>
                <c:pt idx="103">
                  <c:v>70922.543473275451</c:v>
                </c:pt>
                <c:pt idx="104">
                  <c:v>68721.468168191743</c:v>
                </c:pt>
                <c:pt idx="105">
                  <c:v>68158.913899233128</c:v>
                </c:pt>
                <c:pt idx="106">
                  <c:v>67722.712097350683</c:v>
                </c:pt>
                <c:pt idx="107">
                  <c:v>68027.619508899646</c:v>
                </c:pt>
                <c:pt idx="108">
                  <c:v>70284.886362535763</c:v>
                </c:pt>
                <c:pt idx="109">
                  <c:v>70461.076849749676</c:v>
                </c:pt>
                <c:pt idx="110">
                  <c:v>70905.807411720423</c:v>
                </c:pt>
                <c:pt idx="111">
                  <c:v>69642.743288467376</c:v>
                </c:pt>
                <c:pt idx="112">
                  <c:v>69458.676928827437</c:v>
                </c:pt>
                <c:pt idx="113">
                  <c:v>68362.315359073909</c:v>
                </c:pt>
                <c:pt idx="114">
                  <c:v>64972.668056169343</c:v>
                </c:pt>
                <c:pt idx="115">
                  <c:v>67292.036608286027</c:v>
                </c:pt>
                <c:pt idx="116">
                  <c:v>67434.806314008019</c:v>
                </c:pt>
                <c:pt idx="117">
                  <c:v>68010.730928751873</c:v>
                </c:pt>
                <c:pt idx="118">
                  <c:v>66100.155989772204</c:v>
                </c:pt>
                <c:pt idx="119">
                  <c:v>65727.734431256875</c:v>
                </c:pt>
                <c:pt idx="120">
                  <c:v>67025.063565657663</c:v>
                </c:pt>
                <c:pt idx="121">
                  <c:v>66073.367994646309</c:v>
                </c:pt>
                <c:pt idx="122">
                  <c:v>65443.828410814705</c:v>
                </c:pt>
                <c:pt idx="123">
                  <c:v>65316.489033891856</c:v>
                </c:pt>
                <c:pt idx="124">
                  <c:v>64381.713295604524</c:v>
                </c:pt>
                <c:pt idx="125">
                  <c:v>64405.269557308813</c:v>
                </c:pt>
                <c:pt idx="126">
                  <c:v>63287.218295149716</c:v>
                </c:pt>
                <c:pt idx="127">
                  <c:v>61948.683444509603</c:v>
                </c:pt>
                <c:pt idx="128">
                  <c:v>62590.592813444498</c:v>
                </c:pt>
                <c:pt idx="129">
                  <c:v>63228.201314228842</c:v>
                </c:pt>
                <c:pt idx="130">
                  <c:v>62615.451038619853</c:v>
                </c:pt>
                <c:pt idx="131">
                  <c:v>62172.797863721964</c:v>
                </c:pt>
                <c:pt idx="132">
                  <c:v>61048.975252439879</c:v>
                </c:pt>
                <c:pt idx="133">
                  <c:v>61496.977769520061</c:v>
                </c:pt>
                <c:pt idx="134">
                  <c:v>61307.885907255615</c:v>
                </c:pt>
                <c:pt idx="135">
                  <c:v>57110.113952069492</c:v>
                </c:pt>
                <c:pt idx="136">
                  <c:v>58719.172908985594</c:v>
                </c:pt>
                <c:pt idx="137">
                  <c:v>60428.522044418016</c:v>
                </c:pt>
                <c:pt idx="138">
                  <c:v>61808.550895665845</c:v>
                </c:pt>
                <c:pt idx="139">
                  <c:v>61801.602186613309</c:v>
                </c:pt>
                <c:pt idx="140">
                  <c:v>60555.550479605285</c:v>
                </c:pt>
                <c:pt idx="141">
                  <c:v>61388.709029404687</c:v>
                </c:pt>
                <c:pt idx="142">
                  <c:v>64029.225541333231</c:v>
                </c:pt>
                <c:pt idx="143">
                  <c:v>62423.119641703379</c:v>
                </c:pt>
                <c:pt idx="144">
                  <c:v>62531.166732294165</c:v>
                </c:pt>
                <c:pt idx="145">
                  <c:v>61942.710553725941</c:v>
                </c:pt>
                <c:pt idx="146">
                  <c:v>63474.78003650529</c:v>
                </c:pt>
                <c:pt idx="147">
                  <c:v>63068.884440872862</c:v>
                </c:pt>
                <c:pt idx="148">
                  <c:v>64112.528855862613</c:v>
                </c:pt>
                <c:pt idx="149">
                  <c:v>63536.606719107884</c:v>
                </c:pt>
                <c:pt idx="150">
                  <c:v>63637.300261331802</c:v>
                </c:pt>
                <c:pt idx="151">
                  <c:v>64732.33394889495</c:v>
                </c:pt>
                <c:pt idx="152">
                  <c:v>65484.125018844948</c:v>
                </c:pt>
                <c:pt idx="153">
                  <c:v>64999.612214347748</c:v>
                </c:pt>
                <c:pt idx="154">
                  <c:v>63985.676586955953</c:v>
                </c:pt>
                <c:pt idx="155">
                  <c:v>64105.784182088631</c:v>
                </c:pt>
                <c:pt idx="156">
                  <c:v>64059.71219704656</c:v>
                </c:pt>
                <c:pt idx="157">
                  <c:v>65079.927311150568</c:v>
                </c:pt>
                <c:pt idx="158">
                  <c:v>64181.631292832288</c:v>
                </c:pt>
                <c:pt idx="159">
                  <c:v>62708.797464005591</c:v>
                </c:pt>
                <c:pt idx="160">
                  <c:v>63439.3675626322</c:v>
                </c:pt>
                <c:pt idx="161">
                  <c:v>62247.754009433811</c:v>
                </c:pt>
                <c:pt idx="162">
                  <c:v>65896.709384687361</c:v>
                </c:pt>
                <c:pt idx="163">
                  <c:v>65228.21356859256</c:v>
                </c:pt>
                <c:pt idx="164">
                  <c:v>65539.326744839069</c:v>
                </c:pt>
                <c:pt idx="165">
                  <c:v>63373.420660285672</c:v>
                </c:pt>
                <c:pt idx="166">
                  <c:v>63110.601360812136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1B9-451E-AB2C-4103AFBA2C24}"/>
            </c:ext>
          </c:extLst>
        </c:ser>
        <c:ser>
          <c:idx val="3"/>
          <c:order val="3"/>
          <c:tx>
            <c:strRef>
              <c:f>'Real - Simple'!$F$1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99715.680029429146</c:v>
                </c:pt>
                <c:pt idx="3">
                  <c:v>101624.00719889156</c:v>
                </c:pt>
                <c:pt idx="4">
                  <c:v>100679.7598870636</c:v>
                </c:pt>
                <c:pt idx="5">
                  <c:v>100375.5972603558</c:v>
                </c:pt>
                <c:pt idx="6">
                  <c:v>99716.341077424426</c:v>
                </c:pt>
                <c:pt idx="7">
                  <c:v>101260.04574063687</c:v>
                </c:pt>
                <c:pt idx="8">
                  <c:v>102309.39670421611</c:v>
                </c:pt>
                <c:pt idx="9">
                  <c:v>103002.88446073858</c:v>
                </c:pt>
                <c:pt idx="10">
                  <c:v>103816.77061859242</c:v>
                </c:pt>
                <c:pt idx="11">
                  <c:v>101158.72188855188</c:v>
                </c:pt>
                <c:pt idx="12">
                  <c:v>99882.948457384278</c:v>
                </c:pt>
                <c:pt idx="13">
                  <c:v>101882.76670885274</c:v>
                </c:pt>
                <c:pt idx="14">
                  <c:v>102348.07197790871</c:v>
                </c:pt>
                <c:pt idx="15">
                  <c:v>101768.57867557739</c:v>
                </c:pt>
                <c:pt idx="16">
                  <c:v>104402.9582422996</c:v>
                </c:pt>
                <c:pt idx="17">
                  <c:v>105886.79429812956</c:v>
                </c:pt>
                <c:pt idx="18">
                  <c:v>105890.83532243058</c:v>
                </c:pt>
                <c:pt idx="19">
                  <c:v>105092.26633538675</c:v>
                </c:pt>
                <c:pt idx="20">
                  <c:v>106634.12568344489</c:v>
                </c:pt>
                <c:pt idx="21">
                  <c:v>108385.75705006112</c:v>
                </c:pt>
                <c:pt idx="22">
                  <c:v>106074.07237754256</c:v>
                </c:pt>
                <c:pt idx="23">
                  <c:v>105402.93477063911</c:v>
                </c:pt>
                <c:pt idx="24">
                  <c:v>105246.61362649128</c:v>
                </c:pt>
                <c:pt idx="25">
                  <c:v>107775.02885990651</c:v>
                </c:pt>
                <c:pt idx="26">
                  <c:v>109819.07191772596</c:v>
                </c:pt>
                <c:pt idx="27">
                  <c:v>113358.4125048444</c:v>
                </c:pt>
                <c:pt idx="28">
                  <c:v>113615.4385463122</c:v>
                </c:pt>
                <c:pt idx="29">
                  <c:v>114842.13396526068</c:v>
                </c:pt>
                <c:pt idx="30">
                  <c:v>114541.70010826465</c:v>
                </c:pt>
                <c:pt idx="31">
                  <c:v>114565.52880301089</c:v>
                </c:pt>
                <c:pt idx="32">
                  <c:v>113665.55834398951</c:v>
                </c:pt>
                <c:pt idx="33">
                  <c:v>112907.50789499734</c:v>
                </c:pt>
                <c:pt idx="34">
                  <c:v>112036.35214424571</c:v>
                </c:pt>
                <c:pt idx="35">
                  <c:v>110906.20992823485</c:v>
                </c:pt>
                <c:pt idx="36">
                  <c:v>110401.81458940935</c:v>
                </c:pt>
                <c:pt idx="37">
                  <c:v>109996.61839714092</c:v>
                </c:pt>
                <c:pt idx="38">
                  <c:v>108766.74848439335</c:v>
                </c:pt>
                <c:pt idx="39">
                  <c:v>108778.72487816532</c:v>
                </c:pt>
                <c:pt idx="40">
                  <c:v>110414.87579674819</c:v>
                </c:pt>
                <c:pt idx="41">
                  <c:v>108357.72340497638</c:v>
                </c:pt>
                <c:pt idx="42">
                  <c:v>109391.50008822614</c:v>
                </c:pt>
                <c:pt idx="43">
                  <c:v>109003.21420123945</c:v>
                </c:pt>
                <c:pt idx="44">
                  <c:v>109561.33460251197</c:v>
                </c:pt>
                <c:pt idx="45">
                  <c:v>109482.27423020294</c:v>
                </c:pt>
                <c:pt idx="46">
                  <c:v>107860.87130752877</c:v>
                </c:pt>
                <c:pt idx="47">
                  <c:v>106699.92452189983</c:v>
                </c:pt>
                <c:pt idx="48">
                  <c:v>109117.51761587271</c:v>
                </c:pt>
                <c:pt idx="49">
                  <c:v>110299.94707685734</c:v>
                </c:pt>
                <c:pt idx="50">
                  <c:v>112160.47414238441</c:v>
                </c:pt>
                <c:pt idx="51">
                  <c:v>116116.16551531821</c:v>
                </c:pt>
                <c:pt idx="52">
                  <c:v>115492.42461349767</c:v>
                </c:pt>
                <c:pt idx="53">
                  <c:v>117120.26786571207</c:v>
                </c:pt>
                <c:pt idx="54">
                  <c:v>116478.51512235891</c:v>
                </c:pt>
                <c:pt idx="55">
                  <c:v>115781.84068760171</c:v>
                </c:pt>
                <c:pt idx="56">
                  <c:v>115519.24633184857</c:v>
                </c:pt>
                <c:pt idx="57">
                  <c:v>116435.37106148087</c:v>
                </c:pt>
                <c:pt idx="58">
                  <c:v>117730.9413494763</c:v>
                </c:pt>
                <c:pt idx="59">
                  <c:v>117350.08928276133</c:v>
                </c:pt>
                <c:pt idx="60">
                  <c:v>117614.27018602411</c:v>
                </c:pt>
                <c:pt idx="61">
                  <c:v>117395.18890181098</c:v>
                </c:pt>
                <c:pt idx="62">
                  <c:v>115579.13360771407</c:v>
                </c:pt>
                <c:pt idx="63">
                  <c:v>115100.03185835131</c:v>
                </c:pt>
                <c:pt idx="64">
                  <c:v>114760.86915558267</c:v>
                </c:pt>
                <c:pt idx="65">
                  <c:v>115085.80252039719</c:v>
                </c:pt>
                <c:pt idx="66">
                  <c:v>111727.65733770232</c:v>
                </c:pt>
                <c:pt idx="67">
                  <c:v>111444.83094244801</c:v>
                </c:pt>
                <c:pt idx="68">
                  <c:v>112221.5613078407</c:v>
                </c:pt>
                <c:pt idx="69">
                  <c:v>112413.44245423016</c:v>
                </c:pt>
                <c:pt idx="70">
                  <c:v>109989.63017139334</c:v>
                </c:pt>
                <c:pt idx="71">
                  <c:v>110061.65778703934</c:v>
                </c:pt>
                <c:pt idx="72">
                  <c:v>110285.97553389704</c:v>
                </c:pt>
                <c:pt idx="73">
                  <c:v>111149.82450536582</c:v>
                </c:pt>
                <c:pt idx="74">
                  <c:v>110049.20290549177</c:v>
                </c:pt>
                <c:pt idx="75">
                  <c:v>109516.37428798186</c:v>
                </c:pt>
                <c:pt idx="76">
                  <c:v>108988.39728254042</c:v>
                </c:pt>
                <c:pt idx="77">
                  <c:v>108843.6852462258</c:v>
                </c:pt>
                <c:pt idx="78">
                  <c:v>109861.55998661109</c:v>
                </c:pt>
                <c:pt idx="79">
                  <c:v>110046.06526432328</c:v>
                </c:pt>
                <c:pt idx="80">
                  <c:v>106953.23468371737</c:v>
                </c:pt>
                <c:pt idx="81">
                  <c:v>105602.85733454184</c:v>
                </c:pt>
                <c:pt idx="82">
                  <c:v>105776.10175869732</c:v>
                </c:pt>
                <c:pt idx="83">
                  <c:v>106361.89157423381</c:v>
                </c:pt>
                <c:pt idx="84">
                  <c:v>106994.2978955111</c:v>
                </c:pt>
                <c:pt idx="85">
                  <c:v>107053.68841009338</c:v>
                </c:pt>
                <c:pt idx="86">
                  <c:v>105141.28749009405</c:v>
                </c:pt>
                <c:pt idx="87">
                  <c:v>105402.34886828109</c:v>
                </c:pt>
                <c:pt idx="88">
                  <c:v>105476.71023520276</c:v>
                </c:pt>
                <c:pt idx="89">
                  <c:v>104201.94053509436</c:v>
                </c:pt>
                <c:pt idx="90">
                  <c:v>104037.2455635497</c:v>
                </c:pt>
                <c:pt idx="91">
                  <c:v>104249.60379872059</c:v>
                </c:pt>
                <c:pt idx="92">
                  <c:v>103902.23662082633</c:v>
                </c:pt>
                <c:pt idx="93">
                  <c:v>103127.85423135587</c:v>
                </c:pt>
                <c:pt idx="94">
                  <c:v>102302.94009026533</c:v>
                </c:pt>
                <c:pt idx="95">
                  <c:v>100842.33755998781</c:v>
                </c:pt>
                <c:pt idx="96">
                  <c:v>100203.51519052889</c:v>
                </c:pt>
                <c:pt idx="97">
                  <c:v>99063.715504747262</c:v>
                </c:pt>
                <c:pt idx="98">
                  <c:v>100325.76546881313</c:v>
                </c:pt>
                <c:pt idx="99">
                  <c:v>100311.56875062957</c:v>
                </c:pt>
                <c:pt idx="100">
                  <c:v>99336.874310049039</c:v>
                </c:pt>
                <c:pt idx="101">
                  <c:v>96393.839706477549</c:v>
                </c:pt>
                <c:pt idx="102">
                  <c:v>97470.279687404953</c:v>
                </c:pt>
                <c:pt idx="103">
                  <c:v>98318.68746155432</c:v>
                </c:pt>
                <c:pt idx="104">
                  <c:v>96117.612156470612</c:v>
                </c:pt>
                <c:pt idx="105">
                  <c:v>95555.057887511997</c:v>
                </c:pt>
                <c:pt idx="106">
                  <c:v>95118.856085629552</c:v>
                </c:pt>
                <c:pt idx="107">
                  <c:v>95423.763497178516</c:v>
                </c:pt>
                <c:pt idx="108">
                  <c:v>97681.030350814632</c:v>
                </c:pt>
                <c:pt idx="109">
                  <c:v>97857.220838028545</c:v>
                </c:pt>
                <c:pt idx="110">
                  <c:v>98301.951399999292</c:v>
                </c:pt>
                <c:pt idx="111">
                  <c:v>97038.887276746245</c:v>
                </c:pt>
                <c:pt idx="112">
                  <c:v>96854.820917106306</c:v>
                </c:pt>
                <c:pt idx="113">
                  <c:v>95758.459347352778</c:v>
                </c:pt>
                <c:pt idx="114">
                  <c:v>92368.812044448219</c:v>
                </c:pt>
                <c:pt idx="115">
                  <c:v>94688.180596564911</c:v>
                </c:pt>
                <c:pt idx="116">
                  <c:v>94135.410890842919</c:v>
                </c:pt>
                <c:pt idx="117">
                  <c:v>93149.486276099065</c:v>
                </c:pt>
                <c:pt idx="118">
                  <c:v>94650.061215078735</c:v>
                </c:pt>
                <c:pt idx="119">
                  <c:v>94612.482773594063</c:v>
                </c:pt>
                <c:pt idx="120">
                  <c:v>92905.153639193275</c:v>
                </c:pt>
                <c:pt idx="121">
                  <c:v>93446.849210204629</c:v>
                </c:pt>
                <c:pt idx="122">
                  <c:v>93666.388794036233</c:v>
                </c:pt>
                <c:pt idx="123">
                  <c:v>93539.049417113376</c:v>
                </c:pt>
                <c:pt idx="124">
                  <c:v>94063.8251554007</c:v>
                </c:pt>
                <c:pt idx="125">
                  <c:v>93630.268893696411</c:v>
                </c:pt>
                <c:pt idx="126">
                  <c:v>94338.320155855516</c:v>
                </c:pt>
                <c:pt idx="127">
                  <c:v>95266.855006495622</c:v>
                </c:pt>
                <c:pt idx="128">
                  <c:v>94214.945637560726</c:v>
                </c:pt>
                <c:pt idx="129">
                  <c:v>93167.33713677639</c:v>
                </c:pt>
                <c:pt idx="130">
                  <c:v>93370.087412385386</c:v>
                </c:pt>
                <c:pt idx="131">
                  <c:v>93402.740587283275</c:v>
                </c:pt>
                <c:pt idx="132">
                  <c:v>94116.56319856536</c:v>
                </c:pt>
                <c:pt idx="133">
                  <c:v>93258.560681485178</c:v>
                </c:pt>
                <c:pt idx="134">
                  <c:v>93037.652543749631</c:v>
                </c:pt>
                <c:pt idx="135">
                  <c:v>96825.424498935754</c:v>
                </c:pt>
                <c:pt idx="136">
                  <c:v>94806.365542019659</c:v>
                </c:pt>
                <c:pt idx="137">
                  <c:v>92687.016406587238</c:v>
                </c:pt>
                <c:pt idx="138">
                  <c:v>90896.987555339409</c:v>
                </c:pt>
                <c:pt idx="139">
                  <c:v>90493.936264391945</c:v>
                </c:pt>
                <c:pt idx="140">
                  <c:v>91329.987971399969</c:v>
                </c:pt>
                <c:pt idx="141">
                  <c:v>90086.829421600574</c:v>
                </c:pt>
                <c:pt idx="142">
                  <c:v>87036.312909672022</c:v>
                </c:pt>
                <c:pt idx="143">
                  <c:v>88232.418809301875</c:v>
                </c:pt>
                <c:pt idx="144">
                  <c:v>87714.371718711089</c:v>
                </c:pt>
                <c:pt idx="145">
                  <c:v>87892.827897279305</c:v>
                </c:pt>
                <c:pt idx="146">
                  <c:v>85950.758414499956</c:v>
                </c:pt>
                <c:pt idx="147">
                  <c:v>85946.654010132392</c:v>
                </c:pt>
                <c:pt idx="148">
                  <c:v>84493.009595142634</c:v>
                </c:pt>
                <c:pt idx="149">
                  <c:v>84658.931731897363</c:v>
                </c:pt>
                <c:pt idx="150">
                  <c:v>84148.238189673444</c:v>
                </c:pt>
                <c:pt idx="151">
                  <c:v>82643.204502110297</c:v>
                </c:pt>
                <c:pt idx="152">
                  <c:v>81481.413432160305</c:v>
                </c:pt>
                <c:pt idx="153">
                  <c:v>81555.926236657513</c:v>
                </c:pt>
                <c:pt idx="154">
                  <c:v>82159.861864049308</c:v>
                </c:pt>
                <c:pt idx="155">
                  <c:v>81629.754268916629</c:v>
                </c:pt>
                <c:pt idx="156">
                  <c:v>81265.826253958701</c:v>
                </c:pt>
                <c:pt idx="157">
                  <c:v>79835.611139854693</c:v>
                </c:pt>
                <c:pt idx="158">
                  <c:v>80323.90715817298</c:v>
                </c:pt>
                <c:pt idx="159">
                  <c:v>81386.740986999677</c:v>
                </c:pt>
                <c:pt idx="160">
                  <c:v>82117.311085626279</c:v>
                </c:pt>
                <c:pt idx="161">
                  <c:v>82898.924638824668</c:v>
                </c:pt>
                <c:pt idx="162">
                  <c:v>86547.880014078211</c:v>
                </c:pt>
                <c:pt idx="163">
                  <c:v>86806.375830173012</c:v>
                </c:pt>
                <c:pt idx="164">
                  <c:v>86085.262653926504</c:v>
                </c:pt>
                <c:pt idx="165">
                  <c:v>87841.168738479901</c:v>
                </c:pt>
                <c:pt idx="166">
                  <c:v>87693.988037953444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1B9-451E-AB2C-4103AFBA2C24}"/>
            </c:ext>
          </c:extLst>
        </c:ser>
        <c:ser>
          <c:idx val="4"/>
          <c:order val="4"/>
          <c:tx>
            <c:strRef>
              <c:f>'Real - Simple'!$G$1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102529.79999980686</c:v>
                </c:pt>
                <c:pt idx="3">
                  <c:v>100211.47283034444</c:v>
                </c:pt>
                <c:pt idx="4">
                  <c:v>100745.7201421724</c:v>
                </c:pt>
                <c:pt idx="5">
                  <c:v>100639.8827688802</c:v>
                </c:pt>
                <c:pt idx="6">
                  <c:v>100889.13895181158</c:v>
                </c:pt>
                <c:pt idx="7">
                  <c:v>102432.84361502402</c:v>
                </c:pt>
                <c:pt idx="8">
                  <c:v>100973.49265144477</c:v>
                </c:pt>
                <c:pt idx="9">
                  <c:v>99870.004894922298</c:v>
                </c:pt>
                <c:pt idx="10">
                  <c:v>100683.89105277613</c:v>
                </c:pt>
                <c:pt idx="11">
                  <c:v>102931.93978281667</c:v>
                </c:pt>
                <c:pt idx="12">
                  <c:v>101656.16635164907</c:v>
                </c:pt>
                <c:pt idx="13">
                  <c:v>103655.98460311753</c:v>
                </c:pt>
                <c:pt idx="14">
                  <c:v>102780.67933406155</c:v>
                </c:pt>
                <c:pt idx="15">
                  <c:v>102950.17263639288</c:v>
                </c:pt>
                <c:pt idx="16">
                  <c:v>105584.55220311509</c:v>
                </c:pt>
                <c:pt idx="17">
                  <c:v>107068.38825894505</c:v>
                </c:pt>
                <c:pt idx="18">
                  <c:v>106654.34723464404</c:v>
                </c:pt>
                <c:pt idx="19">
                  <c:v>105855.77824760022</c:v>
                </c:pt>
                <c:pt idx="20">
                  <c:v>107397.63759565835</c:v>
                </c:pt>
                <c:pt idx="21">
                  <c:v>105236.00622904212</c:v>
                </c:pt>
                <c:pt idx="22">
                  <c:v>102924.32155652356</c:v>
                </c:pt>
                <c:pt idx="23">
                  <c:v>103185.459163427</c:v>
                </c:pt>
                <c:pt idx="24">
                  <c:v>102931.78030757484</c:v>
                </c:pt>
                <c:pt idx="25">
                  <c:v>99993.365074159607</c:v>
                </c:pt>
                <c:pt idx="26">
                  <c:v>102037.40813197906</c:v>
                </c:pt>
                <c:pt idx="27">
                  <c:v>105576.74871909749</c:v>
                </c:pt>
                <c:pt idx="28">
                  <c:v>104909.72267762969</c:v>
                </c:pt>
                <c:pt idx="29">
                  <c:v>103273.02725868121</c:v>
                </c:pt>
                <c:pt idx="30">
                  <c:v>103163.46111567724</c:v>
                </c:pt>
                <c:pt idx="31">
                  <c:v>102729.632420931</c:v>
                </c:pt>
                <c:pt idx="32">
                  <c:v>103219.60287995238</c:v>
                </c:pt>
                <c:pt idx="33">
                  <c:v>102461.5524309602</c:v>
                </c:pt>
                <c:pt idx="34">
                  <c:v>101590.39668020858</c:v>
                </c:pt>
                <c:pt idx="35">
                  <c:v>100460.25446419771</c:v>
                </c:pt>
                <c:pt idx="36">
                  <c:v>100554.64980302322</c:v>
                </c:pt>
                <c:pt idx="37">
                  <c:v>100149.45361075479</c:v>
                </c:pt>
                <c:pt idx="38">
                  <c:v>98919.58369800722</c:v>
                </c:pt>
                <c:pt idx="39">
                  <c:v>98931.560091779189</c:v>
                </c:pt>
                <c:pt idx="40">
                  <c:v>100567.71101036207</c:v>
                </c:pt>
                <c:pt idx="41">
                  <c:v>98510.55861859025</c:v>
                </c:pt>
                <c:pt idx="42">
                  <c:v>97066.781935340492</c:v>
                </c:pt>
                <c:pt idx="43">
                  <c:v>96678.496048353802</c:v>
                </c:pt>
                <c:pt idx="44">
                  <c:v>97236.616449626323</c:v>
                </c:pt>
                <c:pt idx="45">
                  <c:v>97157.556077317291</c:v>
                </c:pt>
                <c:pt idx="46">
                  <c:v>98368.958999991461</c:v>
                </c:pt>
                <c:pt idx="47">
                  <c:v>97208.012214362519</c:v>
                </c:pt>
                <c:pt idx="48">
                  <c:v>99625.605308335405</c:v>
                </c:pt>
                <c:pt idx="49">
                  <c:v>98033.17584735078</c:v>
                </c:pt>
                <c:pt idx="50">
                  <c:v>95762.648781823707</c:v>
                </c:pt>
                <c:pt idx="51">
                  <c:v>91396.95740888991</c:v>
                </c:pt>
                <c:pt idx="52">
                  <c:v>90773.216507069374</c:v>
                </c:pt>
                <c:pt idx="53">
                  <c:v>92401.059759283773</c:v>
                </c:pt>
                <c:pt idx="54">
                  <c:v>92632.812502636938</c:v>
                </c:pt>
                <c:pt idx="55">
                  <c:v>91936.138067879743</c:v>
                </c:pt>
                <c:pt idx="56">
                  <c:v>91788.732423632886</c:v>
                </c:pt>
                <c:pt idx="57">
                  <c:v>90462.607694000588</c:v>
                </c:pt>
                <c:pt idx="58">
                  <c:v>91758.177981996021</c:v>
                </c:pt>
                <c:pt idx="59">
                  <c:v>91377.32591528105</c:v>
                </c:pt>
                <c:pt idx="60">
                  <c:v>91641.506818543829</c:v>
                </c:pt>
                <c:pt idx="61">
                  <c:v>91450.588102756956</c:v>
                </c:pt>
                <c:pt idx="62">
                  <c:v>92856.643396853862</c:v>
                </c:pt>
                <c:pt idx="63">
                  <c:v>92925.745146216621</c:v>
                </c:pt>
                <c:pt idx="64">
                  <c:v>92854.907848985269</c:v>
                </c:pt>
                <c:pt idx="65">
                  <c:v>92119.974484170743</c:v>
                </c:pt>
                <c:pt idx="66">
                  <c:v>88761.829301475867</c:v>
                </c:pt>
                <c:pt idx="67">
                  <c:v>88479.002906221562</c:v>
                </c:pt>
                <c:pt idx="68">
                  <c:v>87292.272540828868</c:v>
                </c:pt>
                <c:pt idx="69">
                  <c:v>86690.391394439415</c:v>
                </c:pt>
                <c:pt idx="70">
                  <c:v>88704.203677276237</c:v>
                </c:pt>
                <c:pt idx="71">
                  <c:v>88776.231292922239</c:v>
                </c:pt>
                <c:pt idx="72">
                  <c:v>89000.549039779944</c:v>
                </c:pt>
                <c:pt idx="73">
                  <c:v>87726.700068311169</c:v>
                </c:pt>
                <c:pt idx="74">
                  <c:v>88417.321668185221</c:v>
                </c:pt>
                <c:pt idx="75">
                  <c:v>87884.493050675315</c:v>
                </c:pt>
                <c:pt idx="76">
                  <c:v>88002.470056116756</c:v>
                </c:pt>
                <c:pt idx="77">
                  <c:v>87857.758019802131</c:v>
                </c:pt>
                <c:pt idx="78">
                  <c:v>86429.883279416841</c:v>
                </c:pt>
                <c:pt idx="79">
                  <c:v>86614.38855712903</c:v>
                </c:pt>
                <c:pt idx="80">
                  <c:v>83521.557976523123</c:v>
                </c:pt>
                <c:pt idx="81">
                  <c:v>82171.180627347596</c:v>
                </c:pt>
                <c:pt idx="82">
                  <c:v>82344.425051503073</c:v>
                </c:pt>
                <c:pt idx="83">
                  <c:v>82930.214867039569</c:v>
                </c:pt>
                <c:pt idx="84">
                  <c:v>83562.621188316858</c:v>
                </c:pt>
                <c:pt idx="85">
                  <c:v>83622.011702899137</c:v>
                </c:pt>
                <c:pt idx="86">
                  <c:v>85124.412622898468</c:v>
                </c:pt>
                <c:pt idx="87">
                  <c:v>85385.474001085502</c:v>
                </c:pt>
                <c:pt idx="88">
                  <c:v>84901.11263416383</c:v>
                </c:pt>
                <c:pt idx="89">
                  <c:v>85765.882334272232</c:v>
                </c:pt>
                <c:pt idx="90">
                  <c:v>85520.577305816885</c:v>
                </c:pt>
                <c:pt idx="91">
                  <c:v>84898.219070645995</c:v>
                </c:pt>
                <c:pt idx="92">
                  <c:v>84835.586248540261</c:v>
                </c:pt>
                <c:pt idx="93">
                  <c:v>85199.968638010716</c:v>
                </c:pt>
                <c:pt idx="94">
                  <c:v>85614.882779101259</c:v>
                </c:pt>
                <c:pt idx="95">
                  <c:v>86665.485309378782</c:v>
                </c:pt>
                <c:pt idx="96">
                  <c:v>86894.307678837693</c:v>
                </c:pt>
                <c:pt idx="97">
                  <c:v>87624.107364619325</c:v>
                </c:pt>
                <c:pt idx="98">
                  <c:v>85952.057400553458</c:v>
                </c:pt>
                <c:pt idx="99">
                  <c:v>85556.254118737023</c:v>
                </c:pt>
                <c:pt idx="100">
                  <c:v>86120.948559317549</c:v>
                </c:pt>
                <c:pt idx="101">
                  <c:v>88653.983162889039</c:v>
                </c:pt>
                <c:pt idx="102">
                  <c:v>89730.423143816442</c:v>
                </c:pt>
                <c:pt idx="103">
                  <c:v>90578.83091796581</c:v>
                </c:pt>
                <c:pt idx="104">
                  <c:v>92369.906223049518</c:v>
                </c:pt>
                <c:pt idx="105">
                  <c:v>91807.351954090904</c:v>
                </c:pt>
                <c:pt idx="106">
                  <c:v>91371.150152208458</c:v>
                </c:pt>
                <c:pt idx="107">
                  <c:v>91676.057563757422</c:v>
                </c:pt>
                <c:pt idx="108">
                  <c:v>89008.790710121306</c:v>
                </c:pt>
                <c:pt idx="109">
                  <c:v>89184.981197335219</c:v>
                </c:pt>
                <c:pt idx="110">
                  <c:v>89629.711759305967</c:v>
                </c:pt>
                <c:pt idx="111">
                  <c:v>90482.775882559014</c:v>
                </c:pt>
                <c:pt idx="112">
                  <c:v>90298.709522919075</c:v>
                </c:pt>
                <c:pt idx="113">
                  <c:v>89202.347953165547</c:v>
                </c:pt>
                <c:pt idx="114">
                  <c:v>85812.700650260987</c:v>
                </c:pt>
                <c:pt idx="115">
                  <c:v>88132.069202377679</c:v>
                </c:pt>
                <c:pt idx="116">
                  <c:v>88274.838908099671</c:v>
                </c:pt>
                <c:pt idx="117">
                  <c:v>88850.763522843525</c:v>
                </c:pt>
                <c:pt idx="118">
                  <c:v>90351.338461823194</c:v>
                </c:pt>
                <c:pt idx="119">
                  <c:v>89978.916903307865</c:v>
                </c:pt>
                <c:pt idx="120">
                  <c:v>91276.246037708654</c:v>
                </c:pt>
                <c:pt idx="121">
                  <c:v>91817.941608720008</c:v>
                </c:pt>
                <c:pt idx="122">
                  <c:v>92037.481192551611</c:v>
                </c:pt>
                <c:pt idx="123">
                  <c:v>91910.141815628755</c:v>
                </c:pt>
                <c:pt idx="124">
                  <c:v>92434.917553916079</c:v>
                </c:pt>
                <c:pt idx="125">
                  <c:v>92001.36129221179</c:v>
                </c:pt>
                <c:pt idx="126">
                  <c:v>92709.412554370894</c:v>
                </c:pt>
                <c:pt idx="127">
                  <c:v>93637.947405011</c:v>
                </c:pt>
                <c:pt idx="128">
                  <c:v>94279.856773945896</c:v>
                </c:pt>
                <c:pt idx="129">
                  <c:v>94917.465274730232</c:v>
                </c:pt>
                <c:pt idx="130">
                  <c:v>95120.215550339228</c:v>
                </c:pt>
                <c:pt idx="131">
                  <c:v>95152.868725237116</c:v>
                </c:pt>
                <c:pt idx="132">
                  <c:v>95866.691336519201</c:v>
                </c:pt>
                <c:pt idx="133">
                  <c:v>96314.693853599383</c:v>
                </c:pt>
                <c:pt idx="134">
                  <c:v>96125.60199133493</c:v>
                </c:pt>
                <c:pt idx="135">
                  <c:v>99913.373946521053</c:v>
                </c:pt>
                <c:pt idx="136">
                  <c:v>101522.43290343715</c:v>
                </c:pt>
                <c:pt idx="137">
                  <c:v>103231.78203886957</c:v>
                </c:pt>
                <c:pt idx="138">
                  <c:v>101441.75318762174</c:v>
                </c:pt>
                <c:pt idx="139">
                  <c:v>101038.70189667428</c:v>
                </c:pt>
                <c:pt idx="140">
                  <c:v>101874.7536036823</c:v>
                </c:pt>
                <c:pt idx="141">
                  <c:v>100631.59505388291</c:v>
                </c:pt>
                <c:pt idx="142">
                  <c:v>97581.078541954354</c:v>
                </c:pt>
                <c:pt idx="143">
                  <c:v>98777.184441584206</c:v>
                </c:pt>
                <c:pt idx="144">
                  <c:v>98259.13735099342</c:v>
                </c:pt>
                <c:pt idx="145">
                  <c:v>98437.593529561636</c:v>
                </c:pt>
                <c:pt idx="146">
                  <c:v>96495.524046782288</c:v>
                </c:pt>
                <c:pt idx="147">
                  <c:v>96491.419642414723</c:v>
                </c:pt>
                <c:pt idx="148">
                  <c:v>95037.775227424965</c:v>
                </c:pt>
                <c:pt idx="149">
                  <c:v>95203.697364179694</c:v>
                </c:pt>
                <c:pt idx="150">
                  <c:v>95304.390906403612</c:v>
                </c:pt>
                <c:pt idx="151">
                  <c:v>96399.42459396676</c:v>
                </c:pt>
                <c:pt idx="152">
                  <c:v>97151.215663916752</c:v>
                </c:pt>
                <c:pt idx="153">
                  <c:v>97225.728468413959</c:v>
                </c:pt>
                <c:pt idx="154">
                  <c:v>96211.792841022165</c:v>
                </c:pt>
                <c:pt idx="155">
                  <c:v>96331.900436154843</c:v>
                </c:pt>
                <c:pt idx="156">
                  <c:v>96285.828451112771</c:v>
                </c:pt>
                <c:pt idx="157">
                  <c:v>94855.613337008763</c:v>
                </c:pt>
                <c:pt idx="158">
                  <c:v>95343.90935532705</c:v>
                </c:pt>
                <c:pt idx="159">
                  <c:v>93871.075526500354</c:v>
                </c:pt>
                <c:pt idx="160">
                  <c:v>94601.645625126956</c:v>
                </c:pt>
                <c:pt idx="161">
                  <c:v>95383.259178325345</c:v>
                </c:pt>
                <c:pt idx="162">
                  <c:v>99032.214553578888</c:v>
                </c:pt>
                <c:pt idx="163">
                  <c:v>99290.710369673689</c:v>
                </c:pt>
                <c:pt idx="164">
                  <c:v>99601.823545920197</c:v>
                </c:pt>
                <c:pt idx="165">
                  <c:v>101357.72963047359</c:v>
                </c:pt>
                <c:pt idx="166">
                  <c:v>101094.91033100005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1B9-451E-AB2C-4103AFBA2C24}"/>
            </c:ext>
          </c:extLst>
        </c:ser>
        <c:ser>
          <c:idx val="5"/>
          <c:order val="5"/>
          <c:tx>
            <c:strRef>
              <c:f>'Real - Simple'!$A$1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'Real - Simple'!$B$4:$B$170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Simple'!$A$4:$A$170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54-468F-9DD8-A7867CE3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'Real - Compuesta'!$C$1</c:f>
              <c:strCache>
                <c:ptCount val="1"/>
                <c:pt idx="0">
                  <c:v>Bosques Aleatorios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Compuesta'!$C$4:$C$170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102545.90447842814</c:v>
                </c:pt>
                <c:pt idx="3">
                  <c:v>104503.12134329838</c:v>
                </c:pt>
                <c:pt idx="4">
                  <c:v>103516.89380379918</c:v>
                </c:pt>
                <c:pt idx="5">
                  <c:v>103202.45612777567</c:v>
                </c:pt>
                <c:pt idx="6">
                  <c:v>102522.4718495516</c:v>
                </c:pt>
                <c:pt idx="7">
                  <c:v>100519.78823280819</c:v>
                </c:pt>
                <c:pt idx="8">
                  <c:v>99052.914109232821</c:v>
                </c:pt>
                <c:pt idx="9">
                  <c:v>99739.720290752171</c:v>
                </c:pt>
                <c:pt idx="10">
                  <c:v>100551.45683451563</c:v>
                </c:pt>
                <c:pt idx="11">
                  <c:v>102811.96875774136</c:v>
                </c:pt>
                <c:pt idx="12">
                  <c:v>101500.65841252069</c:v>
                </c:pt>
                <c:pt idx="13">
                  <c:v>103530.66718382444</c:v>
                </c:pt>
                <c:pt idx="14">
                  <c:v>104012.82451338164</c:v>
                </c:pt>
                <c:pt idx="15">
                  <c:v>103410.55870070256</c:v>
                </c:pt>
                <c:pt idx="16">
                  <c:v>106135.19459599124</c:v>
                </c:pt>
                <c:pt idx="17">
                  <c:v>107710.80310468336</c:v>
                </c:pt>
                <c:pt idx="18">
                  <c:v>107265.76148859845</c:v>
                </c:pt>
                <c:pt idx="19">
                  <c:v>106410.04227501275</c:v>
                </c:pt>
                <c:pt idx="20">
                  <c:v>108051.50466417565</c:v>
                </c:pt>
                <c:pt idx="21">
                  <c:v>109945.13489253385</c:v>
                </c:pt>
                <c:pt idx="22">
                  <c:v>107404.7434772304</c:v>
                </c:pt>
                <c:pt idx="23">
                  <c:v>107686.1062232649</c:v>
                </c:pt>
                <c:pt idx="24">
                  <c:v>107518.69240267524</c:v>
                </c:pt>
                <c:pt idx="25">
                  <c:v>104360.24900943448</c:v>
                </c:pt>
                <c:pt idx="26">
                  <c:v>106493.94066431605</c:v>
                </c:pt>
                <c:pt idx="27">
                  <c:v>110263.90320194974</c:v>
                </c:pt>
                <c:pt idx="28">
                  <c:v>109529.64592163812</c:v>
                </c:pt>
                <c:pt idx="29">
                  <c:v>107738.12278195877</c:v>
                </c:pt>
                <c:pt idx="30">
                  <c:v>107621.00685101553</c:v>
                </c:pt>
                <c:pt idx="31">
                  <c:v>107155.03056254312</c:v>
                </c:pt>
                <c:pt idx="32">
                  <c:v>107680.91716132242</c:v>
                </c:pt>
                <c:pt idx="33">
                  <c:v>106865.56319536148</c:v>
                </c:pt>
                <c:pt idx="34">
                  <c:v>107359.20375319345</c:v>
                </c:pt>
                <c:pt idx="35">
                  <c:v>108133.22580664369</c:v>
                </c:pt>
                <c:pt idx="36">
                  <c:v>108236.27451862361</c:v>
                </c:pt>
                <c:pt idx="37">
                  <c:v>107798.69360856319</c:v>
                </c:pt>
                <c:pt idx="38">
                  <c:v>106473.84575276957</c:v>
                </c:pt>
                <c:pt idx="39">
                  <c:v>106487.37434129142</c:v>
                </c:pt>
                <c:pt idx="40">
                  <c:v>104309.26043795326</c:v>
                </c:pt>
                <c:pt idx="41">
                  <c:v>106027.91002734905</c:v>
                </c:pt>
                <c:pt idx="42">
                  <c:v>107124.72518815209</c:v>
                </c:pt>
                <c:pt idx="43">
                  <c:v>107102.31897128212</c:v>
                </c:pt>
                <c:pt idx="44">
                  <c:v>106066.29184936172</c:v>
                </c:pt>
                <c:pt idx="45">
                  <c:v>105716.00441303174</c:v>
                </c:pt>
                <c:pt idx="46">
                  <c:v>106997.33710075512</c:v>
                </c:pt>
                <c:pt idx="47">
                  <c:v>105755.99463542743</c:v>
                </c:pt>
                <c:pt idx="48">
                  <c:v>108313.43497755211</c:v>
                </c:pt>
                <c:pt idx="49">
                  <c:v>109595.16255512842</c:v>
                </c:pt>
                <c:pt idx="50">
                  <c:v>111635.3616364816</c:v>
                </c:pt>
                <c:pt idx="51">
                  <c:v>106763.10252777065</c:v>
                </c:pt>
                <c:pt idx="52">
                  <c:v>106097.98896155567</c:v>
                </c:pt>
                <c:pt idx="53">
                  <c:v>107825.82967427693</c:v>
                </c:pt>
                <c:pt idx="54">
                  <c:v>108076.65809215129</c:v>
                </c:pt>
                <c:pt idx="55">
                  <c:v>107324.6848442544</c:v>
                </c:pt>
                <c:pt idx="56">
                  <c:v>107167.36116330513</c:v>
                </c:pt>
                <c:pt idx="57">
                  <c:v>108150.00794435614</c:v>
                </c:pt>
                <c:pt idx="58">
                  <c:v>109552.14531470124</c:v>
                </c:pt>
                <c:pt idx="59">
                  <c:v>109136.05996257738</c:v>
                </c:pt>
                <c:pt idx="60">
                  <c:v>108401.38181493177</c:v>
                </c:pt>
                <c:pt idx="61">
                  <c:v>108164.90284136463</c:v>
                </c:pt>
                <c:pt idx="62">
                  <c:v>106201.54818530021</c:v>
                </c:pt>
                <c:pt idx="63">
                  <c:v>105693.47889587634</c:v>
                </c:pt>
                <c:pt idx="64">
                  <c:v>105619.29170954421</c:v>
                </c:pt>
                <c:pt idx="65">
                  <c:v>104843.73461009514</c:v>
                </c:pt>
                <c:pt idx="66">
                  <c:v>107935.26136951326</c:v>
                </c:pt>
                <c:pt idx="67">
                  <c:v>107798.94843820231</c:v>
                </c:pt>
                <c:pt idx="68">
                  <c:v>106520.60145732474</c:v>
                </c:pt>
                <c:pt idx="69">
                  <c:v>105880.25651230733</c:v>
                </c:pt>
                <c:pt idx="70">
                  <c:v>108013.19175383278</c:v>
                </c:pt>
                <c:pt idx="71">
                  <c:v>108091.95266344667</c:v>
                </c:pt>
                <c:pt idx="72">
                  <c:v>108335.39313051543</c:v>
                </c:pt>
                <c:pt idx="73">
                  <c:v>109272.24755698569</c:v>
                </c:pt>
                <c:pt idx="74">
                  <c:v>110028.01797098892</c:v>
                </c:pt>
                <c:pt idx="75">
                  <c:v>110164.36722649276</c:v>
                </c:pt>
                <c:pt idx="76">
                  <c:v>110295.55557207727</c:v>
                </c:pt>
                <c:pt idx="77">
                  <c:v>110137.18009431304</c:v>
                </c:pt>
                <c:pt idx="78">
                  <c:v>111259.45509187703</c:v>
                </c:pt>
                <c:pt idx="79">
                  <c:v>111466.0857930864</c:v>
                </c:pt>
                <c:pt idx="80">
                  <c:v>108020.00453496858</c:v>
                </c:pt>
                <c:pt idx="81">
                  <c:v>106562.28926169418</c:v>
                </c:pt>
                <c:pt idx="82">
                  <c:v>106747.68996080391</c:v>
                </c:pt>
                <c:pt idx="83">
                  <c:v>107373.81677971008</c:v>
                </c:pt>
                <c:pt idx="84">
                  <c:v>108053.74044243521</c:v>
                </c:pt>
                <c:pt idx="85">
                  <c:v>108118.88056376248</c:v>
                </c:pt>
                <c:pt idx="86">
                  <c:v>106052.18836283575</c:v>
                </c:pt>
                <c:pt idx="87">
                  <c:v>106329.77592997682</c:v>
                </c:pt>
                <c:pt idx="88">
                  <c:v>106409.6037779147</c:v>
                </c:pt>
                <c:pt idx="89">
                  <c:v>105053.8955434018</c:v>
                </c:pt>
                <c:pt idx="90">
                  <c:v>104881.48352749525</c:v>
                </c:pt>
                <c:pt idx="91">
                  <c:v>105104.7937729586</c:v>
                </c:pt>
                <c:pt idx="92">
                  <c:v>104740.30679225065</c:v>
                </c:pt>
                <c:pt idx="93">
                  <c:v>103929.7851385892</c:v>
                </c:pt>
                <c:pt idx="94">
                  <c:v>103072.9252183926</c:v>
                </c:pt>
                <c:pt idx="95">
                  <c:v>101567.80821564791</c:v>
                </c:pt>
                <c:pt idx="96">
                  <c:v>100919.15847358311</c:v>
                </c:pt>
                <c:pt idx="97">
                  <c:v>99768.992521424589</c:v>
                </c:pt>
                <c:pt idx="98">
                  <c:v>98100.777396923804</c:v>
                </c:pt>
                <c:pt idx="99">
                  <c:v>98086.622399308515</c:v>
                </c:pt>
                <c:pt idx="100">
                  <c:v>98640.282497638531</c:v>
                </c:pt>
                <c:pt idx="101">
                  <c:v>101138.7118202641</c:v>
                </c:pt>
                <c:pt idx="102">
                  <c:v>102227.54599591081</c:v>
                </c:pt>
                <c:pt idx="103">
                  <c:v>100941.37391529566</c:v>
                </c:pt>
                <c:pt idx="104">
                  <c:v>102749.42290097455</c:v>
                </c:pt>
                <c:pt idx="105">
                  <c:v>102906.50146268845</c:v>
                </c:pt>
                <c:pt idx="106">
                  <c:v>102933.81360050138</c:v>
                </c:pt>
                <c:pt idx="107">
                  <c:v>102198.28419571345</c:v>
                </c:pt>
                <c:pt idx="108">
                  <c:v>99472.647030479842</c:v>
                </c:pt>
                <c:pt idx="109">
                  <c:v>99647.845089571085</c:v>
                </c:pt>
                <c:pt idx="110">
                  <c:v>100090.96725244043</c:v>
                </c:pt>
                <c:pt idx="111">
                  <c:v>100944.81830075824</c:v>
                </c:pt>
                <c:pt idx="112">
                  <c:v>100716.86337621258</c:v>
                </c:pt>
                <c:pt idx="113">
                  <c:v>101408.23124429323</c:v>
                </c:pt>
                <c:pt idx="114">
                  <c:v>104430.00785923636</c:v>
                </c:pt>
                <c:pt idx="115">
                  <c:v>106852.65622143958</c:v>
                </c:pt>
                <c:pt idx="116">
                  <c:v>107006.03176302963</c:v>
                </c:pt>
                <c:pt idx="117">
                  <c:v>105951.87368042886</c:v>
                </c:pt>
                <c:pt idx="118">
                  <c:v>107542.47516909843</c:v>
                </c:pt>
                <c:pt idx="119">
                  <c:v>107142.868904028</c:v>
                </c:pt>
                <c:pt idx="120">
                  <c:v>108533.72170202128</c:v>
                </c:pt>
                <c:pt idx="121">
                  <c:v>107501.83512613361</c:v>
                </c:pt>
                <c:pt idx="122">
                  <c:v>107738.744427796</c:v>
                </c:pt>
                <c:pt idx="123">
                  <c:v>107602.47923126849</c:v>
                </c:pt>
                <c:pt idx="124">
                  <c:v>108168.0632335776</c:v>
                </c:pt>
                <c:pt idx="125">
                  <c:v>108194.52375322139</c:v>
                </c:pt>
                <c:pt idx="126">
                  <c:v>106985.83685766187</c:v>
                </c:pt>
                <c:pt idx="127">
                  <c:v>105554.63244649601</c:v>
                </c:pt>
                <c:pt idx="128">
                  <c:v>106232.86407740843</c:v>
                </c:pt>
                <c:pt idx="129">
                  <c:v>106910.96179308195</c:v>
                </c:pt>
                <c:pt idx="130">
                  <c:v>106256.69389545379</c:v>
                </c:pt>
                <c:pt idx="131">
                  <c:v>105787.0960696515</c:v>
                </c:pt>
                <c:pt idx="132">
                  <c:v>104598.93121573041</c:v>
                </c:pt>
                <c:pt idx="133">
                  <c:v>105068.08893216174</c:v>
                </c:pt>
                <c:pt idx="134">
                  <c:v>104870.0218968261</c:v>
                </c:pt>
                <c:pt idx="135">
                  <c:v>100468.40193087122</c:v>
                </c:pt>
                <c:pt idx="136">
                  <c:v>102085.05395924207</c:v>
                </c:pt>
                <c:pt idx="137">
                  <c:v>103830.2941529752</c:v>
                </c:pt>
                <c:pt idx="138">
                  <c:v>105263.64180392009</c:v>
                </c:pt>
                <c:pt idx="139">
                  <c:v>105256.95897672951</c:v>
                </c:pt>
                <c:pt idx="140">
                  <c:v>103946.03367773244</c:v>
                </c:pt>
                <c:pt idx="141">
                  <c:v>104812.54246853717</c:v>
                </c:pt>
                <c:pt idx="142">
                  <c:v>107580.71246408724</c:v>
                </c:pt>
                <c:pt idx="143">
                  <c:v>105853.76197983339</c:v>
                </c:pt>
                <c:pt idx="144">
                  <c:v>105968.83634137108</c:v>
                </c:pt>
                <c:pt idx="145">
                  <c:v>105345.97243692439</c:v>
                </c:pt>
                <c:pt idx="146">
                  <c:v>106960.5874486601</c:v>
                </c:pt>
                <c:pt idx="147">
                  <c:v>106957.03262413111</c:v>
                </c:pt>
                <c:pt idx="148">
                  <c:v>108074.11856546652</c:v>
                </c:pt>
                <c:pt idx="149">
                  <c:v>107452.66468677331</c:v>
                </c:pt>
                <c:pt idx="150">
                  <c:v>107561.75690082282</c:v>
                </c:pt>
                <c:pt idx="151">
                  <c:v>108740.50178464971</c:v>
                </c:pt>
                <c:pt idx="152">
                  <c:v>107478.21320571098</c:v>
                </c:pt>
                <c:pt idx="153">
                  <c:v>107559.19562217873</c:v>
                </c:pt>
                <c:pt idx="154">
                  <c:v>108209.69102855177</c:v>
                </c:pt>
                <c:pt idx="155">
                  <c:v>107637.04840066323</c:v>
                </c:pt>
                <c:pt idx="156">
                  <c:v>107246.24347286747</c:v>
                </c:pt>
                <c:pt idx="157">
                  <c:v>105713.26103862649</c:v>
                </c:pt>
                <c:pt idx="158">
                  <c:v>106230.14027443714</c:v>
                </c:pt>
                <c:pt idx="159">
                  <c:v>107359.93775851684</c:v>
                </c:pt>
                <c:pt idx="160">
                  <c:v>106136.30560307008</c:v>
                </c:pt>
                <c:pt idx="161">
                  <c:v>106966.6177092001</c:v>
                </c:pt>
                <c:pt idx="162">
                  <c:v>110870.61784995197</c:v>
                </c:pt>
                <c:pt idx="163">
                  <c:v>111158.51823251454</c:v>
                </c:pt>
                <c:pt idx="164">
                  <c:v>110358.27853320741</c:v>
                </c:pt>
                <c:pt idx="165">
                  <c:v>112297.30925420437</c:v>
                </c:pt>
                <c:pt idx="166">
                  <c:v>112133.50496488217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62-4D1B-B6DF-0121EFB952A6}"/>
            </c:ext>
          </c:extLst>
        </c:ser>
        <c:ser>
          <c:idx val="1"/>
          <c:order val="1"/>
          <c:tx>
            <c:strRef>
              <c:f>'Real - Compuesta'!$D$1</c:f>
              <c:strCache>
                <c:ptCount val="1"/>
                <c:pt idx="0">
                  <c:v>Arbol de decision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Compuesta'!$D$4:$D$170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102545.90447842814</c:v>
                </c:pt>
                <c:pt idx="3">
                  <c:v>104503.12134329838</c:v>
                </c:pt>
                <c:pt idx="4">
                  <c:v>103516.89380379918</c:v>
                </c:pt>
                <c:pt idx="5">
                  <c:v>103202.45612777567</c:v>
                </c:pt>
                <c:pt idx="6">
                  <c:v>102522.4718495516</c:v>
                </c:pt>
                <c:pt idx="7">
                  <c:v>100519.78823280819</c:v>
                </c:pt>
                <c:pt idx="8">
                  <c:v>99052.914109232821</c:v>
                </c:pt>
                <c:pt idx="9">
                  <c:v>97959.763679251831</c:v>
                </c:pt>
                <c:pt idx="10">
                  <c:v>96760.602862956657</c:v>
                </c:pt>
                <c:pt idx="11">
                  <c:v>98935.439639140488</c:v>
                </c:pt>
                <c:pt idx="12">
                  <c:v>97673.119838972169</c:v>
                </c:pt>
                <c:pt idx="13">
                  <c:v>99626.125490671271</c:v>
                </c:pt>
                <c:pt idx="14">
                  <c:v>100089.64623699457</c:v>
                </c:pt>
                <c:pt idx="15">
                  <c:v>100259.30224124182</c:v>
                </c:pt>
                <c:pt idx="16">
                  <c:v>102900.54392949231</c:v>
                </c:pt>
                <c:pt idx="17">
                  <c:v>104427.7673672348</c:v>
                </c:pt>
                <c:pt idx="18">
                  <c:v>103995.92490165689</c:v>
                </c:pt>
                <c:pt idx="19">
                  <c:v>103165.92520859108</c:v>
                </c:pt>
                <c:pt idx="20">
                  <c:v>104756.97858145543</c:v>
                </c:pt>
                <c:pt idx="21">
                  <c:v>106592.50551443743</c:v>
                </c:pt>
                <c:pt idx="22">
                  <c:v>104129.21400306841</c:v>
                </c:pt>
                <c:pt idx="23">
                  <c:v>104401.63004628377</c:v>
                </c:pt>
                <c:pt idx="24">
                  <c:v>104238.95641929199</c:v>
                </c:pt>
                <c:pt idx="25">
                  <c:v>101176.49171948477</c:v>
                </c:pt>
                <c:pt idx="26">
                  <c:v>103244.72395362851</c:v>
                </c:pt>
                <c:pt idx="27">
                  <c:v>106899.29573945211</c:v>
                </c:pt>
                <c:pt idx="28">
                  <c:v>106187.07751421302</c:v>
                </c:pt>
                <c:pt idx="29">
                  <c:v>104449.86093032431</c:v>
                </c:pt>
                <c:pt idx="30">
                  <c:v>104335.95322964159</c:v>
                </c:pt>
                <c:pt idx="31">
                  <c:v>103883.83423998194</c:v>
                </c:pt>
                <c:pt idx="32">
                  <c:v>104393.30039956539</c:v>
                </c:pt>
                <c:pt idx="33">
                  <c:v>104757.16894637178</c:v>
                </c:pt>
                <c:pt idx="34">
                  <c:v>105240.83351556613</c:v>
                </c:pt>
                <c:pt idx="35">
                  <c:v>105999.3460862153</c:v>
                </c:pt>
                <c:pt idx="36">
                  <c:v>105465.41024690126</c:v>
                </c:pt>
                <c:pt idx="37">
                  <c:v>105038.72426965018</c:v>
                </c:pt>
                <c:pt idx="38">
                  <c:v>103747.48925003623</c:v>
                </c:pt>
                <c:pt idx="39">
                  <c:v>103760.36415658735</c:v>
                </c:pt>
                <c:pt idx="40">
                  <c:v>101637.7217559712</c:v>
                </c:pt>
                <c:pt idx="41">
                  <c:v>103312.04644742778</c:v>
                </c:pt>
                <c:pt idx="42">
                  <c:v>104380.45974016315</c:v>
                </c:pt>
                <c:pt idx="43">
                  <c:v>104358.32010434018</c:v>
                </c:pt>
                <c:pt idx="44">
                  <c:v>103348.5289153973</c:v>
                </c:pt>
                <c:pt idx="45">
                  <c:v>103006.90950205043</c:v>
                </c:pt>
                <c:pt idx="46">
                  <c:v>104255.09904345486</c:v>
                </c:pt>
                <c:pt idx="47">
                  <c:v>103045.26343414083</c:v>
                </c:pt>
                <c:pt idx="48">
                  <c:v>105536.84403820288</c:v>
                </c:pt>
                <c:pt idx="49">
                  <c:v>106785.40719558857</c:v>
                </c:pt>
                <c:pt idx="50">
                  <c:v>108772.99284735926</c:v>
                </c:pt>
                <c:pt idx="51">
                  <c:v>104025.35244168188</c:v>
                </c:pt>
                <c:pt idx="52">
                  <c:v>103376.98681253314</c:v>
                </c:pt>
                <c:pt idx="53">
                  <c:v>105060.20735512103</c:v>
                </c:pt>
                <c:pt idx="54">
                  <c:v>105304.29449272166</c:v>
                </c:pt>
                <c:pt idx="55">
                  <c:v>104571.30290962858</c:v>
                </c:pt>
                <c:pt idx="56">
                  <c:v>104417.70746322646</c:v>
                </c:pt>
                <c:pt idx="57">
                  <c:v>105374.83402830777</c:v>
                </c:pt>
                <c:pt idx="58">
                  <c:v>106740.68404908643</c:v>
                </c:pt>
                <c:pt idx="59">
                  <c:v>106334.96882994568</c:v>
                </c:pt>
                <c:pt idx="60">
                  <c:v>105618.83897286335</c:v>
                </c:pt>
                <c:pt idx="61">
                  <c:v>105388.12212474734</c:v>
                </c:pt>
                <c:pt idx="62">
                  <c:v>103474.86212820653</c:v>
                </c:pt>
                <c:pt idx="63">
                  <c:v>102979.52923705497</c:v>
                </c:pt>
                <c:pt idx="64">
                  <c:v>102906.93886535031</c:v>
                </c:pt>
                <c:pt idx="65">
                  <c:v>102150.99026958342</c:v>
                </c:pt>
                <c:pt idx="66">
                  <c:v>105162.80788712359</c:v>
                </c:pt>
                <c:pt idx="67">
                  <c:v>105029.6880904282</c:v>
                </c:pt>
                <c:pt idx="68">
                  <c:v>103783.8724517527</c:v>
                </c:pt>
                <c:pt idx="69">
                  <c:v>103159.67095516693</c:v>
                </c:pt>
                <c:pt idx="70">
                  <c:v>105237.49224031075</c:v>
                </c:pt>
                <c:pt idx="71">
                  <c:v>105313.92079580593</c:v>
                </c:pt>
                <c:pt idx="72">
                  <c:v>105550.79628055809</c:v>
                </c:pt>
                <c:pt idx="73">
                  <c:v>106463.26184415845</c:v>
                </c:pt>
                <c:pt idx="74">
                  <c:v>107199.29571780597</c:v>
                </c:pt>
                <c:pt idx="75">
                  <c:v>107331.83104620264</c:v>
                </c:pt>
                <c:pt idx="76">
                  <c:v>107459.33774608198</c:v>
                </c:pt>
                <c:pt idx="77">
                  <c:v>107304.72627074894</c:v>
                </c:pt>
                <c:pt idx="78">
                  <c:v>108397.83054185097</c:v>
                </c:pt>
                <c:pt idx="79">
                  <c:v>108598.83799979123</c:v>
                </c:pt>
                <c:pt idx="80">
                  <c:v>105241.091788511</c:v>
                </c:pt>
                <c:pt idx="81">
                  <c:v>103820.56885398853</c:v>
                </c:pt>
                <c:pt idx="82">
                  <c:v>104000.89066891704</c:v>
                </c:pt>
                <c:pt idx="83">
                  <c:v>104610.59740140308</c:v>
                </c:pt>
                <c:pt idx="84">
                  <c:v>105272.71470378365</c:v>
                </c:pt>
                <c:pt idx="85">
                  <c:v>105335.86943652542</c:v>
                </c:pt>
                <c:pt idx="86">
                  <c:v>103322.06560466439</c:v>
                </c:pt>
                <c:pt idx="87">
                  <c:v>103592.1982609758</c:v>
                </c:pt>
                <c:pt idx="88">
                  <c:v>103669.66189941818</c:v>
                </c:pt>
                <c:pt idx="89">
                  <c:v>104566.60608315709</c:v>
                </c:pt>
                <c:pt idx="90">
                  <c:v>104310.64693307999</c:v>
                </c:pt>
                <c:pt idx="91">
                  <c:v>103661.9783093639</c:v>
                </c:pt>
                <c:pt idx="92">
                  <c:v>103597.49132429523</c:v>
                </c:pt>
                <c:pt idx="93">
                  <c:v>102795.68229450562</c:v>
                </c:pt>
                <c:pt idx="94">
                  <c:v>101948.04165670308</c:v>
                </c:pt>
                <c:pt idx="95">
                  <c:v>100459.21974569569</c:v>
                </c:pt>
                <c:pt idx="96">
                  <c:v>99817.5188841458</c:v>
                </c:pt>
                <c:pt idx="97">
                  <c:v>98679.777219815383</c:v>
                </c:pt>
                <c:pt idx="98">
                  <c:v>97029.643613537555</c:v>
                </c:pt>
                <c:pt idx="99">
                  <c:v>97015.512145712855</c:v>
                </c:pt>
                <c:pt idx="100">
                  <c:v>97562.995210757901</c:v>
                </c:pt>
                <c:pt idx="101">
                  <c:v>100034.00719915247</c:v>
                </c:pt>
                <c:pt idx="102">
                  <c:v>98547.065802484372</c:v>
                </c:pt>
                <c:pt idx="103">
                  <c:v>97306.767513126106</c:v>
                </c:pt>
                <c:pt idx="104">
                  <c:v>99049.281808330488</c:v>
                </c:pt>
                <c:pt idx="105">
                  <c:v>98491.961758961872</c:v>
                </c:pt>
                <c:pt idx="106">
                  <c:v>98062.157082470992</c:v>
                </c:pt>
                <c:pt idx="107">
                  <c:v>98360.923326190139</c:v>
                </c:pt>
                <c:pt idx="108">
                  <c:v>95737.178332179377</c:v>
                </c:pt>
                <c:pt idx="109">
                  <c:v>95905.346594527568</c:v>
                </c:pt>
                <c:pt idx="110">
                  <c:v>96331.375622988751</c:v>
                </c:pt>
                <c:pt idx="111">
                  <c:v>97152.703792939355</c:v>
                </c:pt>
                <c:pt idx="112">
                  <c:v>96932.861477006896</c:v>
                </c:pt>
                <c:pt idx="113">
                  <c:v>97597.803330024748</c:v>
                </c:pt>
                <c:pt idx="114">
                  <c:v>100505.58538104154</c:v>
                </c:pt>
                <c:pt idx="115">
                  <c:v>102836.74099173593</c:v>
                </c:pt>
                <c:pt idx="116">
                  <c:v>102983.90111314293</c:v>
                </c:pt>
                <c:pt idx="117">
                  <c:v>101968.91555097856</c:v>
                </c:pt>
                <c:pt idx="118">
                  <c:v>103499.27181315201</c:v>
                </c:pt>
                <c:pt idx="119">
                  <c:v>103114.23812463103</c:v>
                </c:pt>
                <c:pt idx="120">
                  <c:v>104452.34288611222</c:v>
                </c:pt>
                <c:pt idx="121">
                  <c:v>103458.80884619383</c:v>
                </c:pt>
                <c:pt idx="122">
                  <c:v>103686.35694163345</c:v>
                </c:pt>
                <c:pt idx="123">
                  <c:v>103554.76574358298</c:v>
                </c:pt>
                <c:pt idx="124">
                  <c:v>104098.62260193481</c:v>
                </c:pt>
                <c:pt idx="125">
                  <c:v>104123.63618061772</c:v>
                </c:pt>
                <c:pt idx="126">
                  <c:v>102959.97538843604</c:v>
                </c:pt>
                <c:pt idx="127">
                  <c:v>101582.17543269796</c:v>
                </c:pt>
                <c:pt idx="128">
                  <c:v>102234.43079502025</c:v>
                </c:pt>
                <c:pt idx="129">
                  <c:v>102886.55434819318</c:v>
                </c:pt>
                <c:pt idx="130">
                  <c:v>102256.46308938182</c:v>
                </c:pt>
                <c:pt idx="131">
                  <c:v>101804.09238454912</c:v>
                </c:pt>
                <c:pt idx="132">
                  <c:v>100660.2114662072</c:v>
                </c:pt>
                <c:pt idx="133">
                  <c:v>101111.25097264998</c:v>
                </c:pt>
                <c:pt idx="134">
                  <c:v>100920.19117534364</c:v>
                </c:pt>
                <c:pt idx="135">
                  <c:v>96683.902116005891</c:v>
                </c:pt>
                <c:pt idx="136">
                  <c:v>98239.2051711534</c:v>
                </c:pt>
                <c:pt idx="137">
                  <c:v>99918.244880022728</c:v>
                </c:pt>
                <c:pt idx="138">
                  <c:v>101297.13567641311</c:v>
                </c:pt>
                <c:pt idx="139">
                  <c:v>101290.25248945758</c:v>
                </c:pt>
                <c:pt idx="140">
                  <c:v>100028.27839957869</c:v>
                </c:pt>
                <c:pt idx="141">
                  <c:v>100861.67594668988</c:v>
                </c:pt>
                <c:pt idx="142">
                  <c:v>103525.04855538369</c:v>
                </c:pt>
                <c:pt idx="143">
                  <c:v>101862.74964876765</c:v>
                </c:pt>
                <c:pt idx="144">
                  <c:v>101973.03291611678</c:v>
                </c:pt>
                <c:pt idx="145">
                  <c:v>101373.20306739841</c:v>
                </c:pt>
                <c:pt idx="146">
                  <c:v>102926.47575967805</c:v>
                </c:pt>
                <c:pt idx="147">
                  <c:v>102922.60241800275</c:v>
                </c:pt>
                <c:pt idx="148">
                  <c:v>103997.0991221905</c:v>
                </c:pt>
                <c:pt idx="149">
                  <c:v>103398.63645865771</c:v>
                </c:pt>
                <c:pt idx="150">
                  <c:v>103503.1600446942</c:v>
                </c:pt>
                <c:pt idx="151">
                  <c:v>104636.97489408137</c:v>
                </c:pt>
                <c:pt idx="152">
                  <c:v>103421.86830088341</c:v>
                </c:pt>
                <c:pt idx="153">
                  <c:v>103499.3414596139</c:v>
                </c:pt>
                <c:pt idx="154">
                  <c:v>104124.83077777956</c:v>
                </c:pt>
                <c:pt idx="155">
                  <c:v>103573.35212110083</c:v>
                </c:pt>
                <c:pt idx="156">
                  <c:v>103196.84847895565</c:v>
                </c:pt>
                <c:pt idx="157">
                  <c:v>101721.2951765481</c:v>
                </c:pt>
                <c:pt idx="158">
                  <c:v>102218.20276609815</c:v>
                </c:pt>
                <c:pt idx="159">
                  <c:v>103304.87858864684</c:v>
                </c:pt>
                <c:pt idx="160">
                  <c:v>102127.01061847285</c:v>
                </c:pt>
                <c:pt idx="161">
                  <c:v>102925.5044162174</c:v>
                </c:pt>
                <c:pt idx="162">
                  <c:v>106681.56120264974</c:v>
                </c:pt>
                <c:pt idx="163">
                  <c:v>106958.13036224752</c:v>
                </c:pt>
                <c:pt idx="164">
                  <c:v>106187.67616678191</c:v>
                </c:pt>
                <c:pt idx="165">
                  <c:v>108052.9745547803</c:v>
                </c:pt>
                <c:pt idx="166">
                  <c:v>107894.90778683747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62-4D1B-B6DF-0121EFB952A6}"/>
            </c:ext>
          </c:extLst>
        </c:ser>
        <c:ser>
          <c:idx val="2"/>
          <c:order val="2"/>
          <c:tx>
            <c:strRef>
              <c:f>'Real - Compuesta'!$E$1</c:f>
              <c:strCache>
                <c:ptCount val="1"/>
                <c:pt idx="0">
                  <c:v>SVR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Compuesta'!$E$4:$E$170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99443.575540406746</c:v>
                </c:pt>
                <c:pt idx="3">
                  <c:v>97138.081339433469</c:v>
                </c:pt>
                <c:pt idx="4">
                  <c:v>97656.695497511377</c:v>
                </c:pt>
                <c:pt idx="5">
                  <c:v>97553.057019612548</c:v>
                </c:pt>
                <c:pt idx="6">
                  <c:v>97795.920412714855</c:v>
                </c:pt>
                <c:pt idx="7">
                  <c:v>95885.012465629639</c:v>
                </c:pt>
                <c:pt idx="8">
                  <c:v>94485.219813780277</c:v>
                </c:pt>
                <c:pt idx="9">
                  <c:v>93441.925207789522</c:v>
                </c:pt>
                <c:pt idx="10">
                  <c:v>92297.515450564184</c:v>
                </c:pt>
                <c:pt idx="11">
                  <c:v>94371.484276363626</c:v>
                </c:pt>
                <c:pt idx="12">
                  <c:v>93166.842531480419</c:v>
                </c:pt>
                <c:pt idx="13">
                  <c:v>95029.190073845632</c:v>
                </c:pt>
                <c:pt idx="14">
                  <c:v>94196.79806879691</c:v>
                </c:pt>
                <c:pt idx="15">
                  <c:v>94355.758948302333</c:v>
                </c:pt>
                <c:pt idx="16">
                  <c:v>96840.770473135883</c:v>
                </c:pt>
                <c:pt idx="17">
                  <c:v>98277.349634616578</c:v>
                </c:pt>
                <c:pt idx="18">
                  <c:v>97870.234371489685</c:v>
                </c:pt>
                <c:pt idx="19">
                  <c:v>97088.417460376455</c:v>
                </c:pt>
                <c:pt idx="20">
                  <c:v>98585.03491096622</c:v>
                </c:pt>
                <c:pt idx="21">
                  <c:v>100311.71150944558</c:v>
                </c:pt>
                <c:pt idx="22">
                  <c:v>97992.858455121823</c:v>
                </c:pt>
                <c:pt idx="23">
                  <c:v>98248.513803642432</c:v>
                </c:pt>
                <c:pt idx="24">
                  <c:v>97999.06791959003</c:v>
                </c:pt>
                <c:pt idx="25">
                  <c:v>95119.208267386202</c:v>
                </c:pt>
                <c:pt idx="26">
                  <c:v>97062.900145620617</c:v>
                </c:pt>
                <c:pt idx="27">
                  <c:v>100497.93431352629</c:v>
                </c:pt>
                <c:pt idx="28">
                  <c:v>100756.29992796689</c:v>
                </c:pt>
                <c:pt idx="29">
                  <c:v>99107.31693873521</c:v>
                </c:pt>
                <c:pt idx="30">
                  <c:v>98998.621752163366</c:v>
                </c:pt>
                <c:pt idx="31">
                  <c:v>98569.017158209448</c:v>
                </c:pt>
                <c:pt idx="32">
                  <c:v>97681.753404096846</c:v>
                </c:pt>
                <c:pt idx="33">
                  <c:v>96940.998244242146</c:v>
                </c:pt>
                <c:pt idx="34">
                  <c:v>96096.124082990704</c:v>
                </c:pt>
                <c:pt idx="35">
                  <c:v>95009.6327516686</c:v>
                </c:pt>
                <c:pt idx="36">
                  <c:v>95098.718572351601</c:v>
                </c:pt>
                <c:pt idx="37">
                  <c:v>94712.794032029051</c:v>
                </c:pt>
                <c:pt idx="38">
                  <c:v>95488.681269104069</c:v>
                </c:pt>
                <c:pt idx="39">
                  <c:v>95085.200217176578</c:v>
                </c:pt>
                <c:pt idx="40">
                  <c:v>96640.34781799234</c:v>
                </c:pt>
                <c:pt idx="41">
                  <c:v>94651.905433176071</c:v>
                </c:pt>
                <c:pt idx="42">
                  <c:v>93284.701520932242</c:v>
                </c:pt>
                <c:pt idx="43">
                  <c:v>92921.684354391313</c:v>
                </c:pt>
                <c:pt idx="44">
                  <c:v>93439.449834101761</c:v>
                </c:pt>
                <c:pt idx="45">
                  <c:v>93364.788991159512</c:v>
                </c:pt>
                <c:pt idx="46">
                  <c:v>94495.016548425934</c:v>
                </c:pt>
                <c:pt idx="47">
                  <c:v>95203.963239761681</c:v>
                </c:pt>
                <c:pt idx="48">
                  <c:v>92511.407025594468</c:v>
                </c:pt>
                <c:pt idx="49">
                  <c:v>91037.329494190577</c:v>
                </c:pt>
                <c:pt idx="50">
                  <c:v>88969.22676783122</c:v>
                </c:pt>
                <c:pt idx="51">
                  <c:v>85083.781217474243</c:v>
                </c:pt>
                <c:pt idx="52">
                  <c:v>84551.288926951456</c:v>
                </c:pt>
                <c:pt idx="53">
                  <c:v>85925.797533080375</c:v>
                </c:pt>
                <c:pt idx="54">
                  <c:v>86123.24402181535</c:v>
                </c:pt>
                <c:pt idx="55">
                  <c:v>86368.472134092066</c:v>
                </c:pt>
                <c:pt idx="56">
                  <c:v>86239.524347972736</c:v>
                </c:pt>
                <c:pt idx="57">
                  <c:v>85094.229431798754</c:v>
                </c:pt>
                <c:pt idx="58">
                  <c:v>86194.896292647623</c:v>
                </c:pt>
                <c:pt idx="59">
                  <c:v>86168.115649336265</c:v>
                </c:pt>
                <c:pt idx="60">
                  <c:v>85585.526842804975</c:v>
                </c:pt>
                <c:pt idx="61">
                  <c:v>85396.295234718316</c:v>
                </c:pt>
                <c:pt idx="62">
                  <c:v>86595.26192025686</c:v>
                </c:pt>
                <c:pt idx="63">
                  <c:v>86178.773936962069</c:v>
                </c:pt>
                <c:pt idx="64">
                  <c:v>85884.829130937025</c:v>
                </c:pt>
                <c:pt idx="65">
                  <c:v>86162.203775593094</c:v>
                </c:pt>
                <c:pt idx="66">
                  <c:v>83267.091344652348</c:v>
                </c:pt>
                <c:pt idx="67">
                  <c:v>83029.582082730514</c:v>
                </c:pt>
                <c:pt idx="68">
                  <c:v>83672.461608875659</c:v>
                </c:pt>
                <c:pt idx="69">
                  <c:v>83831.053982816113</c:v>
                </c:pt>
                <c:pt idx="70">
                  <c:v>81797.206326026993</c:v>
                </c:pt>
                <c:pt idx="71">
                  <c:v>81853.938568167796</c:v>
                </c:pt>
                <c:pt idx="72">
                  <c:v>82035.373951506379</c:v>
                </c:pt>
                <c:pt idx="73">
                  <c:v>82741.879930501207</c:v>
                </c:pt>
                <c:pt idx="74">
                  <c:v>81829.133953435914</c:v>
                </c:pt>
                <c:pt idx="75">
                  <c:v>81390.944406345909</c:v>
                </c:pt>
                <c:pt idx="76">
                  <c:v>80958.985848697528</c:v>
                </c:pt>
                <c:pt idx="77">
                  <c:v>80839.543529998045</c:v>
                </c:pt>
                <c:pt idx="78">
                  <c:v>81660.089569056261</c:v>
                </c:pt>
                <c:pt idx="79">
                  <c:v>81808.555954843963</c:v>
                </c:pt>
                <c:pt idx="80">
                  <c:v>79276.172945435042</c:v>
                </c:pt>
                <c:pt idx="81">
                  <c:v>78203.158603440126</c:v>
                </c:pt>
                <c:pt idx="82">
                  <c:v>78336.025594266466</c:v>
                </c:pt>
                <c:pt idx="83">
                  <c:v>78792.310377165064</c:v>
                </c:pt>
                <c:pt idx="84">
                  <c:v>79288.053005915936</c:v>
                </c:pt>
                <c:pt idx="85">
                  <c:v>79332.657154959132</c:v>
                </c:pt>
                <c:pt idx="86">
                  <c:v>77813.01860852637</c:v>
                </c:pt>
                <c:pt idx="87">
                  <c:v>78013.495909547753</c:v>
                </c:pt>
                <c:pt idx="88">
                  <c:v>78068.869430998617</c:v>
                </c:pt>
                <c:pt idx="89">
                  <c:v>77071.039402606781</c:v>
                </c:pt>
                <c:pt idx="90">
                  <c:v>76941.35580092181</c:v>
                </c:pt>
                <c:pt idx="91">
                  <c:v>76459.737899538741</c:v>
                </c:pt>
                <c:pt idx="92">
                  <c:v>76409.024176465551</c:v>
                </c:pt>
                <c:pt idx="93">
                  <c:v>76684.614287431992</c:v>
                </c:pt>
                <c:pt idx="94">
                  <c:v>76999.991749865774</c:v>
                </c:pt>
                <c:pt idx="95">
                  <c:v>75872.567921063732</c:v>
                </c:pt>
                <c:pt idx="96">
                  <c:v>75384.98169305161</c:v>
                </c:pt>
                <c:pt idx="97">
                  <c:v>74522.790106390836</c:v>
                </c:pt>
                <c:pt idx="98">
                  <c:v>75460.24768696219</c:v>
                </c:pt>
                <c:pt idx="99">
                  <c:v>75446.590037979884</c:v>
                </c:pt>
                <c:pt idx="100">
                  <c:v>74708.269910076677</c:v>
                </c:pt>
                <c:pt idx="101">
                  <c:v>72506.544667282753</c:v>
                </c:pt>
                <c:pt idx="102">
                  <c:v>73283.73488823045</c:v>
                </c:pt>
                <c:pt idx="103">
                  <c:v>73902.273840395806</c:v>
                </c:pt>
                <c:pt idx="104">
                  <c:v>72272.497413860372</c:v>
                </c:pt>
                <c:pt idx="105">
                  <c:v>71862.598094065354</c:v>
                </c:pt>
                <c:pt idx="106">
                  <c:v>71545.75565807079</c:v>
                </c:pt>
                <c:pt idx="107">
                  <c:v>71760.489460399927</c:v>
                </c:pt>
                <c:pt idx="108">
                  <c:v>73376.926461731811</c:v>
                </c:pt>
                <c:pt idx="109">
                  <c:v>73503.014857142742</c:v>
                </c:pt>
                <c:pt idx="110">
                  <c:v>73826.725589965208</c:v>
                </c:pt>
                <c:pt idx="111">
                  <c:v>72891.105912736675</c:v>
                </c:pt>
                <c:pt idx="112">
                  <c:v>72753.684840291331</c:v>
                </c:pt>
                <c:pt idx="113">
                  <c:v>71952.771841303605</c:v>
                </c:pt>
                <c:pt idx="114">
                  <c:v>69510.460983840734</c:v>
                </c:pt>
                <c:pt idx="115">
                  <c:v>71119.006011649341</c:v>
                </c:pt>
                <c:pt idx="116">
                  <c:v>71217.076687965979</c:v>
                </c:pt>
                <c:pt idx="117">
                  <c:v>71623.779411715543</c:v>
                </c:pt>
                <c:pt idx="118">
                  <c:v>70251.948285454637</c:v>
                </c:pt>
                <c:pt idx="119">
                  <c:v>69986.745118556821</c:v>
                </c:pt>
                <c:pt idx="120">
                  <c:v>70891.101962612913</c:v>
                </c:pt>
                <c:pt idx="121">
                  <c:v>70212.9414172291</c:v>
                </c:pt>
                <c:pt idx="122">
                  <c:v>69767.348711005208</c:v>
                </c:pt>
                <c:pt idx="123">
                  <c:v>69674.879485706348</c:v>
                </c:pt>
                <c:pt idx="124">
                  <c:v>69019.936602131318</c:v>
                </c:pt>
                <c:pt idx="125">
                  <c:v>69032.477511417703</c:v>
                </c:pt>
                <c:pt idx="126">
                  <c:v>68256.942922602975</c:v>
                </c:pt>
                <c:pt idx="127">
                  <c:v>67339.490786753115</c:v>
                </c:pt>
                <c:pt idx="128">
                  <c:v>67767.830026000738</c:v>
                </c:pt>
                <c:pt idx="129">
                  <c:v>68196.055610646727</c:v>
                </c:pt>
                <c:pt idx="130">
                  <c:v>67774.367618611301</c:v>
                </c:pt>
                <c:pt idx="131">
                  <c:v>67470.495152694784</c:v>
                </c:pt>
                <c:pt idx="132">
                  <c:v>66708.342931643143</c:v>
                </c:pt>
                <c:pt idx="133">
                  <c:v>67003.202988231176</c:v>
                </c:pt>
                <c:pt idx="134">
                  <c:v>66872.545768282493</c:v>
                </c:pt>
                <c:pt idx="135">
                  <c:v>64061.413501794719</c:v>
                </c:pt>
                <c:pt idx="136">
                  <c:v>65087.886783292619</c:v>
                </c:pt>
                <c:pt idx="137">
                  <c:v>66196.276559708058</c:v>
                </c:pt>
                <c:pt idx="138">
                  <c:v>67105.74782787099</c:v>
                </c:pt>
                <c:pt idx="139">
                  <c:v>67097.137534436246</c:v>
                </c:pt>
                <c:pt idx="140">
                  <c:v>66257.124163339016</c:v>
                </c:pt>
                <c:pt idx="141">
                  <c:v>66805.101913056686</c:v>
                </c:pt>
                <c:pt idx="142">
                  <c:v>68565.118272111213</c:v>
                </c:pt>
                <c:pt idx="143">
                  <c:v>67460.117676647307</c:v>
                </c:pt>
                <c:pt idx="144">
                  <c:v>67529.101585227239</c:v>
                </c:pt>
                <c:pt idx="145">
                  <c:v>67127.825906807586</c:v>
                </c:pt>
                <c:pt idx="146">
                  <c:v>68152.326181087847</c:v>
                </c:pt>
                <c:pt idx="147">
                  <c:v>67871.8771699395</c:v>
                </c:pt>
                <c:pt idx="148">
                  <c:v>68576.362850632664</c:v>
                </c:pt>
                <c:pt idx="149">
                  <c:v>68177.645559936704</c:v>
                </c:pt>
                <c:pt idx="150">
                  <c:v>68242.477363723068</c:v>
                </c:pt>
                <c:pt idx="151">
                  <c:v>68985.944577367132</c:v>
                </c:pt>
                <c:pt idx="152">
                  <c:v>69500.853061569724</c:v>
                </c:pt>
                <c:pt idx="153">
                  <c:v>69160.452631619017</c:v>
                </c:pt>
                <c:pt idx="154">
                  <c:v>68455.509416637404</c:v>
                </c:pt>
                <c:pt idx="155">
                  <c:v>68533.94434386355</c:v>
                </c:pt>
                <c:pt idx="156">
                  <c:v>68498.593468597974</c:v>
                </c:pt>
                <c:pt idx="157">
                  <c:v>69193.6463033295</c:v>
                </c:pt>
                <c:pt idx="158">
                  <c:v>68568.385771213856</c:v>
                </c:pt>
                <c:pt idx="159">
                  <c:v>67554.715595987567</c:v>
                </c:pt>
                <c:pt idx="160">
                  <c:v>68044.35671421561</c:v>
                </c:pt>
                <c:pt idx="161">
                  <c:v>67229.696260228069</c:v>
                </c:pt>
                <c:pt idx="162">
                  <c:v>69678.945439233517</c:v>
                </c:pt>
                <c:pt idx="163">
                  <c:v>69209.506077725964</c:v>
                </c:pt>
                <c:pt idx="164">
                  <c:v>69421.131111078226</c:v>
                </c:pt>
                <c:pt idx="165">
                  <c:v>67913.865144110925</c:v>
                </c:pt>
                <c:pt idx="166">
                  <c:v>67731.524063311066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A62-4D1B-B6DF-0121EFB952A6}"/>
            </c:ext>
          </c:extLst>
        </c:ser>
        <c:ser>
          <c:idx val="3"/>
          <c:order val="3"/>
          <c:tx>
            <c:strRef>
              <c:f>'Real - Compuesta'!$F$1</c:f>
              <c:strCache>
                <c:ptCount val="1"/>
                <c:pt idx="0">
                  <c:v>Regresion Polinomica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Compuesta'!$F$4:$F$170</c:f>
              <c:numCache>
                <c:formatCode>General</c:formatCode>
                <c:ptCount val="167"/>
                <c:pt idx="0">
                  <c:v>100000</c:v>
                </c:pt>
                <c:pt idx="1">
                  <c:v>98387.940014811145</c:v>
                </c:pt>
                <c:pt idx="2">
                  <c:v>99694.082616747924</c:v>
                </c:pt>
                <c:pt idx="3">
                  <c:v>101596.53517158364</c:v>
                </c:pt>
                <c:pt idx="4">
                  <c:v>100637.40420353621</c:v>
                </c:pt>
                <c:pt idx="5">
                  <c:v>100331.37931996462</c:v>
                </c:pt>
                <c:pt idx="6">
                  <c:v>99669.978263895813</c:v>
                </c:pt>
                <c:pt idx="7">
                  <c:v>101208.54876357007</c:v>
                </c:pt>
                <c:pt idx="8">
                  <c:v>102270.7266710968</c:v>
                </c:pt>
                <c:pt idx="9">
                  <c:v>102980.23412626794</c:v>
                </c:pt>
                <c:pt idx="10">
                  <c:v>103818.73362524225</c:v>
                </c:pt>
                <c:pt idx="11">
                  <c:v>101059.63934260736</c:v>
                </c:pt>
                <c:pt idx="12">
                  <c:v>99770.474470961679</c:v>
                </c:pt>
                <c:pt idx="13">
                  <c:v>101765.67508594517</c:v>
                </c:pt>
                <c:pt idx="14">
                  <c:v>102239.40801522078</c:v>
                </c:pt>
                <c:pt idx="15">
                  <c:v>101647.20622239121</c:v>
                </c:pt>
                <c:pt idx="16">
                  <c:v>104325.17711800456</c:v>
                </c:pt>
                <c:pt idx="17">
                  <c:v>105873.71073264413</c:v>
                </c:pt>
                <c:pt idx="18">
                  <c:v>105878.69396031114</c:v>
                </c:pt>
                <c:pt idx="19">
                  <c:v>105033.88498973229</c:v>
                </c:pt>
                <c:pt idx="20">
                  <c:v>106653.96383027387</c:v>
                </c:pt>
                <c:pt idx="21">
                  <c:v>108522.94659012412</c:v>
                </c:pt>
                <c:pt idx="22">
                  <c:v>106015.26102122554</c:v>
                </c:pt>
                <c:pt idx="23">
                  <c:v>105304.47456677779</c:v>
                </c:pt>
                <c:pt idx="24">
                  <c:v>105140.49794424415</c:v>
                </c:pt>
                <c:pt idx="25">
                  <c:v>107799.50317050837</c:v>
                </c:pt>
                <c:pt idx="26">
                  <c:v>110003.90737180946</c:v>
                </c:pt>
                <c:pt idx="27">
                  <c:v>113898.52078172071</c:v>
                </c:pt>
                <c:pt idx="28">
                  <c:v>114192.93746347017</c:v>
                </c:pt>
                <c:pt idx="29">
                  <c:v>115595.44014859288</c:v>
                </c:pt>
                <c:pt idx="30">
                  <c:v>115250.02376206075</c:v>
                </c:pt>
                <c:pt idx="31">
                  <c:v>115279.31634126944</c:v>
                </c:pt>
                <c:pt idx="32">
                  <c:v>114243.67006679717</c:v>
                </c:pt>
                <c:pt idx="33">
                  <c:v>113379.35465331869</c:v>
                </c:pt>
                <c:pt idx="34">
                  <c:v>112393.24940764961</c:v>
                </c:pt>
                <c:pt idx="35">
                  <c:v>111124.5330380763</c:v>
                </c:pt>
                <c:pt idx="36">
                  <c:v>110565.36101710521</c:v>
                </c:pt>
                <c:pt idx="37">
                  <c:v>110118.62222761812</c:v>
                </c:pt>
                <c:pt idx="38">
                  <c:v>108765.5206591758</c:v>
                </c:pt>
                <c:pt idx="39">
                  <c:v>108779.59870869719</c:v>
                </c:pt>
                <c:pt idx="40">
                  <c:v>110560.45066404535</c:v>
                </c:pt>
                <c:pt idx="41">
                  <c:v>108287.32096293592</c:v>
                </c:pt>
                <c:pt idx="42">
                  <c:v>109407.76451648213</c:v>
                </c:pt>
                <c:pt idx="43">
                  <c:v>108984.07853933898</c:v>
                </c:pt>
                <c:pt idx="44">
                  <c:v>109593.41900523062</c:v>
                </c:pt>
                <c:pt idx="45">
                  <c:v>109507.92525041952</c:v>
                </c:pt>
                <c:pt idx="46">
                  <c:v>107733.50150087941</c:v>
                </c:pt>
                <c:pt idx="47">
                  <c:v>106483.70089833956</c:v>
                </c:pt>
                <c:pt idx="48">
                  <c:v>109058.82154157237</c:v>
                </c:pt>
                <c:pt idx="49">
                  <c:v>110349.45223586756</c:v>
                </c:pt>
                <c:pt idx="50">
                  <c:v>112403.77559564504</c:v>
                </c:pt>
                <c:pt idx="51">
                  <c:v>116851.61050280531</c:v>
                </c:pt>
                <c:pt idx="52">
                  <c:v>116124.78140692362</c:v>
                </c:pt>
                <c:pt idx="53">
                  <c:v>118017.04579897378</c:v>
                </c:pt>
                <c:pt idx="54">
                  <c:v>117261.83021543038</c:v>
                </c:pt>
                <c:pt idx="55">
                  <c:v>116446.96844221695</c:v>
                </c:pt>
                <c:pt idx="56">
                  <c:v>116143.15891185511</c:v>
                </c:pt>
                <c:pt idx="57">
                  <c:v>117209.11229149217</c:v>
                </c:pt>
                <c:pt idx="58">
                  <c:v>118729.70381863893</c:v>
                </c:pt>
                <c:pt idx="59">
                  <c:v>118279.7668522993</c:v>
                </c:pt>
                <c:pt idx="60">
                  <c:v>118594.4329807691</c:v>
                </c:pt>
                <c:pt idx="61">
                  <c:v>118336.84610594725</c:v>
                </c:pt>
                <c:pt idx="62">
                  <c:v>116189.9839689056</c:v>
                </c:pt>
                <c:pt idx="63">
                  <c:v>115635.25852120252</c:v>
                </c:pt>
                <c:pt idx="64">
                  <c:v>115244.94308407104</c:v>
                </c:pt>
                <c:pt idx="65">
                  <c:v>115621.24174858278</c:v>
                </c:pt>
                <c:pt idx="66">
                  <c:v>111740.38713764059</c:v>
                </c:pt>
                <c:pt idx="67">
                  <c:v>111425.76467511251</c:v>
                </c:pt>
                <c:pt idx="68">
                  <c:v>112292.61351597613</c:v>
                </c:pt>
                <c:pt idx="69">
                  <c:v>112509.55698372319</c:v>
                </c:pt>
                <c:pt idx="70">
                  <c:v>109784.03766902446</c:v>
                </c:pt>
                <c:pt idx="71">
                  <c:v>109864.28657823766</c:v>
                </c:pt>
                <c:pt idx="72">
                  <c:v>110111.91538488065</c:v>
                </c:pt>
                <c:pt idx="73">
                  <c:v>111064.32946324369</c:v>
                </c:pt>
                <c:pt idx="74">
                  <c:v>109843.25918295153</c:v>
                </c:pt>
                <c:pt idx="75">
                  <c:v>109259.16405472114</c:v>
                </c:pt>
                <c:pt idx="76">
                  <c:v>108683.41189186124</c:v>
                </c:pt>
                <c:pt idx="77">
                  <c:v>108527.17592280333</c:v>
                </c:pt>
                <c:pt idx="78">
                  <c:v>109632.86989408579</c:v>
                </c:pt>
                <c:pt idx="79">
                  <c:v>109836.30426953502</c:v>
                </c:pt>
                <c:pt idx="80">
                  <c:v>106440.43381899183</c:v>
                </c:pt>
                <c:pt idx="81">
                  <c:v>105003.85916239428</c:v>
                </c:pt>
                <c:pt idx="82">
                  <c:v>105186.37295664068</c:v>
                </c:pt>
                <c:pt idx="83">
                  <c:v>105803.16638150772</c:v>
                </c:pt>
                <c:pt idx="84">
                  <c:v>106472.96867378168</c:v>
                </c:pt>
                <c:pt idx="85">
                  <c:v>106536.98027400892</c:v>
                </c:pt>
                <c:pt idx="86">
                  <c:v>104500.35052074214</c:v>
                </c:pt>
                <c:pt idx="87">
                  <c:v>104773.70061808436</c:v>
                </c:pt>
                <c:pt idx="88">
                  <c:v>104852.18461811256</c:v>
                </c:pt>
                <c:pt idx="89">
                  <c:v>103516.14300085332</c:v>
                </c:pt>
                <c:pt idx="90">
                  <c:v>103346.07905575405</c:v>
                </c:pt>
                <c:pt idx="91">
                  <c:v>103565.94449484185</c:v>
                </c:pt>
                <c:pt idx="92">
                  <c:v>103206.61830952996</c:v>
                </c:pt>
                <c:pt idx="93">
                  <c:v>102407.78922677012</c:v>
                </c:pt>
                <c:pt idx="94">
                  <c:v>101563.30182656752</c:v>
                </c:pt>
                <c:pt idx="95">
                  <c:v>100080.05326647447</c:v>
                </c:pt>
                <c:pt idx="96">
                  <c:v>99440.729105233811</c:v>
                </c:pt>
                <c:pt idx="97">
                  <c:v>98307.236874846029</c:v>
                </c:pt>
                <c:pt idx="98">
                  <c:v>99547.720190924156</c:v>
                </c:pt>
                <c:pt idx="99">
                  <c:v>99533.533408053394</c:v>
                </c:pt>
                <c:pt idx="100">
                  <c:v>98563.329615420706</c:v>
                </c:pt>
                <c:pt idx="101">
                  <c:v>95662.404317960507</c:v>
                </c:pt>
                <c:pt idx="102">
                  <c:v>96691.632173273611</c:v>
                </c:pt>
                <c:pt idx="103">
                  <c:v>97511.574493444379</c:v>
                </c:pt>
                <c:pt idx="104">
                  <c:v>95364.972696610086</c:v>
                </c:pt>
                <c:pt idx="105">
                  <c:v>94827.936768337677</c:v>
                </c:pt>
                <c:pt idx="106">
                  <c:v>94413.674951878449</c:v>
                </c:pt>
                <c:pt idx="107">
                  <c:v>94700.878885316706</c:v>
                </c:pt>
                <c:pt idx="108">
                  <c:v>96837.894539963279</c:v>
                </c:pt>
                <c:pt idx="109">
                  <c:v>97008.134245505731</c:v>
                </c:pt>
                <c:pt idx="110">
                  <c:v>97439.200042202574</c:v>
                </c:pt>
                <c:pt idx="111">
                  <c:v>96208.173168489811</c:v>
                </c:pt>
                <c:pt idx="112">
                  <c:v>96030.631267242701</c:v>
                </c:pt>
                <c:pt idx="113">
                  <c:v>94977.312006588996</c:v>
                </c:pt>
                <c:pt idx="114">
                  <c:v>91757.313389227187</c:v>
                </c:pt>
                <c:pt idx="115">
                  <c:v>93884.514537850788</c:v>
                </c:pt>
                <c:pt idx="116">
                  <c:v>93364.815524865931</c:v>
                </c:pt>
                <c:pt idx="117">
                  <c:v>92443.512604959062</c:v>
                </c:pt>
                <c:pt idx="118">
                  <c:v>93829.790009334174</c:v>
                </c:pt>
                <c:pt idx="119">
                  <c:v>93793.789811401453</c:v>
                </c:pt>
                <c:pt idx="120">
                  <c:v>92191.676366470128</c:v>
                </c:pt>
                <c:pt idx="121">
                  <c:v>92690.137595352397</c:v>
                </c:pt>
                <c:pt idx="122">
                  <c:v>92892.75195419362</c:v>
                </c:pt>
                <c:pt idx="123">
                  <c:v>92773.610032883167</c:v>
                </c:pt>
                <c:pt idx="124">
                  <c:v>93259.596263072992</c:v>
                </c:pt>
                <c:pt idx="125">
                  <c:v>92854.454595385876</c:v>
                </c:pt>
                <c:pt idx="126">
                  <c:v>93511.054267670901</c:v>
                </c:pt>
                <c:pt idx="127">
                  <c:v>94378.558322259327</c:v>
                </c:pt>
                <c:pt idx="128">
                  <c:v>93385.106852000477</c:v>
                </c:pt>
                <c:pt idx="129">
                  <c:v>92406.002746974627</c:v>
                </c:pt>
                <c:pt idx="130">
                  <c:v>92592.444892553001</c:v>
                </c:pt>
                <c:pt idx="131">
                  <c:v>92621.790358913102</c:v>
                </c:pt>
                <c:pt idx="132">
                  <c:v>93282.060256312383</c:v>
                </c:pt>
                <c:pt idx="133">
                  <c:v>92480.891678559725</c:v>
                </c:pt>
                <c:pt idx="134">
                  <c:v>92275.691569992807</c:v>
                </c:pt>
                <c:pt idx="135">
                  <c:v>95769.957419723432</c:v>
                </c:pt>
                <c:pt idx="136">
                  <c:v>93835.797911296133</c:v>
                </c:pt>
                <c:pt idx="137">
                  <c:v>91846.350035286319</c:v>
                </c:pt>
                <c:pt idx="138">
                  <c:v>90201.295432840867</c:v>
                </c:pt>
                <c:pt idx="139">
                  <c:v>89836.562102599404</c:v>
                </c:pt>
                <c:pt idx="140">
                  <c:v>90586.422601027822</c:v>
                </c:pt>
                <c:pt idx="141">
                  <c:v>89459.160114217855</c:v>
                </c:pt>
                <c:pt idx="142">
                  <c:v>86728.928762714742</c:v>
                </c:pt>
                <c:pt idx="143">
                  <c:v>87764.70606778287</c:v>
                </c:pt>
                <c:pt idx="144">
                  <c:v>87308.575326161299</c:v>
                </c:pt>
                <c:pt idx="145">
                  <c:v>87462.859902289856</c:v>
                </c:pt>
                <c:pt idx="146">
                  <c:v>85762.765934549709</c:v>
                </c:pt>
                <c:pt idx="147">
                  <c:v>85757.537415751081</c:v>
                </c:pt>
                <c:pt idx="148">
                  <c:v>84509.218667164154</c:v>
                </c:pt>
                <c:pt idx="149">
                  <c:v>84647.579274771502</c:v>
                </c:pt>
                <c:pt idx="150">
                  <c:v>84213.447263279348</c:v>
                </c:pt>
                <c:pt idx="151">
                  <c:v>82944.112126180364</c:v>
                </c:pt>
                <c:pt idx="152">
                  <c:v>81978.428131904235</c:v>
                </c:pt>
                <c:pt idx="153">
                  <c:v>82037.349969163872</c:v>
                </c:pt>
                <c:pt idx="154">
                  <c:v>82530.64723539204</c:v>
                </c:pt>
                <c:pt idx="155">
                  <c:v>82091.049683753314</c:v>
                </c:pt>
                <c:pt idx="156">
                  <c:v>81790.148282143156</c:v>
                </c:pt>
                <c:pt idx="157">
                  <c:v>80618.18803735773</c:v>
                </c:pt>
                <c:pt idx="158">
                  <c:v>81009.517622148982</c:v>
                </c:pt>
                <c:pt idx="159">
                  <c:v>81868.235322121167</c:v>
                </c:pt>
                <c:pt idx="160">
                  <c:v>82464.164357896501</c:v>
                </c:pt>
                <c:pt idx="161">
                  <c:v>83106.611142772555</c:v>
                </c:pt>
                <c:pt idx="162">
                  <c:v>86137.107090594945</c:v>
                </c:pt>
                <c:pt idx="163">
                  <c:v>86358.104361380101</c:v>
                </c:pt>
                <c:pt idx="164">
                  <c:v>85733.727664596838</c:v>
                </c:pt>
                <c:pt idx="165">
                  <c:v>87237.41945249369</c:v>
                </c:pt>
                <c:pt idx="166">
                  <c:v>87107.491297756598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62-4D1B-B6DF-0121EFB952A6}"/>
            </c:ext>
          </c:extLst>
        </c:ser>
        <c:ser>
          <c:idx val="4"/>
          <c:order val="4"/>
          <c:tx>
            <c:strRef>
              <c:f>'Real - Compuesta'!$G$1</c:f>
              <c:strCache>
                <c:ptCount val="1"/>
                <c:pt idx="0">
                  <c:v>Regresion Lineal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Compuesta'!$G$4:$G$170</c:f>
              <c:numCache>
                <c:formatCode>General</c:formatCode>
                <c:ptCount val="167"/>
                <c:pt idx="0">
                  <c:v>100000</c:v>
                </c:pt>
                <c:pt idx="1">
                  <c:v>101202.05998518885</c:v>
                </c:pt>
                <c:pt idx="2">
                  <c:v>102545.90447842814</c:v>
                </c:pt>
                <c:pt idx="3">
                  <c:v>100168.86042227117</c:v>
                </c:pt>
                <c:pt idx="4">
                  <c:v>100704.03012961653</c:v>
                </c:pt>
                <c:pt idx="5">
                  <c:v>100597.5321129435</c:v>
                </c:pt>
                <c:pt idx="6">
                  <c:v>100848.34938546494</c:v>
                </c:pt>
                <c:pt idx="7">
                  <c:v>102405.25185962739</c:v>
                </c:pt>
                <c:pt idx="8">
                  <c:v>100911.08846008132</c:v>
                </c:pt>
                <c:pt idx="9">
                  <c:v>99797.656284565965</c:v>
                </c:pt>
                <c:pt idx="10">
                  <c:v>100609.87131368274</c:v>
                </c:pt>
                <c:pt idx="11">
                  <c:v>102871.70343260306</c:v>
                </c:pt>
                <c:pt idx="12">
                  <c:v>101559.63817643229</c:v>
                </c:pt>
                <c:pt idx="13">
                  <c:v>103590.83351339109</c:v>
                </c:pt>
                <c:pt idx="14">
                  <c:v>102684.52838941099</c:v>
                </c:pt>
                <c:pt idx="15">
                  <c:v>102858.89393096828</c:v>
                </c:pt>
                <c:pt idx="16">
                  <c:v>105568.93068251391</c:v>
                </c:pt>
                <c:pt idx="17">
                  <c:v>107136.06881141709</c:v>
                </c:pt>
                <c:pt idx="18">
                  <c:v>106693.33786297184</c:v>
                </c:pt>
                <c:pt idx="19">
                  <c:v>105842.12115609982</c:v>
                </c:pt>
                <c:pt idx="20">
                  <c:v>107474.75884986689</c:v>
                </c:pt>
                <c:pt idx="21">
                  <c:v>105152.447722435</c:v>
                </c:pt>
                <c:pt idx="22">
                  <c:v>102722.27299938406</c:v>
                </c:pt>
                <c:pt idx="23">
                  <c:v>102990.84615761141</c:v>
                </c:pt>
                <c:pt idx="24">
                  <c:v>102729.93905898523</c:v>
                </c:pt>
                <c:pt idx="25">
                  <c:v>99711.634473084894</c:v>
                </c:pt>
                <c:pt idx="26">
                  <c:v>101749.74861150706</c:v>
                </c:pt>
                <c:pt idx="27">
                  <c:v>105351.2287312385</c:v>
                </c:pt>
                <c:pt idx="28">
                  <c:v>104649.15074804258</c:v>
                </c:pt>
                <c:pt idx="29">
                  <c:v>102936.92078987064</c:v>
                </c:pt>
                <c:pt idx="30">
                  <c:v>102824.48920652892</c:v>
                </c:pt>
                <c:pt idx="31">
                  <c:v>102378.74600582953</c:v>
                </c:pt>
                <c:pt idx="32">
                  <c:v>102880.65706709531</c:v>
                </c:pt>
                <c:pt idx="33">
                  <c:v>102101.11546312014</c:v>
                </c:pt>
                <c:pt idx="34">
                  <c:v>101211.90785803717</c:v>
                </c:pt>
                <c:pt idx="35">
                  <c:v>100068.21478864644</c:v>
                </c:pt>
                <c:pt idx="36">
                  <c:v>100162.68270482746</c:v>
                </c:pt>
                <c:pt idx="37">
                  <c:v>99756.846850358168</c:v>
                </c:pt>
                <c:pt idx="38">
                  <c:v>98529.938226661994</c:v>
                </c:pt>
                <c:pt idx="39">
                  <c:v>98541.562152634491</c:v>
                </c:pt>
                <c:pt idx="40">
                  <c:v>100153.67581443905</c:v>
                </c:pt>
                <c:pt idx="41">
                  <c:v>98093.380518072663</c:v>
                </c:pt>
                <c:pt idx="42">
                  <c:v>96676.902368003444</c:v>
                </c:pt>
                <c:pt idx="43">
                  <c:v>96301.120828416751</c:v>
                </c:pt>
                <c:pt idx="44">
                  <c:v>96838.15316491366</c:v>
                </c:pt>
                <c:pt idx="45">
                  <c:v>96761.213138864085</c:v>
                </c:pt>
                <c:pt idx="46">
                  <c:v>97932.992648419924</c:v>
                </c:pt>
                <c:pt idx="47">
                  <c:v>96795.794677315687</c:v>
                </c:pt>
                <c:pt idx="48">
                  <c:v>99135.538620051928</c:v>
                </c:pt>
                <c:pt idx="49">
                  <c:v>97556.771361394829</c:v>
                </c:pt>
                <c:pt idx="50">
                  <c:v>95341.425275943373</c:v>
                </c:pt>
                <c:pt idx="51">
                  <c:v>91178.553868872506</c:v>
                </c:pt>
                <c:pt idx="52">
                  <c:v>90608.777361168133</c:v>
                </c:pt>
                <c:pt idx="53">
                  <c:v>92082.619282639222</c:v>
                </c:pt>
                <c:pt idx="54">
                  <c:v>92295.073193292104</c:v>
                </c:pt>
                <c:pt idx="55">
                  <c:v>91651.152422597195</c:v>
                </c:pt>
                <c:pt idx="56">
                  <c:v>91515.051589199706</c:v>
                </c:pt>
                <c:pt idx="57">
                  <c:v>90300.429664930271</c:v>
                </c:pt>
                <c:pt idx="58">
                  <c:v>91469.171253161112</c:v>
                </c:pt>
                <c:pt idx="59">
                  <c:v>91119.785324586774</c:v>
                </c:pt>
                <c:pt idx="60">
                  <c:v>91359.440770747315</c:v>
                </c:pt>
                <c:pt idx="61">
                  <c:v>91183.981632570227</c:v>
                </c:pt>
                <c:pt idx="62">
                  <c:v>92465.020911479238</c:v>
                </c:pt>
                <c:pt idx="63">
                  <c:v>92528.011660987089</c:v>
                </c:pt>
                <c:pt idx="64">
                  <c:v>92461.570679743847</c:v>
                </c:pt>
                <c:pt idx="65">
                  <c:v>91781.135135668417</c:v>
                </c:pt>
                <c:pt idx="66">
                  <c:v>88698.005103703588</c:v>
                </c:pt>
                <c:pt idx="67">
                  <c:v>88445.787493818745</c:v>
                </c:pt>
                <c:pt idx="68">
                  <c:v>87394.78797121816</c:v>
                </c:pt>
                <c:pt idx="69">
                  <c:v>86867.262594048909</c:v>
                </c:pt>
                <c:pt idx="70">
                  <c:v>88615.030269443261</c:v>
                </c:pt>
                <c:pt idx="71">
                  <c:v>88677.49136648266</c:v>
                </c:pt>
                <c:pt idx="72">
                  <c:v>88875.052016049871</c:v>
                </c:pt>
                <c:pt idx="73">
                  <c:v>87741.583086293016</c:v>
                </c:pt>
                <c:pt idx="74">
                  <c:v>88346.074401128746</c:v>
                </c:pt>
                <c:pt idx="75">
                  <c:v>87873.942763201077</c:v>
                </c:pt>
                <c:pt idx="76">
                  <c:v>87976.158682568013</c:v>
                </c:pt>
                <c:pt idx="77">
                  <c:v>87847.403730908991</c:v>
                </c:pt>
                <c:pt idx="78">
                  <c:v>86591.594531398761</c:v>
                </c:pt>
                <c:pt idx="79">
                  <c:v>86749.751584708109</c:v>
                </c:pt>
                <c:pt idx="80">
                  <c:v>84065.138709286766</c:v>
                </c:pt>
                <c:pt idx="81">
                  <c:v>82928.029934248683</c:v>
                </c:pt>
                <c:pt idx="82">
                  <c:v>83069.649485763861</c:v>
                </c:pt>
                <c:pt idx="83">
                  <c:v>83554.231390191635</c:v>
                </c:pt>
                <c:pt idx="84">
                  <c:v>84080.660138964682</c:v>
                </c:pt>
                <c:pt idx="85">
                  <c:v>84128.685754902064</c:v>
                </c:pt>
                <c:pt idx="86">
                  <c:v>85390.731345957654</c:v>
                </c:pt>
                <c:pt idx="87">
                  <c:v>85611.900453814917</c:v>
                </c:pt>
                <c:pt idx="88">
                  <c:v>85195.502910583658</c:v>
                </c:pt>
                <c:pt idx="89">
                  <c:v>85930.471265958622</c:v>
                </c:pt>
                <c:pt idx="90">
                  <c:v>85717.991155519761</c:v>
                </c:pt>
                <c:pt idx="91">
                  <c:v>85182.804337478985</c:v>
                </c:pt>
                <c:pt idx="92">
                  <c:v>85127.673879694106</c:v>
                </c:pt>
                <c:pt idx="93">
                  <c:v>85436.079452743114</c:v>
                </c:pt>
                <c:pt idx="94">
                  <c:v>85788.818157520218</c:v>
                </c:pt>
                <c:pt idx="95">
                  <c:v>86688.412309957203</c:v>
                </c:pt>
                <c:pt idx="96">
                  <c:v>86885.177398528351</c:v>
                </c:pt>
                <c:pt idx="97">
                  <c:v>87517.691371461435</c:v>
                </c:pt>
                <c:pt idx="98">
                  <c:v>86052.853967298215</c:v>
                </c:pt>
                <c:pt idx="99">
                  <c:v>85710.580289675025</c:v>
                </c:pt>
                <c:pt idx="100">
                  <c:v>86192.868441194878</c:v>
                </c:pt>
                <c:pt idx="101">
                  <c:v>88374.506768834137</c:v>
                </c:pt>
                <c:pt idx="102">
                  <c:v>89324.410233453527</c:v>
                </c:pt>
                <c:pt idx="103">
                  <c:v>90080.964403315244</c:v>
                </c:pt>
                <c:pt idx="104">
                  <c:v>91693.192027052661</c:v>
                </c:pt>
                <c:pt idx="105">
                  <c:v>91176.371244003298</c:v>
                </c:pt>
                <c:pt idx="106">
                  <c:v>90777.599434295218</c:v>
                </c:pt>
                <c:pt idx="107">
                  <c:v>91053.280374928727</c:v>
                </c:pt>
                <c:pt idx="108">
                  <c:v>88623.57280198489</c:v>
                </c:pt>
                <c:pt idx="109">
                  <c:v>88778.353935427323</c:v>
                </c:pt>
                <c:pt idx="110">
                  <c:v>89171.831810264979</c:v>
                </c:pt>
                <c:pt idx="111">
                  <c:v>89931.225335303126</c:v>
                </c:pt>
                <c:pt idx="112">
                  <c:v>89764.483949689078</c:v>
                </c:pt>
                <c:pt idx="113">
                  <c:v>88779.112382451072</c:v>
                </c:pt>
                <c:pt idx="114">
                  <c:v>85768.4670875226</c:v>
                </c:pt>
                <c:pt idx="115">
                  <c:v>87756.046156833647</c:v>
                </c:pt>
                <c:pt idx="116">
                  <c:v>87879.865931223831</c:v>
                </c:pt>
                <c:pt idx="117">
                  <c:v>88384.533294437395</c:v>
                </c:pt>
                <c:pt idx="118">
                  <c:v>89709.415594983191</c:v>
                </c:pt>
                <c:pt idx="119">
                  <c:v>89374.083521160763</c:v>
                </c:pt>
                <c:pt idx="120">
                  <c:v>90532.28443530701</c:v>
                </c:pt>
                <c:pt idx="121">
                  <c:v>91021.557684560714</c:v>
                </c:pt>
                <c:pt idx="122">
                  <c:v>91220.30862042059</c:v>
                </c:pt>
                <c:pt idx="123">
                  <c:v>91103.095684830696</c:v>
                </c:pt>
                <c:pt idx="124">
                  <c:v>91580.114999295562</c:v>
                </c:pt>
                <c:pt idx="125">
                  <c:v>91182.053290040043</c:v>
                </c:pt>
                <c:pt idx="126">
                  <c:v>91826.610815617561</c:v>
                </c:pt>
                <c:pt idx="127">
                  <c:v>92678.272092500105</c:v>
                </c:pt>
                <c:pt idx="128">
                  <c:v>93272.303996679941</c:v>
                </c:pt>
                <c:pt idx="129">
                  <c:v>93866.20881231979</c:v>
                </c:pt>
                <c:pt idx="130">
                  <c:v>94055.786754447952</c:v>
                </c:pt>
                <c:pt idx="131">
                  <c:v>94085.785649408994</c:v>
                </c:pt>
                <c:pt idx="132">
                  <c:v>94756.681555654795</c:v>
                </c:pt>
                <c:pt idx="133">
                  <c:v>95180.564675912465</c:v>
                </c:pt>
                <c:pt idx="134">
                  <c:v>95000.007641414079</c:v>
                </c:pt>
                <c:pt idx="135">
                  <c:v>98597.791289197208</c:v>
                </c:pt>
                <c:pt idx="136">
                  <c:v>100184.11961621218</c:v>
                </c:pt>
                <c:pt idx="137">
                  <c:v>101896.63809306643</c:v>
                </c:pt>
                <c:pt idx="138">
                  <c:v>100072.88646932013</c:v>
                </c:pt>
                <c:pt idx="139">
                  <c:v>99669.55015489347</c:v>
                </c:pt>
                <c:pt idx="140">
                  <c:v>100502.79947634926</c:v>
                </c:pt>
                <c:pt idx="141">
                  <c:v>99253.450667808444</c:v>
                </c:pt>
                <c:pt idx="142">
                  <c:v>96225.618180608231</c:v>
                </c:pt>
                <c:pt idx="143">
                  <c:v>97376.125550803452</c:v>
                </c:pt>
                <c:pt idx="144">
                  <c:v>96871.356500523587</c:v>
                </c:pt>
                <c:pt idx="145">
                  <c:v>97043.853984241679</c:v>
                </c:pt>
                <c:pt idx="146">
                  <c:v>95158.840173578879</c:v>
                </c:pt>
                <c:pt idx="147">
                  <c:v>95154.353530807493</c:v>
                </c:pt>
                <c:pt idx="148">
                  <c:v>93770.566107510997</c:v>
                </c:pt>
                <c:pt idx="149">
                  <c:v>93925.404702376487</c:v>
                </c:pt>
                <c:pt idx="150">
                  <c:v>94019.252567983742</c:v>
                </c:pt>
                <c:pt idx="151">
                  <c:v>95048.077366706406</c:v>
                </c:pt>
                <c:pt idx="152">
                  <c:v>95762.04609379248</c:v>
                </c:pt>
                <c:pt idx="153">
                  <c:v>95832.892525512128</c:v>
                </c:pt>
                <c:pt idx="154">
                  <c:v>94860.708632538939</c:v>
                </c:pt>
                <c:pt idx="155">
                  <c:v>94974.026833439202</c:v>
                </c:pt>
                <c:pt idx="156">
                  <c:v>94929.667297222666</c:v>
                </c:pt>
                <c:pt idx="157">
                  <c:v>93571.360407844812</c:v>
                </c:pt>
                <c:pt idx="158">
                  <c:v>94027.494198251516</c:v>
                </c:pt>
                <c:pt idx="159">
                  <c:v>92641.908754605407</c:v>
                </c:pt>
                <c:pt idx="160">
                  <c:v>93317.839867814051</c:v>
                </c:pt>
                <c:pt idx="161">
                  <c:v>94046.422892556991</c:v>
                </c:pt>
                <c:pt idx="162">
                  <c:v>97477.420466675743</c:v>
                </c:pt>
                <c:pt idx="163">
                  <c:v>97729.09281067524</c:v>
                </c:pt>
                <c:pt idx="164">
                  <c:v>98032.868386572707</c:v>
                </c:pt>
                <c:pt idx="165">
                  <c:v>99753.997431641154</c:v>
                </c:pt>
                <c:pt idx="166">
                  <c:v>99491.795154086256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62-4D1B-B6DF-0121EFB952A6}"/>
            </c:ext>
          </c:extLst>
        </c:ser>
        <c:ser>
          <c:idx val="5"/>
          <c:order val="5"/>
          <c:tx>
            <c:strRef>
              <c:f>'Real - Compuesta'!$A$1</c:f>
              <c:strCache>
                <c:ptCount val="1"/>
                <c:pt idx="0">
                  <c:v>Monto Inicial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'Real - Compuesta'!$B$4:$B$170</c:f>
              <c:strCache>
                <c:ptCount val="167"/>
                <c:pt idx="0">
                  <c:v>Dia 0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  <c:pt idx="22">
                  <c:v>Dia 22</c:v>
                </c:pt>
                <c:pt idx="23">
                  <c:v>Dia 23</c:v>
                </c:pt>
                <c:pt idx="24">
                  <c:v>Dia 24</c:v>
                </c:pt>
                <c:pt idx="25">
                  <c:v>Dia 25</c:v>
                </c:pt>
                <c:pt idx="26">
                  <c:v>Dia 26</c:v>
                </c:pt>
                <c:pt idx="27">
                  <c:v>Dia 27</c:v>
                </c:pt>
                <c:pt idx="28">
                  <c:v>Dia 28</c:v>
                </c:pt>
                <c:pt idx="29">
                  <c:v>Dia 29</c:v>
                </c:pt>
                <c:pt idx="30">
                  <c:v>Dia 30</c:v>
                </c:pt>
                <c:pt idx="31">
                  <c:v>Dia 31</c:v>
                </c:pt>
                <c:pt idx="32">
                  <c:v>Dia 32</c:v>
                </c:pt>
                <c:pt idx="33">
                  <c:v>Dia 33</c:v>
                </c:pt>
                <c:pt idx="34">
                  <c:v>Dia 34</c:v>
                </c:pt>
                <c:pt idx="35">
                  <c:v>Dia 35</c:v>
                </c:pt>
                <c:pt idx="36">
                  <c:v>Dia 36</c:v>
                </c:pt>
                <c:pt idx="37">
                  <c:v>Dia 37</c:v>
                </c:pt>
                <c:pt idx="38">
                  <c:v>Dia 38</c:v>
                </c:pt>
                <c:pt idx="39">
                  <c:v>Dia 39</c:v>
                </c:pt>
                <c:pt idx="40">
                  <c:v>Dia 40</c:v>
                </c:pt>
                <c:pt idx="41">
                  <c:v>Dia 41</c:v>
                </c:pt>
                <c:pt idx="42">
                  <c:v>Dia 42</c:v>
                </c:pt>
                <c:pt idx="43">
                  <c:v>Dia 43</c:v>
                </c:pt>
                <c:pt idx="44">
                  <c:v>Dia 44</c:v>
                </c:pt>
                <c:pt idx="45">
                  <c:v>Dia 45</c:v>
                </c:pt>
                <c:pt idx="46">
                  <c:v>Dia 46</c:v>
                </c:pt>
                <c:pt idx="47">
                  <c:v>Dia 47</c:v>
                </c:pt>
                <c:pt idx="48">
                  <c:v>Dia 48</c:v>
                </c:pt>
                <c:pt idx="49">
                  <c:v>Dia 49</c:v>
                </c:pt>
                <c:pt idx="50">
                  <c:v>Dia 50</c:v>
                </c:pt>
                <c:pt idx="51">
                  <c:v>Dia 51</c:v>
                </c:pt>
                <c:pt idx="52">
                  <c:v>Dia 52</c:v>
                </c:pt>
                <c:pt idx="53">
                  <c:v>Dia 53</c:v>
                </c:pt>
                <c:pt idx="54">
                  <c:v>Dia 54</c:v>
                </c:pt>
                <c:pt idx="55">
                  <c:v>Dia 55</c:v>
                </c:pt>
                <c:pt idx="56">
                  <c:v>Dia 56</c:v>
                </c:pt>
                <c:pt idx="57">
                  <c:v>Dia 57</c:v>
                </c:pt>
                <c:pt idx="58">
                  <c:v>Dia 58</c:v>
                </c:pt>
                <c:pt idx="59">
                  <c:v>Dia 59</c:v>
                </c:pt>
                <c:pt idx="60">
                  <c:v>Dia 60</c:v>
                </c:pt>
                <c:pt idx="61">
                  <c:v>Dia 61</c:v>
                </c:pt>
                <c:pt idx="62">
                  <c:v>Dia 62</c:v>
                </c:pt>
                <c:pt idx="63">
                  <c:v>Dia 63</c:v>
                </c:pt>
                <c:pt idx="64">
                  <c:v>Dia 64</c:v>
                </c:pt>
                <c:pt idx="65">
                  <c:v>Dia 65</c:v>
                </c:pt>
                <c:pt idx="66">
                  <c:v>Dia 66</c:v>
                </c:pt>
                <c:pt idx="67">
                  <c:v>Dia 67</c:v>
                </c:pt>
                <c:pt idx="68">
                  <c:v>Dia 68</c:v>
                </c:pt>
                <c:pt idx="69">
                  <c:v>Dia 69</c:v>
                </c:pt>
                <c:pt idx="70">
                  <c:v>Dia 70</c:v>
                </c:pt>
                <c:pt idx="71">
                  <c:v>Dia 71</c:v>
                </c:pt>
                <c:pt idx="72">
                  <c:v>Dia 72</c:v>
                </c:pt>
                <c:pt idx="73">
                  <c:v>Dia 73</c:v>
                </c:pt>
                <c:pt idx="74">
                  <c:v>Dia 74</c:v>
                </c:pt>
                <c:pt idx="75">
                  <c:v>Dia 75</c:v>
                </c:pt>
                <c:pt idx="76">
                  <c:v>Dia 76</c:v>
                </c:pt>
                <c:pt idx="77">
                  <c:v>Dia 77</c:v>
                </c:pt>
                <c:pt idx="78">
                  <c:v>Dia 78</c:v>
                </c:pt>
                <c:pt idx="79">
                  <c:v>Dia 79</c:v>
                </c:pt>
                <c:pt idx="80">
                  <c:v>Dia 80</c:v>
                </c:pt>
                <c:pt idx="81">
                  <c:v>Dia 81</c:v>
                </c:pt>
                <c:pt idx="82">
                  <c:v>Dia 82</c:v>
                </c:pt>
                <c:pt idx="83">
                  <c:v>Dia 83</c:v>
                </c:pt>
                <c:pt idx="84">
                  <c:v>Dia 84</c:v>
                </c:pt>
                <c:pt idx="85">
                  <c:v>Dia 85</c:v>
                </c:pt>
                <c:pt idx="86">
                  <c:v>Dia 86</c:v>
                </c:pt>
                <c:pt idx="87">
                  <c:v>Dia 87</c:v>
                </c:pt>
                <c:pt idx="88">
                  <c:v>Dia 88</c:v>
                </c:pt>
                <c:pt idx="89">
                  <c:v>Dia 89</c:v>
                </c:pt>
                <c:pt idx="90">
                  <c:v>Dia 90</c:v>
                </c:pt>
                <c:pt idx="91">
                  <c:v>Dia 91</c:v>
                </c:pt>
                <c:pt idx="92">
                  <c:v>Dia 92</c:v>
                </c:pt>
                <c:pt idx="93">
                  <c:v>Dia 93</c:v>
                </c:pt>
                <c:pt idx="94">
                  <c:v>Dia 94</c:v>
                </c:pt>
                <c:pt idx="95">
                  <c:v>Dia 95</c:v>
                </c:pt>
                <c:pt idx="96">
                  <c:v>Dia 96</c:v>
                </c:pt>
                <c:pt idx="97">
                  <c:v>Dia 97</c:v>
                </c:pt>
                <c:pt idx="98">
                  <c:v>Dia 98</c:v>
                </c:pt>
                <c:pt idx="99">
                  <c:v>Dia 99</c:v>
                </c:pt>
                <c:pt idx="100">
                  <c:v>Dia 100</c:v>
                </c:pt>
                <c:pt idx="101">
                  <c:v>Dia 101</c:v>
                </c:pt>
                <c:pt idx="102">
                  <c:v>Dia 102</c:v>
                </c:pt>
                <c:pt idx="103">
                  <c:v>Dia 103</c:v>
                </c:pt>
                <c:pt idx="104">
                  <c:v>Dia 104</c:v>
                </c:pt>
                <c:pt idx="105">
                  <c:v>Dia 105</c:v>
                </c:pt>
                <c:pt idx="106">
                  <c:v>Dia 106</c:v>
                </c:pt>
                <c:pt idx="107">
                  <c:v>Dia 107</c:v>
                </c:pt>
                <c:pt idx="108">
                  <c:v>Dia 108</c:v>
                </c:pt>
                <c:pt idx="109">
                  <c:v>Dia 109</c:v>
                </c:pt>
                <c:pt idx="110">
                  <c:v>Dia 110</c:v>
                </c:pt>
                <c:pt idx="111">
                  <c:v>Dia 111</c:v>
                </c:pt>
                <c:pt idx="112">
                  <c:v>Dia 112</c:v>
                </c:pt>
                <c:pt idx="113">
                  <c:v>Dia 113</c:v>
                </c:pt>
                <c:pt idx="114">
                  <c:v>Dia 114</c:v>
                </c:pt>
                <c:pt idx="115">
                  <c:v>Dia 115</c:v>
                </c:pt>
                <c:pt idx="116">
                  <c:v>Dia 116</c:v>
                </c:pt>
                <c:pt idx="117">
                  <c:v>Dia 117</c:v>
                </c:pt>
                <c:pt idx="118">
                  <c:v>Dia 118</c:v>
                </c:pt>
                <c:pt idx="119">
                  <c:v>Dia 119</c:v>
                </c:pt>
                <c:pt idx="120">
                  <c:v>Dia 120</c:v>
                </c:pt>
                <c:pt idx="121">
                  <c:v>Dia 121</c:v>
                </c:pt>
                <c:pt idx="122">
                  <c:v>Dia 122</c:v>
                </c:pt>
                <c:pt idx="123">
                  <c:v>Dia 123</c:v>
                </c:pt>
                <c:pt idx="124">
                  <c:v>Dia 124</c:v>
                </c:pt>
                <c:pt idx="125">
                  <c:v>Dia 125</c:v>
                </c:pt>
                <c:pt idx="126">
                  <c:v>Dia 126</c:v>
                </c:pt>
                <c:pt idx="127">
                  <c:v>Dia 127</c:v>
                </c:pt>
                <c:pt idx="128">
                  <c:v>Dia 128</c:v>
                </c:pt>
                <c:pt idx="129">
                  <c:v>Dia 129</c:v>
                </c:pt>
                <c:pt idx="130">
                  <c:v>Dia 130</c:v>
                </c:pt>
                <c:pt idx="131">
                  <c:v>Dia 131</c:v>
                </c:pt>
                <c:pt idx="132">
                  <c:v>Dia 132</c:v>
                </c:pt>
                <c:pt idx="133">
                  <c:v>Dia 133</c:v>
                </c:pt>
                <c:pt idx="134">
                  <c:v>Dia 134</c:v>
                </c:pt>
                <c:pt idx="135">
                  <c:v>Dia 135</c:v>
                </c:pt>
                <c:pt idx="136">
                  <c:v>Dia 136</c:v>
                </c:pt>
                <c:pt idx="137">
                  <c:v>Dia 137</c:v>
                </c:pt>
                <c:pt idx="138">
                  <c:v>Dia 138</c:v>
                </c:pt>
                <c:pt idx="139">
                  <c:v>Dia 139</c:v>
                </c:pt>
                <c:pt idx="140">
                  <c:v>Dia 140</c:v>
                </c:pt>
                <c:pt idx="141">
                  <c:v>Dia 141</c:v>
                </c:pt>
                <c:pt idx="142">
                  <c:v>Dia 142</c:v>
                </c:pt>
                <c:pt idx="143">
                  <c:v>Dia 143</c:v>
                </c:pt>
                <c:pt idx="144">
                  <c:v>Dia 144</c:v>
                </c:pt>
                <c:pt idx="145">
                  <c:v>Dia 145</c:v>
                </c:pt>
                <c:pt idx="146">
                  <c:v>Dia 146</c:v>
                </c:pt>
                <c:pt idx="147">
                  <c:v>Dia 147</c:v>
                </c:pt>
                <c:pt idx="148">
                  <c:v>Dia 148</c:v>
                </c:pt>
                <c:pt idx="149">
                  <c:v>Dia 149</c:v>
                </c:pt>
                <c:pt idx="150">
                  <c:v>Dia 150</c:v>
                </c:pt>
                <c:pt idx="151">
                  <c:v>Dia 151</c:v>
                </c:pt>
                <c:pt idx="152">
                  <c:v>Dia 152</c:v>
                </c:pt>
                <c:pt idx="153">
                  <c:v>Dia 153</c:v>
                </c:pt>
                <c:pt idx="154">
                  <c:v>Dia 154</c:v>
                </c:pt>
                <c:pt idx="155">
                  <c:v>Dia 155</c:v>
                </c:pt>
                <c:pt idx="156">
                  <c:v>Dia 156</c:v>
                </c:pt>
                <c:pt idx="157">
                  <c:v>Dia 157</c:v>
                </c:pt>
                <c:pt idx="158">
                  <c:v>Dia 158</c:v>
                </c:pt>
                <c:pt idx="159">
                  <c:v>Dia 159</c:v>
                </c:pt>
                <c:pt idx="160">
                  <c:v>Dia 160</c:v>
                </c:pt>
                <c:pt idx="161">
                  <c:v>Dia 161</c:v>
                </c:pt>
                <c:pt idx="162">
                  <c:v>Dia 162</c:v>
                </c:pt>
                <c:pt idx="163">
                  <c:v>Dia 163</c:v>
                </c:pt>
                <c:pt idx="164">
                  <c:v>Dia 164</c:v>
                </c:pt>
                <c:pt idx="165">
                  <c:v>Dia 165</c:v>
                </c:pt>
                <c:pt idx="166">
                  <c:v>Dia 166</c:v>
                </c:pt>
              </c:strCache>
            </c:strRef>
          </c:xVal>
          <c:yVal>
            <c:numRef>
              <c:f>'Real - Compuesta'!$A$4:$A$170</c:f>
              <c:numCache>
                <c:formatCode>General</c:formatCode>
                <c:ptCount val="167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100000</c:v>
                </c:pt>
                <c:pt idx="18">
                  <c:v>100000</c:v>
                </c:pt>
                <c:pt idx="19">
                  <c:v>100000</c:v>
                </c:pt>
                <c:pt idx="20">
                  <c:v>100000</c:v>
                </c:pt>
                <c:pt idx="21">
                  <c:v>100000</c:v>
                </c:pt>
                <c:pt idx="22">
                  <c:v>100000</c:v>
                </c:pt>
                <c:pt idx="23">
                  <c:v>100000</c:v>
                </c:pt>
                <c:pt idx="24">
                  <c:v>100000</c:v>
                </c:pt>
                <c:pt idx="25">
                  <c:v>100000</c:v>
                </c:pt>
                <c:pt idx="26">
                  <c:v>100000</c:v>
                </c:pt>
                <c:pt idx="27">
                  <c:v>100000</c:v>
                </c:pt>
                <c:pt idx="28">
                  <c:v>100000</c:v>
                </c:pt>
                <c:pt idx="29">
                  <c:v>100000</c:v>
                </c:pt>
                <c:pt idx="30">
                  <c:v>100000</c:v>
                </c:pt>
                <c:pt idx="31">
                  <c:v>100000</c:v>
                </c:pt>
                <c:pt idx="32">
                  <c:v>100000</c:v>
                </c:pt>
                <c:pt idx="33">
                  <c:v>100000</c:v>
                </c:pt>
                <c:pt idx="34">
                  <c:v>100000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100000</c:v>
                </c:pt>
                <c:pt idx="39">
                  <c:v>100000</c:v>
                </c:pt>
                <c:pt idx="40">
                  <c:v>100000</c:v>
                </c:pt>
                <c:pt idx="41">
                  <c:v>100000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100000</c:v>
                </c:pt>
                <c:pt idx="67">
                  <c:v>100000</c:v>
                </c:pt>
                <c:pt idx="68">
                  <c:v>100000</c:v>
                </c:pt>
                <c:pt idx="69">
                  <c:v>100000</c:v>
                </c:pt>
                <c:pt idx="70">
                  <c:v>100000</c:v>
                </c:pt>
                <c:pt idx="71">
                  <c:v>100000</c:v>
                </c:pt>
                <c:pt idx="72">
                  <c:v>100000</c:v>
                </c:pt>
                <c:pt idx="73">
                  <c:v>100000</c:v>
                </c:pt>
                <c:pt idx="74">
                  <c:v>100000</c:v>
                </c:pt>
                <c:pt idx="75">
                  <c:v>100000</c:v>
                </c:pt>
                <c:pt idx="76">
                  <c:v>100000</c:v>
                </c:pt>
                <c:pt idx="77">
                  <c:v>100000</c:v>
                </c:pt>
                <c:pt idx="78">
                  <c:v>100000</c:v>
                </c:pt>
                <c:pt idx="79">
                  <c:v>100000</c:v>
                </c:pt>
                <c:pt idx="80">
                  <c:v>100000</c:v>
                </c:pt>
                <c:pt idx="81">
                  <c:v>100000</c:v>
                </c:pt>
                <c:pt idx="82">
                  <c:v>100000</c:v>
                </c:pt>
                <c:pt idx="83">
                  <c:v>100000</c:v>
                </c:pt>
                <c:pt idx="84">
                  <c:v>100000</c:v>
                </c:pt>
                <c:pt idx="85">
                  <c:v>100000</c:v>
                </c:pt>
                <c:pt idx="86">
                  <c:v>100000</c:v>
                </c:pt>
                <c:pt idx="87">
                  <c:v>100000</c:v>
                </c:pt>
                <c:pt idx="88">
                  <c:v>100000</c:v>
                </c:pt>
                <c:pt idx="89">
                  <c:v>100000</c:v>
                </c:pt>
                <c:pt idx="90">
                  <c:v>100000</c:v>
                </c:pt>
                <c:pt idx="91">
                  <c:v>100000</c:v>
                </c:pt>
                <c:pt idx="92">
                  <c:v>100000</c:v>
                </c:pt>
                <c:pt idx="93">
                  <c:v>100000</c:v>
                </c:pt>
                <c:pt idx="94">
                  <c:v>100000</c:v>
                </c:pt>
                <c:pt idx="95">
                  <c:v>100000</c:v>
                </c:pt>
                <c:pt idx="96">
                  <c:v>100000</c:v>
                </c:pt>
                <c:pt idx="97">
                  <c:v>100000</c:v>
                </c:pt>
                <c:pt idx="98">
                  <c:v>100000</c:v>
                </c:pt>
                <c:pt idx="99">
                  <c:v>100000</c:v>
                </c:pt>
                <c:pt idx="100">
                  <c:v>100000</c:v>
                </c:pt>
                <c:pt idx="101">
                  <c:v>100000</c:v>
                </c:pt>
                <c:pt idx="102">
                  <c:v>100000</c:v>
                </c:pt>
                <c:pt idx="103">
                  <c:v>100000</c:v>
                </c:pt>
                <c:pt idx="104">
                  <c:v>100000</c:v>
                </c:pt>
                <c:pt idx="105">
                  <c:v>100000</c:v>
                </c:pt>
                <c:pt idx="106">
                  <c:v>100000</c:v>
                </c:pt>
                <c:pt idx="107">
                  <c:v>100000</c:v>
                </c:pt>
                <c:pt idx="108">
                  <c:v>100000</c:v>
                </c:pt>
                <c:pt idx="109">
                  <c:v>100000</c:v>
                </c:pt>
                <c:pt idx="110">
                  <c:v>100000</c:v>
                </c:pt>
                <c:pt idx="111">
                  <c:v>100000</c:v>
                </c:pt>
                <c:pt idx="112">
                  <c:v>100000</c:v>
                </c:pt>
                <c:pt idx="113">
                  <c:v>100000</c:v>
                </c:pt>
                <c:pt idx="114">
                  <c:v>100000</c:v>
                </c:pt>
                <c:pt idx="115">
                  <c:v>100000</c:v>
                </c:pt>
                <c:pt idx="116">
                  <c:v>100000</c:v>
                </c:pt>
                <c:pt idx="117">
                  <c:v>100000</c:v>
                </c:pt>
                <c:pt idx="118">
                  <c:v>100000</c:v>
                </c:pt>
                <c:pt idx="119">
                  <c:v>100000</c:v>
                </c:pt>
                <c:pt idx="120">
                  <c:v>100000</c:v>
                </c:pt>
                <c:pt idx="121">
                  <c:v>100000</c:v>
                </c:pt>
                <c:pt idx="122">
                  <c:v>100000</c:v>
                </c:pt>
                <c:pt idx="123">
                  <c:v>100000</c:v>
                </c:pt>
                <c:pt idx="124">
                  <c:v>100000</c:v>
                </c:pt>
                <c:pt idx="125">
                  <c:v>100000</c:v>
                </c:pt>
                <c:pt idx="126">
                  <c:v>100000</c:v>
                </c:pt>
                <c:pt idx="127">
                  <c:v>100000</c:v>
                </c:pt>
                <c:pt idx="128">
                  <c:v>100000</c:v>
                </c:pt>
                <c:pt idx="129">
                  <c:v>100000</c:v>
                </c:pt>
                <c:pt idx="130">
                  <c:v>100000</c:v>
                </c:pt>
                <c:pt idx="131">
                  <c:v>100000</c:v>
                </c:pt>
                <c:pt idx="132">
                  <c:v>100000</c:v>
                </c:pt>
                <c:pt idx="133">
                  <c:v>100000</c:v>
                </c:pt>
                <c:pt idx="134">
                  <c:v>100000</c:v>
                </c:pt>
                <c:pt idx="135">
                  <c:v>100000</c:v>
                </c:pt>
                <c:pt idx="136">
                  <c:v>100000</c:v>
                </c:pt>
                <c:pt idx="137">
                  <c:v>100000</c:v>
                </c:pt>
                <c:pt idx="138">
                  <c:v>100000</c:v>
                </c:pt>
                <c:pt idx="139">
                  <c:v>100000</c:v>
                </c:pt>
                <c:pt idx="140">
                  <c:v>100000</c:v>
                </c:pt>
                <c:pt idx="141">
                  <c:v>100000</c:v>
                </c:pt>
                <c:pt idx="142">
                  <c:v>100000</c:v>
                </c:pt>
                <c:pt idx="143">
                  <c:v>100000</c:v>
                </c:pt>
                <c:pt idx="144">
                  <c:v>100000</c:v>
                </c:pt>
                <c:pt idx="145">
                  <c:v>100000</c:v>
                </c:pt>
                <c:pt idx="146">
                  <c:v>100000</c:v>
                </c:pt>
                <c:pt idx="147">
                  <c:v>100000</c:v>
                </c:pt>
                <c:pt idx="148">
                  <c:v>100000</c:v>
                </c:pt>
                <c:pt idx="149">
                  <c:v>100000</c:v>
                </c:pt>
                <c:pt idx="150">
                  <c:v>100000</c:v>
                </c:pt>
                <c:pt idx="151">
                  <c:v>100000</c:v>
                </c:pt>
                <c:pt idx="152">
                  <c:v>100000</c:v>
                </c:pt>
                <c:pt idx="153">
                  <c:v>100000</c:v>
                </c:pt>
                <c:pt idx="154">
                  <c:v>100000</c:v>
                </c:pt>
                <c:pt idx="155">
                  <c:v>100000</c:v>
                </c:pt>
                <c:pt idx="156">
                  <c:v>100000</c:v>
                </c:pt>
                <c:pt idx="157">
                  <c:v>100000</c:v>
                </c:pt>
                <c:pt idx="158">
                  <c:v>100000</c:v>
                </c:pt>
                <c:pt idx="159">
                  <c:v>100000</c:v>
                </c:pt>
                <c:pt idx="160">
                  <c:v>100000</c:v>
                </c:pt>
                <c:pt idx="161">
                  <c:v>100000</c:v>
                </c:pt>
                <c:pt idx="162">
                  <c:v>100000</c:v>
                </c:pt>
                <c:pt idx="163">
                  <c:v>100000</c:v>
                </c:pt>
                <c:pt idx="164">
                  <c:v>100000</c:v>
                </c:pt>
                <c:pt idx="165">
                  <c:v>100000</c:v>
                </c:pt>
                <c:pt idx="166">
                  <c:v>100000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1B-4BC3-B91B-3BECCB487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19880"/>
        <c:axId val="520422832"/>
      </c:scatterChart>
      <c:valAx>
        <c:axId val="520419880"/>
        <c:scaling>
          <c:orientation val="minMax"/>
          <c:max val="16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22832"/>
        <c:crosses val="autoZero"/>
        <c:crossBetween val="midCat"/>
        <c:majorUnit val="10"/>
      </c:valAx>
      <c:valAx>
        <c:axId val="520422832"/>
        <c:scaling>
          <c:orientation val="minMax"/>
          <c:max val="14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0419880"/>
        <c:crosses val="autoZero"/>
        <c:crossBetween val="midCat"/>
        <c:majorUnit val="10000"/>
        <c:min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129540</xdr:rowOff>
        </xdr:from>
        <xdr:to>
          <xdr:col>12</xdr:col>
          <xdr:colOff>137160</xdr:colOff>
          <xdr:row>7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488168</xdr:colOff>
      <xdr:row>0</xdr:row>
      <xdr:rowOff>97162</xdr:rowOff>
    </xdr:from>
    <xdr:to>
      <xdr:col>25</xdr:col>
      <xdr:colOff>323039</xdr:colOff>
      <xdr:row>15</xdr:row>
      <xdr:rowOff>89260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508000</xdr:colOff>
      <xdr:row>16</xdr:row>
      <xdr:rowOff>17518</xdr:rowOff>
    </xdr:from>
    <xdr:to>
      <xdr:col>25</xdr:col>
      <xdr:colOff>342871</xdr:colOff>
      <xdr:row>31</xdr:row>
      <xdr:rowOff>9617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18</xdr:col>
      <xdr:colOff>53422</xdr:colOff>
      <xdr:row>24</xdr:row>
      <xdr:rowOff>158054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299720</xdr:colOff>
      <xdr:row>6</xdr:row>
      <xdr:rowOff>61156</xdr:rowOff>
    </xdr:from>
    <xdr:to>
      <xdr:col>18</xdr:col>
      <xdr:colOff>330201</xdr:colOff>
      <xdr:row>30</xdr:row>
      <xdr:rowOff>99255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108858</xdr:colOff>
      <xdr:row>6</xdr:row>
      <xdr:rowOff>19793</xdr:rowOff>
    </xdr:from>
    <xdr:to>
      <xdr:col>18</xdr:col>
      <xdr:colOff>161488</xdr:colOff>
      <xdr:row>29</xdr:row>
      <xdr:rowOff>177847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3</xdr:row>
      <xdr:rowOff>60960</xdr:rowOff>
    </xdr:from>
    <xdr:to>
      <xdr:col>18</xdr:col>
      <xdr:colOff>548722</xdr:colOff>
      <xdr:row>27</xdr:row>
      <xdr:rowOff>36134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</xdr:row>
      <xdr:rowOff>68580</xdr:rowOff>
    </xdr:from>
    <xdr:to>
      <xdr:col>17</xdr:col>
      <xdr:colOff>655402</xdr:colOff>
      <xdr:row>25</xdr:row>
      <xdr:rowOff>43754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4703"/>
  <sheetViews>
    <sheetView zoomScale="84" workbookViewId="0">
      <selection activeCell="D2" sqref="D2:D168"/>
    </sheetView>
  </sheetViews>
  <sheetFormatPr baseColWidth="10" defaultColWidth="8.88671875" defaultRowHeight="14.4" x14ac:dyDescent="0.3"/>
  <cols>
    <col min="4" max="4" width="15.44140625" style="74" bestFit="1" customWidth="1"/>
    <col min="7" max="7" width="11.5546875" bestFit="1" customWidth="1"/>
    <col min="8" max="8" width="19.77734375" bestFit="1" customWidth="1"/>
    <col min="13" max="13" width="6.88671875" style="47" customWidth="1"/>
    <col min="14" max="14" width="18.88671875" customWidth="1"/>
    <col min="15" max="15" width="13.33203125" customWidth="1"/>
    <col min="16" max="16" width="17.88671875" customWidth="1"/>
    <col min="17" max="17" width="17.5546875" customWidth="1"/>
    <col min="18" max="18" width="22.6640625" customWidth="1"/>
    <col min="19" max="20" width="13.33203125" customWidth="1"/>
    <col min="21" max="21" width="17.6640625" customWidth="1"/>
    <col min="22" max="22" width="21.77734375" customWidth="1"/>
    <col min="23" max="23" width="8.77734375" customWidth="1"/>
    <col min="24" max="24" width="20.109375" style="8" customWidth="1"/>
    <col min="25" max="25" width="23.5546875" style="8" customWidth="1"/>
    <col min="26" max="27" width="20.109375" style="8" customWidth="1"/>
    <col min="28" max="28" width="23.5546875" style="8" customWidth="1"/>
    <col min="29" max="29" width="20.109375" style="8" customWidth="1"/>
    <col min="30" max="33" width="8.88671875" customWidth="1"/>
    <col min="35" max="35" width="10.77734375" bestFit="1" customWidth="1"/>
    <col min="36" max="37" width="12.5546875" style="22" bestFit="1" customWidth="1"/>
    <col min="38" max="38" width="10.5546875" style="22" bestFit="1" customWidth="1"/>
    <col min="39" max="39" width="8.5546875" style="22" bestFit="1" customWidth="1"/>
    <col min="40" max="41" width="7.5546875" style="22" bestFit="1" customWidth="1"/>
    <col min="42" max="42" width="7.5546875" bestFit="1" customWidth="1"/>
  </cols>
  <sheetData>
    <row r="1" spans="1:23" x14ac:dyDescent="0.3">
      <c r="B1" s="1" t="s">
        <v>0</v>
      </c>
      <c r="C1" s="1" t="s">
        <v>1</v>
      </c>
      <c r="D1" s="73" t="s">
        <v>2</v>
      </c>
      <c r="E1" s="2" t="s">
        <v>3</v>
      </c>
      <c r="F1" s="2" t="s">
        <v>4</v>
      </c>
      <c r="G1" s="3" t="s">
        <v>5</v>
      </c>
      <c r="H1" s="3" t="s">
        <v>199</v>
      </c>
      <c r="I1" s="3" t="s">
        <v>225</v>
      </c>
      <c r="J1" s="3" t="s">
        <v>230</v>
      </c>
      <c r="K1" s="3"/>
      <c r="L1" s="3"/>
      <c r="N1" s="47" t="s">
        <v>225</v>
      </c>
      <c r="O1" s="47" t="s">
        <v>227</v>
      </c>
      <c r="P1" s="47">
        <f>+COUNTIF(I:I,O1)</f>
        <v>85</v>
      </c>
      <c r="Q1">
        <f>+P1+P2</f>
        <v>167</v>
      </c>
      <c r="R1" s="3" t="s">
        <v>6</v>
      </c>
      <c r="S1">
        <f>+COUNTIF(F:F,"Positivo")</f>
        <v>100</v>
      </c>
      <c r="W1" s="8"/>
    </row>
    <row r="2" spans="1:23" x14ac:dyDescent="0.3">
      <c r="A2" s="1">
        <v>1</v>
      </c>
      <c r="B2">
        <v>243.06</v>
      </c>
      <c r="C2">
        <v>239.64</v>
      </c>
      <c r="D2">
        <v>239.75</v>
      </c>
      <c r="E2" t="str">
        <f>+IF(D2&lt;B2,"Venta","Compra")</f>
        <v>Venta</v>
      </c>
      <c r="F2" t="str">
        <f t="shared" ref="F2" si="0">IF(B2="","",IF(E2="Venta",IF(C2&lt;B2,"Positivo","Negativo"),IF(C2&gt;B2,"Positivo","Negativo")))</f>
        <v>Positivo</v>
      </c>
      <c r="G2" s="4">
        <f>+IF(E2="Compra",(C2-B2)/B2,(B2-C2)/B2)</f>
        <v>1.4070599851888488E-2</v>
      </c>
      <c r="H2" s="4">
        <f>+IF(E2="Compra",(D2-B2)/B2,(B2-D2)/B2)</f>
        <v>1.3618036698757517E-2</v>
      </c>
      <c r="I2" s="47" t="str">
        <f>+IF(C2&lt;B2,"Venta","Compra")</f>
        <v>Venta</v>
      </c>
      <c r="J2" s="47" t="str">
        <f>+E2&amp;I2</f>
        <v>VentaVenta</v>
      </c>
      <c r="K2" s="47"/>
      <c r="L2" s="47"/>
      <c r="N2" s="47" t="s">
        <v>225</v>
      </c>
      <c r="O2" s="47" t="s">
        <v>228</v>
      </c>
      <c r="P2" s="47">
        <f>+COUNTIF(I:I,O2)</f>
        <v>82</v>
      </c>
      <c r="R2" s="3" t="s">
        <v>7</v>
      </c>
      <c r="S2">
        <f>+COUNTIF(F:F,"Negativo")</f>
        <v>67</v>
      </c>
      <c r="W2" s="8"/>
    </row>
    <row r="3" spans="1:23" x14ac:dyDescent="0.3">
      <c r="A3" s="1">
        <v>2</v>
      </c>
      <c r="B3">
        <v>232.59</v>
      </c>
      <c r="C3">
        <v>229.02500000000001</v>
      </c>
      <c r="D3">
        <v>229.15</v>
      </c>
      <c r="E3" t="str">
        <f t="shared" ref="E3:E53" si="1">+IF(D3&lt;B3,"Venta","Compra")</f>
        <v>Venta</v>
      </c>
      <c r="F3" t="str">
        <f t="shared" ref="F3:F53" si="2">IF(B3="","",IF(E3="Venta",IF(C3&lt;B3,"Positivo","Negativo"),IF(C3&gt;B3,"Positivo","Negativo")))</f>
        <v>Positivo</v>
      </c>
      <c r="G3" s="4">
        <f t="shared" ref="G3:G53" si="3">+IF(E3="Compra",(C3-B3)/B3,(B3-C3)/B3)</f>
        <v>1.5327400146179964E-2</v>
      </c>
      <c r="H3" s="4">
        <f t="shared" ref="H3:H53" si="4">+IF(E3="Compra",(D3-B3)/B3,(B3-D3)/B3)</f>
        <v>1.4789973773593007E-2</v>
      </c>
      <c r="I3" s="47" t="str">
        <f t="shared" ref="I3:I53" si="5">+IF(C3&lt;B3,"Venta","Compra")</f>
        <v>Venta</v>
      </c>
      <c r="J3" s="47" t="str">
        <f t="shared" ref="J3:J53" si="6">+E3&amp;I3</f>
        <v>VentaVenta</v>
      </c>
      <c r="K3" s="47"/>
      <c r="L3" s="47"/>
      <c r="N3" s="47" t="s">
        <v>229</v>
      </c>
      <c r="O3" s="47" t="s">
        <v>227</v>
      </c>
      <c r="P3" s="47">
        <f>+COUNTIF(E:E,O3)</f>
        <v>76</v>
      </c>
      <c r="Q3">
        <f>+P3+P4</f>
        <v>167</v>
      </c>
      <c r="W3" s="8"/>
    </row>
    <row r="4" spans="1:23" x14ac:dyDescent="0.3">
      <c r="A4" s="1">
        <v>3</v>
      </c>
      <c r="B4">
        <v>227.13</v>
      </c>
      <c r="C4">
        <v>222.33</v>
      </c>
      <c r="D4">
        <v>225.45500000000001</v>
      </c>
      <c r="E4" t="str">
        <f t="shared" si="1"/>
        <v>Venta</v>
      </c>
      <c r="F4" t="str">
        <f t="shared" si="2"/>
        <v>Positivo</v>
      </c>
      <c r="G4" s="4">
        <f t="shared" si="3"/>
        <v>2.1133271694624148E-2</v>
      </c>
      <c r="H4" s="4">
        <f t="shared" si="4"/>
        <v>7.3746312684365035E-3</v>
      </c>
      <c r="I4" s="47" t="str">
        <f t="shared" si="5"/>
        <v>Venta</v>
      </c>
      <c r="J4" s="47" t="str">
        <f t="shared" si="6"/>
        <v>VentaVenta</v>
      </c>
      <c r="K4" s="47"/>
      <c r="L4" s="47"/>
      <c r="N4" s="47" t="s">
        <v>229</v>
      </c>
      <c r="O4" s="47" t="s">
        <v>228</v>
      </c>
      <c r="P4" s="47">
        <f>+COUNTIF(E:E,O4)</f>
        <v>91</v>
      </c>
      <c r="R4" t="s">
        <v>211</v>
      </c>
      <c r="W4" s="8"/>
    </row>
    <row r="5" spans="1:23" x14ac:dyDescent="0.3">
      <c r="A5" s="1">
        <v>4</v>
      </c>
      <c r="B5">
        <v>223.2</v>
      </c>
      <c r="C5">
        <v>224.85</v>
      </c>
      <c r="D5">
        <v>221.46</v>
      </c>
      <c r="E5" t="str">
        <f t="shared" si="1"/>
        <v>Venta</v>
      </c>
      <c r="F5" t="str">
        <f t="shared" si="2"/>
        <v>Negativo</v>
      </c>
      <c r="G5" s="4">
        <f t="shared" si="3"/>
        <v>-7.3924731182795954E-3</v>
      </c>
      <c r="H5" s="4">
        <f t="shared" si="4"/>
        <v>7.7956989247310966E-3</v>
      </c>
      <c r="I5" s="47" t="str">
        <f t="shared" si="5"/>
        <v>Compra</v>
      </c>
      <c r="J5" s="47" t="str">
        <f t="shared" si="6"/>
        <v>VentaCompra</v>
      </c>
      <c r="K5" s="47"/>
      <c r="L5" s="47"/>
      <c r="N5" s="47"/>
      <c r="O5" s="47"/>
      <c r="P5" s="47"/>
      <c r="W5" s="8"/>
    </row>
    <row r="6" spans="1:23" x14ac:dyDescent="0.3">
      <c r="A6" s="1">
        <v>5</v>
      </c>
      <c r="B6">
        <v>226.9</v>
      </c>
      <c r="C6">
        <v>227.125</v>
      </c>
      <c r="D6">
        <v>221.46</v>
      </c>
      <c r="E6" t="str">
        <f t="shared" si="1"/>
        <v>Venta</v>
      </c>
      <c r="F6" t="str">
        <f t="shared" si="2"/>
        <v>Negativo</v>
      </c>
      <c r="G6" s="4">
        <f t="shared" si="3"/>
        <v>-9.9162626707798279E-4</v>
      </c>
      <c r="H6" s="4">
        <f t="shared" si="4"/>
        <v>2.3975319524019382E-2</v>
      </c>
      <c r="I6" s="47" t="str">
        <f t="shared" si="5"/>
        <v>Compra</v>
      </c>
      <c r="J6" s="47" t="str">
        <f t="shared" si="6"/>
        <v>VentaCompra</v>
      </c>
      <c r="K6" s="47"/>
      <c r="L6" s="47"/>
      <c r="N6" s="47"/>
      <c r="O6" s="47"/>
      <c r="P6" s="47"/>
      <c r="R6" s="22"/>
      <c r="W6" s="8"/>
    </row>
    <row r="7" spans="1:23" x14ac:dyDescent="0.3">
      <c r="A7" s="1">
        <v>6</v>
      </c>
      <c r="B7">
        <v>227.845</v>
      </c>
      <c r="C7">
        <v>228.88</v>
      </c>
      <c r="D7">
        <v>221.46</v>
      </c>
      <c r="E7" t="str">
        <f t="shared" si="1"/>
        <v>Venta</v>
      </c>
      <c r="F7" t="str">
        <f t="shared" si="2"/>
        <v>Negativo</v>
      </c>
      <c r="G7" s="4">
        <f t="shared" si="3"/>
        <v>-4.5425618293137727E-3</v>
      </c>
      <c r="H7" s="4">
        <f t="shared" si="4"/>
        <v>2.8023436985670044E-2</v>
      </c>
      <c r="I7" s="47" t="str">
        <f t="shared" si="5"/>
        <v>Compra</v>
      </c>
      <c r="J7" s="47" t="str">
        <f t="shared" si="6"/>
        <v>VentaCompra</v>
      </c>
      <c r="K7" s="47"/>
      <c r="L7" s="47"/>
      <c r="N7" s="48"/>
      <c r="O7" s="49"/>
      <c r="P7" s="49" t="s">
        <v>225</v>
      </c>
      <c r="Q7" s="50"/>
      <c r="R7" s="50"/>
      <c r="S7" s="50"/>
      <c r="T7" s="50"/>
      <c r="U7" s="51"/>
      <c r="W7" s="8"/>
    </row>
    <row r="8" spans="1:23" x14ac:dyDescent="0.3">
      <c r="A8" s="1">
        <v>7</v>
      </c>
      <c r="B8">
        <v>231.6</v>
      </c>
      <c r="C8">
        <v>235.65</v>
      </c>
      <c r="D8">
        <v>230.785</v>
      </c>
      <c r="E8" t="str">
        <f t="shared" si="1"/>
        <v>Venta</v>
      </c>
      <c r="F8" t="str">
        <f t="shared" si="2"/>
        <v>Negativo</v>
      </c>
      <c r="G8" s="4">
        <f t="shared" si="3"/>
        <v>-1.7487046632124401E-2</v>
      </c>
      <c r="H8" s="4">
        <f t="shared" si="4"/>
        <v>3.5189982728842735E-3</v>
      </c>
      <c r="I8" s="47" t="str">
        <f t="shared" si="5"/>
        <v>Compra</v>
      </c>
      <c r="J8" s="47" t="str">
        <f t="shared" si="6"/>
        <v>VentaCompra</v>
      </c>
      <c r="K8" s="47"/>
      <c r="L8" s="47"/>
      <c r="N8" s="52"/>
      <c r="O8" s="47"/>
      <c r="P8" s="47" t="s">
        <v>227</v>
      </c>
      <c r="Q8" t="s">
        <v>228</v>
      </c>
      <c r="U8" s="53"/>
      <c r="W8" s="8"/>
    </row>
    <row r="9" spans="1:23" x14ac:dyDescent="0.3">
      <c r="A9" s="1">
        <v>8</v>
      </c>
      <c r="B9">
        <v>235.58</v>
      </c>
      <c r="C9">
        <v>238.535</v>
      </c>
      <c r="D9">
        <v>230.785</v>
      </c>
      <c r="E9" t="str">
        <f t="shared" si="1"/>
        <v>Venta</v>
      </c>
      <c r="F9" t="str">
        <f t="shared" si="2"/>
        <v>Negativo</v>
      </c>
      <c r="G9" s="4">
        <f t="shared" si="3"/>
        <v>-1.2543509635792444E-2</v>
      </c>
      <c r="H9" s="4">
        <f t="shared" si="4"/>
        <v>2.0354019865863042E-2</v>
      </c>
      <c r="I9" s="47" t="str">
        <f t="shared" si="5"/>
        <v>Compra</v>
      </c>
      <c r="J9" s="47" t="str">
        <f t="shared" si="6"/>
        <v>VentaCompra</v>
      </c>
      <c r="K9" s="47"/>
      <c r="L9" s="47"/>
      <c r="N9" s="52" t="s">
        <v>226</v>
      </c>
      <c r="O9" s="47" t="s">
        <v>227</v>
      </c>
      <c r="P9" s="47">
        <f>+COUNTIF(J:J,O9&amp;P8)</f>
        <v>47</v>
      </c>
      <c r="Q9">
        <f>+COUNTIF(J:J,O9&amp;Q8)</f>
        <v>29</v>
      </c>
      <c r="R9">
        <f>+Q9+P9</f>
        <v>76</v>
      </c>
      <c r="U9" s="53"/>
      <c r="W9" s="8"/>
    </row>
    <row r="10" spans="1:23" x14ac:dyDescent="0.3">
      <c r="A10" s="1">
        <v>9</v>
      </c>
      <c r="B10">
        <v>237.065</v>
      </c>
      <c r="C10">
        <v>239.19499999999999</v>
      </c>
      <c r="D10">
        <v>241.61500000000001</v>
      </c>
      <c r="E10" t="str">
        <f t="shared" si="1"/>
        <v>Compra</v>
      </c>
      <c r="F10" t="str">
        <f t="shared" si="2"/>
        <v>Positivo</v>
      </c>
      <c r="G10" s="4">
        <f t="shared" si="3"/>
        <v>8.9848775652247078E-3</v>
      </c>
      <c r="H10" s="4">
        <f t="shared" si="4"/>
        <v>1.9193048320081039E-2</v>
      </c>
      <c r="I10" s="47" t="str">
        <f t="shared" si="5"/>
        <v>Compra</v>
      </c>
      <c r="J10" s="47" t="str">
        <f t="shared" si="6"/>
        <v>CompraCompra</v>
      </c>
      <c r="K10" s="47"/>
      <c r="L10" s="47"/>
      <c r="N10" s="52"/>
      <c r="O10" s="47" t="s">
        <v>228</v>
      </c>
      <c r="P10" s="47">
        <f>+COUNTIF(J:J,O10&amp;P8)</f>
        <v>38</v>
      </c>
      <c r="Q10">
        <f>+COUNTIF(J:J,O10&amp;Q8)</f>
        <v>53</v>
      </c>
      <c r="R10">
        <f>+Q10+P10</f>
        <v>91</v>
      </c>
      <c r="S10">
        <f>+R10+R9</f>
        <v>167</v>
      </c>
      <c r="U10" s="53"/>
      <c r="W10" s="8"/>
    </row>
    <row r="11" spans="1:23" x14ac:dyDescent="0.3">
      <c r="A11" s="1">
        <v>10</v>
      </c>
      <c r="B11">
        <v>238.005</v>
      </c>
      <c r="C11">
        <v>240.43</v>
      </c>
      <c r="D11">
        <v>241.61500000000001</v>
      </c>
      <c r="E11" t="str">
        <f t="shared" si="1"/>
        <v>Compra</v>
      </c>
      <c r="F11" t="str">
        <f t="shared" si="2"/>
        <v>Positivo</v>
      </c>
      <c r="G11" s="4">
        <f t="shared" si="3"/>
        <v>1.0188861578538313E-2</v>
      </c>
      <c r="H11" s="4">
        <f t="shared" si="4"/>
        <v>1.5167748576710631E-2</v>
      </c>
      <c r="I11" s="47" t="str">
        <f t="shared" si="5"/>
        <v>Compra</v>
      </c>
      <c r="J11" s="47" t="str">
        <f t="shared" si="6"/>
        <v>CompraCompra</v>
      </c>
      <c r="K11" s="47"/>
      <c r="L11" s="47"/>
      <c r="N11" s="52"/>
      <c r="O11" s="47"/>
      <c r="P11" s="47">
        <f>+P10+P9</f>
        <v>85</v>
      </c>
      <c r="Q11" s="47">
        <f>+Q10+Q9</f>
        <v>82</v>
      </c>
      <c r="U11" s="53"/>
      <c r="W11" s="8"/>
    </row>
    <row r="12" spans="1:23" x14ac:dyDescent="0.3">
      <c r="A12" s="1">
        <v>11</v>
      </c>
      <c r="B12">
        <v>241.74</v>
      </c>
      <c r="C12">
        <v>235.81</v>
      </c>
      <c r="D12">
        <v>230.745</v>
      </c>
      <c r="E12" t="str">
        <f t="shared" si="1"/>
        <v>Venta</v>
      </c>
      <c r="F12" t="str">
        <f t="shared" si="2"/>
        <v>Positivo</v>
      </c>
      <c r="G12" s="4">
        <f t="shared" si="3"/>
        <v>2.4530487300405423E-2</v>
      </c>
      <c r="H12" s="4">
        <f t="shared" si="4"/>
        <v>4.5482750062050152E-2</v>
      </c>
      <c r="I12" s="47" t="str">
        <f t="shared" si="5"/>
        <v>Venta</v>
      </c>
      <c r="J12" s="47" t="str">
        <f t="shared" si="6"/>
        <v>VentaVenta</v>
      </c>
      <c r="K12" s="47"/>
      <c r="L12" s="47"/>
      <c r="N12" s="52"/>
      <c r="O12" s="47"/>
      <c r="P12" s="47"/>
      <c r="Q12">
        <f>+Q11+P11</f>
        <v>167</v>
      </c>
      <c r="U12" s="53">
        <f>+T13+T15</f>
        <v>100</v>
      </c>
      <c r="W12" s="8"/>
    </row>
    <row r="13" spans="1:23" x14ac:dyDescent="0.3">
      <c r="A13" s="1">
        <v>12</v>
      </c>
      <c r="B13">
        <v>234.41</v>
      </c>
      <c r="C13">
        <v>231.9</v>
      </c>
      <c r="D13">
        <v>237.125</v>
      </c>
      <c r="E13" t="str">
        <f t="shared" si="1"/>
        <v>Compra</v>
      </c>
      <c r="F13" t="str">
        <f t="shared" si="2"/>
        <v>Negativo</v>
      </c>
      <c r="G13" s="4">
        <f t="shared" si="3"/>
        <v>-1.0707734311676084E-2</v>
      </c>
      <c r="H13" s="4">
        <f t="shared" si="4"/>
        <v>1.1582270380956458E-2</v>
      </c>
      <c r="I13" s="47" t="str">
        <f t="shared" si="5"/>
        <v>Venta</v>
      </c>
      <c r="J13" s="47" t="str">
        <f t="shared" si="6"/>
        <v>CompraVenta</v>
      </c>
      <c r="K13" s="47"/>
      <c r="L13" s="47"/>
      <c r="N13" s="52"/>
      <c r="S13" t="s">
        <v>235</v>
      </c>
      <c r="T13">
        <f>+P9</f>
        <v>47</v>
      </c>
      <c r="U13" s="53"/>
      <c r="W13" s="8"/>
    </row>
    <row r="14" spans="1:23" x14ac:dyDescent="0.3">
      <c r="A14" s="1">
        <v>13</v>
      </c>
      <c r="B14">
        <v>234.94</v>
      </c>
      <c r="C14">
        <v>240.12</v>
      </c>
      <c r="D14">
        <v>242.10499999999999</v>
      </c>
      <c r="E14" t="str">
        <f t="shared" si="1"/>
        <v>Compra</v>
      </c>
      <c r="F14" t="str">
        <f t="shared" si="2"/>
        <v>Positivo</v>
      </c>
      <c r="G14" s="4">
        <f t="shared" si="3"/>
        <v>2.2048182514684631E-2</v>
      </c>
      <c r="H14" s="4">
        <f t="shared" si="4"/>
        <v>3.0497148208053087E-2</v>
      </c>
      <c r="I14" s="47" t="str">
        <f t="shared" si="5"/>
        <v>Compra</v>
      </c>
      <c r="J14" s="47" t="str">
        <f t="shared" si="6"/>
        <v>CompraCompra</v>
      </c>
      <c r="K14" s="47"/>
      <c r="L14" s="47"/>
      <c r="N14" s="52"/>
      <c r="O14" s="3" t="s">
        <v>231</v>
      </c>
      <c r="P14" s="54">
        <f>+(P9+Q10)/Q12</f>
        <v>0.59880239520958078</v>
      </c>
      <c r="Q14" s="31"/>
      <c r="S14" t="s">
        <v>238</v>
      </c>
      <c r="T14">
        <f>+Q9</f>
        <v>29</v>
      </c>
      <c r="U14" s="53"/>
      <c r="W14" s="8"/>
    </row>
    <row r="15" spans="1:23" x14ac:dyDescent="0.3">
      <c r="A15" s="1">
        <v>14</v>
      </c>
      <c r="B15">
        <v>240.935</v>
      </c>
      <c r="C15">
        <v>242.55</v>
      </c>
      <c r="D15">
        <v>247.28</v>
      </c>
      <c r="E15" t="str">
        <f t="shared" si="1"/>
        <v>Compra</v>
      </c>
      <c r="F15" t="str">
        <f t="shared" si="2"/>
        <v>Positivo</v>
      </c>
      <c r="G15" s="4">
        <f t="shared" si="3"/>
        <v>6.7030526905597319E-3</v>
      </c>
      <c r="H15" s="4">
        <f t="shared" si="4"/>
        <v>2.633490360470666E-2</v>
      </c>
      <c r="I15" s="47" t="str">
        <f t="shared" si="5"/>
        <v>Compra</v>
      </c>
      <c r="J15" s="47" t="str">
        <f t="shared" si="6"/>
        <v>CompraCompra</v>
      </c>
      <c r="K15" s="47"/>
      <c r="L15" s="47"/>
      <c r="N15" s="52"/>
      <c r="O15" s="31"/>
      <c r="P15" s="3" t="s">
        <v>227</v>
      </c>
      <c r="Q15" s="31" t="s">
        <v>228</v>
      </c>
      <c r="S15" t="s">
        <v>236</v>
      </c>
      <c r="T15">
        <f>+Q10</f>
        <v>53</v>
      </c>
      <c r="U15" s="53"/>
      <c r="W15" s="8"/>
    </row>
    <row r="16" spans="1:23" x14ac:dyDescent="0.3">
      <c r="A16" s="1">
        <v>15</v>
      </c>
      <c r="B16">
        <v>242.995</v>
      </c>
      <c r="C16">
        <v>242.08500000000001</v>
      </c>
      <c r="D16">
        <v>247.28</v>
      </c>
      <c r="E16" t="str">
        <f t="shared" si="1"/>
        <v>Compra</v>
      </c>
      <c r="F16" t="str">
        <f t="shared" si="2"/>
        <v>Negativo</v>
      </c>
      <c r="G16" s="4">
        <f t="shared" si="3"/>
        <v>-3.7449330233132226E-3</v>
      </c>
      <c r="H16" s="4">
        <f t="shared" si="4"/>
        <v>1.7634107697689239E-2</v>
      </c>
      <c r="I16" s="47" t="str">
        <f t="shared" si="5"/>
        <v>Venta</v>
      </c>
      <c r="J16" s="47" t="str">
        <f t="shared" si="6"/>
        <v>CompraVenta</v>
      </c>
      <c r="K16" s="47"/>
      <c r="L16" s="47"/>
      <c r="N16" s="52"/>
      <c r="O16" s="3" t="s">
        <v>232</v>
      </c>
      <c r="P16" s="54">
        <f>+P9/(P9+Q9)</f>
        <v>0.61842105263157898</v>
      </c>
      <c r="Q16" s="30">
        <f>+Q10/(Q10+P10)</f>
        <v>0.58241758241758246</v>
      </c>
      <c r="S16" t="s">
        <v>237</v>
      </c>
      <c r="T16">
        <f>+P10</f>
        <v>38</v>
      </c>
      <c r="U16" s="53"/>
      <c r="W16" s="8"/>
    </row>
    <row r="17" spans="1:44" x14ac:dyDescent="0.3">
      <c r="A17" s="1">
        <v>16</v>
      </c>
      <c r="B17">
        <v>234.03</v>
      </c>
      <c r="C17">
        <v>240.67500000000001</v>
      </c>
      <c r="D17">
        <v>247.28</v>
      </c>
      <c r="E17" t="str">
        <f t="shared" si="1"/>
        <v>Compra</v>
      </c>
      <c r="F17" t="str">
        <f t="shared" si="2"/>
        <v>Positivo</v>
      </c>
      <c r="G17" s="4">
        <f t="shared" si="3"/>
        <v>2.8393795667222194E-2</v>
      </c>
      <c r="H17" s="4">
        <f t="shared" si="4"/>
        <v>5.6616673076101354E-2</v>
      </c>
      <c r="I17" s="47" t="str">
        <f t="shared" si="5"/>
        <v>Compra</v>
      </c>
      <c r="J17" s="47" t="str">
        <f t="shared" si="6"/>
        <v>CompraCompra</v>
      </c>
      <c r="K17" s="47"/>
      <c r="L17" s="47"/>
      <c r="N17" s="52"/>
      <c r="O17" s="3" t="s">
        <v>233</v>
      </c>
      <c r="P17" s="54">
        <f>+P9/(P9+P10)</f>
        <v>0.55294117647058827</v>
      </c>
      <c r="Q17" s="30">
        <f>+Q10/(Q10+Q9)</f>
        <v>0.64634146341463417</v>
      </c>
      <c r="T17">
        <f>+SUM(T13:T16)</f>
        <v>167</v>
      </c>
      <c r="U17" s="53">
        <f>+T16+T14</f>
        <v>67</v>
      </c>
      <c r="W17" s="8"/>
    </row>
    <row r="18" spans="1:44" x14ac:dyDescent="0.3">
      <c r="A18" s="1">
        <v>17</v>
      </c>
      <c r="B18">
        <v>243.95500000000001</v>
      </c>
      <c r="C18">
        <v>248.07499999999999</v>
      </c>
      <c r="D18">
        <v>254.89</v>
      </c>
      <c r="E18" t="str">
        <f t="shared" si="1"/>
        <v>Compra</v>
      </c>
      <c r="F18" t="str">
        <f t="shared" si="2"/>
        <v>Positivo</v>
      </c>
      <c r="G18" s="4">
        <f t="shared" si="3"/>
        <v>1.6888360558299589E-2</v>
      </c>
      <c r="H18" s="4">
        <f t="shared" si="4"/>
        <v>4.4823840462380249E-2</v>
      </c>
      <c r="I18" s="47" t="str">
        <f t="shared" si="5"/>
        <v>Compra</v>
      </c>
      <c r="J18" s="47" t="str">
        <f t="shared" si="6"/>
        <v>CompraCompra</v>
      </c>
      <c r="K18" s="47"/>
      <c r="L18" s="47"/>
      <c r="N18" s="55"/>
      <c r="O18" s="56" t="s">
        <v>234</v>
      </c>
      <c r="P18" s="57">
        <f>2*P16*P17/(P16+P17)</f>
        <v>0.58385093167701863</v>
      </c>
      <c r="Q18" s="57">
        <f>2*Q16*Q17/(Q16+Q17)</f>
        <v>0.61271676300578037</v>
      </c>
      <c r="R18" s="58"/>
      <c r="S18" s="58"/>
      <c r="T18" s="58"/>
      <c r="U18" s="59"/>
      <c r="W18" s="8"/>
    </row>
    <row r="19" spans="1:44" x14ac:dyDescent="0.3">
      <c r="A19" s="1">
        <v>18</v>
      </c>
      <c r="B19">
        <v>248.755</v>
      </c>
      <c r="C19">
        <v>248.23500000000001</v>
      </c>
      <c r="D19">
        <v>254.89</v>
      </c>
      <c r="E19" t="str">
        <f t="shared" si="1"/>
        <v>Compra</v>
      </c>
      <c r="F19" t="str">
        <f t="shared" si="2"/>
        <v>Negativo</v>
      </c>
      <c r="G19" s="4">
        <f t="shared" si="3"/>
        <v>-2.0904102430101177E-3</v>
      </c>
      <c r="H19" s="4">
        <f t="shared" si="4"/>
        <v>2.4662820847822117E-2</v>
      </c>
      <c r="I19" s="47" t="str">
        <f t="shared" si="5"/>
        <v>Venta</v>
      </c>
      <c r="J19" s="47" t="str">
        <f t="shared" si="6"/>
        <v>CompraVenta</v>
      </c>
      <c r="K19" s="47"/>
      <c r="L19" s="47"/>
      <c r="N19" s="47"/>
      <c r="O19" s="47"/>
      <c r="P19" s="47"/>
      <c r="Q19">
        <v>252</v>
      </c>
      <c r="W19" s="8"/>
    </row>
    <row r="20" spans="1:44" x14ac:dyDescent="0.3">
      <c r="A20" s="1">
        <v>19</v>
      </c>
      <c r="B20">
        <v>244.285</v>
      </c>
      <c r="C20">
        <v>242.83500000000001</v>
      </c>
      <c r="D20">
        <v>254.89</v>
      </c>
      <c r="E20" t="str">
        <f t="shared" si="1"/>
        <v>Compra</v>
      </c>
      <c r="F20" t="str">
        <f t="shared" si="2"/>
        <v>Negativo</v>
      </c>
      <c r="G20" s="4">
        <f t="shared" si="3"/>
        <v>-5.9356898704381713E-3</v>
      </c>
      <c r="H20" s="4">
        <f t="shared" si="4"/>
        <v>4.3412407638618783E-2</v>
      </c>
      <c r="I20" s="47" t="str">
        <f t="shared" si="5"/>
        <v>Venta</v>
      </c>
      <c r="J20" s="47" t="str">
        <f t="shared" si="6"/>
        <v>CompraVenta</v>
      </c>
      <c r="K20" s="47"/>
      <c r="L20" s="47"/>
      <c r="N20" s="47"/>
      <c r="O20" s="47"/>
      <c r="P20" s="47"/>
      <c r="Q20" s="10">
        <f>+'Flujo de caja'!J169</f>
        <v>145822.41108548766</v>
      </c>
      <c r="R20" s="10">
        <f>+'Flujo de caja'!L169</f>
        <v>156075.22826252988</v>
      </c>
      <c r="U20" s="10">
        <f>+'Flujo de caja'!O169</f>
        <v>112788.41108548761</v>
      </c>
      <c r="V20" s="10">
        <f>+'Flujo de caja'!Q169</f>
        <v>112133.50496488217</v>
      </c>
      <c r="W20" s="8"/>
      <c r="X20" s="8" t="s">
        <v>285</v>
      </c>
      <c r="Y20" s="8" t="s">
        <v>285</v>
      </c>
      <c r="Z20" s="8" t="s">
        <v>285</v>
      </c>
      <c r="AA20" s="8" t="s">
        <v>286</v>
      </c>
      <c r="AB20" s="8" t="s">
        <v>286</v>
      </c>
      <c r="AC20" s="8" t="s">
        <v>286</v>
      </c>
    </row>
    <row r="21" spans="1:44" x14ac:dyDescent="0.3">
      <c r="A21" s="1">
        <v>20</v>
      </c>
      <c r="B21">
        <v>243.58</v>
      </c>
      <c r="C21">
        <v>247.83500000000001</v>
      </c>
      <c r="D21">
        <v>254.89</v>
      </c>
      <c r="E21" t="str">
        <f t="shared" si="1"/>
        <v>Compra</v>
      </c>
      <c r="F21" t="str">
        <f t="shared" si="2"/>
        <v>Positivo</v>
      </c>
      <c r="G21" s="4">
        <f t="shared" si="3"/>
        <v>1.7468593480581308E-2</v>
      </c>
      <c r="H21" s="4">
        <f t="shared" si="4"/>
        <v>4.6432383611133811E-2</v>
      </c>
      <c r="I21" s="47" t="str">
        <f t="shared" si="5"/>
        <v>Compra</v>
      </c>
      <c r="J21" s="47" t="str">
        <f t="shared" si="6"/>
        <v>CompraCompra</v>
      </c>
      <c r="K21" s="47"/>
      <c r="L21" s="47"/>
      <c r="N21" s="60"/>
      <c r="O21" s="61" t="s">
        <v>212</v>
      </c>
      <c r="P21" s="61" t="s">
        <v>198</v>
      </c>
      <c r="Q21" s="61" t="s">
        <v>9</v>
      </c>
      <c r="R21" s="61" t="s">
        <v>10</v>
      </c>
      <c r="S21" s="70" t="s">
        <v>212</v>
      </c>
      <c r="T21" s="61" t="s">
        <v>198</v>
      </c>
      <c r="U21" s="61" t="s">
        <v>9</v>
      </c>
      <c r="V21" s="71" t="s">
        <v>10</v>
      </c>
      <c r="W21" s="66" t="s">
        <v>231</v>
      </c>
      <c r="X21" s="66" t="s">
        <v>232</v>
      </c>
      <c r="Y21" s="66" t="s">
        <v>233</v>
      </c>
      <c r="Z21" s="66" t="s">
        <v>234</v>
      </c>
      <c r="AA21" s="66" t="s">
        <v>232</v>
      </c>
      <c r="AB21" s="66" t="s">
        <v>233</v>
      </c>
      <c r="AC21" s="67" t="s">
        <v>234</v>
      </c>
      <c r="AD21" s="31" t="s">
        <v>298</v>
      </c>
      <c r="AE21" s="31" t="s">
        <v>299</v>
      </c>
      <c r="AF21" s="31" t="s">
        <v>300</v>
      </c>
      <c r="AG21" s="31" t="s">
        <v>301</v>
      </c>
      <c r="AH21" s="31" t="s">
        <v>302</v>
      </c>
      <c r="AI21" s="31"/>
    </row>
    <row r="22" spans="1:44" x14ac:dyDescent="0.3">
      <c r="A22" s="1">
        <v>21</v>
      </c>
      <c r="B22">
        <v>247.875</v>
      </c>
      <c r="C22">
        <v>252.72499999999999</v>
      </c>
      <c r="D22">
        <v>254.89</v>
      </c>
      <c r="E22" t="str">
        <f t="shared" si="1"/>
        <v>Compra</v>
      </c>
      <c r="F22" t="str">
        <f t="shared" si="2"/>
        <v>Positivo</v>
      </c>
      <c r="G22" s="4">
        <f t="shared" si="3"/>
        <v>1.9566313666162356E-2</v>
      </c>
      <c r="H22" s="4">
        <f t="shared" si="4"/>
        <v>2.830055471507811E-2</v>
      </c>
      <c r="I22" s="47" t="str">
        <f t="shared" si="5"/>
        <v>Compra</v>
      </c>
      <c r="J22" s="47" t="str">
        <f t="shared" si="6"/>
        <v>CompraCompra</v>
      </c>
      <c r="K22" s="47"/>
      <c r="L22" s="47"/>
      <c r="N22" s="62"/>
      <c r="O22" s="32">
        <v>0</v>
      </c>
      <c r="P22" s="32">
        <v>0</v>
      </c>
      <c r="Q22" s="34">
        <f>+(Q20-'Flujo de caja'!A2)/'Flujo de caja'!A2</f>
        <v>0.45822411085487663</v>
      </c>
      <c r="R22" s="34">
        <f>+(R20-'Flujo de caja'!A2)/'Flujo de caja'!A2</f>
        <v>0.56075228262529886</v>
      </c>
      <c r="S22" s="72">
        <v>6</v>
      </c>
      <c r="T22" s="63">
        <v>1.9300000000000001E-3</v>
      </c>
      <c r="U22" s="34">
        <f>+(U20-'Flujo de caja'!A2)/'Flujo de caja'!A2</f>
        <v>0.12788411085487605</v>
      </c>
      <c r="V22" s="64">
        <f>+(V20-'Flujo de caja'!A2)/'Flujo de caja'!A2</f>
        <v>0.12133504964882173</v>
      </c>
      <c r="W22" s="4">
        <f>+P14</f>
        <v>0.59880239520958078</v>
      </c>
      <c r="X22" s="76">
        <f>+P16</f>
        <v>0.61842105263157898</v>
      </c>
      <c r="Y22" s="77">
        <f>+P17</f>
        <v>0.55294117647058827</v>
      </c>
      <c r="Z22" s="77">
        <f>+P18</f>
        <v>0.58385093167701863</v>
      </c>
      <c r="AA22" s="77">
        <f>+Q16</f>
        <v>0.58241758241758246</v>
      </c>
      <c r="AB22" s="77">
        <f>+Q17</f>
        <v>0.64634146341463417</v>
      </c>
      <c r="AC22" s="78">
        <f>+Q18</f>
        <v>0.61271676300578037</v>
      </c>
    </row>
    <row r="23" spans="1:44" x14ac:dyDescent="0.3">
      <c r="A23" s="1">
        <v>22</v>
      </c>
      <c r="B23">
        <v>259.17500000000001</v>
      </c>
      <c r="C23">
        <v>264.63499999999999</v>
      </c>
      <c r="D23">
        <v>254.89</v>
      </c>
      <c r="E23" t="str">
        <f t="shared" si="1"/>
        <v>Venta</v>
      </c>
      <c r="F23" t="str">
        <f t="shared" si="2"/>
        <v>Negativo</v>
      </c>
      <c r="G23" s="4">
        <f t="shared" si="3"/>
        <v>-2.1066846725185606E-2</v>
      </c>
      <c r="H23" s="4">
        <f t="shared" si="4"/>
        <v>1.6533230442751134E-2</v>
      </c>
      <c r="I23" s="47" t="str">
        <f t="shared" si="5"/>
        <v>Compra</v>
      </c>
      <c r="J23" s="47" t="str">
        <f t="shared" si="6"/>
        <v>VentaCompra</v>
      </c>
      <c r="K23" s="47"/>
      <c r="L23" s="47"/>
      <c r="N23" s="52"/>
      <c r="O23" s="61" t="s">
        <v>212</v>
      </c>
      <c r="P23" s="61" t="s">
        <v>198</v>
      </c>
      <c r="Q23" s="61" t="s">
        <v>9</v>
      </c>
      <c r="R23" s="61" t="s">
        <v>10</v>
      </c>
      <c r="S23" s="70" t="s">
        <v>212</v>
      </c>
      <c r="T23" s="61" t="s">
        <v>198</v>
      </c>
      <c r="U23" s="61" t="s">
        <v>9</v>
      </c>
      <c r="V23" s="71" t="s">
        <v>10</v>
      </c>
      <c r="W23" s="66" t="s">
        <v>231</v>
      </c>
      <c r="X23" s="66" t="s">
        <v>232</v>
      </c>
      <c r="Y23" s="66" t="s">
        <v>233</v>
      </c>
      <c r="Z23" s="66" t="s">
        <v>234</v>
      </c>
      <c r="AA23" s="66" t="s">
        <v>232</v>
      </c>
      <c r="AB23" s="66" t="s">
        <v>233</v>
      </c>
      <c r="AC23" s="67" t="s">
        <v>234</v>
      </c>
      <c r="AD23" s="31" t="s">
        <v>298</v>
      </c>
      <c r="AE23" s="31" t="s">
        <v>299</v>
      </c>
      <c r="AF23" s="31" t="s">
        <v>300</v>
      </c>
      <c r="AG23" s="31" t="s">
        <v>301</v>
      </c>
      <c r="AH23" s="31" t="s">
        <v>302</v>
      </c>
      <c r="AK23" s="69"/>
      <c r="AL23" s="69"/>
      <c r="AM23" s="69"/>
      <c r="AN23" s="69"/>
      <c r="AO23" s="69"/>
      <c r="AP23" s="31"/>
      <c r="AQ23" s="31"/>
      <c r="AR23" s="31"/>
    </row>
    <row r="24" spans="1:44" x14ac:dyDescent="0.3">
      <c r="A24" s="1">
        <v>23</v>
      </c>
      <c r="B24">
        <v>259.58</v>
      </c>
      <c r="C24">
        <v>258.37</v>
      </c>
      <c r="D24">
        <v>256.98500000000001</v>
      </c>
      <c r="E24" t="str">
        <f t="shared" si="1"/>
        <v>Venta</v>
      </c>
      <c r="F24" t="str">
        <f t="shared" si="2"/>
        <v>Positivo</v>
      </c>
      <c r="G24" s="4">
        <f t="shared" si="3"/>
        <v>4.661376069034516E-3</v>
      </c>
      <c r="H24" s="4">
        <f t="shared" si="4"/>
        <v>9.9969180984666416E-3</v>
      </c>
      <c r="I24" s="47" t="str">
        <f t="shared" si="5"/>
        <v>Venta</v>
      </c>
      <c r="J24" s="47" t="str">
        <f t="shared" si="6"/>
        <v>VentaVenta</v>
      </c>
      <c r="K24" s="47"/>
      <c r="L24" s="47"/>
      <c r="N24" s="52" t="s">
        <v>260</v>
      </c>
      <c r="O24" s="32">
        <v>0</v>
      </c>
      <c r="P24" s="32">
        <v>0</v>
      </c>
      <c r="Q24" s="34">
        <v>0.23385871001429767</v>
      </c>
      <c r="R24" s="34">
        <v>0.22800622001934157</v>
      </c>
      <c r="S24" s="72">
        <v>6</v>
      </c>
      <c r="T24" s="63">
        <v>1.5900000000000001E-3</v>
      </c>
      <c r="U24" s="34">
        <v>-0.17534128998570203</v>
      </c>
      <c r="V24" s="64">
        <v>-0.18770239138463729</v>
      </c>
      <c r="W24" s="4">
        <v>0.54618473895582331</v>
      </c>
      <c r="X24" s="76">
        <v>0.58878504672897192</v>
      </c>
      <c r="Y24" s="77">
        <v>0.47727272727272729</v>
      </c>
      <c r="Z24" s="77">
        <v>0.52719665271966532</v>
      </c>
      <c r="AA24" s="77">
        <v>0.5140845070422535</v>
      </c>
      <c r="AB24" s="77">
        <v>0.62393162393162394</v>
      </c>
      <c r="AC24" s="78">
        <v>0.56370656370656369</v>
      </c>
      <c r="AD24">
        <v>2.6397490978266358</v>
      </c>
      <c r="AE24">
        <v>1.195052736186399</v>
      </c>
      <c r="AF24">
        <v>1.1967096092270891E-2</v>
      </c>
      <c r="AG24">
        <v>0.95737436845234314</v>
      </c>
      <c r="AH24">
        <v>0.95502634637556538</v>
      </c>
      <c r="AI24" s="22">
        <v>2.6397490978266358</v>
      </c>
    </row>
    <row r="25" spans="1:44" x14ac:dyDescent="0.3">
      <c r="A25" s="1">
        <v>24</v>
      </c>
      <c r="B25">
        <v>256.78500000000003</v>
      </c>
      <c r="C25">
        <v>256.91000000000003</v>
      </c>
      <c r="D25">
        <v>256.98500000000001</v>
      </c>
      <c r="E25" t="str">
        <f t="shared" si="1"/>
        <v>Compra</v>
      </c>
      <c r="F25" t="str">
        <f t="shared" si="2"/>
        <v>Positivo</v>
      </c>
      <c r="G25" s="4">
        <f t="shared" si="3"/>
        <v>4.8678855852172045E-4</v>
      </c>
      <c r="H25" s="4">
        <f t="shared" si="4"/>
        <v>7.7886169363470842E-4</v>
      </c>
      <c r="I25" s="47" t="str">
        <f t="shared" si="5"/>
        <v>Compra</v>
      </c>
      <c r="J25" s="47" t="str">
        <f t="shared" si="6"/>
        <v>CompraCompra</v>
      </c>
      <c r="K25" s="47"/>
      <c r="L25" s="47"/>
      <c r="N25" s="52" t="s">
        <v>261</v>
      </c>
      <c r="O25" s="32">
        <v>0</v>
      </c>
      <c r="P25" s="32">
        <v>0</v>
      </c>
      <c r="Q25" s="34">
        <v>0.19766052111490717</v>
      </c>
      <c r="R25" s="34">
        <v>0.18363786735109694</v>
      </c>
      <c r="S25" s="72">
        <v>6</v>
      </c>
      <c r="T25" s="63">
        <v>1.5900000000000001E-3</v>
      </c>
      <c r="U25" s="34">
        <v>-0.21153947888509284</v>
      </c>
      <c r="V25" s="64">
        <v>-0.21812489035278093</v>
      </c>
      <c r="W25" s="4">
        <v>0.50200803212851408</v>
      </c>
      <c r="X25" s="76">
        <v>0.53125</v>
      </c>
      <c r="Y25" s="77">
        <v>0.51515151515151514</v>
      </c>
      <c r="Z25" s="77">
        <v>0.52307692307692311</v>
      </c>
      <c r="AA25" s="77">
        <v>0.47107438016528924</v>
      </c>
      <c r="AB25" s="77">
        <v>0.48717948717948717</v>
      </c>
      <c r="AC25" s="78">
        <v>0.47899159663865543</v>
      </c>
      <c r="AD25">
        <v>87155.145944369942</v>
      </c>
      <c r="AE25">
        <v>95.623664325647383</v>
      </c>
      <c r="AF25">
        <v>0.9185083681661993</v>
      </c>
      <c r="AG25">
        <v>-1406.347062478646</v>
      </c>
      <c r="AH25">
        <v>-1483.8704176151821</v>
      </c>
      <c r="AI25" s="22">
        <v>315.5331768750151</v>
      </c>
    </row>
    <row r="26" spans="1:44" x14ac:dyDescent="0.3">
      <c r="A26" s="1">
        <v>25</v>
      </c>
      <c r="B26">
        <v>260.48</v>
      </c>
      <c r="C26">
        <v>267.60000000000002</v>
      </c>
      <c r="D26">
        <v>258.43</v>
      </c>
      <c r="E26" t="str">
        <f t="shared" si="1"/>
        <v>Venta</v>
      </c>
      <c r="F26" t="str">
        <f t="shared" si="2"/>
        <v>Negativo</v>
      </c>
      <c r="G26" s="4">
        <f t="shared" si="3"/>
        <v>-2.7334152334152349E-2</v>
      </c>
      <c r="H26" s="4">
        <f t="shared" si="4"/>
        <v>7.8700859950860385E-3</v>
      </c>
      <c r="I26" s="47" t="str">
        <f t="shared" si="5"/>
        <v>Compra</v>
      </c>
      <c r="J26" s="47" t="str">
        <f t="shared" si="6"/>
        <v>VentaCompra</v>
      </c>
      <c r="K26" s="47"/>
      <c r="L26" s="47"/>
      <c r="N26" s="52" t="s">
        <v>262</v>
      </c>
      <c r="O26" s="32">
        <v>0</v>
      </c>
      <c r="P26" s="32">
        <v>0</v>
      </c>
      <c r="Q26" s="34">
        <v>0.13893076332944504</v>
      </c>
      <c r="R26" s="34">
        <v>0.11485277175184441</v>
      </c>
      <c r="S26" s="72">
        <v>6</v>
      </c>
      <c r="T26" s="63">
        <v>1.5900000000000001E-3</v>
      </c>
      <c r="U26" s="34">
        <v>-0.27026923667055514</v>
      </c>
      <c r="V26" s="64">
        <v>-0.26492913436706367</v>
      </c>
      <c r="W26" s="4">
        <v>0.46987951807228917</v>
      </c>
      <c r="X26" s="76" t="e">
        <v>#DIV/0!</v>
      </c>
      <c r="Y26" s="77">
        <v>0</v>
      </c>
      <c r="Z26" s="77" t="e">
        <v>#DIV/0!</v>
      </c>
      <c r="AA26" s="77">
        <v>0.46987951807228917</v>
      </c>
      <c r="AB26" s="77">
        <v>1</v>
      </c>
      <c r="AC26" s="78">
        <v>0.63934426229508201</v>
      </c>
      <c r="AD26">
        <v>952.25942094007473</v>
      </c>
      <c r="AE26">
        <v>29.60874363721733</v>
      </c>
      <c r="AF26">
        <v>0.28804307370614662</v>
      </c>
      <c r="AG26">
        <v>-14.37671108522999</v>
      </c>
      <c r="AH26">
        <v>-15.22373330602656</v>
      </c>
      <c r="AI26" s="22">
        <v>636.50653772844919</v>
      </c>
    </row>
    <row r="27" spans="1:44" x14ac:dyDescent="0.3">
      <c r="A27" s="1">
        <v>26</v>
      </c>
      <c r="B27">
        <v>273.005</v>
      </c>
      <c r="C27">
        <v>266.86500000000001</v>
      </c>
      <c r="D27">
        <v>261.005</v>
      </c>
      <c r="E27" t="str">
        <f t="shared" si="1"/>
        <v>Venta</v>
      </c>
      <c r="F27" t="str">
        <f t="shared" si="2"/>
        <v>Positivo</v>
      </c>
      <c r="G27" s="4">
        <f t="shared" si="3"/>
        <v>2.2490430578194488E-2</v>
      </c>
      <c r="H27" s="4">
        <f t="shared" si="4"/>
        <v>4.3955238915038185E-2</v>
      </c>
      <c r="I27" s="47" t="str">
        <f t="shared" si="5"/>
        <v>Venta</v>
      </c>
      <c r="J27" s="47" t="str">
        <f t="shared" si="6"/>
        <v>VentaVenta</v>
      </c>
      <c r="K27" s="47"/>
      <c r="L27" s="47"/>
      <c r="N27" s="52" t="s">
        <v>263</v>
      </c>
      <c r="O27" s="32">
        <v>0</v>
      </c>
      <c r="P27" s="32">
        <v>0</v>
      </c>
      <c r="Q27" s="34">
        <v>0.17820778800792933</v>
      </c>
      <c r="R27" s="34">
        <v>0.16011731717056943</v>
      </c>
      <c r="S27" s="72">
        <v>6</v>
      </c>
      <c r="T27" s="63">
        <v>1.5900000000000001E-3</v>
      </c>
      <c r="U27" s="34">
        <v>-0.23099221199207082</v>
      </c>
      <c r="V27" s="64">
        <v>-0.23442085324090933</v>
      </c>
      <c r="W27" s="4">
        <v>0.47389558232931728</v>
      </c>
      <c r="X27" s="76">
        <v>1</v>
      </c>
      <c r="Y27" s="77">
        <v>7.575757575757576E-3</v>
      </c>
      <c r="Z27" s="77">
        <v>1.5037593984962407E-2</v>
      </c>
      <c r="AA27" s="77">
        <v>0.47177419354838712</v>
      </c>
      <c r="AB27" s="77">
        <v>1</v>
      </c>
      <c r="AC27" s="78">
        <v>0.64109589041095894</v>
      </c>
      <c r="AD27">
        <v>266.80331100100028</v>
      </c>
      <c r="AE27">
        <v>14.37165000000001</v>
      </c>
      <c r="AF27">
        <v>0.1369823873365778</v>
      </c>
      <c r="AG27">
        <v>-3.3082350666534568</v>
      </c>
      <c r="AH27">
        <v>-3.5455530999860629</v>
      </c>
      <c r="AI27" s="22">
        <v>266.80331100100028</v>
      </c>
      <c r="AJ27" s="22" t="s">
        <v>301</v>
      </c>
      <c r="AK27" s="22" t="s">
        <v>358</v>
      </c>
      <c r="AL27" s="89" t="s">
        <v>351</v>
      </c>
      <c r="AM27" s="89" t="s">
        <v>352</v>
      </c>
      <c r="AN27" s="89" t="s">
        <v>215</v>
      </c>
      <c r="AO27" s="89" t="s">
        <v>353</v>
      </c>
      <c r="AP27" s="89" t="s">
        <v>354</v>
      </c>
    </row>
    <row r="28" spans="1:44" x14ac:dyDescent="0.3">
      <c r="A28" s="1">
        <v>27</v>
      </c>
      <c r="B28">
        <v>273.88</v>
      </c>
      <c r="C28">
        <v>263.625</v>
      </c>
      <c r="D28">
        <v>261.04500000000002</v>
      </c>
      <c r="E28" t="str">
        <f t="shared" si="1"/>
        <v>Venta</v>
      </c>
      <c r="F28" t="str">
        <f t="shared" si="2"/>
        <v>Positivo</v>
      </c>
      <c r="G28" s="4">
        <f t="shared" si="3"/>
        <v>3.7443405871184443E-2</v>
      </c>
      <c r="H28" s="4">
        <f t="shared" si="4"/>
        <v>4.6863589893383892E-2</v>
      </c>
      <c r="I28" s="47" t="str">
        <f t="shared" si="5"/>
        <v>Venta</v>
      </c>
      <c r="J28" s="47" t="str">
        <f t="shared" si="6"/>
        <v>VentaVenta</v>
      </c>
      <c r="K28" s="47"/>
      <c r="L28" s="47"/>
      <c r="N28" s="52" t="s">
        <v>264</v>
      </c>
      <c r="O28" s="32">
        <v>0</v>
      </c>
      <c r="P28" s="32">
        <v>0</v>
      </c>
      <c r="Q28" s="34">
        <v>0.13893076332944504</v>
      </c>
      <c r="R28" s="34">
        <v>0.11485277175184441</v>
      </c>
      <c r="S28" s="72">
        <v>6</v>
      </c>
      <c r="T28" s="63">
        <v>1.5900000000000001E-3</v>
      </c>
      <c r="U28" s="34">
        <v>-0.27026923667055514</v>
      </c>
      <c r="V28" s="64">
        <v>-0.26492913436706367</v>
      </c>
      <c r="W28" s="4">
        <v>0.46987951807228917</v>
      </c>
      <c r="X28" s="76" t="e">
        <v>#DIV/0!</v>
      </c>
      <c r="Y28" s="77">
        <v>0</v>
      </c>
      <c r="Z28" s="77" t="e">
        <v>#DIV/0!</v>
      </c>
      <c r="AA28" s="77">
        <v>0.46987951807228917</v>
      </c>
      <c r="AB28" s="77">
        <v>1</v>
      </c>
      <c r="AC28" s="78">
        <v>0.63934426229508201</v>
      </c>
      <c r="AD28">
        <v>282.8768097473461</v>
      </c>
      <c r="AE28">
        <v>14.910928900000039</v>
      </c>
      <c r="AF28">
        <v>0.14233213979152709</v>
      </c>
      <c r="AG28">
        <v>-3.5677836107963659</v>
      </c>
      <c r="AH28">
        <v>-3.8193988096961662</v>
      </c>
      <c r="AI28" s="22">
        <v>266.80331100100028</v>
      </c>
      <c r="AK28" s="89" t="s">
        <v>357</v>
      </c>
      <c r="AL28" s="89" t="s">
        <v>351</v>
      </c>
      <c r="AM28" s="89" t="s">
        <v>352</v>
      </c>
      <c r="AN28" s="89" t="s">
        <v>215</v>
      </c>
      <c r="AO28" s="89" t="s">
        <v>353</v>
      </c>
      <c r="AP28" s="89" t="s">
        <v>354</v>
      </c>
    </row>
    <row r="29" spans="1:44" x14ac:dyDescent="0.3">
      <c r="A29" s="1">
        <v>28</v>
      </c>
      <c r="B29">
        <v>261.89</v>
      </c>
      <c r="C29">
        <v>263.10000000000002</v>
      </c>
      <c r="D29">
        <v>261.04500000000002</v>
      </c>
      <c r="E29" t="str">
        <f t="shared" si="1"/>
        <v>Venta</v>
      </c>
      <c r="F29" t="str">
        <f t="shared" si="2"/>
        <v>Negativo</v>
      </c>
      <c r="G29" s="4">
        <f t="shared" si="3"/>
        <v>-4.6202604146780577E-3</v>
      </c>
      <c r="H29" s="4">
        <f t="shared" si="4"/>
        <v>3.2265454962005823E-3</v>
      </c>
      <c r="I29" s="47" t="str">
        <f t="shared" si="5"/>
        <v>Compra</v>
      </c>
      <c r="J29" s="47" t="str">
        <f t="shared" si="6"/>
        <v>VentaCompra</v>
      </c>
      <c r="K29" s="47"/>
      <c r="L29" s="47"/>
      <c r="M29" s="47" t="s">
        <v>304</v>
      </c>
      <c r="N29" s="52" t="s">
        <v>260</v>
      </c>
      <c r="O29" s="32">
        <v>0</v>
      </c>
      <c r="P29" s="32">
        <v>0</v>
      </c>
      <c r="Q29" s="34">
        <v>0.23385871001429767</v>
      </c>
      <c r="R29" s="34">
        <v>0.22800622001934157</v>
      </c>
      <c r="S29" s="72">
        <v>6</v>
      </c>
      <c r="T29" s="63">
        <v>1.5900000000000001E-3</v>
      </c>
      <c r="U29" s="34">
        <v>-0.17534128998570203</v>
      </c>
      <c r="V29" s="64">
        <v>-0.18770239138463729</v>
      </c>
      <c r="W29" s="4">
        <v>0.54618473895582331</v>
      </c>
      <c r="X29" s="76">
        <v>0.58878504672897192</v>
      </c>
      <c r="Y29" s="77">
        <v>0.47727272727272729</v>
      </c>
      <c r="Z29" s="77">
        <v>0.52719665271966532</v>
      </c>
      <c r="AA29" s="77">
        <v>0.5140845070422535</v>
      </c>
      <c r="AB29" s="77">
        <v>0.62393162393162394</v>
      </c>
      <c r="AC29" s="78">
        <v>0.56370656370656369</v>
      </c>
      <c r="AD29">
        <v>2.6397490978267748</v>
      </c>
      <c r="AE29">
        <v>9.1287948727464112</v>
      </c>
      <c r="AF29">
        <v>9.112981267681429E-2</v>
      </c>
      <c r="AG29">
        <v>0.95737436845234092</v>
      </c>
      <c r="AH29">
        <v>0.95502634637556305</v>
      </c>
      <c r="AI29" s="22">
        <v>1.5842258329850609</v>
      </c>
      <c r="AK29" s="89" t="s">
        <v>255</v>
      </c>
      <c r="AL29" s="88">
        <v>0.95502634637556538</v>
      </c>
      <c r="AM29" s="88">
        <v>-4.3757684074891339</v>
      </c>
      <c r="AN29" s="88">
        <v>-9.8442217410191759</v>
      </c>
      <c r="AO29" s="88">
        <v>-3.5455530999860629</v>
      </c>
      <c r="AP29" s="88">
        <v>-3.5455530999860629</v>
      </c>
    </row>
    <row r="30" spans="1:44" x14ac:dyDescent="0.3">
      <c r="A30" s="1">
        <v>29</v>
      </c>
      <c r="B30">
        <v>267.51499999999999</v>
      </c>
      <c r="C30">
        <v>271.34500000000003</v>
      </c>
      <c r="D30">
        <v>261.67500000000001</v>
      </c>
      <c r="E30" t="str">
        <f t="shared" si="1"/>
        <v>Venta</v>
      </c>
      <c r="F30" t="str">
        <f t="shared" si="2"/>
        <v>Negativo</v>
      </c>
      <c r="G30" s="4">
        <f t="shared" si="3"/>
        <v>-1.4316954189484855E-2</v>
      </c>
      <c r="H30" s="4">
        <f t="shared" si="4"/>
        <v>2.1830551557856476E-2</v>
      </c>
      <c r="I30" s="47" t="str">
        <f t="shared" si="5"/>
        <v>Compra</v>
      </c>
      <c r="J30" s="47" t="str">
        <f t="shared" si="6"/>
        <v>VentaCompra</v>
      </c>
      <c r="K30" s="47"/>
      <c r="L30" s="47"/>
      <c r="M30" s="47" t="s">
        <v>304</v>
      </c>
      <c r="N30" s="52" t="s">
        <v>261</v>
      </c>
      <c r="O30" s="32">
        <v>0</v>
      </c>
      <c r="P30" s="32">
        <v>0</v>
      </c>
      <c r="Q30" s="34">
        <v>0.13893076332944504</v>
      </c>
      <c r="R30" s="34">
        <v>0.11485277175184441</v>
      </c>
      <c r="S30" s="72">
        <v>6</v>
      </c>
      <c r="T30" s="63">
        <v>1.5900000000000001E-3</v>
      </c>
      <c r="U30" s="34">
        <v>-0.27026923667055514</v>
      </c>
      <c r="V30" s="64">
        <v>-0.26492913436706367</v>
      </c>
      <c r="W30" s="4">
        <v>0.46987951807228917</v>
      </c>
      <c r="X30" s="76" t="e">
        <v>#DIV/0!</v>
      </c>
      <c r="Y30" s="77">
        <v>0</v>
      </c>
      <c r="Z30" s="77" t="e">
        <v>#DIV/0!</v>
      </c>
      <c r="AA30" s="77">
        <v>0.46987951807228917</v>
      </c>
      <c r="AB30" s="77">
        <v>1</v>
      </c>
      <c r="AC30" s="78">
        <v>0.63934426229508201</v>
      </c>
      <c r="AD30">
        <v>315.5331768750151</v>
      </c>
      <c r="AE30">
        <v>15.83446300552777</v>
      </c>
      <c r="AF30">
        <v>0.15387052020733691</v>
      </c>
      <c r="AG30">
        <v>-4.0951057998692191</v>
      </c>
      <c r="AH30">
        <v>-4.3757684074891339</v>
      </c>
      <c r="AI30" s="22">
        <v>315.5331768750151</v>
      </c>
      <c r="AK30" s="89" t="s">
        <v>256</v>
      </c>
      <c r="AL30" s="88">
        <v>0.99235661805084097</v>
      </c>
      <c r="AM30" s="88">
        <v>0.35549762830979348</v>
      </c>
      <c r="AN30" s="88">
        <v>-3.6496473367027571</v>
      </c>
      <c r="AO30" s="88">
        <v>-1.3141652152877039</v>
      </c>
      <c r="AP30" s="88">
        <v>-1.305909504421336</v>
      </c>
    </row>
    <row r="31" spans="1:44" x14ac:dyDescent="0.3">
      <c r="A31" s="1">
        <v>30</v>
      </c>
      <c r="B31">
        <v>272.44</v>
      </c>
      <c r="C31">
        <v>272.18</v>
      </c>
      <c r="D31">
        <v>261.99</v>
      </c>
      <c r="E31" t="str">
        <f t="shared" si="1"/>
        <v>Venta</v>
      </c>
      <c r="F31" t="str">
        <f t="shared" si="2"/>
        <v>Positivo</v>
      </c>
      <c r="G31" s="4">
        <f t="shared" si="3"/>
        <v>9.5433856996032492E-4</v>
      </c>
      <c r="H31" s="4">
        <f t="shared" si="4"/>
        <v>3.8357069446483587E-2</v>
      </c>
      <c r="I31" s="47" t="str">
        <f t="shared" si="5"/>
        <v>Venta</v>
      </c>
      <c r="J31" s="47" t="str">
        <f t="shared" si="6"/>
        <v>VentaVenta</v>
      </c>
      <c r="K31" s="47"/>
      <c r="L31" s="47"/>
      <c r="M31" s="47" t="s">
        <v>304</v>
      </c>
      <c r="N31" s="52" t="s">
        <v>262</v>
      </c>
      <c r="O31" s="32">
        <v>0</v>
      </c>
      <c r="P31" s="32">
        <v>0</v>
      </c>
      <c r="Q31" s="34">
        <v>0.13893076332944504</v>
      </c>
      <c r="R31" s="34">
        <v>0.11485277175184441</v>
      </c>
      <c r="S31" s="72">
        <v>6</v>
      </c>
      <c r="T31" s="63">
        <v>1.5900000000000001E-3</v>
      </c>
      <c r="U31" s="34">
        <v>-0.27026923667055514</v>
      </c>
      <c r="V31" s="64">
        <v>-0.26492913436706367</v>
      </c>
      <c r="W31" s="4">
        <v>0.46987951807228917</v>
      </c>
      <c r="X31" s="76" t="e">
        <v>#DIV/0!</v>
      </c>
      <c r="Y31" s="77">
        <v>0</v>
      </c>
      <c r="Z31" s="77" t="e">
        <v>#DIV/0!</v>
      </c>
      <c r="AA31" s="77">
        <v>0.46987951807228917</v>
      </c>
      <c r="AB31" s="77">
        <v>1</v>
      </c>
      <c r="AC31" s="78">
        <v>0.63934426229508201</v>
      </c>
      <c r="AD31">
        <v>636.50653772844919</v>
      </c>
      <c r="AE31">
        <v>23.198831604909831</v>
      </c>
      <c r="AF31">
        <v>0.22319927903447601</v>
      </c>
      <c r="AG31">
        <v>-9.2780575537370495</v>
      </c>
      <c r="AH31">
        <v>-9.8442217410191759</v>
      </c>
      <c r="AI31" s="22">
        <v>636.50653772844919</v>
      </c>
      <c r="AK31" s="89" t="s">
        <v>257</v>
      </c>
      <c r="AL31" s="9">
        <v>-5357.8907549936775</v>
      </c>
      <c r="AM31" s="88">
        <v>-26.773228175033839</v>
      </c>
      <c r="AN31" s="88">
        <v>-6.2653882375545944</v>
      </c>
      <c r="AO31" s="88">
        <v>-2.157251506776678</v>
      </c>
      <c r="AP31" s="88">
        <v>-2.1655364309216081</v>
      </c>
    </row>
    <row r="32" spans="1:44" x14ac:dyDescent="0.3">
      <c r="A32" s="1">
        <v>31</v>
      </c>
      <c r="B32">
        <v>268.76</v>
      </c>
      <c r="C32">
        <v>269.375</v>
      </c>
      <c r="D32">
        <v>261.99</v>
      </c>
      <c r="E32" t="str">
        <f t="shared" si="1"/>
        <v>Venta</v>
      </c>
      <c r="F32" t="str">
        <f t="shared" si="2"/>
        <v>Negativo</v>
      </c>
      <c r="G32" s="4">
        <f t="shared" si="3"/>
        <v>-2.288286947462454E-3</v>
      </c>
      <c r="H32" s="4">
        <f t="shared" si="4"/>
        <v>2.5189760381009011E-2</v>
      </c>
      <c r="I32" s="47" t="str">
        <f t="shared" si="5"/>
        <v>Compra</v>
      </c>
      <c r="J32" s="47" t="str">
        <f t="shared" si="6"/>
        <v>VentaCompra</v>
      </c>
      <c r="K32" s="47"/>
      <c r="L32" s="47"/>
      <c r="M32" s="47" t="s">
        <v>304</v>
      </c>
      <c r="N32" s="52" t="s">
        <v>263</v>
      </c>
      <c r="O32" s="32">
        <v>0</v>
      </c>
      <c r="P32" s="32">
        <v>0</v>
      </c>
      <c r="Q32" s="34">
        <v>0.17820778800792933</v>
      </c>
      <c r="R32" s="34">
        <v>0.16011731717056943</v>
      </c>
      <c r="S32" s="72">
        <v>6</v>
      </c>
      <c r="T32" s="63">
        <v>1.5900000000000001E-3</v>
      </c>
      <c r="U32" s="34">
        <v>-0.23099221199207082</v>
      </c>
      <c r="V32" s="64">
        <v>-0.23442085324090933</v>
      </c>
      <c r="W32" s="4">
        <v>0.47389558232931728</v>
      </c>
      <c r="X32" s="76">
        <v>1</v>
      </c>
      <c r="Y32" s="77">
        <v>7.575757575757576E-3</v>
      </c>
      <c r="Z32" s="77">
        <v>1.5037593984962407E-2</v>
      </c>
      <c r="AA32" s="77">
        <v>0.47177419354838712</v>
      </c>
      <c r="AB32" s="77">
        <v>1</v>
      </c>
      <c r="AC32" s="78">
        <v>0.64109589041095894</v>
      </c>
      <c r="AD32">
        <v>266.80331100100028</v>
      </c>
      <c r="AE32">
        <v>14.37165000000001</v>
      </c>
      <c r="AF32">
        <v>0.1369823873365778</v>
      </c>
      <c r="AG32">
        <v>-3.3082350666534568</v>
      </c>
      <c r="AH32">
        <v>-3.5455530999860629</v>
      </c>
      <c r="AI32" s="22">
        <v>266.80331100100028</v>
      </c>
      <c r="AK32" s="89" t="s">
        <v>303</v>
      </c>
      <c r="AL32" s="88">
        <v>0.99304304059917403</v>
      </c>
      <c r="AM32" s="88">
        <v>-1.299015875894292</v>
      </c>
      <c r="AN32" s="88">
        <v>-5.2865806794218084</v>
      </c>
      <c r="AO32" s="88">
        <v>-2.3041775012689909</v>
      </c>
      <c r="AP32" s="88">
        <v>-2.0859693527802459</v>
      </c>
    </row>
    <row r="33" spans="1:42" x14ac:dyDescent="0.3">
      <c r="A33" s="1">
        <v>32</v>
      </c>
      <c r="B33">
        <v>264.04000000000002</v>
      </c>
      <c r="C33">
        <v>262.20499999999998</v>
      </c>
      <c r="D33">
        <v>261.99</v>
      </c>
      <c r="E33" t="str">
        <f t="shared" si="1"/>
        <v>Venta</v>
      </c>
      <c r="F33" t="str">
        <f t="shared" si="2"/>
        <v>Positivo</v>
      </c>
      <c r="G33" s="4">
        <f t="shared" si="3"/>
        <v>6.9497045902137409E-3</v>
      </c>
      <c r="H33" s="4">
        <f t="shared" si="4"/>
        <v>7.7639751552795455E-3</v>
      </c>
      <c r="I33" s="47" t="str">
        <f t="shared" si="5"/>
        <v>Venta</v>
      </c>
      <c r="J33" s="47" t="str">
        <f t="shared" si="6"/>
        <v>VentaVenta</v>
      </c>
      <c r="K33" s="47"/>
      <c r="L33" s="47"/>
      <c r="M33" s="47" t="s">
        <v>304</v>
      </c>
      <c r="N33" s="52" t="s">
        <v>264</v>
      </c>
      <c r="O33" s="32">
        <v>0</v>
      </c>
      <c r="P33" s="32">
        <v>0</v>
      </c>
      <c r="Q33" s="34">
        <v>0.17820778800792933</v>
      </c>
      <c r="R33" s="34">
        <v>0.16011731717056943</v>
      </c>
      <c r="S33" s="72">
        <v>6</v>
      </c>
      <c r="T33" s="63">
        <v>1.5900000000000001E-3</v>
      </c>
      <c r="U33" s="34">
        <v>-0.23099221199207082</v>
      </c>
      <c r="V33" s="64">
        <v>-0.23442085324090933</v>
      </c>
      <c r="W33" s="4">
        <v>0.47389558232931728</v>
      </c>
      <c r="X33" s="76">
        <v>1</v>
      </c>
      <c r="Y33" s="77">
        <v>7.575757575757576E-3</v>
      </c>
      <c r="Z33" s="77">
        <v>1.5037593984962407E-2</v>
      </c>
      <c r="AA33" s="77">
        <v>0.47177419354838712</v>
      </c>
      <c r="AB33" s="77">
        <v>1</v>
      </c>
      <c r="AC33" s="78">
        <v>0.64109589041095894</v>
      </c>
      <c r="AD33">
        <v>266.80331100100028</v>
      </c>
      <c r="AE33">
        <v>14.37165000000001</v>
      </c>
      <c r="AF33">
        <v>0.1369823873365778</v>
      </c>
      <c r="AG33">
        <v>-3.3082350666534568</v>
      </c>
      <c r="AH33">
        <v>-3.5455530999860629</v>
      </c>
      <c r="AI33" s="22">
        <v>266.80331100100028</v>
      </c>
      <c r="AK33" s="89" t="s">
        <v>258</v>
      </c>
      <c r="AL33" s="88">
        <v>0.89740240920091885</v>
      </c>
      <c r="AM33" s="88">
        <v>0.48393631357747779</v>
      </c>
      <c r="AN33" s="88">
        <v>0.72365754745083799</v>
      </c>
      <c r="AO33" s="88">
        <v>0.7754144042033726</v>
      </c>
      <c r="AP33" s="88">
        <v>0.76049767136994539</v>
      </c>
    </row>
    <row r="34" spans="1:42" x14ac:dyDescent="0.3">
      <c r="A34" s="1">
        <v>33</v>
      </c>
      <c r="B34">
        <v>259.47000000000003</v>
      </c>
      <c r="C34">
        <v>258.03500000000003</v>
      </c>
      <c r="D34">
        <v>261.99</v>
      </c>
      <c r="E34" t="str">
        <f t="shared" si="1"/>
        <v>Compra</v>
      </c>
      <c r="F34" t="str">
        <f t="shared" si="2"/>
        <v>Negativo</v>
      </c>
      <c r="G34" s="4">
        <f t="shared" si="3"/>
        <v>-5.5305044899217719E-3</v>
      </c>
      <c r="H34" s="4">
        <f t="shared" si="4"/>
        <v>9.712105445716197E-3</v>
      </c>
      <c r="I34" s="47" t="str">
        <f t="shared" si="5"/>
        <v>Venta</v>
      </c>
      <c r="J34" s="47" t="str">
        <f t="shared" si="6"/>
        <v>CompraVenta</v>
      </c>
      <c r="K34" s="47"/>
      <c r="L34" s="47"/>
      <c r="N34" s="52" t="s">
        <v>270</v>
      </c>
      <c r="O34" s="32">
        <v>0</v>
      </c>
      <c r="P34" s="32">
        <v>0</v>
      </c>
      <c r="Q34" s="34">
        <v>0.21920879481229888</v>
      </c>
      <c r="R34" s="34">
        <v>0.23311159019898361</v>
      </c>
      <c r="S34" s="72">
        <v>6</v>
      </c>
      <c r="T34" s="63">
        <v>1.98E-3</v>
      </c>
      <c r="U34" s="34">
        <v>-0.28671120518770127</v>
      </c>
      <c r="V34" s="64">
        <v>-0.2611527856421817</v>
      </c>
      <c r="W34" s="4">
        <v>0.51807228915662651</v>
      </c>
      <c r="X34" s="76">
        <v>0.59756097560975607</v>
      </c>
      <c r="Y34" s="77">
        <v>0.36029411764705882</v>
      </c>
      <c r="Z34" s="77">
        <v>0.44954128440366969</v>
      </c>
      <c r="AA34" s="77">
        <v>0.47904191616766467</v>
      </c>
      <c r="AB34" s="77">
        <v>0.70796460176991149</v>
      </c>
      <c r="AC34" s="78">
        <v>0.5714285714285714</v>
      </c>
      <c r="AD34">
        <v>1.5842258329850609</v>
      </c>
      <c r="AE34">
        <v>0.97600232049359681</v>
      </c>
      <c r="AF34">
        <v>7.5754229728477E-3</v>
      </c>
      <c r="AG34">
        <v>0.99275407391219694</v>
      </c>
      <c r="AH34">
        <v>0.99235661805084063</v>
      </c>
      <c r="AI34" s="22">
        <v>1.584225832984983</v>
      </c>
      <c r="AK34" s="89" t="s">
        <v>355</v>
      </c>
      <c r="AL34" s="88">
        <v>0.95252103252447451</v>
      </c>
      <c r="AM34" s="88">
        <v>0.38810024853181091</v>
      </c>
      <c r="AN34" s="88">
        <v>-0.24192962462222889</v>
      </c>
      <c r="AO34" s="88">
        <v>0.59271662264400171</v>
      </c>
      <c r="AP34" s="88">
        <v>0.71174888688845894</v>
      </c>
    </row>
    <row r="35" spans="1:42" x14ac:dyDescent="0.3">
      <c r="A35" s="1">
        <v>34</v>
      </c>
      <c r="B35">
        <v>254.44499999999999</v>
      </c>
      <c r="C35">
        <v>252.75</v>
      </c>
      <c r="D35">
        <v>252.45</v>
      </c>
      <c r="E35" t="str">
        <f t="shared" si="1"/>
        <v>Venta</v>
      </c>
      <c r="F35" t="str">
        <f t="shared" si="2"/>
        <v>Positivo</v>
      </c>
      <c r="G35" s="4">
        <f t="shared" si="3"/>
        <v>6.6615575075163322E-3</v>
      </c>
      <c r="H35" s="4">
        <f t="shared" si="4"/>
        <v>7.8405942345104226E-3</v>
      </c>
      <c r="I35" s="47" t="str">
        <f t="shared" si="5"/>
        <v>Venta</v>
      </c>
      <c r="J35" s="47" t="str">
        <f t="shared" si="6"/>
        <v>VentaVenta</v>
      </c>
      <c r="K35" s="47"/>
      <c r="L35" s="47"/>
      <c r="N35" s="52" t="s">
        <v>271</v>
      </c>
      <c r="O35" s="32">
        <v>0</v>
      </c>
      <c r="P35" s="32">
        <v>0</v>
      </c>
      <c r="Q35" s="34">
        <v>-0.11764385657797204</v>
      </c>
      <c r="R35" s="34">
        <v>-0.12216724120144033</v>
      </c>
      <c r="S35" s="72">
        <v>6</v>
      </c>
      <c r="T35" s="63">
        <v>1.98E-3</v>
      </c>
      <c r="U35" s="34">
        <v>-0.62356385657797164</v>
      </c>
      <c r="V35" s="64">
        <v>-0.4771499730922219</v>
      </c>
      <c r="W35" s="4">
        <v>0.46586345381526106</v>
      </c>
      <c r="X35" s="76">
        <v>0.51648351648351654</v>
      </c>
      <c r="Y35" s="77">
        <v>0.34558823529411764</v>
      </c>
      <c r="Z35" s="77">
        <v>0.41409691629955947</v>
      </c>
      <c r="AA35" s="77">
        <v>0.43670886075949367</v>
      </c>
      <c r="AB35" s="77">
        <v>0.61061946902654862</v>
      </c>
      <c r="AC35" s="78">
        <v>0.5092250922509225</v>
      </c>
      <c r="AD35">
        <v>465.2099372918247</v>
      </c>
      <c r="AE35">
        <v>16.22844015782179</v>
      </c>
      <c r="AF35">
        <v>0.1156579570738374</v>
      </c>
      <c r="AG35">
        <v>-1.1277754413185741</v>
      </c>
      <c r="AH35">
        <v>-1.244488862150394</v>
      </c>
      <c r="AI35" s="22">
        <v>133.58449354530279</v>
      </c>
      <c r="AK35" s="89" t="s">
        <v>356</v>
      </c>
      <c r="AL35" s="88">
        <v>0.98718221797317995</v>
      </c>
      <c r="AM35" s="88">
        <v>0.72280918502854319</v>
      </c>
      <c r="AN35" s="88">
        <v>0.97753133952239624</v>
      </c>
      <c r="AO35" s="88">
        <v>0.96475715914741711</v>
      </c>
      <c r="AP35" s="88">
        <v>0.98226461044147984</v>
      </c>
    </row>
    <row r="36" spans="1:42" x14ac:dyDescent="0.3">
      <c r="A36" s="1">
        <v>35</v>
      </c>
      <c r="B36">
        <v>254.01499999999999</v>
      </c>
      <c r="C36">
        <v>251.66499999999999</v>
      </c>
      <c r="D36">
        <v>252.45</v>
      </c>
      <c r="E36" t="str">
        <f t="shared" si="1"/>
        <v>Venta</v>
      </c>
      <c r="F36" t="str">
        <f t="shared" si="2"/>
        <v>Positivo</v>
      </c>
      <c r="G36" s="4">
        <f t="shared" si="3"/>
        <v>9.2514221601086334E-3</v>
      </c>
      <c r="H36" s="4">
        <f t="shared" si="4"/>
        <v>6.1610534810936273E-3</v>
      </c>
      <c r="I36" s="47" t="str">
        <f t="shared" si="5"/>
        <v>Venta</v>
      </c>
      <c r="J36" s="47" t="str">
        <f t="shared" si="6"/>
        <v>VentaVenta</v>
      </c>
      <c r="K36" s="47"/>
      <c r="L36" s="47"/>
      <c r="N36" s="52" t="s">
        <v>272</v>
      </c>
      <c r="O36" s="32">
        <v>0</v>
      </c>
      <c r="P36" s="32">
        <v>0</v>
      </c>
      <c r="Q36" s="34">
        <v>8.4605959736578085E-2</v>
      </c>
      <c r="R36" s="34">
        <v>7.6753297630801687E-2</v>
      </c>
      <c r="S36" s="72">
        <v>6</v>
      </c>
      <c r="T36" s="63">
        <v>1.98E-3</v>
      </c>
      <c r="U36" s="34">
        <v>-0.42131404026342223</v>
      </c>
      <c r="V36" s="64">
        <v>-0.35614366289213095</v>
      </c>
      <c r="W36" s="4">
        <v>0.47791164658634538</v>
      </c>
      <c r="X36" s="76">
        <v>0.7142857142857143</v>
      </c>
      <c r="Y36" s="77">
        <v>7.3529411764705885E-2</v>
      </c>
      <c r="Z36" s="77">
        <v>0.13333333333333333</v>
      </c>
      <c r="AA36" s="77">
        <v>0.46382978723404256</v>
      </c>
      <c r="AB36" s="77">
        <v>0.96460176991150437</v>
      </c>
      <c r="AC36" s="78">
        <v>0.62643678160919547</v>
      </c>
      <c r="AD36">
        <v>1025.7008491328511</v>
      </c>
      <c r="AE36">
        <v>27.891579834702728</v>
      </c>
      <c r="AF36">
        <v>0.2023548048383782</v>
      </c>
      <c r="AG36">
        <v>-3.6913466415388219</v>
      </c>
      <c r="AH36">
        <v>-3.9486778919185892</v>
      </c>
      <c r="AI36" s="22">
        <v>963.72148795793441</v>
      </c>
      <c r="AK36" s="89" t="s">
        <v>259</v>
      </c>
      <c r="AL36" s="88">
        <v>0.98751919813846079</v>
      </c>
      <c r="AM36" s="88">
        <v>0.78996397311272681</v>
      </c>
      <c r="AN36" s="88">
        <v>0.96819701694625016</v>
      </c>
      <c r="AO36" s="88">
        <v>0.95796528451104501</v>
      </c>
      <c r="AP36" s="88">
        <v>0.98121584411574891</v>
      </c>
    </row>
    <row r="37" spans="1:42" x14ac:dyDescent="0.3">
      <c r="A37" s="1">
        <v>36</v>
      </c>
      <c r="B37">
        <v>255.51499999999999</v>
      </c>
      <c r="C37">
        <v>254.75</v>
      </c>
      <c r="D37">
        <v>251.745</v>
      </c>
      <c r="E37" t="str">
        <f t="shared" si="1"/>
        <v>Venta</v>
      </c>
      <c r="F37" t="str">
        <f t="shared" si="2"/>
        <v>Positivo</v>
      </c>
      <c r="G37" s="4">
        <f t="shared" si="3"/>
        <v>2.9939533882550394E-3</v>
      </c>
      <c r="H37" s="4">
        <f t="shared" si="4"/>
        <v>1.4754515390485811E-2</v>
      </c>
      <c r="I37" s="47" t="str">
        <f t="shared" si="5"/>
        <v>Venta</v>
      </c>
      <c r="J37" s="47" t="str">
        <f t="shared" si="6"/>
        <v>VentaVenta</v>
      </c>
      <c r="K37" s="47"/>
      <c r="L37" s="47"/>
      <c r="N37" s="52" t="s">
        <v>273</v>
      </c>
      <c r="O37" s="32">
        <v>0</v>
      </c>
      <c r="P37" s="32">
        <v>0</v>
      </c>
      <c r="Q37" s="34">
        <v>-3.1355320651194341E-2</v>
      </c>
      <c r="R37" s="34">
        <v>-4.2745898808296913E-2</v>
      </c>
      <c r="S37" s="72">
        <v>6</v>
      </c>
      <c r="T37" s="63">
        <v>1.98E-3</v>
      </c>
      <c r="U37" s="34">
        <v>-0.53727532065119554</v>
      </c>
      <c r="V37" s="64">
        <v>-0.4293264878211836</v>
      </c>
      <c r="W37" s="4">
        <v>0.45381526104417669</v>
      </c>
      <c r="X37" s="76">
        <v>0.5</v>
      </c>
      <c r="Y37" s="77">
        <v>6.6176470588235295E-2</v>
      </c>
      <c r="Z37" s="77">
        <v>0.11688311688311688</v>
      </c>
      <c r="AA37" s="77">
        <v>0.45021645021645024</v>
      </c>
      <c r="AB37" s="77">
        <v>0.92035398230088494</v>
      </c>
      <c r="AC37" s="78">
        <v>0.60465116279069775</v>
      </c>
      <c r="AD37">
        <v>521.35964038047803</v>
      </c>
      <c r="AE37">
        <v>19.10509561752988</v>
      </c>
      <c r="AF37">
        <v>0.1372934799335046</v>
      </c>
      <c r="AG37">
        <v>-1.38459273968686</v>
      </c>
      <c r="AH37">
        <v>-1.5153931853236919</v>
      </c>
      <c r="AI37" s="22">
        <v>479.65159143426303</v>
      </c>
    </row>
    <row r="38" spans="1:42" x14ac:dyDescent="0.3">
      <c r="A38" s="1">
        <v>37</v>
      </c>
      <c r="B38">
        <v>249.755</v>
      </c>
      <c r="C38">
        <v>249.255</v>
      </c>
      <c r="D38">
        <v>251.745</v>
      </c>
      <c r="E38" t="str">
        <f t="shared" si="1"/>
        <v>Compra</v>
      </c>
      <c r="F38" t="str">
        <f t="shared" si="2"/>
        <v>Negativo</v>
      </c>
      <c r="G38" s="4">
        <f t="shared" si="3"/>
        <v>-2.0019619226842307E-3</v>
      </c>
      <c r="H38" s="4">
        <f t="shared" si="4"/>
        <v>7.9678084522832749E-3</v>
      </c>
      <c r="I38" s="47" t="str">
        <f t="shared" si="5"/>
        <v>Venta</v>
      </c>
      <c r="J38" s="47" t="str">
        <f t="shared" si="6"/>
        <v>CompraVenta</v>
      </c>
      <c r="K38" s="47"/>
      <c r="L38" s="47"/>
      <c r="N38" s="52" t="s">
        <v>274</v>
      </c>
      <c r="O38" s="32">
        <v>0</v>
      </c>
      <c r="P38" s="32">
        <v>0</v>
      </c>
      <c r="Q38" s="34">
        <v>-1.6421192363514274E-3</v>
      </c>
      <c r="R38" s="34">
        <v>-1.3430177867441962E-2</v>
      </c>
      <c r="S38" s="72">
        <v>6</v>
      </c>
      <c r="T38" s="63">
        <v>1.98E-3</v>
      </c>
      <c r="U38" s="34">
        <v>-0.50756211923635242</v>
      </c>
      <c r="V38" s="64">
        <v>-0.41136973456553627</v>
      </c>
      <c r="W38" s="4">
        <v>0.45783132530120479</v>
      </c>
      <c r="X38" s="76">
        <v>0.51724137931034486</v>
      </c>
      <c r="Y38" s="77">
        <v>0.11029411764705882</v>
      </c>
      <c r="Z38" s="77">
        <v>0.18181818181818182</v>
      </c>
      <c r="AA38" s="77">
        <v>0.45</v>
      </c>
      <c r="AB38" s="77">
        <v>0.87610619469026552</v>
      </c>
      <c r="AC38" s="78">
        <v>0.59459459459459463</v>
      </c>
      <c r="AD38">
        <v>477.94044962411272</v>
      </c>
      <c r="AE38">
        <v>17.988643844621539</v>
      </c>
      <c r="AF38">
        <v>0.12870672360510721</v>
      </c>
      <c r="AG38">
        <v>-1.1860022101914269</v>
      </c>
      <c r="AH38">
        <v>-1.305909504421336</v>
      </c>
      <c r="AI38" s="22">
        <v>477.94044962411272</v>
      </c>
      <c r="AK38" s="22" t="s">
        <v>298</v>
      </c>
    </row>
    <row r="39" spans="1:42" x14ac:dyDescent="0.3">
      <c r="A39" s="1">
        <v>38</v>
      </c>
      <c r="B39">
        <v>252.715</v>
      </c>
      <c r="C39">
        <v>250.125</v>
      </c>
      <c r="D39">
        <v>254.405</v>
      </c>
      <c r="E39" t="str">
        <f t="shared" si="1"/>
        <v>Compra</v>
      </c>
      <c r="F39" t="str">
        <f t="shared" si="2"/>
        <v>Negativo</v>
      </c>
      <c r="G39" s="4">
        <f t="shared" si="3"/>
        <v>-1.0248699127475629E-2</v>
      </c>
      <c r="H39" s="4">
        <f t="shared" si="4"/>
        <v>6.6873751063450835E-3</v>
      </c>
      <c r="I39" s="47" t="str">
        <f t="shared" si="5"/>
        <v>Venta</v>
      </c>
      <c r="J39" s="47" t="str">
        <f t="shared" si="6"/>
        <v>CompraVenta</v>
      </c>
      <c r="K39" s="47"/>
      <c r="L39" s="47"/>
      <c r="M39" s="47" t="s">
        <v>304</v>
      </c>
      <c r="N39" s="52" t="s">
        <v>270</v>
      </c>
      <c r="O39" s="32">
        <v>0</v>
      </c>
      <c r="P39" s="32">
        <v>0</v>
      </c>
      <c r="Q39" s="34">
        <v>0.21920879481229888</v>
      </c>
      <c r="R39" s="34">
        <v>0.23311159019898361</v>
      </c>
      <c r="S39" s="72">
        <v>6</v>
      </c>
      <c r="T39" s="63">
        <v>1.98E-3</v>
      </c>
      <c r="U39" s="34">
        <v>-0.28671120518770127</v>
      </c>
      <c r="V39" s="64">
        <v>-0.2611527856421817</v>
      </c>
      <c r="W39" s="4">
        <v>0.51807228915662651</v>
      </c>
      <c r="X39" s="76">
        <v>0.59756097560975607</v>
      </c>
      <c r="Y39" s="77">
        <v>0.36029411764705882</v>
      </c>
      <c r="Z39" s="77">
        <v>0.44954128440366969</v>
      </c>
      <c r="AA39" s="77">
        <v>0.47904191616766467</v>
      </c>
      <c r="AB39" s="77">
        <v>0.70796460176991149</v>
      </c>
      <c r="AC39" s="78">
        <v>0.5714285714285714</v>
      </c>
      <c r="AD39">
        <v>1.584225832984983</v>
      </c>
      <c r="AE39">
        <v>16.744155065500259</v>
      </c>
      <c r="AF39">
        <v>0.1320617220671963</v>
      </c>
      <c r="AG39">
        <v>0.99275407391219728</v>
      </c>
      <c r="AH39">
        <v>0.99235661805084097</v>
      </c>
      <c r="AI39" s="22">
        <v>1.584225832984983</v>
      </c>
      <c r="AK39" s="89" t="s">
        <v>357</v>
      </c>
      <c r="AL39" s="89" t="s">
        <v>351</v>
      </c>
      <c r="AM39" s="89" t="s">
        <v>352</v>
      </c>
      <c r="AN39" s="89" t="s">
        <v>215</v>
      </c>
      <c r="AO39" s="89" t="s">
        <v>353</v>
      </c>
      <c r="AP39" s="89" t="s">
        <v>354</v>
      </c>
    </row>
    <row r="40" spans="1:42" x14ac:dyDescent="0.3">
      <c r="A40" s="1">
        <v>39</v>
      </c>
      <c r="B40">
        <v>248.875</v>
      </c>
      <c r="C40">
        <v>249.41499999999999</v>
      </c>
      <c r="D40">
        <v>267.77999999999997</v>
      </c>
      <c r="E40" t="str">
        <f t="shared" si="1"/>
        <v>Compra</v>
      </c>
      <c r="F40" t="str">
        <f t="shared" si="2"/>
        <v>Positivo</v>
      </c>
      <c r="G40" s="4">
        <f t="shared" si="3"/>
        <v>2.1697639377197069E-3</v>
      </c>
      <c r="H40" s="4">
        <f t="shared" si="4"/>
        <v>7.5961828227021494E-2</v>
      </c>
      <c r="I40" s="47" t="str">
        <f t="shared" si="5"/>
        <v>Compra</v>
      </c>
      <c r="J40" s="47" t="str">
        <f t="shared" si="6"/>
        <v>CompraCompra</v>
      </c>
      <c r="K40" s="47"/>
      <c r="L40" s="47"/>
      <c r="M40" s="47" t="s">
        <v>304</v>
      </c>
      <c r="N40" s="52" t="s">
        <v>271</v>
      </c>
      <c r="O40" s="32">
        <v>0</v>
      </c>
      <c r="P40" s="32">
        <v>0</v>
      </c>
      <c r="Q40" s="34">
        <v>0.18356423624115806</v>
      </c>
      <c r="R40" s="34">
        <v>0.18903863170309879</v>
      </c>
      <c r="S40" s="72">
        <v>6</v>
      </c>
      <c r="T40" s="63">
        <v>1.98E-3</v>
      </c>
      <c r="U40" s="34">
        <v>-0.32235576375884206</v>
      </c>
      <c r="V40" s="64">
        <v>-0.28854364876570093</v>
      </c>
      <c r="W40" s="4">
        <v>0.48192771084337349</v>
      </c>
      <c r="X40" s="76">
        <v>0.56603773584905659</v>
      </c>
      <c r="Y40" s="77">
        <v>0.22058823529411764</v>
      </c>
      <c r="Z40" s="77">
        <v>0.31746031746031744</v>
      </c>
      <c r="AA40" s="77">
        <v>0.45918367346938777</v>
      </c>
      <c r="AB40" s="77">
        <v>0.79646017699115046</v>
      </c>
      <c r="AC40" s="78">
        <v>0.58252427184466016</v>
      </c>
      <c r="AD40">
        <v>133.58449354530279</v>
      </c>
      <c r="AE40">
        <v>9.7004419052012629</v>
      </c>
      <c r="AF40">
        <v>7.2277907432350505E-2</v>
      </c>
      <c r="AG40">
        <v>0.3890117516376842</v>
      </c>
      <c r="AH40">
        <v>0.35549762830979348</v>
      </c>
      <c r="AI40" s="22">
        <v>133.58449354530279</v>
      </c>
      <c r="AK40" s="89" t="s">
        <v>255</v>
      </c>
      <c r="AL40" s="9">
        <v>2.6397490978266358</v>
      </c>
      <c r="AM40" s="9">
        <v>315.5331768750151</v>
      </c>
      <c r="AN40" s="9">
        <v>636.50653772844919</v>
      </c>
      <c r="AO40" s="9">
        <v>266.80331100100028</v>
      </c>
      <c r="AP40" s="9">
        <v>266.80331100100028</v>
      </c>
    </row>
    <row r="41" spans="1:42" x14ac:dyDescent="0.3">
      <c r="A41" s="1">
        <v>40</v>
      </c>
      <c r="B41">
        <v>250.93</v>
      </c>
      <c r="C41">
        <v>246.31</v>
      </c>
      <c r="D41">
        <v>267.77999999999997</v>
      </c>
      <c r="E41" t="str">
        <f t="shared" si="1"/>
        <v>Compra</v>
      </c>
      <c r="F41" t="str">
        <f t="shared" si="2"/>
        <v>Negativo</v>
      </c>
      <c r="G41" s="4">
        <f t="shared" si="3"/>
        <v>-1.8411509185828734E-2</v>
      </c>
      <c r="H41" s="4">
        <f t="shared" si="4"/>
        <v>6.7150201251344854E-2</v>
      </c>
      <c r="I41" s="47" t="str">
        <f t="shared" si="5"/>
        <v>Venta</v>
      </c>
      <c r="J41" s="47" t="str">
        <f t="shared" si="6"/>
        <v>CompraVenta</v>
      </c>
      <c r="K41" s="47"/>
      <c r="L41" s="47"/>
      <c r="M41" s="47" t="s">
        <v>304</v>
      </c>
      <c r="N41" s="52" t="s">
        <v>272</v>
      </c>
      <c r="O41" s="32">
        <v>0</v>
      </c>
      <c r="P41" s="32">
        <v>0</v>
      </c>
      <c r="Q41" s="34">
        <v>9.6228535589022071E-2</v>
      </c>
      <c r="R41" s="34">
        <v>8.9458182990813803E-2</v>
      </c>
      <c r="S41" s="72">
        <v>6</v>
      </c>
      <c r="T41" s="63">
        <v>1.98E-3</v>
      </c>
      <c r="U41" s="34">
        <v>-0.4096914644109782</v>
      </c>
      <c r="V41" s="64">
        <v>-0.34840314603883255</v>
      </c>
      <c r="W41" s="4">
        <v>0.47791164658634538</v>
      </c>
      <c r="X41" s="76">
        <v>0.7142857142857143</v>
      </c>
      <c r="Y41" s="77">
        <v>7.3529411764705885E-2</v>
      </c>
      <c r="Z41" s="77">
        <v>0.13333333333333333</v>
      </c>
      <c r="AA41" s="77">
        <v>0.46382978723404256</v>
      </c>
      <c r="AB41" s="77">
        <v>0.96460176991150437</v>
      </c>
      <c r="AC41" s="78">
        <v>0.62643678160919547</v>
      </c>
      <c r="AD41">
        <v>963.72148795793441</v>
      </c>
      <c r="AE41">
        <v>25.95132843030887</v>
      </c>
      <c r="AF41">
        <v>0.18624681420543279</v>
      </c>
      <c r="AG41">
        <v>-3.407865675194214</v>
      </c>
      <c r="AH41">
        <v>-3.6496473367027571</v>
      </c>
      <c r="AI41" s="22">
        <v>963.72148795793441</v>
      </c>
      <c r="AK41" s="89" t="s">
        <v>256</v>
      </c>
      <c r="AL41" s="9">
        <v>1.584225832984983</v>
      </c>
      <c r="AM41" s="9">
        <v>133.58449354530279</v>
      </c>
      <c r="AN41" s="9">
        <v>963.72148795793441</v>
      </c>
      <c r="AO41" s="9">
        <v>479.65159143426303</v>
      </c>
      <c r="AP41" s="9">
        <v>477.94044962411272</v>
      </c>
    </row>
    <row r="42" spans="1:42" x14ac:dyDescent="0.3">
      <c r="A42" s="1">
        <v>41</v>
      </c>
      <c r="B42">
        <v>246.47</v>
      </c>
      <c r="C42">
        <v>251.035</v>
      </c>
      <c r="D42">
        <v>267.77999999999997</v>
      </c>
      <c r="E42" t="str">
        <f t="shared" si="1"/>
        <v>Compra</v>
      </c>
      <c r="F42" t="str">
        <f t="shared" si="2"/>
        <v>Positivo</v>
      </c>
      <c r="G42" s="4">
        <f t="shared" si="3"/>
        <v>1.852152391771817E-2</v>
      </c>
      <c r="H42" s="4">
        <f t="shared" si="4"/>
        <v>8.6460826875481692E-2</v>
      </c>
      <c r="I42" s="47" t="str">
        <f t="shared" si="5"/>
        <v>Compra</v>
      </c>
      <c r="J42" s="47" t="str">
        <f t="shared" si="6"/>
        <v>CompraCompra</v>
      </c>
      <c r="K42" s="47"/>
      <c r="L42" s="47"/>
      <c r="M42" s="47" t="s">
        <v>304</v>
      </c>
      <c r="N42" s="52" t="s">
        <v>273</v>
      </c>
      <c r="O42" s="32">
        <v>0</v>
      </c>
      <c r="P42" s="32">
        <v>0</v>
      </c>
      <c r="Q42" s="34">
        <v>-4.0012426673391021E-4</v>
      </c>
      <c r="R42" s="34">
        <v>-1.2229961204242282E-2</v>
      </c>
      <c r="S42" s="72">
        <v>6</v>
      </c>
      <c r="T42" s="63">
        <v>1.98E-3</v>
      </c>
      <c r="U42" s="34">
        <v>-0.50632012426673467</v>
      </c>
      <c r="V42" s="64">
        <v>-0.41066446316588445</v>
      </c>
      <c r="W42" s="4">
        <v>0.45783132530120479</v>
      </c>
      <c r="X42" s="76">
        <v>0.52380952380952384</v>
      </c>
      <c r="Y42" s="77">
        <v>8.0882352941176475E-2</v>
      </c>
      <c r="Z42" s="77">
        <v>0.14012738853503184</v>
      </c>
      <c r="AA42" s="77">
        <v>0.4517543859649123</v>
      </c>
      <c r="AB42" s="77">
        <v>0.91150442477876104</v>
      </c>
      <c r="AC42" s="78">
        <v>0.60410557184750724</v>
      </c>
      <c r="AD42">
        <v>479.65159143426303</v>
      </c>
      <c r="AE42">
        <v>18.301322709163351</v>
      </c>
      <c r="AF42">
        <v>0.1315974206757819</v>
      </c>
      <c r="AG42">
        <v>-1.1938286240927429</v>
      </c>
      <c r="AH42">
        <v>-1.3141652152877039</v>
      </c>
      <c r="AI42" s="22">
        <v>479.65159143426303</v>
      </c>
      <c r="AK42" s="89" t="s">
        <v>257</v>
      </c>
      <c r="AL42" s="9">
        <v>2662646.0821495522</v>
      </c>
      <c r="AM42" s="9">
        <v>13799.54930411464</v>
      </c>
      <c r="AN42" s="9">
        <v>3609.9182480989011</v>
      </c>
      <c r="AO42" s="9">
        <v>1568.7282572509921</v>
      </c>
      <c r="AP42" s="9">
        <v>1572.8447473650799</v>
      </c>
    </row>
    <row r="43" spans="1:42" x14ac:dyDescent="0.3">
      <c r="A43" s="1">
        <v>42</v>
      </c>
      <c r="B43">
        <v>252.26499999999999</v>
      </c>
      <c r="C43">
        <v>255.39</v>
      </c>
      <c r="D43">
        <v>267.77999999999997</v>
      </c>
      <c r="E43" t="str">
        <f t="shared" si="1"/>
        <v>Compra</v>
      </c>
      <c r="F43" t="str">
        <f t="shared" si="2"/>
        <v>Positivo</v>
      </c>
      <c r="G43" s="4">
        <f t="shared" si="3"/>
        <v>1.2387766832497572E-2</v>
      </c>
      <c r="H43" s="4">
        <f t="shared" si="4"/>
        <v>6.1502784769983894E-2</v>
      </c>
      <c r="I43" s="47" t="str">
        <f t="shared" si="5"/>
        <v>Compra</v>
      </c>
      <c r="J43" s="47" t="str">
        <f t="shared" si="6"/>
        <v>CompraCompra</v>
      </c>
      <c r="K43" s="47"/>
      <c r="L43" s="47"/>
      <c r="M43" s="47" t="s">
        <v>304</v>
      </c>
      <c r="N43" s="52" t="s">
        <v>274</v>
      </c>
      <c r="O43" s="32">
        <v>0</v>
      </c>
      <c r="P43" s="32">
        <v>0</v>
      </c>
      <c r="Q43" s="34">
        <v>1.3050451056614256E-2</v>
      </c>
      <c r="R43" s="34">
        <v>1.3438514347439922E-3</v>
      </c>
      <c r="S43" s="72">
        <v>6</v>
      </c>
      <c r="T43" s="63">
        <v>1.98E-3</v>
      </c>
      <c r="U43" s="34">
        <v>-0.49286954894338625</v>
      </c>
      <c r="V43" s="64">
        <v>-0.40235298056533475</v>
      </c>
      <c r="W43" s="4">
        <v>0.45783132530120479</v>
      </c>
      <c r="X43" s="76">
        <v>0.52380952380952384</v>
      </c>
      <c r="Y43" s="77">
        <v>8.0882352941176475E-2</v>
      </c>
      <c r="Z43" s="77">
        <v>0.14012738853503184</v>
      </c>
      <c r="AA43" s="77">
        <v>0.4517543859649123</v>
      </c>
      <c r="AB43" s="77">
        <v>0.91150442477876104</v>
      </c>
      <c r="AC43" s="78">
        <v>0.60410557184750724</v>
      </c>
      <c r="AD43">
        <v>479.2649085000001</v>
      </c>
      <c r="AE43">
        <v>18.194984063745022</v>
      </c>
      <c r="AF43">
        <v>0.13058663696313971</v>
      </c>
      <c r="AG43">
        <v>-1.192060015159127</v>
      </c>
      <c r="AH43">
        <v>-1.312299594049712</v>
      </c>
      <c r="AI43" s="22">
        <v>479.2649085000001</v>
      </c>
      <c r="AK43" s="89" t="s">
        <v>303</v>
      </c>
      <c r="AL43" s="9">
        <v>8.9786029612704059</v>
      </c>
      <c r="AM43" s="9">
        <v>2967.093749154471</v>
      </c>
      <c r="AN43" s="9">
        <v>8113.4168898298494</v>
      </c>
      <c r="AO43" s="9">
        <v>4264.3482861111124</v>
      </c>
      <c r="AP43" s="9">
        <v>3982.7303816050471</v>
      </c>
    </row>
    <row r="44" spans="1:42" x14ac:dyDescent="0.3">
      <c r="A44" s="1">
        <v>43</v>
      </c>
      <c r="B44">
        <v>256.43</v>
      </c>
      <c r="C44">
        <v>256.89999999999998</v>
      </c>
      <c r="D44">
        <v>267.77999999999997</v>
      </c>
      <c r="E44" t="str">
        <f t="shared" si="1"/>
        <v>Compra</v>
      </c>
      <c r="F44" t="str">
        <f t="shared" si="2"/>
        <v>Positivo</v>
      </c>
      <c r="G44" s="4">
        <f t="shared" si="3"/>
        <v>1.832858869866905E-3</v>
      </c>
      <c r="H44" s="4">
        <f t="shared" si="4"/>
        <v>4.4261591857426841E-2</v>
      </c>
      <c r="I44" s="47" t="str">
        <f t="shared" si="5"/>
        <v>Compra</v>
      </c>
      <c r="J44" s="47" t="str">
        <f t="shared" si="6"/>
        <v>CompraCompra</v>
      </c>
      <c r="K44" s="47"/>
      <c r="L44" s="47"/>
      <c r="N44" s="52" t="s">
        <v>265</v>
      </c>
      <c r="O44" s="32">
        <v>0</v>
      </c>
      <c r="P44" s="32">
        <v>0</v>
      </c>
      <c r="Q44" s="34">
        <v>0.44584915754817689</v>
      </c>
      <c r="R44" s="34">
        <v>0.50256064515914567</v>
      </c>
      <c r="S44" s="72">
        <v>6</v>
      </c>
      <c r="T44" s="63">
        <v>2.5100000000000001E-3</v>
      </c>
      <c r="U44" s="34">
        <v>-0.1915108424518224</v>
      </c>
      <c r="V44" s="64">
        <v>-0.20942930315113598</v>
      </c>
      <c r="W44" s="4">
        <v>0.57429718875502012</v>
      </c>
      <c r="X44" s="76">
        <v>0.68354430379746833</v>
      </c>
      <c r="Y44" s="77">
        <v>0.4</v>
      </c>
      <c r="Z44" s="77">
        <v>0.50467289719626174</v>
      </c>
      <c r="AA44" s="77">
        <v>0.52352941176470591</v>
      </c>
      <c r="AB44" s="77">
        <v>0.7807017543859649</v>
      </c>
      <c r="AC44" s="78">
        <v>0.62676056338028174</v>
      </c>
      <c r="AD44">
        <v>2662646.0821495522</v>
      </c>
      <c r="AE44">
        <v>953.95061841598476</v>
      </c>
      <c r="AF44">
        <v>4.4756090810518616</v>
      </c>
      <c r="AG44">
        <v>-5080.3386441772727</v>
      </c>
      <c r="AH44">
        <v>-5357.8907549936775</v>
      </c>
      <c r="AI44" s="22">
        <v>2662646.0821495522</v>
      </c>
      <c r="AK44" s="89" t="s">
        <v>258</v>
      </c>
      <c r="AL44" s="9">
        <v>64.340558071522068</v>
      </c>
      <c r="AM44" s="9">
        <v>323.63163039467241</v>
      </c>
      <c r="AN44" s="9">
        <v>173.29868545047199</v>
      </c>
      <c r="AO44" s="9">
        <v>140.8411489571713</v>
      </c>
      <c r="AP44" s="9">
        <v>150.19566603336659</v>
      </c>
    </row>
    <row r="45" spans="1:42" x14ac:dyDescent="0.3">
      <c r="A45" s="1">
        <v>44</v>
      </c>
      <c r="B45">
        <v>256.185</v>
      </c>
      <c r="C45">
        <v>254.23</v>
      </c>
      <c r="D45">
        <v>267.77999999999997</v>
      </c>
      <c r="E45" t="str">
        <f t="shared" si="1"/>
        <v>Compra</v>
      </c>
      <c r="F45" t="str">
        <f t="shared" si="2"/>
        <v>Negativo</v>
      </c>
      <c r="G45" s="4">
        <f t="shared" si="3"/>
        <v>-7.6312040127252279E-3</v>
      </c>
      <c r="H45" s="4">
        <f t="shared" si="4"/>
        <v>4.5260261139410854E-2</v>
      </c>
      <c r="I45" s="47" t="str">
        <f t="shared" si="5"/>
        <v>Venta</v>
      </c>
      <c r="J45" s="47" t="str">
        <f t="shared" si="6"/>
        <v>CompraVenta</v>
      </c>
      <c r="K45" s="47"/>
      <c r="L45" s="47"/>
      <c r="N45" s="52" t="s">
        <v>266</v>
      </c>
      <c r="O45" s="32">
        <v>0</v>
      </c>
      <c r="P45" s="32">
        <v>0</v>
      </c>
      <c r="Q45" s="34">
        <v>-0.49808818679460803</v>
      </c>
      <c r="R45" s="34">
        <v>-0.42171156583659053</v>
      </c>
      <c r="S45" s="72">
        <v>6</v>
      </c>
      <c r="T45" s="63">
        <v>2.5100000000000001E-3</v>
      </c>
      <c r="U45" s="34">
        <v>-1.135448186794608</v>
      </c>
      <c r="V45" s="64">
        <v>-0.70298782287244088</v>
      </c>
      <c r="W45" s="4">
        <v>0.45783132530120479</v>
      </c>
      <c r="X45" s="76">
        <v>0.5</v>
      </c>
      <c r="Y45" s="77">
        <v>0.25185185185185183</v>
      </c>
      <c r="Z45" s="77">
        <v>0.33497536945812806</v>
      </c>
      <c r="AA45" s="77">
        <v>0.44198895027624308</v>
      </c>
      <c r="AB45" s="77">
        <v>0.70175438596491224</v>
      </c>
      <c r="AC45" s="78">
        <v>0.5423728813559322</v>
      </c>
      <c r="AD45">
        <v>1.4637527055970909E+22</v>
      </c>
      <c r="AE45">
        <v>56770913650.224403</v>
      </c>
      <c r="AF45">
        <v>267315089.60972559</v>
      </c>
      <c r="AG45">
        <v>-2.79339535146368E+19</v>
      </c>
      <c r="AH45">
        <v>-2.9459757698209391E+19</v>
      </c>
      <c r="AI45" s="22">
        <v>13799.54930411464</v>
      </c>
      <c r="AK45" s="89" t="s">
        <v>355</v>
      </c>
      <c r="AL45" s="9">
        <v>58.899236371759457</v>
      </c>
      <c r="AM45" s="9">
        <v>759.08196858164422</v>
      </c>
      <c r="AN45" s="9">
        <v>1540.6549553846551</v>
      </c>
      <c r="AO45" s="9">
        <v>505.24855928143688</v>
      </c>
      <c r="AP45" s="9">
        <v>357.5850813169252</v>
      </c>
    </row>
    <row r="46" spans="1:42" x14ac:dyDescent="0.3">
      <c r="A46" s="1">
        <v>45</v>
      </c>
      <c r="B46">
        <v>254.09</v>
      </c>
      <c r="C46">
        <v>253.77</v>
      </c>
      <c r="D46">
        <v>267.77999999999997</v>
      </c>
      <c r="E46" t="str">
        <f t="shared" si="1"/>
        <v>Compra</v>
      </c>
      <c r="F46" t="str">
        <f t="shared" si="2"/>
        <v>Negativo</v>
      </c>
      <c r="G46" s="4">
        <f t="shared" si="3"/>
        <v>-1.2593962769097296E-3</v>
      </c>
      <c r="H46" s="4">
        <f t="shared" si="4"/>
        <v>5.3878546971545392E-2</v>
      </c>
      <c r="I46" s="47" t="str">
        <f t="shared" si="5"/>
        <v>Venta</v>
      </c>
      <c r="J46" s="47" t="str">
        <f t="shared" si="6"/>
        <v>CompraVenta</v>
      </c>
      <c r="K46" s="47"/>
      <c r="L46" s="47"/>
      <c r="N46" s="52" t="s">
        <v>267</v>
      </c>
      <c r="O46" s="32">
        <v>0</v>
      </c>
      <c r="P46" s="32">
        <v>0</v>
      </c>
      <c r="Q46" s="34">
        <v>-0.22988022743794762</v>
      </c>
      <c r="R46" s="34">
        <v>-0.24069976802770005</v>
      </c>
      <c r="S46" s="72">
        <v>6</v>
      </c>
      <c r="T46" s="63">
        <v>2.5100000000000001E-3</v>
      </c>
      <c r="U46" s="34">
        <v>-0.86724022743794815</v>
      </c>
      <c r="V46" s="64">
        <v>-0.60641017412693032</v>
      </c>
      <c r="W46" s="4">
        <v>0.45783132530120479</v>
      </c>
      <c r="X46" s="76" t="e">
        <v>#DIV/0!</v>
      </c>
      <c r="Y46" s="77">
        <v>0</v>
      </c>
      <c r="Z46" s="77" t="e">
        <v>#DIV/0!</v>
      </c>
      <c r="AA46" s="77">
        <v>0.45783132530120479</v>
      </c>
      <c r="AB46" s="77">
        <v>1</v>
      </c>
      <c r="AC46" s="78">
        <v>0.62809917355371903</v>
      </c>
      <c r="AD46">
        <v>3911.419263150513</v>
      </c>
      <c r="AE46">
        <v>58.47582818601699</v>
      </c>
      <c r="AF46">
        <v>0.29270177707625461</v>
      </c>
      <c r="AG46">
        <v>-6.4644715227721257</v>
      </c>
      <c r="AH46">
        <v>-6.8721947572092592</v>
      </c>
      <c r="AI46" s="22">
        <v>3609.9182480989011</v>
      </c>
      <c r="AK46" s="89" t="s">
        <v>356</v>
      </c>
      <c r="AL46" s="9">
        <v>15.90088440209928</v>
      </c>
      <c r="AM46" s="9">
        <v>343.86441405871761</v>
      </c>
      <c r="AN46" s="9">
        <v>27.87311971578519</v>
      </c>
      <c r="AO46" s="9">
        <v>43.719914820359342</v>
      </c>
      <c r="AP46" s="9">
        <v>22.001339904684819</v>
      </c>
    </row>
    <row r="47" spans="1:42" x14ac:dyDescent="0.3">
      <c r="A47" s="1">
        <v>46</v>
      </c>
      <c r="B47">
        <v>255.93</v>
      </c>
      <c r="C47">
        <v>252.30500000000001</v>
      </c>
      <c r="D47">
        <v>252.42</v>
      </c>
      <c r="E47" t="str">
        <f t="shared" si="1"/>
        <v>Venta</v>
      </c>
      <c r="F47" t="str">
        <f t="shared" si="2"/>
        <v>Positivo</v>
      </c>
      <c r="G47" s="4">
        <f t="shared" si="3"/>
        <v>1.4164029226741686E-2</v>
      </c>
      <c r="H47" s="4">
        <f t="shared" si="4"/>
        <v>1.3714687609893405E-2</v>
      </c>
      <c r="I47" s="47" t="str">
        <f t="shared" si="5"/>
        <v>Venta</v>
      </c>
      <c r="J47" s="47" t="str">
        <f t="shared" si="6"/>
        <v>VentaVenta</v>
      </c>
      <c r="K47" s="47"/>
      <c r="L47" s="47"/>
      <c r="N47" s="52" t="s">
        <v>268</v>
      </c>
      <c r="O47" s="32">
        <v>0</v>
      </c>
      <c r="P47" s="32">
        <v>0</v>
      </c>
      <c r="Q47" s="34">
        <v>0.17326302506339228</v>
      </c>
      <c r="R47" s="34">
        <v>0.14265451950494201</v>
      </c>
      <c r="S47" s="72">
        <v>6</v>
      </c>
      <c r="T47" s="63">
        <v>2.5100000000000001E-3</v>
      </c>
      <c r="U47" s="34">
        <v>-0.46409697493660773</v>
      </c>
      <c r="V47" s="64">
        <v>-0.40103006096297089</v>
      </c>
      <c r="W47" s="4">
        <v>0.46987951807228917</v>
      </c>
      <c r="X47" s="76">
        <v>0.56521739130434778</v>
      </c>
      <c r="Y47" s="77">
        <v>9.6296296296296297E-2</v>
      </c>
      <c r="Z47" s="77">
        <v>0.16455696202531644</v>
      </c>
      <c r="AA47" s="77">
        <v>0.46017699115044247</v>
      </c>
      <c r="AB47" s="77">
        <v>0.91228070175438591</v>
      </c>
      <c r="AC47" s="78">
        <v>0.61176470588235288</v>
      </c>
      <c r="AD47">
        <v>1568.7282572509921</v>
      </c>
      <c r="AE47">
        <v>33.97144642857144</v>
      </c>
      <c r="AF47">
        <v>0.165608239090105</v>
      </c>
      <c r="AG47">
        <v>-1.9937285203699171</v>
      </c>
      <c r="AH47">
        <v>-2.157251506776678</v>
      </c>
      <c r="AI47" s="22">
        <v>1568.7282572509921</v>
      </c>
      <c r="AK47" s="89" t="s">
        <v>259</v>
      </c>
      <c r="AL47" s="9">
        <v>15.48284931282114</v>
      </c>
      <c r="AM47" s="9">
        <v>260.55666860480329</v>
      </c>
      <c r="AN47" s="9">
        <v>39.452656951216483</v>
      </c>
      <c r="AO47" s="9">
        <v>52.145460928143613</v>
      </c>
      <c r="AP47" s="9">
        <v>23.302369371043991</v>
      </c>
    </row>
    <row r="48" spans="1:42" x14ac:dyDescent="0.3">
      <c r="A48" s="1">
        <v>47</v>
      </c>
      <c r="B48">
        <v>251.06</v>
      </c>
      <c r="C48">
        <v>248.66</v>
      </c>
      <c r="D48">
        <v>252.42</v>
      </c>
      <c r="E48" t="str">
        <f t="shared" si="1"/>
        <v>Compra</v>
      </c>
      <c r="F48" t="str">
        <f t="shared" si="2"/>
        <v>Negativo</v>
      </c>
      <c r="G48" s="4">
        <f t="shared" si="3"/>
        <v>-9.5594678562893557E-3</v>
      </c>
      <c r="H48" s="4">
        <f t="shared" si="4"/>
        <v>5.417031785230563E-3</v>
      </c>
      <c r="I48" s="47" t="str">
        <f t="shared" si="5"/>
        <v>Venta</v>
      </c>
      <c r="J48" s="47" t="str">
        <f t="shared" si="6"/>
        <v>CompraVenta</v>
      </c>
      <c r="K48" s="47"/>
      <c r="L48" s="47"/>
      <c r="N48" s="52" t="s">
        <v>269</v>
      </c>
      <c r="O48" s="32">
        <v>0</v>
      </c>
      <c r="P48" s="32">
        <v>0</v>
      </c>
      <c r="Q48" s="34">
        <v>0.19460023400949344</v>
      </c>
      <c r="R48" s="34">
        <v>0.16753101677937549</v>
      </c>
      <c r="S48" s="72">
        <v>6</v>
      </c>
      <c r="T48" s="63">
        <v>2.5100000000000001E-3</v>
      </c>
      <c r="U48" s="34">
        <v>-0.44275976599050626</v>
      </c>
      <c r="V48" s="64">
        <v>-0.38770596896103487</v>
      </c>
      <c r="W48" s="4">
        <v>0.47791164658634538</v>
      </c>
      <c r="X48" s="76">
        <v>0.60869565217391308</v>
      </c>
      <c r="Y48" s="77">
        <v>0.1037037037037037</v>
      </c>
      <c r="Z48" s="77">
        <v>0.17721518987341769</v>
      </c>
      <c r="AA48" s="77">
        <v>0.46460176991150443</v>
      </c>
      <c r="AB48" s="77">
        <v>0.92105263157894735</v>
      </c>
      <c r="AC48" s="78">
        <v>0.61764705882352944</v>
      </c>
      <c r="AD48">
        <v>1673.4377832109601</v>
      </c>
      <c r="AE48">
        <v>35.348129384920377</v>
      </c>
      <c r="AF48">
        <v>0.17282897688790469</v>
      </c>
      <c r="AG48">
        <v>-2.1935540113508019</v>
      </c>
      <c r="AH48">
        <v>-2.3679918355002161</v>
      </c>
      <c r="AI48" s="22">
        <v>1572.8447473650799</v>
      </c>
    </row>
    <row r="49" spans="1:35" x14ac:dyDescent="0.3">
      <c r="A49" s="1">
        <v>48</v>
      </c>
      <c r="B49">
        <v>247.465</v>
      </c>
      <c r="C49">
        <v>253.95500000000001</v>
      </c>
      <c r="D49">
        <v>252.42</v>
      </c>
      <c r="E49" t="str">
        <f t="shared" si="1"/>
        <v>Compra</v>
      </c>
      <c r="F49" t="str">
        <f t="shared" si="2"/>
        <v>Positivo</v>
      </c>
      <c r="G49" s="4">
        <f t="shared" si="3"/>
        <v>2.6225930939728886E-2</v>
      </c>
      <c r="H49" s="4">
        <f t="shared" si="4"/>
        <v>2.0023033560301391E-2</v>
      </c>
      <c r="I49" s="47" t="str">
        <f t="shared" si="5"/>
        <v>Compra</v>
      </c>
      <c r="J49" s="47" t="str">
        <f t="shared" si="6"/>
        <v>CompraCompra</v>
      </c>
      <c r="K49" s="47"/>
      <c r="L49" s="47"/>
      <c r="M49" s="47" t="s">
        <v>304</v>
      </c>
      <c r="N49" s="52" t="s">
        <v>265</v>
      </c>
      <c r="O49" s="32">
        <v>0</v>
      </c>
      <c r="P49" s="32">
        <v>0</v>
      </c>
      <c r="Q49" s="34">
        <v>0.44584915754817689</v>
      </c>
      <c r="R49" s="34">
        <v>0.50256064515914567</v>
      </c>
      <c r="S49" s="72">
        <v>6</v>
      </c>
      <c r="T49" s="63">
        <v>2.5100000000000001E-3</v>
      </c>
      <c r="U49" s="34">
        <v>-0.1915108424518224</v>
      </c>
      <c r="V49" s="64">
        <v>-0.20942930315113598</v>
      </c>
      <c r="W49" s="4">
        <v>0.57429718875502012</v>
      </c>
      <c r="X49" s="76">
        <v>0.68354430379746833</v>
      </c>
      <c r="Y49" s="77">
        <v>0.4</v>
      </c>
      <c r="Z49" s="77">
        <v>0.50467289719626174</v>
      </c>
      <c r="AA49" s="77">
        <v>0.52352941176470591</v>
      </c>
      <c r="AB49" s="77">
        <v>0.7807017543859649</v>
      </c>
      <c r="AC49" s="78">
        <v>0.62676056338028174</v>
      </c>
      <c r="AD49">
        <v>2662646.0821584691</v>
      </c>
      <c r="AE49">
        <v>961.71186790927868</v>
      </c>
      <c r="AF49">
        <v>5.0487844320482536</v>
      </c>
      <c r="AG49">
        <v>-5080.3386441942903</v>
      </c>
      <c r="AH49">
        <v>-5357.8907550116264</v>
      </c>
      <c r="AI49" s="22">
        <v>8.9786029612704059</v>
      </c>
    </row>
    <row r="50" spans="1:35" x14ac:dyDescent="0.3">
      <c r="A50" s="1">
        <v>49</v>
      </c>
      <c r="B50">
        <v>256.95</v>
      </c>
      <c r="C50">
        <v>260.51499999999999</v>
      </c>
      <c r="D50">
        <v>262.97000000000003</v>
      </c>
      <c r="E50" t="str">
        <f t="shared" si="1"/>
        <v>Compra</v>
      </c>
      <c r="F50" t="str">
        <f t="shared" si="2"/>
        <v>Positivo</v>
      </c>
      <c r="G50" s="4">
        <f t="shared" si="3"/>
        <v>1.3874294609846266E-2</v>
      </c>
      <c r="H50" s="4">
        <f t="shared" si="4"/>
        <v>2.3428682623078571E-2</v>
      </c>
      <c r="I50" s="47" t="str">
        <f t="shared" si="5"/>
        <v>Compra</v>
      </c>
      <c r="J50" s="47" t="str">
        <f t="shared" si="6"/>
        <v>CompraCompra</v>
      </c>
      <c r="K50" s="47"/>
      <c r="L50" s="47"/>
      <c r="M50" s="47" t="s">
        <v>304</v>
      </c>
      <c r="N50" s="52" t="s">
        <v>266</v>
      </c>
      <c r="O50" s="32">
        <v>0</v>
      </c>
      <c r="P50" s="32">
        <v>0</v>
      </c>
      <c r="Q50" s="34">
        <v>2.392479809426077E-2</v>
      </c>
      <c r="R50" s="34">
        <v>-1.7598616863339848E-2</v>
      </c>
      <c r="S50" s="72">
        <v>6</v>
      </c>
      <c r="T50" s="63">
        <v>2.5100000000000001E-3</v>
      </c>
      <c r="U50" s="34">
        <v>-0.61343520190573897</v>
      </c>
      <c r="V50" s="64">
        <v>-0.48695887619355244</v>
      </c>
      <c r="W50" s="4">
        <v>0.48995983935742971</v>
      </c>
      <c r="X50" s="76">
        <v>0.54166666666666663</v>
      </c>
      <c r="Y50" s="77">
        <v>0.38518518518518519</v>
      </c>
      <c r="Z50" s="77">
        <v>0.45021645021645018</v>
      </c>
      <c r="AA50" s="77">
        <v>0.45751633986928103</v>
      </c>
      <c r="AB50" s="77">
        <v>0.61403508771929827</v>
      </c>
      <c r="AC50" s="78">
        <v>0.52434456928838946</v>
      </c>
      <c r="AD50">
        <v>13799.54930411464</v>
      </c>
      <c r="AE50">
        <v>83.751023504098598</v>
      </c>
      <c r="AF50">
        <v>0.40229258745776408</v>
      </c>
      <c r="AG50">
        <v>-25.334774126127709</v>
      </c>
      <c r="AH50">
        <v>-26.773228175033839</v>
      </c>
      <c r="AI50" s="22">
        <v>9207.427393128839</v>
      </c>
    </row>
    <row r="51" spans="1:35" x14ac:dyDescent="0.3">
      <c r="A51" s="1">
        <v>50</v>
      </c>
      <c r="B51">
        <v>259.74</v>
      </c>
      <c r="C51">
        <v>265.10500000000002</v>
      </c>
      <c r="D51">
        <v>262.97000000000003</v>
      </c>
      <c r="E51" t="str">
        <f t="shared" si="1"/>
        <v>Compra</v>
      </c>
      <c r="F51" t="str">
        <f t="shared" si="2"/>
        <v>Positivo</v>
      </c>
      <c r="G51" s="4">
        <f t="shared" si="3"/>
        <v>2.0655270655270688E-2</v>
      </c>
      <c r="H51" s="4">
        <f t="shared" si="4"/>
        <v>1.2435512435512506E-2</v>
      </c>
      <c r="I51" s="47" t="str">
        <f t="shared" si="5"/>
        <v>Compra</v>
      </c>
      <c r="J51" s="47" t="str">
        <f t="shared" si="6"/>
        <v>CompraCompra</v>
      </c>
      <c r="K51" s="47"/>
      <c r="L51" s="47"/>
      <c r="M51" s="47" t="s">
        <v>304</v>
      </c>
      <c r="N51" s="52" t="s">
        <v>267</v>
      </c>
      <c r="O51" s="32">
        <v>0</v>
      </c>
      <c r="P51" s="32">
        <v>0</v>
      </c>
      <c r="Q51" s="34">
        <v>-0.22988022743794762</v>
      </c>
      <c r="R51" s="34">
        <v>-0.24069976802770005</v>
      </c>
      <c r="S51" s="72">
        <v>6</v>
      </c>
      <c r="T51" s="63">
        <v>2.5100000000000001E-3</v>
      </c>
      <c r="U51" s="34">
        <v>-0.86724022743794815</v>
      </c>
      <c r="V51" s="64">
        <v>-0.60641017412693032</v>
      </c>
      <c r="W51" s="4">
        <v>0.45783132530120479</v>
      </c>
      <c r="X51" s="76" t="e">
        <v>#DIV/0!</v>
      </c>
      <c r="Y51" s="77">
        <v>0</v>
      </c>
      <c r="Z51" s="77" t="e">
        <v>#DIV/0!</v>
      </c>
      <c r="AA51" s="77">
        <v>0.45783132530120479</v>
      </c>
      <c r="AB51" s="77">
        <v>1</v>
      </c>
      <c r="AC51" s="78">
        <v>0.62809917355371903</v>
      </c>
      <c r="AD51">
        <v>3609.9182480989011</v>
      </c>
      <c r="AE51">
        <v>53.699231529084997</v>
      </c>
      <c r="AF51">
        <v>0.26463100702587172</v>
      </c>
      <c r="AG51">
        <v>-5.8890932292350344</v>
      </c>
      <c r="AH51">
        <v>-6.2653882375545944</v>
      </c>
      <c r="AI51" s="22">
        <v>3609.9182480989011</v>
      </c>
    </row>
    <row r="52" spans="1:35" x14ac:dyDescent="0.3">
      <c r="A52" s="1">
        <v>51</v>
      </c>
      <c r="B52">
        <v>264.98</v>
      </c>
      <c r="C52">
        <v>276.005</v>
      </c>
      <c r="D52">
        <v>262.97000000000003</v>
      </c>
      <c r="E52" t="str">
        <f t="shared" si="1"/>
        <v>Venta</v>
      </c>
      <c r="F52" t="str">
        <f t="shared" si="2"/>
        <v>Negativo</v>
      </c>
      <c r="G52" s="4">
        <f t="shared" si="3"/>
        <v>-4.1606913729337974E-2</v>
      </c>
      <c r="H52" s="4">
        <f t="shared" si="4"/>
        <v>7.5854781492942511E-3</v>
      </c>
      <c r="I52" s="47" t="str">
        <f t="shared" si="5"/>
        <v>Compra</v>
      </c>
      <c r="J52" s="47" t="str">
        <f t="shared" si="6"/>
        <v>VentaCompra</v>
      </c>
      <c r="K52" s="47"/>
      <c r="L52" s="47"/>
      <c r="M52" s="47" t="s">
        <v>304</v>
      </c>
      <c r="N52" s="52" t="s">
        <v>268</v>
      </c>
      <c r="O52" s="32">
        <v>0</v>
      </c>
      <c r="P52" s="32">
        <v>0</v>
      </c>
      <c r="Q52" s="34">
        <v>0.19460023400949344</v>
      </c>
      <c r="R52" s="34">
        <v>0.16753101677937549</v>
      </c>
      <c r="S52" s="72">
        <v>6</v>
      </c>
      <c r="T52" s="63">
        <v>2.5100000000000001E-3</v>
      </c>
      <c r="U52" s="34">
        <v>-0.44275976599050626</v>
      </c>
      <c r="V52" s="64">
        <v>-0.38770596896103487</v>
      </c>
      <c r="W52" s="4">
        <v>0.47791164658634538</v>
      </c>
      <c r="X52" s="76">
        <v>0.60869565217391308</v>
      </c>
      <c r="Y52" s="77">
        <v>0.1037037037037037</v>
      </c>
      <c r="Z52" s="77">
        <v>0.17721518987341769</v>
      </c>
      <c r="AA52" s="77">
        <v>0.46460176991150443</v>
      </c>
      <c r="AB52" s="77">
        <v>0.92105263157894735</v>
      </c>
      <c r="AC52" s="78">
        <v>0.61764705882352944</v>
      </c>
      <c r="AD52">
        <v>1572.972633394842</v>
      </c>
      <c r="AE52">
        <v>34.129940476190477</v>
      </c>
      <c r="AF52">
        <v>0.16670870439685831</v>
      </c>
      <c r="AG52">
        <v>-2.001828399908828</v>
      </c>
      <c r="AH52">
        <v>-2.165793816710571</v>
      </c>
      <c r="AI52" s="22">
        <v>1572.972633394842</v>
      </c>
    </row>
    <row r="53" spans="1:35" x14ac:dyDescent="0.3">
      <c r="A53" s="1">
        <v>52</v>
      </c>
      <c r="B53">
        <v>278.21499999999997</v>
      </c>
      <c r="C53">
        <v>279.38</v>
      </c>
      <c r="D53">
        <v>266.24</v>
      </c>
      <c r="E53" t="str">
        <f t="shared" si="1"/>
        <v>Venta</v>
      </c>
      <c r="F53" t="str">
        <f t="shared" si="2"/>
        <v>Negativo</v>
      </c>
      <c r="G53" s="4">
        <f t="shared" si="3"/>
        <v>-4.1874090182054185E-3</v>
      </c>
      <c r="H53" s="4">
        <f t="shared" si="4"/>
        <v>4.3042251496144948E-2</v>
      </c>
      <c r="I53" s="47" t="str">
        <f t="shared" si="5"/>
        <v>Compra</v>
      </c>
      <c r="J53" s="47" t="str">
        <f t="shared" si="6"/>
        <v>VentaCompra</v>
      </c>
      <c r="K53" s="47"/>
      <c r="L53" s="47"/>
      <c r="M53" s="47" t="s">
        <v>304</v>
      </c>
      <c r="N53" s="52" t="s">
        <v>269</v>
      </c>
      <c r="O53" s="32">
        <v>0</v>
      </c>
      <c r="P53" s="32">
        <v>0</v>
      </c>
      <c r="Q53" s="34">
        <v>0.19460023400949344</v>
      </c>
      <c r="R53" s="34">
        <v>0.16753101677937549</v>
      </c>
      <c r="S53" s="72">
        <v>6</v>
      </c>
      <c r="T53" s="63">
        <v>2.5100000000000001E-3</v>
      </c>
      <c r="U53" s="34">
        <v>-0.44275976599050626</v>
      </c>
      <c r="V53" s="64">
        <v>-0.38770596896103487</v>
      </c>
      <c r="W53" s="4">
        <v>0.47791164658634538</v>
      </c>
      <c r="X53" s="76">
        <v>0.60869565217391308</v>
      </c>
      <c r="Y53" s="77">
        <v>0.1037037037037037</v>
      </c>
      <c r="Z53" s="77">
        <v>0.17721518987341769</v>
      </c>
      <c r="AA53" s="77">
        <v>0.46460176991150443</v>
      </c>
      <c r="AB53" s="77">
        <v>0.92105263157894735</v>
      </c>
      <c r="AC53" s="78">
        <v>0.61764705882352944</v>
      </c>
      <c r="AD53">
        <v>1572.8447473650799</v>
      </c>
      <c r="AE53">
        <v>34.164158730158739</v>
      </c>
      <c r="AF53">
        <v>0.16694488546137429</v>
      </c>
      <c r="AG53">
        <v>-2.0015843448579389</v>
      </c>
      <c r="AH53">
        <v>-2.1655364309216081</v>
      </c>
      <c r="AI53" s="22">
        <v>1572.8447473650799</v>
      </c>
    </row>
    <row r="54" spans="1:35" x14ac:dyDescent="0.3">
      <c r="A54" s="1">
        <v>53</v>
      </c>
      <c r="B54">
        <v>277.16500000000002</v>
      </c>
      <c r="C54">
        <v>272.08499999999998</v>
      </c>
      <c r="D54">
        <v>264.66500000000002</v>
      </c>
      <c r="E54" t="str">
        <f t="shared" ref="E54:E117" si="7">+IF(D54&lt;B54,"Venta","Compra")</f>
        <v>Venta</v>
      </c>
      <c r="F54" t="str">
        <f t="shared" ref="F54:F117" si="8">IF(B54="","",IF(E54="Venta",IF(C54&lt;B54,"Positivo","Negativo"),IF(C54&gt;B54,"Positivo","Negativo")))</f>
        <v>Positivo</v>
      </c>
      <c r="G54" s="4">
        <f t="shared" ref="G54:G117" si="9">+IF(E54="Compra",(C54-B54)/B54,(B54-C54)/B54)</f>
        <v>1.8328432522143997E-2</v>
      </c>
      <c r="H54" s="4">
        <f t="shared" ref="H54:H117" si="10">+IF(E54="Compra",(D54-B54)/B54,(B54-D54)/B54)</f>
        <v>4.5099489473779154E-2</v>
      </c>
      <c r="I54" s="47" t="str">
        <f t="shared" ref="I54:I117" si="11">+IF(C54&lt;B54,"Venta","Compra")</f>
        <v>Venta</v>
      </c>
      <c r="J54" s="47" t="str">
        <f t="shared" ref="J54:J117" si="12">+E54&amp;I54</f>
        <v>VentaVenta</v>
      </c>
      <c r="K54" s="47"/>
      <c r="L54" s="47"/>
      <c r="N54" s="52" t="s">
        <v>275</v>
      </c>
      <c r="O54" s="32">
        <v>0</v>
      </c>
      <c r="P54" s="32">
        <v>0</v>
      </c>
      <c r="Q54" s="34">
        <v>0.16010634469837665</v>
      </c>
      <c r="R54" s="34">
        <v>0.16016170351823036</v>
      </c>
      <c r="S54" s="72">
        <v>6</v>
      </c>
      <c r="T54" s="63">
        <v>2.5100000000000001E-3</v>
      </c>
      <c r="U54" s="34">
        <v>-0.47725365530162323</v>
      </c>
      <c r="V54" s="64">
        <v>-0.39189001123771527</v>
      </c>
      <c r="W54" s="4">
        <v>0.53413654618473894</v>
      </c>
      <c r="X54" s="76">
        <v>0.56097560975609762</v>
      </c>
      <c r="Y54" s="77">
        <v>0.67647058823529416</v>
      </c>
      <c r="Z54" s="77">
        <v>0.6133333333333334</v>
      </c>
      <c r="AA54" s="77">
        <v>0.4823529411764706</v>
      </c>
      <c r="AB54" s="77">
        <v>0.36283185840707965</v>
      </c>
      <c r="AC54" s="78">
        <v>0.4141414141414142</v>
      </c>
      <c r="AD54">
        <v>8.9786029612704059</v>
      </c>
      <c r="AE54">
        <v>2.2948934566905321</v>
      </c>
      <c r="AF54">
        <v>8.3728020721760988E-3</v>
      </c>
      <c r="AG54">
        <v>0.99340336120559136</v>
      </c>
      <c r="AH54">
        <v>0.99304304059917403</v>
      </c>
      <c r="AI54" s="22">
        <v>8.9786029612704059</v>
      </c>
    </row>
    <row r="55" spans="1:35" x14ac:dyDescent="0.3">
      <c r="A55" s="1">
        <v>54</v>
      </c>
      <c r="B55">
        <v>274.755</v>
      </c>
      <c r="C55">
        <v>273.55500000000001</v>
      </c>
      <c r="D55">
        <v>258.815</v>
      </c>
      <c r="E55" t="str">
        <f t="shared" si="7"/>
        <v>Venta</v>
      </c>
      <c r="F55" t="str">
        <f t="shared" si="8"/>
        <v>Positivo</v>
      </c>
      <c r="G55" s="4">
        <f t="shared" si="9"/>
        <v>4.3675274335316502E-3</v>
      </c>
      <c r="H55" s="4">
        <f t="shared" si="10"/>
        <v>5.8015322742079302E-2</v>
      </c>
      <c r="I55" s="47" t="str">
        <f t="shared" si="11"/>
        <v>Venta</v>
      </c>
      <c r="J55" s="47" t="str">
        <f t="shared" si="12"/>
        <v>VentaVenta</v>
      </c>
      <c r="K55" s="47"/>
      <c r="L55" s="47"/>
      <c r="N55" s="52" t="s">
        <v>276</v>
      </c>
      <c r="O55" s="32">
        <v>0</v>
      </c>
      <c r="P55" s="32">
        <v>0</v>
      </c>
      <c r="Q55" s="34">
        <v>-0.34956559447514896</v>
      </c>
      <c r="R55" s="34">
        <v>-0.30675882246075414</v>
      </c>
      <c r="S55" s="72">
        <v>6</v>
      </c>
      <c r="T55" s="63">
        <v>2.5100000000000001E-3</v>
      </c>
      <c r="U55" s="34">
        <v>-0.98692559447514938</v>
      </c>
      <c r="V55" s="64">
        <v>-0.64100649457115622</v>
      </c>
      <c r="W55" s="4">
        <v>0.44578313253012047</v>
      </c>
      <c r="X55" s="76">
        <v>0</v>
      </c>
      <c r="Y55" s="77">
        <v>0</v>
      </c>
      <c r="Z55" s="77" t="e">
        <v>#DIV/0!</v>
      </c>
      <c r="AA55" s="77">
        <v>0.44939271255060731</v>
      </c>
      <c r="AB55" s="77">
        <v>0.98230088495575218</v>
      </c>
      <c r="AC55" s="78">
        <v>0.61666666666666659</v>
      </c>
      <c r="AD55">
        <v>9207.427393128839</v>
      </c>
      <c r="AE55">
        <v>88.323191595203227</v>
      </c>
      <c r="AF55">
        <v>0.30760146491545759</v>
      </c>
      <c r="AG55">
        <v>-5.7647576132067844</v>
      </c>
      <c r="AH55">
        <v>-6.1342611803147182</v>
      </c>
      <c r="AI55" s="22">
        <v>2967.093749154471</v>
      </c>
    </row>
    <row r="56" spans="1:35" x14ac:dyDescent="0.3">
      <c r="A56" s="1">
        <v>55</v>
      </c>
      <c r="B56">
        <v>273.55500000000001</v>
      </c>
      <c r="C56">
        <v>272.20999999999998</v>
      </c>
      <c r="D56">
        <v>277.61</v>
      </c>
      <c r="E56" t="str">
        <f t="shared" si="7"/>
        <v>Compra</v>
      </c>
      <c r="F56" t="str">
        <f t="shared" si="8"/>
        <v>Negativo</v>
      </c>
      <c r="G56" s="4">
        <f t="shared" si="9"/>
        <v>-4.916744347571886E-3</v>
      </c>
      <c r="H56" s="4">
        <f t="shared" si="10"/>
        <v>1.4823344482827974E-2</v>
      </c>
      <c r="I56" s="47" t="str">
        <f t="shared" si="11"/>
        <v>Venta</v>
      </c>
      <c r="J56" s="47" t="str">
        <f t="shared" si="12"/>
        <v>CompraVenta</v>
      </c>
      <c r="K56" s="47"/>
      <c r="L56" s="47"/>
      <c r="N56" s="52" t="s">
        <v>277</v>
      </c>
      <c r="O56" s="32">
        <v>0</v>
      </c>
      <c r="P56" s="32">
        <v>0</v>
      </c>
      <c r="Q56" s="34">
        <v>-0.30477441304539432</v>
      </c>
      <c r="R56" s="34">
        <v>-0.27441874268372773</v>
      </c>
      <c r="S56" s="72">
        <v>6</v>
      </c>
      <c r="T56" s="63">
        <v>2.5100000000000001E-3</v>
      </c>
      <c r="U56" s="34">
        <v>-0.94213441304539458</v>
      </c>
      <c r="V56" s="64">
        <v>-0.62363737649220385</v>
      </c>
      <c r="W56" s="4">
        <v>0.45381526104417669</v>
      </c>
      <c r="X56" s="76" t="e">
        <v>#DIV/0!</v>
      </c>
      <c r="Y56" s="77">
        <v>0</v>
      </c>
      <c r="Z56" s="77" t="e">
        <v>#DIV/0!</v>
      </c>
      <c r="AA56" s="77">
        <v>0.45381526104417669</v>
      </c>
      <c r="AB56" s="77">
        <v>1</v>
      </c>
      <c r="AC56" s="78">
        <v>0.62430939226519344</v>
      </c>
      <c r="AD56">
        <v>8113.4168898298494</v>
      </c>
      <c r="AE56">
        <v>81.953768636057461</v>
      </c>
      <c r="AF56">
        <v>0.28416291412033351</v>
      </c>
      <c r="AG56">
        <v>-4.9609808832764557</v>
      </c>
      <c r="AH56">
        <v>-5.2865806794218084</v>
      </c>
      <c r="AI56" s="22">
        <v>8113.4168898298494</v>
      </c>
    </row>
    <row r="57" spans="1:35" x14ac:dyDescent="0.3">
      <c r="A57" s="1">
        <v>56</v>
      </c>
      <c r="B57">
        <v>277.80500000000001</v>
      </c>
      <c r="C57">
        <v>277.64499999999998</v>
      </c>
      <c r="D57">
        <v>277.61</v>
      </c>
      <c r="E57" t="str">
        <f t="shared" si="7"/>
        <v>Venta</v>
      </c>
      <c r="F57" t="str">
        <f t="shared" si="8"/>
        <v>Positivo</v>
      </c>
      <c r="G57" s="4">
        <f t="shared" si="9"/>
        <v>5.7594355753145198E-4</v>
      </c>
      <c r="H57" s="4">
        <f t="shared" si="10"/>
        <v>7.0193121074132276E-4</v>
      </c>
      <c r="I57" s="47" t="str">
        <f t="shared" si="11"/>
        <v>Venta</v>
      </c>
      <c r="J57" s="47" t="str">
        <f t="shared" si="12"/>
        <v>VentaVenta</v>
      </c>
      <c r="K57" s="47"/>
      <c r="L57" s="47"/>
      <c r="N57" s="52" t="s">
        <v>278</v>
      </c>
      <c r="O57" s="32">
        <v>0</v>
      </c>
      <c r="P57" s="32">
        <v>0</v>
      </c>
      <c r="Q57" s="34">
        <v>-0.25563868238499055</v>
      </c>
      <c r="R57" s="34">
        <v>-0.23726052322532967</v>
      </c>
      <c r="S57" s="72">
        <v>6</v>
      </c>
      <c r="T57" s="63">
        <v>2.5100000000000001E-3</v>
      </c>
      <c r="U57" s="34">
        <v>-0.89299868238499069</v>
      </c>
      <c r="V57" s="64">
        <v>-0.6036965097747643</v>
      </c>
      <c r="W57" s="4">
        <v>0.45381526104417669</v>
      </c>
      <c r="X57" s="76">
        <v>0.5</v>
      </c>
      <c r="Y57" s="77">
        <v>4.4117647058823532E-2</v>
      </c>
      <c r="Z57" s="77">
        <v>8.1081081081081099E-2</v>
      </c>
      <c r="AA57" s="77">
        <v>0.45147679324894513</v>
      </c>
      <c r="AB57" s="77">
        <v>0.94690265486725667</v>
      </c>
      <c r="AC57" s="78">
        <v>0.61142857142857143</v>
      </c>
      <c r="AD57">
        <v>4264.3482861111124</v>
      </c>
      <c r="AE57">
        <v>54.325992063492073</v>
      </c>
      <c r="AF57">
        <v>0.18292780942024681</v>
      </c>
      <c r="AG57">
        <v>-2.1330448020000792</v>
      </c>
      <c r="AH57">
        <v>-2.3041775012689909</v>
      </c>
      <c r="AI57" s="22">
        <v>4264.3482861111124</v>
      </c>
    </row>
    <row r="58" spans="1:35" x14ac:dyDescent="0.3">
      <c r="A58" s="1">
        <v>57</v>
      </c>
      <c r="B58">
        <v>277.39999999999998</v>
      </c>
      <c r="C58">
        <v>280.51</v>
      </c>
      <c r="D58">
        <v>286.185</v>
      </c>
      <c r="E58" t="str">
        <f t="shared" si="7"/>
        <v>Compra</v>
      </c>
      <c r="F58" t="str">
        <f t="shared" si="8"/>
        <v>Positivo</v>
      </c>
      <c r="G58" s="4">
        <f t="shared" si="9"/>
        <v>1.121124729632305E-2</v>
      </c>
      <c r="H58" s="4">
        <f t="shared" si="10"/>
        <v>3.1669069935111843E-2</v>
      </c>
      <c r="I58" s="47" t="str">
        <f t="shared" si="11"/>
        <v>Compra</v>
      </c>
      <c r="J58" s="47" t="str">
        <f t="shared" si="12"/>
        <v>CompraCompra</v>
      </c>
      <c r="K58" s="47"/>
      <c r="L58" s="47"/>
      <c r="N58" s="52" t="s">
        <v>279</v>
      </c>
      <c r="O58" s="32">
        <v>0</v>
      </c>
      <c r="P58" s="32">
        <v>0</v>
      </c>
      <c r="Q58" s="34">
        <v>-0.2424204487589332</v>
      </c>
      <c r="R58" s="34">
        <v>-0.22693786842960953</v>
      </c>
      <c r="S58" s="72">
        <v>6</v>
      </c>
      <c r="T58" s="63">
        <v>2.5100000000000001E-3</v>
      </c>
      <c r="U58" s="34">
        <v>-0.87978044875893324</v>
      </c>
      <c r="V58" s="64">
        <v>-0.59814884695902737</v>
      </c>
      <c r="W58" s="4">
        <v>0.46184738955823296</v>
      </c>
      <c r="X58" s="76">
        <v>0.75</v>
      </c>
      <c r="Y58" s="77">
        <v>2.2058823529411766E-2</v>
      </c>
      <c r="Z58" s="77">
        <v>4.2857142857142858E-2</v>
      </c>
      <c r="AA58" s="77">
        <v>0.45714285714285713</v>
      </c>
      <c r="AB58" s="77">
        <v>0.99115044247787609</v>
      </c>
      <c r="AC58" s="78">
        <v>0.62569832402234637</v>
      </c>
      <c r="AD58">
        <v>3982.7303816050471</v>
      </c>
      <c r="AE58">
        <v>51.886932003968163</v>
      </c>
      <c r="AF58">
        <v>0.17410850533822009</v>
      </c>
      <c r="AG58">
        <v>-1.9261382707637389</v>
      </c>
      <c r="AH58">
        <v>-2.0859693527802459</v>
      </c>
      <c r="AI58" s="22">
        <v>3982.7303816050471</v>
      </c>
    </row>
    <row r="59" spans="1:35" x14ac:dyDescent="0.3">
      <c r="A59" s="1">
        <v>58</v>
      </c>
      <c r="B59">
        <v>280.56</v>
      </c>
      <c r="C59">
        <v>276.35000000000002</v>
      </c>
      <c r="D59">
        <v>277.11</v>
      </c>
      <c r="E59" t="str">
        <f t="shared" si="7"/>
        <v>Venta</v>
      </c>
      <c r="F59" t="str">
        <f t="shared" si="8"/>
        <v>Positivo</v>
      </c>
      <c r="G59" s="4">
        <f t="shared" si="9"/>
        <v>1.5005702879954303E-2</v>
      </c>
      <c r="H59" s="4">
        <f t="shared" si="10"/>
        <v>1.2296834901625281E-2</v>
      </c>
      <c r="I59" s="47" t="str">
        <f t="shared" si="11"/>
        <v>Venta</v>
      </c>
      <c r="J59" s="47" t="str">
        <f t="shared" si="12"/>
        <v>VentaVenta</v>
      </c>
      <c r="K59" s="47"/>
      <c r="L59" s="47"/>
      <c r="M59" s="47" t="s">
        <v>304</v>
      </c>
      <c r="N59" s="52" t="s">
        <v>275</v>
      </c>
      <c r="O59" s="32">
        <v>0</v>
      </c>
      <c r="P59" s="32">
        <v>0</v>
      </c>
      <c r="Q59" s="34">
        <v>0.16010634469837665</v>
      </c>
      <c r="R59" s="34">
        <v>0.16016170351823036</v>
      </c>
      <c r="S59" s="72">
        <v>6</v>
      </c>
      <c r="T59" s="63">
        <v>2.5100000000000001E-3</v>
      </c>
      <c r="U59" s="34">
        <v>-0.47725365530162323</v>
      </c>
      <c r="V59" s="64">
        <v>-0.39189001123771527</v>
      </c>
      <c r="W59" s="4">
        <v>0.53413654618473894</v>
      </c>
      <c r="X59" s="76">
        <v>0.56097560975609762</v>
      </c>
      <c r="Y59" s="77">
        <v>0.67647058823529416</v>
      </c>
      <c r="Z59" s="77">
        <v>0.6133333333333334</v>
      </c>
      <c r="AA59" s="77">
        <v>0.4823529411764706</v>
      </c>
      <c r="AB59" s="77">
        <v>0.36283185840707965</v>
      </c>
      <c r="AC59" s="78">
        <v>0.4141414141414142</v>
      </c>
      <c r="AD59">
        <v>8.9786029612707559</v>
      </c>
      <c r="AE59">
        <v>42.029262176572423</v>
      </c>
      <c r="AF59">
        <v>0.15393022480637431</v>
      </c>
      <c r="AG59">
        <v>0.99340336120559103</v>
      </c>
      <c r="AH59">
        <v>0.9930430405991737</v>
      </c>
      <c r="AI59" s="22">
        <v>8.9786029612707559</v>
      </c>
    </row>
    <row r="60" spans="1:35" x14ac:dyDescent="0.3">
      <c r="A60" s="1">
        <v>59</v>
      </c>
      <c r="B60">
        <v>275.8</v>
      </c>
      <c r="C60">
        <v>275.31500000000011</v>
      </c>
      <c r="D60">
        <v>277.11</v>
      </c>
      <c r="E60" t="str">
        <f t="shared" si="7"/>
        <v>Compra</v>
      </c>
      <c r="F60" t="str">
        <f t="shared" si="8"/>
        <v>Negativo</v>
      </c>
      <c r="G60" s="4">
        <f t="shared" si="9"/>
        <v>-1.758520667149746E-3</v>
      </c>
      <c r="H60" s="4">
        <f t="shared" si="10"/>
        <v>4.7498187092095802E-3</v>
      </c>
      <c r="I60" s="47" t="str">
        <f t="shared" si="11"/>
        <v>Venta</v>
      </c>
      <c r="J60" s="47" t="str">
        <f t="shared" si="12"/>
        <v>CompraVenta</v>
      </c>
      <c r="K60" s="47"/>
      <c r="L60" s="47"/>
      <c r="M60" s="47" t="s">
        <v>304</v>
      </c>
      <c r="N60" s="52" t="s">
        <v>276</v>
      </c>
      <c r="O60" s="32">
        <v>0</v>
      </c>
      <c r="P60" s="32">
        <v>0</v>
      </c>
      <c r="Q60" s="34">
        <v>-0.23065117988013562</v>
      </c>
      <c r="R60" s="34">
        <v>-0.21763297739070928</v>
      </c>
      <c r="S60" s="72">
        <v>6</v>
      </c>
      <c r="T60" s="63">
        <v>2.5100000000000001E-3</v>
      </c>
      <c r="U60" s="34">
        <v>-0.86801117988013565</v>
      </c>
      <c r="V60" s="64">
        <v>-0.59314425100153512</v>
      </c>
      <c r="W60" s="4">
        <v>0.46184738955823296</v>
      </c>
      <c r="X60" s="76">
        <v>0.75</v>
      </c>
      <c r="Y60" s="77">
        <v>2.2058823529411766E-2</v>
      </c>
      <c r="Z60" s="77">
        <v>4.2857142857142858E-2</v>
      </c>
      <c r="AA60" s="77">
        <v>0.45714285714285713</v>
      </c>
      <c r="AB60" s="77">
        <v>0.99115044247787609</v>
      </c>
      <c r="AC60" s="78">
        <v>0.62569832402234637</v>
      </c>
      <c r="AD60">
        <v>2967.093749154471</v>
      </c>
      <c r="AE60">
        <v>48.036041486708967</v>
      </c>
      <c r="AF60">
        <v>0.16713192210948921</v>
      </c>
      <c r="AG60">
        <v>-1.1799433404894091</v>
      </c>
      <c r="AH60">
        <v>-1.299015875894292</v>
      </c>
      <c r="AI60" s="22">
        <v>2967.093749154471</v>
      </c>
    </row>
    <row r="61" spans="1:35" x14ac:dyDescent="0.3">
      <c r="A61" s="1">
        <v>60</v>
      </c>
      <c r="B61">
        <v>279.20999999999998</v>
      </c>
      <c r="C61">
        <v>280.52</v>
      </c>
      <c r="D61">
        <v>277.11</v>
      </c>
      <c r="E61" t="str">
        <f t="shared" si="7"/>
        <v>Venta</v>
      </c>
      <c r="F61" t="str">
        <f t="shared" si="8"/>
        <v>Negativo</v>
      </c>
      <c r="G61" s="4">
        <f t="shared" si="9"/>
        <v>-4.6918090326277797E-3</v>
      </c>
      <c r="H61" s="4">
        <f t="shared" si="10"/>
        <v>7.5212205866550842E-3</v>
      </c>
      <c r="I61" s="47" t="str">
        <f t="shared" si="11"/>
        <v>Compra</v>
      </c>
      <c r="J61" s="47" t="str">
        <f t="shared" si="12"/>
        <v>VentaCompra</v>
      </c>
      <c r="K61" s="47"/>
      <c r="L61" s="47"/>
      <c r="M61" s="47" t="s">
        <v>304</v>
      </c>
      <c r="N61" s="52" t="s">
        <v>277</v>
      </c>
      <c r="O61" s="32">
        <v>0</v>
      </c>
      <c r="P61" s="32">
        <v>0</v>
      </c>
      <c r="Q61" s="34">
        <v>-0.30477441304539432</v>
      </c>
      <c r="R61" s="34">
        <v>-0.27441874268372773</v>
      </c>
      <c r="S61" s="72">
        <v>6</v>
      </c>
      <c r="T61" s="63">
        <v>2.5100000000000001E-3</v>
      </c>
      <c r="U61" s="34">
        <v>-0.94213441304539458</v>
      </c>
      <c r="V61" s="64">
        <v>-0.62363737649220385</v>
      </c>
      <c r="W61" s="4">
        <v>0.45381526104417669</v>
      </c>
      <c r="X61" s="76" t="e">
        <v>#DIV/0!</v>
      </c>
      <c r="Y61" s="77">
        <v>0</v>
      </c>
      <c r="Z61" s="77" t="e">
        <v>#DIV/0!</v>
      </c>
      <c r="AA61" s="77">
        <v>0.45381526104417669</v>
      </c>
      <c r="AB61" s="77">
        <v>1</v>
      </c>
      <c r="AC61" s="78">
        <v>0.62430939226519344</v>
      </c>
      <c r="AD61">
        <v>8503.3890975048143</v>
      </c>
      <c r="AE61">
        <v>80.32513488674374</v>
      </c>
      <c r="AF61">
        <v>0.27433560103679738</v>
      </c>
      <c r="AG61">
        <v>-5.247496035465109</v>
      </c>
      <c r="AH61">
        <v>-5.5887458189148838</v>
      </c>
      <c r="AI61" s="22">
        <v>976.98489237429419</v>
      </c>
    </row>
    <row r="62" spans="1:35" x14ac:dyDescent="0.3">
      <c r="A62" s="1">
        <v>61</v>
      </c>
      <c r="B62">
        <v>284.065</v>
      </c>
      <c r="C62">
        <v>284.10500000000002</v>
      </c>
      <c r="D62">
        <v>280.82499999999999</v>
      </c>
      <c r="E62" t="str">
        <f t="shared" si="7"/>
        <v>Venta</v>
      </c>
      <c r="F62" t="str">
        <f t="shared" si="8"/>
        <v>Negativo</v>
      </c>
      <c r="G62" s="4">
        <f t="shared" si="9"/>
        <v>-1.4081284213127442E-4</v>
      </c>
      <c r="H62" s="4">
        <f t="shared" si="10"/>
        <v>1.1405840212627423E-2</v>
      </c>
      <c r="I62" s="47" t="str">
        <f t="shared" si="11"/>
        <v>Compra</v>
      </c>
      <c r="J62" s="47" t="str">
        <f t="shared" si="12"/>
        <v>VentaCompra</v>
      </c>
      <c r="K62" s="47"/>
      <c r="L62" s="47"/>
      <c r="M62" s="47" t="s">
        <v>304</v>
      </c>
      <c r="N62" s="52" t="s">
        <v>278</v>
      </c>
      <c r="O62" s="32">
        <v>0</v>
      </c>
      <c r="P62" s="32">
        <v>0</v>
      </c>
      <c r="Q62" s="34">
        <v>-0.25563868238499055</v>
      </c>
      <c r="R62" s="34">
        <v>-0.23726052322532967</v>
      </c>
      <c r="S62" s="72">
        <v>6</v>
      </c>
      <c r="T62" s="63">
        <v>2.5100000000000001E-3</v>
      </c>
      <c r="U62" s="34">
        <v>-0.89299868238499069</v>
      </c>
      <c r="V62" s="64">
        <v>-0.6036965097747643</v>
      </c>
      <c r="W62" s="4">
        <v>0.45381526104417669</v>
      </c>
      <c r="X62" s="76">
        <v>0.5</v>
      </c>
      <c r="Y62" s="77">
        <v>4.4117647058823532E-2</v>
      </c>
      <c r="Z62" s="77">
        <v>8.1081081081081099E-2</v>
      </c>
      <c r="AA62" s="77">
        <v>0.45147679324894513</v>
      </c>
      <c r="AB62" s="77">
        <v>0.94690265486725667</v>
      </c>
      <c r="AC62" s="78">
        <v>0.61142857142857143</v>
      </c>
      <c r="AD62">
        <v>4264.6559196428589</v>
      </c>
      <c r="AE62">
        <v>54.364166666666677</v>
      </c>
      <c r="AF62">
        <v>0.1831066486391022</v>
      </c>
      <c r="AG62">
        <v>-2.133270822384179</v>
      </c>
      <c r="AH62">
        <v>-2.3044158673043231</v>
      </c>
      <c r="AI62" s="22">
        <v>358.5035401523906</v>
      </c>
    </row>
    <row r="63" spans="1:35" x14ac:dyDescent="0.3">
      <c r="A63" s="1">
        <v>62</v>
      </c>
      <c r="B63">
        <v>283.66500000000002</v>
      </c>
      <c r="C63">
        <v>288.23500000000001</v>
      </c>
      <c r="D63">
        <v>277.31</v>
      </c>
      <c r="E63" t="str">
        <f t="shared" si="7"/>
        <v>Venta</v>
      </c>
      <c r="F63" t="str">
        <f t="shared" si="8"/>
        <v>Negativo</v>
      </c>
      <c r="G63" s="4">
        <f t="shared" si="9"/>
        <v>-1.6110552940969077E-2</v>
      </c>
      <c r="H63" s="4">
        <f t="shared" si="10"/>
        <v>2.2403186857737182E-2</v>
      </c>
      <c r="I63" s="47" t="str">
        <f t="shared" si="11"/>
        <v>Compra</v>
      </c>
      <c r="J63" s="47" t="str">
        <f t="shared" si="12"/>
        <v>VentaCompra</v>
      </c>
      <c r="K63" s="47"/>
      <c r="L63" s="47"/>
      <c r="M63" s="47" t="s">
        <v>304</v>
      </c>
      <c r="N63" s="52" t="s">
        <v>279</v>
      </c>
      <c r="O63" s="32">
        <v>0</v>
      </c>
      <c r="P63" s="32">
        <v>0</v>
      </c>
      <c r="Q63" s="34">
        <v>-0.25563868238499055</v>
      </c>
      <c r="R63" s="34">
        <v>-0.23726052322532967</v>
      </c>
      <c r="S63" s="72">
        <v>6</v>
      </c>
      <c r="T63" s="63">
        <v>2.5100000000000001E-3</v>
      </c>
      <c r="U63" s="34">
        <v>-0.89299868238499069</v>
      </c>
      <c r="V63" s="64">
        <v>-0.6036965097747643</v>
      </c>
      <c r="W63" s="4">
        <v>0.45381526104417669</v>
      </c>
      <c r="X63" s="76">
        <v>0.5</v>
      </c>
      <c r="Y63" s="77">
        <v>4.4117647058823532E-2</v>
      </c>
      <c r="Z63" s="77">
        <v>8.1081081081081099E-2</v>
      </c>
      <c r="AA63" s="77">
        <v>0.45147679324894513</v>
      </c>
      <c r="AB63" s="77">
        <v>0.94690265486725667</v>
      </c>
      <c r="AC63" s="78">
        <v>0.61142857142857143</v>
      </c>
      <c r="AD63">
        <v>4264.6315154761915</v>
      </c>
      <c r="AE63">
        <v>54.352857142857161</v>
      </c>
      <c r="AF63">
        <v>0.18305371999592679</v>
      </c>
      <c r="AG63">
        <v>-2.133252892482024</v>
      </c>
      <c r="AH63">
        <v>-2.3043969580377639</v>
      </c>
      <c r="AI63" s="22">
        <v>150.19566603336659</v>
      </c>
    </row>
    <row r="64" spans="1:35" x14ac:dyDescent="0.3">
      <c r="A64" s="1">
        <v>63</v>
      </c>
      <c r="B64">
        <v>286.39</v>
      </c>
      <c r="C64">
        <v>287.17500000000001</v>
      </c>
      <c r="D64">
        <v>282.85500000000002</v>
      </c>
      <c r="E64" t="str">
        <f t="shared" si="7"/>
        <v>Venta</v>
      </c>
      <c r="F64" t="str">
        <f t="shared" si="8"/>
        <v>Negativo</v>
      </c>
      <c r="G64" s="4">
        <f t="shared" si="9"/>
        <v>-2.7410174936276584E-3</v>
      </c>
      <c r="H64" s="4">
        <f t="shared" si="10"/>
        <v>1.2343308076399205E-2</v>
      </c>
      <c r="I64" s="47" t="str">
        <f t="shared" si="11"/>
        <v>Compra</v>
      </c>
      <c r="J64" s="47" t="str">
        <f t="shared" si="12"/>
        <v>VentaCompra</v>
      </c>
      <c r="K64" s="47"/>
      <c r="L64" s="47"/>
      <c r="N64" s="52" t="s">
        <v>305</v>
      </c>
      <c r="O64" s="32">
        <v>0</v>
      </c>
      <c r="P64" s="32">
        <v>0</v>
      </c>
      <c r="Q64" s="34">
        <v>-4.0138348379440865E-2</v>
      </c>
      <c r="R64" s="34">
        <v>-8.0822831661124653E-2</v>
      </c>
      <c r="S64" s="72">
        <v>6</v>
      </c>
      <c r="T64" s="63">
        <v>2.16E-3</v>
      </c>
      <c r="U64" s="34">
        <v>-0.59069834837944235</v>
      </c>
      <c r="V64" s="64">
        <v>-0.47722562802612833</v>
      </c>
      <c r="W64" s="4">
        <v>0.52610441767068272</v>
      </c>
      <c r="X64" s="76">
        <v>0.52439024390243905</v>
      </c>
      <c r="Y64" s="77">
        <v>0.99230769230769234</v>
      </c>
      <c r="Z64" s="77">
        <v>0.68617021276595747</v>
      </c>
      <c r="AA64" s="77">
        <v>0.66666666666666663</v>
      </c>
      <c r="AB64" s="77">
        <v>1.680672268907563E-2</v>
      </c>
      <c r="AC64" s="78">
        <v>3.2786885245901634E-2</v>
      </c>
      <c r="AD64">
        <v>64.340558071522494</v>
      </c>
      <c r="AE64">
        <v>6.6020017334552694</v>
      </c>
      <c r="AF64">
        <v>2.545711330364624E-2</v>
      </c>
      <c r="AG64">
        <v>0.90273748392247055</v>
      </c>
      <c r="AH64">
        <v>0.89740240920091829</v>
      </c>
      <c r="AI64" s="22">
        <v>64.340558071522068</v>
      </c>
    </row>
    <row r="65" spans="1:35" x14ac:dyDescent="0.3">
      <c r="A65" s="1">
        <v>64</v>
      </c>
      <c r="B65">
        <v>286.96499999999997</v>
      </c>
      <c r="C65">
        <v>287.35000000000002</v>
      </c>
      <c r="D65">
        <v>293.53500000000003</v>
      </c>
      <c r="E65" t="str">
        <f t="shared" si="7"/>
        <v>Compra</v>
      </c>
      <c r="F65" t="str">
        <f t="shared" si="8"/>
        <v>Positivo</v>
      </c>
      <c r="G65" s="4">
        <f t="shared" si="9"/>
        <v>1.3416270276864696E-3</v>
      </c>
      <c r="H65" s="4">
        <f t="shared" si="10"/>
        <v>2.289477810882878E-2</v>
      </c>
      <c r="I65" s="47" t="str">
        <f t="shared" si="11"/>
        <v>Compra</v>
      </c>
      <c r="J65" s="47" t="str">
        <f t="shared" si="12"/>
        <v>CompraCompra</v>
      </c>
      <c r="K65" s="47"/>
      <c r="L65" s="47"/>
      <c r="N65" s="52" t="s">
        <v>306</v>
      </c>
      <c r="O65" s="32">
        <v>0</v>
      </c>
      <c r="P65" s="32">
        <v>0</v>
      </c>
      <c r="Q65" s="34">
        <v>-0.22690557675480769</v>
      </c>
      <c r="R65" s="34">
        <v>-0.23905991642944516</v>
      </c>
      <c r="S65" s="72">
        <v>6</v>
      </c>
      <c r="T65" s="63">
        <v>2.16E-3</v>
      </c>
      <c r="U65" s="34">
        <v>-0.77746557675480943</v>
      </c>
      <c r="V65" s="64">
        <v>-0.56905428011821124</v>
      </c>
      <c r="W65" s="4">
        <v>0.51405622489959835</v>
      </c>
      <c r="X65" s="76">
        <v>0.51965065502183405</v>
      </c>
      <c r="Y65" s="77">
        <v>0.91538461538461535</v>
      </c>
      <c r="Z65" s="77">
        <v>0.66295264623955441</v>
      </c>
      <c r="AA65" s="77">
        <v>0.45</v>
      </c>
      <c r="AB65" s="77">
        <v>7.5630252100840331E-2</v>
      </c>
      <c r="AC65" s="78">
        <v>0.12949640287769781</v>
      </c>
      <c r="AD65">
        <v>4264.4731178953316</v>
      </c>
      <c r="AE65">
        <v>54.518567616370767</v>
      </c>
      <c r="AF65">
        <v>0.20241526872964249</v>
      </c>
      <c r="AG65">
        <v>-5.4465307361868858</v>
      </c>
      <c r="AH65">
        <v>-5.8001379073701322</v>
      </c>
      <c r="AI65" s="22">
        <v>323.63163039467241</v>
      </c>
    </row>
    <row r="66" spans="1:35" x14ac:dyDescent="0.3">
      <c r="A66" s="1">
        <v>65</v>
      </c>
      <c r="B66">
        <v>285.88499999999999</v>
      </c>
      <c r="C66">
        <v>284.37</v>
      </c>
      <c r="D66">
        <v>291.77499999999998</v>
      </c>
      <c r="E66" t="str">
        <f t="shared" si="7"/>
        <v>Compra</v>
      </c>
      <c r="F66" t="str">
        <f t="shared" si="8"/>
        <v>Negativo</v>
      </c>
      <c r="G66" s="4">
        <f t="shared" si="9"/>
        <v>-5.2993336481451858E-3</v>
      </c>
      <c r="H66" s="4">
        <f t="shared" si="10"/>
        <v>2.060268989278901E-2</v>
      </c>
      <c r="I66" s="47" t="str">
        <f t="shared" si="11"/>
        <v>Venta</v>
      </c>
      <c r="J66" s="47" t="str">
        <f t="shared" si="12"/>
        <v>CompraVenta</v>
      </c>
      <c r="K66" s="47"/>
      <c r="L66" s="47"/>
      <c r="N66" s="52" t="s">
        <v>307</v>
      </c>
      <c r="O66" s="32">
        <v>0</v>
      </c>
      <c r="P66" s="32">
        <v>0</v>
      </c>
      <c r="Q66" s="34">
        <v>0.6102749413910078</v>
      </c>
      <c r="R66" s="34">
        <v>0.77427122736958931</v>
      </c>
      <c r="S66" s="72">
        <v>6</v>
      </c>
      <c r="T66" s="63">
        <v>2.16E-3</v>
      </c>
      <c r="U66" s="34">
        <v>5.9714941391008469E-2</v>
      </c>
      <c r="V66" s="64">
        <v>2.3135831479560002E-2</v>
      </c>
      <c r="W66" s="4">
        <v>0.55421686746987953</v>
      </c>
      <c r="X66" s="76">
        <v>0.55555555555555558</v>
      </c>
      <c r="Y66" s="77">
        <v>0.73076923076923073</v>
      </c>
      <c r="Z66" s="77">
        <v>0.6312292358803987</v>
      </c>
      <c r="AA66" s="77">
        <v>0.55128205128205132</v>
      </c>
      <c r="AB66" s="77">
        <v>0.36134453781512604</v>
      </c>
      <c r="AC66" s="78">
        <v>0.43654822335025378</v>
      </c>
      <c r="AD66">
        <v>976.98489237429419</v>
      </c>
      <c r="AE66">
        <v>26.27772466354093</v>
      </c>
      <c r="AF66">
        <v>0.10321608552888401</v>
      </c>
      <c r="AG66">
        <v>-0.47689127434094131</v>
      </c>
      <c r="AH66">
        <v>-0.55790218812335568</v>
      </c>
      <c r="AI66" s="22">
        <v>173.29868545047199</v>
      </c>
    </row>
    <row r="67" spans="1:35" x14ac:dyDescent="0.3">
      <c r="A67" s="1">
        <v>66</v>
      </c>
      <c r="B67">
        <v>282.57499999999999</v>
      </c>
      <c r="C67">
        <v>291.48500000000001</v>
      </c>
      <c r="D67">
        <v>290.27</v>
      </c>
      <c r="E67" t="str">
        <f t="shared" si="7"/>
        <v>Compra</v>
      </c>
      <c r="F67" t="str">
        <f t="shared" si="8"/>
        <v>Positivo</v>
      </c>
      <c r="G67" s="4">
        <f t="shared" si="9"/>
        <v>3.1531451826948685E-2</v>
      </c>
      <c r="H67" s="4">
        <f t="shared" si="10"/>
        <v>2.7231708396001038E-2</v>
      </c>
      <c r="I67" s="47" t="str">
        <f t="shared" si="11"/>
        <v>Compra</v>
      </c>
      <c r="J67" s="47" t="str">
        <f t="shared" si="12"/>
        <v>CompraCompra</v>
      </c>
      <c r="K67" s="47"/>
      <c r="L67" s="47"/>
      <c r="N67" s="52" t="s">
        <v>308</v>
      </c>
      <c r="O67" s="32">
        <v>0</v>
      </c>
      <c r="P67" s="32">
        <v>0</v>
      </c>
      <c r="Q67" s="34">
        <v>-1.7777971187655204E-2</v>
      </c>
      <c r="R67" s="34">
        <v>-5.9133267061099906E-2</v>
      </c>
      <c r="S67" s="72">
        <v>6</v>
      </c>
      <c r="T67" s="63">
        <v>2.16E-3</v>
      </c>
      <c r="U67" s="34">
        <v>-0.56833797118765572</v>
      </c>
      <c r="V67" s="64">
        <v>-0.46436838204239911</v>
      </c>
      <c r="W67" s="4">
        <v>0.50200803212851408</v>
      </c>
      <c r="X67" s="76">
        <v>0.5145631067961165</v>
      </c>
      <c r="Y67" s="77">
        <v>0.81538461538461537</v>
      </c>
      <c r="Z67" s="77">
        <v>0.63095238095238093</v>
      </c>
      <c r="AA67" s="77">
        <v>0.44186046511627908</v>
      </c>
      <c r="AB67" s="77">
        <v>0.15966386554621848</v>
      </c>
      <c r="AC67" s="78">
        <v>0.23456790123456786</v>
      </c>
      <c r="AD67">
        <v>358.5035401523906</v>
      </c>
      <c r="AE67">
        <v>14.603635458167339</v>
      </c>
      <c r="AF67">
        <v>5.3742075409481477E-2</v>
      </c>
      <c r="AG67">
        <v>0.4580563584922287</v>
      </c>
      <c r="AH67">
        <v>0.42832949208040999</v>
      </c>
      <c r="AI67" s="22">
        <v>140.8411489571713</v>
      </c>
    </row>
    <row r="68" spans="1:35" x14ac:dyDescent="0.3">
      <c r="A68" s="1">
        <v>67</v>
      </c>
      <c r="B68">
        <v>289.10500000000002</v>
      </c>
      <c r="C68">
        <v>289.33</v>
      </c>
      <c r="D68">
        <v>290.27</v>
      </c>
      <c r="E68" t="str">
        <f t="shared" si="7"/>
        <v>Compra</v>
      </c>
      <c r="F68" t="str">
        <f t="shared" si="8"/>
        <v>Positivo</v>
      </c>
      <c r="G68" s="4">
        <f t="shared" si="9"/>
        <v>7.7826395254307562E-4</v>
      </c>
      <c r="H68" s="4">
        <f t="shared" si="10"/>
        <v>4.0296777987235211E-3</v>
      </c>
      <c r="I68" s="47" t="str">
        <f t="shared" si="11"/>
        <v>Compra</v>
      </c>
      <c r="J68" s="47" t="str">
        <f t="shared" si="12"/>
        <v>CompraCompra</v>
      </c>
      <c r="K68" s="47"/>
      <c r="L68" s="47"/>
      <c r="N68" s="52" t="s">
        <v>309</v>
      </c>
      <c r="O68" s="32">
        <v>0</v>
      </c>
      <c r="P68" s="32">
        <v>0</v>
      </c>
      <c r="Q68" s="34">
        <v>2.9101225973736291E-2</v>
      </c>
      <c r="R68" s="34">
        <v>-1.5249548471083981E-2</v>
      </c>
      <c r="S68" s="72">
        <v>6</v>
      </c>
      <c r="T68" s="63">
        <v>2.16E-3</v>
      </c>
      <c r="U68" s="34">
        <v>-0.52145877402626484</v>
      </c>
      <c r="V68" s="64">
        <v>-0.44024144980613317</v>
      </c>
      <c r="W68" s="4">
        <v>0.51807228915662651</v>
      </c>
      <c r="X68" s="76">
        <v>0.52192982456140347</v>
      </c>
      <c r="Y68" s="77">
        <v>0.91538461538461535</v>
      </c>
      <c r="Z68" s="77">
        <v>0.66480446927374293</v>
      </c>
      <c r="AA68" s="77">
        <v>0.47619047619047616</v>
      </c>
      <c r="AB68" s="77">
        <v>8.4033613445378158E-2</v>
      </c>
      <c r="AC68" s="78">
        <v>0.14285714285714285</v>
      </c>
      <c r="AD68">
        <v>150.19566603336659</v>
      </c>
      <c r="AE68">
        <v>10.18524023904383</v>
      </c>
      <c r="AF68">
        <v>3.8723067326946387E-2</v>
      </c>
      <c r="AG68">
        <v>0.77295179245870826</v>
      </c>
      <c r="AH68">
        <v>0.76049767136994539</v>
      </c>
      <c r="AI68" s="22">
        <v>150.19566603336659</v>
      </c>
    </row>
    <row r="69" spans="1:35" x14ac:dyDescent="0.3">
      <c r="A69" s="1">
        <v>68</v>
      </c>
      <c r="B69">
        <v>285.72000000000003</v>
      </c>
      <c r="C69">
        <v>282.91500000000002</v>
      </c>
      <c r="D69">
        <v>290.27</v>
      </c>
      <c r="E69" t="str">
        <f t="shared" si="7"/>
        <v>Compra</v>
      </c>
      <c r="F69" t="str">
        <f t="shared" si="8"/>
        <v>Negativo</v>
      </c>
      <c r="G69" s="4">
        <f t="shared" si="9"/>
        <v>-9.817303653926945E-3</v>
      </c>
      <c r="H69" s="4">
        <f t="shared" si="10"/>
        <v>1.5924681506369713E-2</v>
      </c>
      <c r="I69" s="47" t="str">
        <f t="shared" si="11"/>
        <v>Venta</v>
      </c>
      <c r="J69" s="47" t="str">
        <f t="shared" si="12"/>
        <v>CompraVenta</v>
      </c>
      <c r="K69" s="47"/>
      <c r="L69" s="47"/>
      <c r="M69" s="47" t="s">
        <v>304</v>
      </c>
      <c r="N69" s="52" t="s">
        <v>305</v>
      </c>
      <c r="O69" s="32">
        <v>0</v>
      </c>
      <c r="P69" s="32">
        <v>0</v>
      </c>
      <c r="Q69" s="34">
        <v>-4.0138348379440865E-2</v>
      </c>
      <c r="R69" s="34">
        <v>-8.0822831661124653E-2</v>
      </c>
      <c r="S69" s="72">
        <v>6</v>
      </c>
      <c r="T69" s="63">
        <v>2.16E-3</v>
      </c>
      <c r="U69" s="34">
        <v>-0.59069834837944235</v>
      </c>
      <c r="V69" s="64">
        <v>-0.47722562802612833</v>
      </c>
      <c r="W69" s="4">
        <v>0.52610441767068272</v>
      </c>
      <c r="X69" s="76">
        <v>0.52439024390243905</v>
      </c>
      <c r="Y69" s="77">
        <v>0.99230769230769234</v>
      </c>
      <c r="Z69" s="77">
        <v>0.68617021276595747</v>
      </c>
      <c r="AA69" s="77">
        <v>0.66666666666666663</v>
      </c>
      <c r="AB69" s="77">
        <v>1.680672268907563E-2</v>
      </c>
      <c r="AC69" s="78">
        <v>3.2786885245901634E-2</v>
      </c>
      <c r="AD69">
        <v>64.340558071522068</v>
      </c>
      <c r="AE69">
        <v>28.827179034839311</v>
      </c>
      <c r="AF69">
        <v>0.10899334917783</v>
      </c>
      <c r="AG69">
        <v>0.90273748392247111</v>
      </c>
      <c r="AH69">
        <v>0.89740240920091885</v>
      </c>
      <c r="AI69" s="22">
        <v>58.899236371759457</v>
      </c>
    </row>
    <row r="70" spans="1:35" x14ac:dyDescent="0.3">
      <c r="A70" s="1">
        <v>69</v>
      </c>
      <c r="B70">
        <v>284.72000000000003</v>
      </c>
      <c r="C70">
        <v>283.58999999999997</v>
      </c>
      <c r="D70">
        <v>290.27</v>
      </c>
      <c r="E70" t="str">
        <f t="shared" si="7"/>
        <v>Compra</v>
      </c>
      <c r="F70" t="str">
        <f t="shared" si="8"/>
        <v>Negativo</v>
      </c>
      <c r="G70" s="4">
        <f t="shared" si="9"/>
        <v>-3.9688114638945357E-3</v>
      </c>
      <c r="H70" s="4">
        <f t="shared" si="10"/>
        <v>1.9492835066029623E-2</v>
      </c>
      <c r="I70" s="47" t="str">
        <f t="shared" si="11"/>
        <v>Venta</v>
      </c>
      <c r="J70" s="47" t="str">
        <f t="shared" si="12"/>
        <v>CompraVenta</v>
      </c>
      <c r="K70" s="47"/>
      <c r="L70" s="47"/>
      <c r="M70" s="47" t="s">
        <v>304</v>
      </c>
      <c r="N70" s="52" t="s">
        <v>306</v>
      </c>
      <c r="O70" s="32">
        <v>0</v>
      </c>
      <c r="P70" s="32">
        <v>0</v>
      </c>
      <c r="Q70" s="34">
        <v>-1.0013924034765368E-2</v>
      </c>
      <c r="R70" s="34">
        <v>-5.2898205160803048E-2</v>
      </c>
      <c r="S70" s="72">
        <v>6</v>
      </c>
      <c r="T70" s="63">
        <v>2.16E-3</v>
      </c>
      <c r="U70" s="34">
        <v>-0.5605739240347668</v>
      </c>
      <c r="V70" s="64">
        <v>-0.46148588670220697</v>
      </c>
      <c r="W70" s="4">
        <v>0.51807228915662651</v>
      </c>
      <c r="X70" s="76">
        <v>0.52314814814814814</v>
      </c>
      <c r="Y70" s="77">
        <v>0.86923076923076925</v>
      </c>
      <c r="Z70" s="77">
        <v>0.65317919075144515</v>
      </c>
      <c r="AA70" s="77">
        <v>0.48484848484848486</v>
      </c>
      <c r="AB70" s="77">
        <v>0.13445378151260504</v>
      </c>
      <c r="AC70" s="78">
        <v>0.21052631578947367</v>
      </c>
      <c r="AD70">
        <v>323.63163039467241</v>
      </c>
      <c r="AE70">
        <v>14.792860245575049</v>
      </c>
      <c r="AF70">
        <v>5.625367074424683E-2</v>
      </c>
      <c r="AG70">
        <v>0.51077162527144893</v>
      </c>
      <c r="AH70">
        <v>0.48393631357747779</v>
      </c>
      <c r="AI70" s="22">
        <v>323.63163039467241</v>
      </c>
    </row>
    <row r="71" spans="1:35" x14ac:dyDescent="0.3">
      <c r="A71" s="1">
        <v>70</v>
      </c>
      <c r="B71">
        <v>283.48500000000001</v>
      </c>
      <c r="C71">
        <v>289.77499999999998</v>
      </c>
      <c r="D71">
        <v>289.03500000000003</v>
      </c>
      <c r="E71" t="str">
        <f t="shared" si="7"/>
        <v>Compra</v>
      </c>
      <c r="F71" t="str">
        <f t="shared" si="8"/>
        <v>Positivo</v>
      </c>
      <c r="G71" s="4">
        <f t="shared" si="9"/>
        <v>2.2188122828368215E-2</v>
      </c>
      <c r="H71" s="4">
        <f t="shared" si="10"/>
        <v>1.9577755436795637E-2</v>
      </c>
      <c r="I71" s="47" t="str">
        <f t="shared" si="11"/>
        <v>Compra</v>
      </c>
      <c r="J71" s="47" t="str">
        <f t="shared" si="12"/>
        <v>CompraCompra</v>
      </c>
      <c r="K71" s="47"/>
      <c r="L71" s="47"/>
      <c r="M71" s="47" t="s">
        <v>304</v>
      </c>
      <c r="N71" s="52" t="s">
        <v>307</v>
      </c>
      <c r="O71" s="32">
        <v>0</v>
      </c>
      <c r="P71" s="32">
        <v>0</v>
      </c>
      <c r="Q71" s="34">
        <v>0.39825085271427962</v>
      </c>
      <c r="R71" s="34">
        <v>0.43367954656399788</v>
      </c>
      <c r="S71" s="72">
        <v>6</v>
      </c>
      <c r="T71" s="63">
        <v>2.16E-3</v>
      </c>
      <c r="U71" s="34">
        <v>-0.15230914728571968</v>
      </c>
      <c r="V71" s="64">
        <v>-0.17547296511029883</v>
      </c>
      <c r="W71" s="4">
        <v>0.52610441767068272</v>
      </c>
      <c r="X71" s="76">
        <v>0.53846153846153844</v>
      </c>
      <c r="Y71" s="77">
        <v>0.64615384615384619</v>
      </c>
      <c r="Z71" s="77">
        <v>0.58741258741258739</v>
      </c>
      <c r="AA71" s="77">
        <v>0.5053763440860215</v>
      </c>
      <c r="AB71" s="77">
        <v>0.3949579831932773</v>
      </c>
      <c r="AC71" s="78">
        <v>0.44339622641509435</v>
      </c>
      <c r="AD71">
        <v>173.29868545047199</v>
      </c>
      <c r="AE71">
        <v>10.233850631551981</v>
      </c>
      <c r="AF71">
        <v>4.0490336224864587E-2</v>
      </c>
      <c r="AG71">
        <v>0.73802735498339445</v>
      </c>
      <c r="AH71">
        <v>0.72365754745083799</v>
      </c>
      <c r="AI71" s="22">
        <v>173.29868545047199</v>
      </c>
    </row>
    <row r="72" spans="1:35" x14ac:dyDescent="0.3">
      <c r="A72" s="1">
        <v>71</v>
      </c>
      <c r="B72">
        <v>286.97500000000002</v>
      </c>
      <c r="C72">
        <v>286.17999999999989</v>
      </c>
      <c r="D72">
        <v>285.09500000000003</v>
      </c>
      <c r="E72" t="str">
        <f t="shared" si="7"/>
        <v>Venta</v>
      </c>
      <c r="F72" t="str">
        <f t="shared" si="8"/>
        <v>Positivo</v>
      </c>
      <c r="G72" s="4">
        <f t="shared" si="9"/>
        <v>2.7702761564600735E-3</v>
      </c>
      <c r="H72" s="4">
        <f t="shared" si="10"/>
        <v>6.5510933008101589E-3</v>
      </c>
      <c r="I72" s="47" t="str">
        <f t="shared" si="11"/>
        <v>Venta</v>
      </c>
      <c r="J72" s="47" t="str">
        <f t="shared" si="12"/>
        <v>VentaVenta</v>
      </c>
      <c r="K72" s="47"/>
      <c r="L72" s="47"/>
      <c r="M72" s="47" t="s">
        <v>304</v>
      </c>
      <c r="N72" s="52" t="s">
        <v>308</v>
      </c>
      <c r="O72" s="32">
        <v>0</v>
      </c>
      <c r="P72" s="32">
        <v>0</v>
      </c>
      <c r="Q72" s="34">
        <v>0.31090726665475088</v>
      </c>
      <c r="R72" s="34">
        <v>0.31047948525209679</v>
      </c>
      <c r="S72" s="72">
        <v>6</v>
      </c>
      <c r="T72" s="63">
        <v>2.16E-3</v>
      </c>
      <c r="U72" s="34">
        <v>-0.23965273334524928</v>
      </c>
      <c r="V72" s="64">
        <v>-0.24955900455627691</v>
      </c>
      <c r="W72" s="4">
        <v>0.52208835341365467</v>
      </c>
      <c r="X72" s="76">
        <v>0.5300546448087432</v>
      </c>
      <c r="Y72" s="77">
        <v>0.74615384615384617</v>
      </c>
      <c r="Z72" s="77">
        <v>0.61980830670926534</v>
      </c>
      <c r="AA72" s="77">
        <v>0.5</v>
      </c>
      <c r="AB72" s="77">
        <v>0.27731092436974791</v>
      </c>
      <c r="AC72" s="78">
        <v>0.35675675675675678</v>
      </c>
      <c r="AD72">
        <v>140.8411489571713</v>
      </c>
      <c r="AE72">
        <v>8.9629063745019941</v>
      </c>
      <c r="AF72">
        <v>3.3288278824942723E-2</v>
      </c>
      <c r="AG72">
        <v>0.78709285518479721</v>
      </c>
      <c r="AH72">
        <v>0.7754144042033726</v>
      </c>
      <c r="AI72" s="22">
        <v>140.8411489571713</v>
      </c>
    </row>
    <row r="73" spans="1:35" x14ac:dyDescent="0.3">
      <c r="A73" s="1">
        <v>72</v>
      </c>
      <c r="B73">
        <v>289.995</v>
      </c>
      <c r="C73">
        <v>288.75</v>
      </c>
      <c r="D73">
        <v>284.85000000000002</v>
      </c>
      <c r="E73" t="str">
        <f t="shared" si="7"/>
        <v>Venta</v>
      </c>
      <c r="F73" t="str">
        <f t="shared" si="8"/>
        <v>Positivo</v>
      </c>
      <c r="G73" s="4">
        <f t="shared" si="9"/>
        <v>4.2931774685770604E-3</v>
      </c>
      <c r="H73" s="4">
        <f t="shared" si="10"/>
        <v>1.7741685201468928E-2</v>
      </c>
      <c r="I73" s="47" t="str">
        <f t="shared" si="11"/>
        <v>Venta</v>
      </c>
      <c r="J73" s="47" t="str">
        <f t="shared" si="12"/>
        <v>VentaVenta</v>
      </c>
      <c r="K73" s="47"/>
      <c r="L73" s="47"/>
      <c r="M73" s="47" t="s">
        <v>304</v>
      </c>
      <c r="N73" s="52" t="s">
        <v>309</v>
      </c>
      <c r="O73" s="32">
        <v>0</v>
      </c>
      <c r="P73" s="32">
        <v>0</v>
      </c>
      <c r="Q73" s="34">
        <v>-0.22422026697706562</v>
      </c>
      <c r="R73" s="34">
        <v>-0.23616261669127211</v>
      </c>
      <c r="S73" s="72">
        <v>6</v>
      </c>
      <c r="T73" s="63">
        <v>2.16E-3</v>
      </c>
      <c r="U73" s="34">
        <v>-0.77478026697706603</v>
      </c>
      <c r="V73" s="64">
        <v>-0.56691480047092302</v>
      </c>
      <c r="W73" s="4">
        <v>0.48995983935742971</v>
      </c>
      <c r="X73" s="76">
        <v>0.50710900473933651</v>
      </c>
      <c r="Y73" s="77">
        <v>0.82307692307692304</v>
      </c>
      <c r="Z73" s="77">
        <v>0.62756598240469208</v>
      </c>
      <c r="AA73" s="77">
        <v>0.39473684210526316</v>
      </c>
      <c r="AB73" s="77">
        <v>0.12605042016806722</v>
      </c>
      <c r="AC73" s="78">
        <v>0.19108280254777071</v>
      </c>
      <c r="AD73">
        <v>354.28605971414368</v>
      </c>
      <c r="AE73">
        <v>14.716723107569729</v>
      </c>
      <c r="AF73">
        <v>5.4098535908773053E-2</v>
      </c>
      <c r="AG73">
        <v>0.46443185120206298</v>
      </c>
      <c r="AH73">
        <v>0.43505469536082603</v>
      </c>
      <c r="AI73" s="22">
        <v>354.28605971414368</v>
      </c>
    </row>
    <row r="74" spans="1:35" x14ac:dyDescent="0.3">
      <c r="A74" s="1">
        <v>73</v>
      </c>
      <c r="B74">
        <v>291.435</v>
      </c>
      <c r="C74">
        <v>288.32</v>
      </c>
      <c r="D74">
        <v>284.85000000000002</v>
      </c>
      <c r="E74" t="str">
        <f t="shared" si="7"/>
        <v>Venta</v>
      </c>
      <c r="F74" t="str">
        <f t="shared" si="8"/>
        <v>Positivo</v>
      </c>
      <c r="G74" s="4">
        <f t="shared" si="9"/>
        <v>1.0688489714687697E-2</v>
      </c>
      <c r="H74" s="4">
        <f t="shared" si="10"/>
        <v>2.2595089814195203E-2</v>
      </c>
      <c r="I74" s="47" t="str">
        <f t="shared" si="11"/>
        <v>Venta</v>
      </c>
      <c r="J74" s="47" t="str">
        <f t="shared" si="12"/>
        <v>VentaVenta</v>
      </c>
      <c r="K74" s="47"/>
      <c r="L74" s="47"/>
      <c r="N74" s="52" t="s">
        <v>310</v>
      </c>
      <c r="O74" s="32">
        <v>0</v>
      </c>
      <c r="P74" s="32">
        <v>0</v>
      </c>
      <c r="Q74" s="34">
        <v>-9.3620234537623331E-2</v>
      </c>
      <c r="R74" s="34">
        <v>-0.11685289637039678</v>
      </c>
      <c r="S74" s="72">
        <v>6</v>
      </c>
      <c r="T74" s="63">
        <v>2.4599999999999999E-3</v>
      </c>
      <c r="U74" s="34">
        <v>-0.71858023453762365</v>
      </c>
      <c r="V74" s="64">
        <v>-0.53502522811198538</v>
      </c>
      <c r="W74" s="4">
        <v>0.51004016064257029</v>
      </c>
      <c r="X74" s="76">
        <v>0.5280898876404494</v>
      </c>
      <c r="Y74" s="77">
        <v>0.37007874015748032</v>
      </c>
      <c r="Z74" s="77">
        <v>0.43518518518518517</v>
      </c>
      <c r="AA74" s="77">
        <v>0.5</v>
      </c>
      <c r="AB74" s="77">
        <v>0.65573770491803274</v>
      </c>
      <c r="AC74" s="78">
        <v>0.56737588652482274</v>
      </c>
      <c r="AD74">
        <v>58.899236371759457</v>
      </c>
      <c r="AE74">
        <v>6.4513812073076711</v>
      </c>
      <c r="AF74">
        <v>2.1026609937289858E-2</v>
      </c>
      <c r="AG74">
        <v>0.95623926491713618</v>
      </c>
      <c r="AH74">
        <v>0.95252103252447451</v>
      </c>
      <c r="AI74" s="22">
        <v>58.899236371759457</v>
      </c>
    </row>
    <row r="75" spans="1:35" x14ac:dyDescent="0.3">
      <c r="A75" s="1">
        <v>74</v>
      </c>
      <c r="B75">
        <v>285.83499999999998</v>
      </c>
      <c r="C75">
        <v>288.39499999999998</v>
      </c>
      <c r="D75">
        <v>288.33499999999998</v>
      </c>
      <c r="E75" t="str">
        <f t="shared" si="7"/>
        <v>Compra</v>
      </c>
      <c r="F75" t="str">
        <f t="shared" si="8"/>
        <v>Positivo</v>
      </c>
      <c r="G75" s="4">
        <f t="shared" si="9"/>
        <v>8.9562159987405399E-3</v>
      </c>
      <c r="H75" s="4">
        <f t="shared" si="10"/>
        <v>8.7463046862700511E-3</v>
      </c>
      <c r="I75" s="47" t="str">
        <f t="shared" si="11"/>
        <v>Compra</v>
      </c>
      <c r="J75" s="47" t="str">
        <f t="shared" si="12"/>
        <v>CompraCompra</v>
      </c>
      <c r="K75" s="47"/>
      <c r="L75" s="47"/>
      <c r="N75" s="52" t="s">
        <v>311</v>
      </c>
      <c r="O75" s="32">
        <v>0</v>
      </c>
      <c r="P75" s="32">
        <v>0</v>
      </c>
      <c r="Q75" s="34">
        <v>-3.8981023452817606E-2</v>
      </c>
      <c r="R75" s="34">
        <v>-6.6520631553638812E-2</v>
      </c>
      <c r="S75" s="72">
        <v>6</v>
      </c>
      <c r="T75" s="63">
        <v>2.4599999999999999E-3</v>
      </c>
      <c r="U75" s="34">
        <v>-0.66394102345281858</v>
      </c>
      <c r="V75" s="64">
        <v>-0.50770234991844077</v>
      </c>
      <c r="W75" s="4">
        <v>0.51807228915662651</v>
      </c>
      <c r="X75" s="76">
        <v>0.53465346534653468</v>
      </c>
      <c r="Y75" s="77">
        <v>0.42519685039370081</v>
      </c>
      <c r="Z75" s="77">
        <v>0.47368421052631582</v>
      </c>
      <c r="AA75" s="77">
        <v>0.5067567567567568</v>
      </c>
      <c r="AB75" s="77">
        <v>0.61475409836065575</v>
      </c>
      <c r="AC75" s="78">
        <v>0.55555555555555547</v>
      </c>
      <c r="AD75">
        <v>3875.6434663169762</v>
      </c>
      <c r="AE75">
        <v>52.534945068445047</v>
      </c>
      <c r="AF75">
        <v>0.1656501643670511</v>
      </c>
      <c r="AG75">
        <v>-1.8795111355034191</v>
      </c>
      <c r="AH75">
        <v>-2.1241754803501141</v>
      </c>
      <c r="AI75" s="22">
        <v>759.08196858164422</v>
      </c>
    </row>
    <row r="76" spans="1:35" x14ac:dyDescent="0.3">
      <c r="A76" s="1">
        <v>75</v>
      </c>
      <c r="B76">
        <v>285.20999999999998</v>
      </c>
      <c r="C76">
        <v>286.14499999999998</v>
      </c>
      <c r="D76">
        <v>288.33499999999998</v>
      </c>
      <c r="E76" t="str">
        <f t="shared" si="7"/>
        <v>Compra</v>
      </c>
      <c r="F76" t="str">
        <f t="shared" si="8"/>
        <v>Positivo</v>
      </c>
      <c r="G76" s="4">
        <f t="shared" si="9"/>
        <v>3.2782861750990581E-3</v>
      </c>
      <c r="H76" s="4">
        <f t="shared" si="10"/>
        <v>1.0956838820518216E-2</v>
      </c>
      <c r="I76" s="47" t="str">
        <f t="shared" si="11"/>
        <v>Compra</v>
      </c>
      <c r="J76" s="47" t="str">
        <f t="shared" si="12"/>
        <v>CompraCompra</v>
      </c>
      <c r="K76" s="47"/>
      <c r="L76" s="47"/>
      <c r="N76" s="52" t="s">
        <v>312</v>
      </c>
      <c r="O76" s="32">
        <v>0</v>
      </c>
      <c r="P76" s="32">
        <v>0</v>
      </c>
      <c r="Q76" s="34">
        <v>-3.8981023452817606E-2</v>
      </c>
      <c r="R76" s="34">
        <v>-6.6520631553638812E-2</v>
      </c>
      <c r="S76" s="72">
        <v>6</v>
      </c>
      <c r="T76" s="63">
        <v>2.4599999999999999E-3</v>
      </c>
      <c r="U76" s="34">
        <v>-0.66394102345281858</v>
      </c>
      <c r="V76" s="64">
        <v>-0.50770234991844077</v>
      </c>
      <c r="W76" s="4">
        <v>0.51807228915662651</v>
      </c>
      <c r="X76" s="76">
        <v>0.53465346534653468</v>
      </c>
      <c r="Y76" s="77">
        <v>0.42519685039370081</v>
      </c>
      <c r="Z76" s="77">
        <v>0.47368421052631582</v>
      </c>
      <c r="AA76" s="77">
        <v>0.5067567567567568</v>
      </c>
      <c r="AB76" s="77">
        <v>0.61475409836065575</v>
      </c>
      <c r="AC76" s="78">
        <v>0.55555555555555547</v>
      </c>
      <c r="AD76">
        <v>3997.8405149790128</v>
      </c>
      <c r="AE76">
        <v>53.469557140624971</v>
      </c>
      <c r="AF76">
        <v>0.16863855253573359</v>
      </c>
      <c r="AG76">
        <v>-1.9703006432086689</v>
      </c>
      <c r="AH76">
        <v>-2.2226791292329349</v>
      </c>
      <c r="AI76" s="22">
        <v>1540.6549553846551</v>
      </c>
    </row>
    <row r="77" spans="1:35" x14ac:dyDescent="0.3">
      <c r="A77" s="1">
        <v>76</v>
      </c>
      <c r="B77">
        <v>284.85000000000002</v>
      </c>
      <c r="C77">
        <v>285.77</v>
      </c>
      <c r="D77">
        <v>288.33499999999998</v>
      </c>
      <c r="E77" t="str">
        <f t="shared" si="7"/>
        <v>Compra</v>
      </c>
      <c r="F77" t="str">
        <f t="shared" si="8"/>
        <v>Positivo</v>
      </c>
      <c r="G77" s="4">
        <f t="shared" si="9"/>
        <v>3.2297700544144602E-3</v>
      </c>
      <c r="H77" s="4">
        <f t="shared" si="10"/>
        <v>1.2234509390907342E-2</v>
      </c>
      <c r="I77" s="47" t="str">
        <f t="shared" si="11"/>
        <v>Compra</v>
      </c>
      <c r="J77" s="47" t="str">
        <f t="shared" si="12"/>
        <v>CompraCompra</v>
      </c>
      <c r="K77" s="47"/>
      <c r="L77" s="47"/>
      <c r="N77" s="52" t="s">
        <v>313</v>
      </c>
      <c r="O77" s="32">
        <v>0</v>
      </c>
      <c r="P77" s="32">
        <v>0</v>
      </c>
      <c r="Q77" s="34">
        <v>2.8887217386763222E-2</v>
      </c>
      <c r="R77" s="34">
        <v>-1.559039587664156E-3</v>
      </c>
      <c r="S77" s="72">
        <v>6</v>
      </c>
      <c r="T77" s="63">
        <v>2.4599999999999999E-3</v>
      </c>
      <c r="U77" s="34">
        <v>-0.59607278261323637</v>
      </c>
      <c r="V77" s="64">
        <v>-0.47380818655074219</v>
      </c>
      <c r="W77" s="4">
        <v>0.51405622489959835</v>
      </c>
      <c r="X77" s="76">
        <v>0.52307692307692311</v>
      </c>
      <c r="Y77" s="77">
        <v>0.53543307086614178</v>
      </c>
      <c r="Z77" s="77">
        <v>0.52918287937743191</v>
      </c>
      <c r="AA77" s="77">
        <v>0.50420168067226889</v>
      </c>
      <c r="AB77" s="77">
        <v>0.49180327868852458</v>
      </c>
      <c r="AC77" s="78">
        <v>0.49792531120331951</v>
      </c>
      <c r="AD77">
        <v>517.27296991017977</v>
      </c>
      <c r="AE77">
        <v>16.650628742514971</v>
      </c>
      <c r="AF77">
        <v>5.1809863448898222E-2</v>
      </c>
      <c r="AG77">
        <v>0.61567845703651558</v>
      </c>
      <c r="AH77">
        <v>0.58302368541216731</v>
      </c>
      <c r="AI77" s="22">
        <v>505.24855928143688</v>
      </c>
    </row>
    <row r="78" spans="1:35" x14ac:dyDescent="0.3">
      <c r="A78" s="1">
        <v>77</v>
      </c>
      <c r="B78">
        <v>281.98</v>
      </c>
      <c r="C78">
        <v>281.81</v>
      </c>
      <c r="D78">
        <v>268.22500000000002</v>
      </c>
      <c r="E78" t="str">
        <f t="shared" si="7"/>
        <v>Venta</v>
      </c>
      <c r="F78" t="str">
        <f t="shared" si="8"/>
        <v>Positivo</v>
      </c>
      <c r="G78" s="4">
        <f t="shared" si="9"/>
        <v>6.0287963685373399E-4</v>
      </c>
      <c r="H78" s="4">
        <f t="shared" si="10"/>
        <v>4.8780055323072537E-2</v>
      </c>
      <c r="I78" s="47" t="str">
        <f t="shared" si="11"/>
        <v>Venta</v>
      </c>
      <c r="J78" s="47" t="str">
        <f t="shared" si="12"/>
        <v>VentaVenta</v>
      </c>
      <c r="K78" s="47"/>
      <c r="L78" s="47"/>
      <c r="N78" s="52" t="s">
        <v>314</v>
      </c>
      <c r="O78" s="32">
        <v>0</v>
      </c>
      <c r="P78" s="32">
        <v>0</v>
      </c>
      <c r="Q78" s="34">
        <v>1.3427229897941434E-2</v>
      </c>
      <c r="R78" s="34">
        <v>-1.7742374314183545E-2</v>
      </c>
      <c r="S78" s="72">
        <v>6</v>
      </c>
      <c r="T78" s="63">
        <v>2.4599999999999999E-3</v>
      </c>
      <c r="U78" s="34">
        <v>-0.6115327701020592</v>
      </c>
      <c r="V78" s="64">
        <v>-0.48321095652144902</v>
      </c>
      <c r="W78" s="4">
        <v>0.51004016064257029</v>
      </c>
      <c r="X78" s="76">
        <v>0.51937984496124034</v>
      </c>
      <c r="Y78" s="77">
        <v>0.52755905511811019</v>
      </c>
      <c r="Z78" s="77">
        <v>0.5234375</v>
      </c>
      <c r="AA78" s="77">
        <v>0.5</v>
      </c>
      <c r="AB78" s="77">
        <v>0.49180327868852458</v>
      </c>
      <c r="AC78" s="78">
        <v>0.49586776859504134</v>
      </c>
      <c r="AD78">
        <v>357.5850813169252</v>
      </c>
      <c r="AE78">
        <v>13.357305299401171</v>
      </c>
      <c r="AF78">
        <v>4.1278527849628717E-2</v>
      </c>
      <c r="AG78">
        <v>0.73432276924056761</v>
      </c>
      <c r="AH78">
        <v>0.71174888688845894</v>
      </c>
      <c r="AI78" s="22">
        <v>357.5850813169252</v>
      </c>
    </row>
    <row r="79" spans="1:35" x14ac:dyDescent="0.3">
      <c r="A79" s="1">
        <v>78</v>
      </c>
      <c r="B79">
        <v>279.26</v>
      </c>
      <c r="C79">
        <v>275.84500000000003</v>
      </c>
      <c r="D79">
        <v>268.22500000000002</v>
      </c>
      <c r="E79" t="str">
        <f t="shared" si="7"/>
        <v>Venta</v>
      </c>
      <c r="F79" t="str">
        <f t="shared" si="8"/>
        <v>Positivo</v>
      </c>
      <c r="G79" s="4">
        <f t="shared" si="9"/>
        <v>1.2228747403852911E-2</v>
      </c>
      <c r="H79" s="4">
        <f t="shared" si="10"/>
        <v>3.9515147174675816E-2</v>
      </c>
      <c r="I79" s="47" t="str">
        <f t="shared" si="11"/>
        <v>Venta</v>
      </c>
      <c r="J79" s="47" t="str">
        <f t="shared" si="12"/>
        <v>VentaVenta</v>
      </c>
      <c r="K79" s="47"/>
      <c r="L79" s="47"/>
      <c r="M79" s="47" t="s">
        <v>304</v>
      </c>
      <c r="N79" s="52" t="s">
        <v>310</v>
      </c>
      <c r="O79" s="32">
        <v>0</v>
      </c>
      <c r="P79" s="32">
        <v>0</v>
      </c>
      <c r="Q79" s="34">
        <v>-9.3620234537623331E-2</v>
      </c>
      <c r="R79" s="34">
        <v>-0.11685289637039678</v>
      </c>
      <c r="S79" s="72">
        <v>6</v>
      </c>
      <c r="T79" s="63">
        <v>2.4599999999999999E-3</v>
      </c>
      <c r="U79" s="34">
        <v>-0.71858023453762365</v>
      </c>
      <c r="V79" s="64">
        <v>-0.53502522811198538</v>
      </c>
      <c r="W79" s="4">
        <v>0.51004016064257029</v>
      </c>
      <c r="X79" s="76">
        <v>0.5280898876404494</v>
      </c>
      <c r="Y79" s="77">
        <v>0.37007874015748032</v>
      </c>
      <c r="Z79" s="77">
        <v>0.43518518518518517</v>
      </c>
      <c r="AA79" s="77">
        <v>0.5</v>
      </c>
      <c r="AB79" s="77">
        <v>0.65573770491803274</v>
      </c>
      <c r="AC79" s="78">
        <v>0.56737588652482274</v>
      </c>
      <c r="AD79">
        <v>58.899236371761717</v>
      </c>
      <c r="AE79">
        <v>40.757588641990807</v>
      </c>
      <c r="AF79">
        <v>0.14035533424878621</v>
      </c>
      <c r="AG79">
        <v>0.95623926491713451</v>
      </c>
      <c r="AH79">
        <v>0.95252103252447273</v>
      </c>
      <c r="AI79" s="22">
        <v>15.90088440209928</v>
      </c>
    </row>
    <row r="80" spans="1:35" x14ac:dyDescent="0.3">
      <c r="A80" s="1">
        <v>79</v>
      </c>
      <c r="B80">
        <v>296.52999999999997</v>
      </c>
      <c r="C80">
        <v>295.375</v>
      </c>
      <c r="D80">
        <v>288.33499999999998</v>
      </c>
      <c r="E80" t="str">
        <f t="shared" si="7"/>
        <v>Venta</v>
      </c>
      <c r="F80" t="str">
        <f t="shared" si="8"/>
        <v>Positivo</v>
      </c>
      <c r="G80" s="4">
        <f t="shared" si="9"/>
        <v>3.8950527771219531E-3</v>
      </c>
      <c r="H80" s="4">
        <f t="shared" si="10"/>
        <v>2.7636326847199251E-2</v>
      </c>
      <c r="I80" s="47" t="str">
        <f t="shared" si="11"/>
        <v>Venta</v>
      </c>
      <c r="J80" s="47" t="str">
        <f t="shared" si="12"/>
        <v>VentaVenta</v>
      </c>
      <c r="K80" s="47"/>
      <c r="L80" s="47"/>
      <c r="M80" s="47" t="s">
        <v>304</v>
      </c>
      <c r="N80" s="52" t="s">
        <v>311</v>
      </c>
      <c r="O80" s="32">
        <v>0</v>
      </c>
      <c r="P80" s="32">
        <v>0</v>
      </c>
      <c r="Q80" s="34">
        <v>-0.21644472195182796</v>
      </c>
      <c r="R80" s="34">
        <v>-0.22033343202104369</v>
      </c>
      <c r="S80" s="72">
        <v>6</v>
      </c>
      <c r="T80" s="63">
        <v>2.4599999999999999E-3</v>
      </c>
      <c r="U80" s="34">
        <v>-0.84140472195182836</v>
      </c>
      <c r="V80" s="64">
        <v>-0.59113219588941279</v>
      </c>
      <c r="W80" s="4">
        <v>0.47389558232931728</v>
      </c>
      <c r="X80" s="76">
        <v>0.48717948717948717</v>
      </c>
      <c r="Y80" s="77">
        <v>0.59842519685039375</v>
      </c>
      <c r="Z80" s="77">
        <v>0.53710247349823326</v>
      </c>
      <c r="AA80" s="77">
        <v>0.45161290322580644</v>
      </c>
      <c r="AB80" s="77">
        <v>0.34426229508196721</v>
      </c>
      <c r="AC80" s="78">
        <v>0.39069767441860465</v>
      </c>
      <c r="AD80">
        <v>759.08196858164422</v>
      </c>
      <c r="AE80">
        <v>18.76114949730383</v>
      </c>
      <c r="AF80">
        <v>5.8935774629873788E-2</v>
      </c>
      <c r="AG80">
        <v>0.4360201085865486</v>
      </c>
      <c r="AH80">
        <v>0.38810024853181091</v>
      </c>
      <c r="AI80" s="22">
        <v>759.08196858164422</v>
      </c>
    </row>
    <row r="81" spans="1:35" x14ac:dyDescent="0.3">
      <c r="A81" s="1">
        <v>80</v>
      </c>
      <c r="B81">
        <v>296.07000000000011</v>
      </c>
      <c r="C81">
        <v>304.62</v>
      </c>
      <c r="D81">
        <v>290.91000000000003</v>
      </c>
      <c r="E81" t="str">
        <f t="shared" si="7"/>
        <v>Venta</v>
      </c>
      <c r="F81" t="str">
        <f t="shared" si="8"/>
        <v>Negativo</v>
      </c>
      <c r="G81" s="4">
        <f t="shared" si="9"/>
        <v>-2.8878305806059022E-2</v>
      </c>
      <c r="H81" s="4">
        <f t="shared" si="10"/>
        <v>1.7428310872429086E-2</v>
      </c>
      <c r="I81" s="47" t="str">
        <f t="shared" si="11"/>
        <v>Compra</v>
      </c>
      <c r="J81" s="47" t="str">
        <f t="shared" si="12"/>
        <v>VentaCompra</v>
      </c>
      <c r="K81" s="47"/>
      <c r="L81" s="47"/>
      <c r="M81" s="47" t="s">
        <v>304</v>
      </c>
      <c r="N81" s="52" t="s">
        <v>312</v>
      </c>
      <c r="O81" s="32">
        <v>0</v>
      </c>
      <c r="P81" s="32">
        <v>0</v>
      </c>
      <c r="Q81" s="34">
        <v>-0.10899064762117588</v>
      </c>
      <c r="R81" s="34">
        <v>-0.13055004184788252</v>
      </c>
      <c r="S81" s="72">
        <v>6</v>
      </c>
      <c r="T81" s="63">
        <v>2.4599999999999999E-3</v>
      </c>
      <c r="U81" s="34">
        <v>-0.73395064762117612</v>
      </c>
      <c r="V81" s="64">
        <v>-0.54248439431139694</v>
      </c>
      <c r="W81" s="4">
        <v>0.49799196787148592</v>
      </c>
      <c r="X81" s="76">
        <v>0.51041666666666663</v>
      </c>
      <c r="Y81" s="77">
        <v>0.38582677165354329</v>
      </c>
      <c r="Z81" s="77">
        <v>0.43946188340807169</v>
      </c>
      <c r="AA81" s="77">
        <v>0.49019607843137253</v>
      </c>
      <c r="AB81" s="77">
        <v>0.61475409836065575</v>
      </c>
      <c r="AC81" s="78">
        <v>0.54545454545454541</v>
      </c>
      <c r="AD81">
        <v>1540.6549553846551</v>
      </c>
      <c r="AE81">
        <v>28.437762863189381</v>
      </c>
      <c r="AF81">
        <v>8.7240797688367872E-2</v>
      </c>
      <c r="AG81">
        <v>-0.14467007570603041</v>
      </c>
      <c r="AH81">
        <v>-0.24192962462222889</v>
      </c>
      <c r="AI81" s="22">
        <v>1540.6549553846551</v>
      </c>
    </row>
    <row r="82" spans="1:35" x14ac:dyDescent="0.3">
      <c r="A82" s="1">
        <v>81</v>
      </c>
      <c r="B82">
        <v>303.83</v>
      </c>
      <c r="C82">
        <v>307.31</v>
      </c>
      <c r="D82">
        <v>290.91000000000003</v>
      </c>
      <c r="E82" t="str">
        <f t="shared" si="7"/>
        <v>Venta</v>
      </c>
      <c r="F82" t="str">
        <f t="shared" si="8"/>
        <v>Negativo</v>
      </c>
      <c r="G82" s="4">
        <f t="shared" si="9"/>
        <v>-1.1453773491755319E-2</v>
      </c>
      <c r="H82" s="4">
        <f t="shared" si="10"/>
        <v>4.2523779745252149E-2</v>
      </c>
      <c r="I82" s="47" t="str">
        <f t="shared" si="11"/>
        <v>Compra</v>
      </c>
      <c r="J82" s="47" t="str">
        <f t="shared" si="12"/>
        <v>VentaCompra</v>
      </c>
      <c r="K82" s="47"/>
      <c r="L82" s="47"/>
      <c r="M82" s="47" t="s">
        <v>304</v>
      </c>
      <c r="N82" s="52" t="s">
        <v>313</v>
      </c>
      <c r="O82" s="32">
        <v>0</v>
      </c>
      <c r="P82" s="32">
        <v>0</v>
      </c>
      <c r="Q82" s="34">
        <v>0.13526445038017221</v>
      </c>
      <c r="R82" s="34">
        <v>0.11117095446529231</v>
      </c>
      <c r="S82" s="72">
        <v>6</v>
      </c>
      <c r="T82" s="63">
        <v>2.4599999999999999E-3</v>
      </c>
      <c r="U82" s="34">
        <v>-0.48969554961982775</v>
      </c>
      <c r="V82" s="64">
        <v>-0.41352581128447324</v>
      </c>
      <c r="W82" s="4">
        <v>0.51807228915662651</v>
      </c>
      <c r="X82" s="76">
        <v>0.52892561983471076</v>
      </c>
      <c r="Y82" s="77">
        <v>0.50393700787401574</v>
      </c>
      <c r="Z82" s="77">
        <v>0.5161290322580645</v>
      </c>
      <c r="AA82" s="77">
        <v>0.5078125</v>
      </c>
      <c r="AB82" s="77">
        <v>0.53278688524590168</v>
      </c>
      <c r="AC82" s="78">
        <v>0.52</v>
      </c>
      <c r="AD82">
        <v>505.24855928143688</v>
      </c>
      <c r="AE82">
        <v>16.525449101796401</v>
      </c>
      <c r="AF82">
        <v>5.1521113869490452E-2</v>
      </c>
      <c r="AG82">
        <v>0.62461230882248353</v>
      </c>
      <c r="AH82">
        <v>0.59271662264400171</v>
      </c>
      <c r="AI82" s="22">
        <v>43.719914820359342</v>
      </c>
    </row>
    <row r="83" spans="1:35" x14ac:dyDescent="0.3">
      <c r="A83" s="1">
        <v>82</v>
      </c>
      <c r="B83">
        <v>306.68</v>
      </c>
      <c r="C83">
        <v>305.52</v>
      </c>
      <c r="D83">
        <v>302.01499999999999</v>
      </c>
      <c r="E83" t="str">
        <f t="shared" si="7"/>
        <v>Venta</v>
      </c>
      <c r="F83" t="str">
        <f t="shared" si="8"/>
        <v>Positivo</v>
      </c>
      <c r="G83" s="4">
        <f t="shared" si="9"/>
        <v>3.7824442415547964E-3</v>
      </c>
      <c r="H83" s="4">
        <f t="shared" si="10"/>
        <v>1.5211295161080019E-2</v>
      </c>
      <c r="I83" s="47" t="str">
        <f t="shared" si="11"/>
        <v>Venta</v>
      </c>
      <c r="J83" s="47" t="str">
        <f t="shared" si="12"/>
        <v>VentaVenta</v>
      </c>
      <c r="K83" s="47"/>
      <c r="L83" s="47"/>
      <c r="M83" s="47" t="s">
        <v>304</v>
      </c>
      <c r="N83" s="52" t="s">
        <v>314</v>
      </c>
      <c r="O83" s="32">
        <v>0</v>
      </c>
      <c r="P83" s="32">
        <v>0</v>
      </c>
      <c r="Q83" s="34">
        <v>-8.9358750381980642E-2</v>
      </c>
      <c r="R83" s="34">
        <v>-0.11340975394310968</v>
      </c>
      <c r="S83" s="72">
        <v>6</v>
      </c>
      <c r="T83" s="63">
        <v>2.4599999999999999E-3</v>
      </c>
      <c r="U83" s="34">
        <v>-0.71431875038198067</v>
      </c>
      <c r="V83" s="64">
        <v>-0.53347475619825924</v>
      </c>
      <c r="W83" s="4">
        <v>0.50200803212851408</v>
      </c>
      <c r="X83" s="76">
        <v>0.51145038167938928</v>
      </c>
      <c r="Y83" s="77">
        <v>0.52755905511811019</v>
      </c>
      <c r="Z83" s="77">
        <v>0.51937984496124012</v>
      </c>
      <c r="AA83" s="77">
        <v>0.49152542372881358</v>
      </c>
      <c r="AB83" s="77">
        <v>0.47540983606557374</v>
      </c>
      <c r="AC83" s="78">
        <v>0.48333333333333334</v>
      </c>
      <c r="AD83">
        <v>449.51343053892231</v>
      </c>
      <c r="AE83">
        <v>15.701976047904189</v>
      </c>
      <c r="AF83">
        <v>4.9038535210856792E-2</v>
      </c>
      <c r="AG83">
        <v>0.66602218701370453</v>
      </c>
      <c r="AH83">
        <v>0.63764498721748342</v>
      </c>
      <c r="AI83" s="22">
        <v>22.001339904684819</v>
      </c>
    </row>
    <row r="84" spans="1:35" x14ac:dyDescent="0.3">
      <c r="A84" s="1">
        <v>83</v>
      </c>
      <c r="B84">
        <v>307.92</v>
      </c>
      <c r="C84">
        <v>305.48500000000001</v>
      </c>
      <c r="D84">
        <v>302.01499999999999</v>
      </c>
      <c r="E84" t="str">
        <f t="shared" si="7"/>
        <v>Venta</v>
      </c>
      <c r="F84" t="str">
        <f t="shared" si="8"/>
        <v>Positivo</v>
      </c>
      <c r="G84" s="4">
        <f t="shared" si="9"/>
        <v>7.9078981553650368E-3</v>
      </c>
      <c r="H84" s="4">
        <f t="shared" si="10"/>
        <v>1.9177058976357589E-2</v>
      </c>
      <c r="I84" s="47" t="str">
        <f t="shared" si="11"/>
        <v>Venta</v>
      </c>
      <c r="J84" s="47" t="str">
        <f t="shared" si="12"/>
        <v>VentaVenta</v>
      </c>
      <c r="K84" s="47"/>
      <c r="L84" s="47"/>
      <c r="N84" s="52" t="s">
        <v>340</v>
      </c>
      <c r="O84" s="32">
        <v>0</v>
      </c>
      <c r="P84" s="32">
        <v>0</v>
      </c>
      <c r="Q84" s="34">
        <v>0.10884501000046803</v>
      </c>
      <c r="R84" s="34">
        <v>9.8762326412270923E-2</v>
      </c>
      <c r="S84" s="72">
        <v>6</v>
      </c>
      <c r="T84" s="63">
        <v>2.2000000000000001E-3</v>
      </c>
      <c r="U84" s="34">
        <v>-0.26631498999953224</v>
      </c>
      <c r="V84" s="64">
        <v>-0.24795999174319527</v>
      </c>
      <c r="W84" s="4">
        <v>0.52694610778443118</v>
      </c>
      <c r="X84" s="65">
        <v>0.59375</v>
      </c>
      <c r="Y84" s="4">
        <v>0.22352941176470589</v>
      </c>
      <c r="Z84" s="4">
        <v>0.3247863247863248</v>
      </c>
      <c r="AA84" s="4">
        <v>0.51111111111111107</v>
      </c>
      <c r="AB84" s="4">
        <v>0.84146341463414631</v>
      </c>
      <c r="AC84" s="68">
        <v>0.63594470046082952</v>
      </c>
      <c r="AD84">
        <v>15.90088440209928</v>
      </c>
      <c r="AE84">
        <v>3.003639024933118</v>
      </c>
      <c r="AF84">
        <v>1.0168325405289461E-2</v>
      </c>
      <c r="AG84">
        <v>0.9881860201800996</v>
      </c>
      <c r="AH84">
        <v>0.98718221797317995</v>
      </c>
      <c r="AI84" s="22">
        <v>15.90088440209928</v>
      </c>
    </row>
    <row r="85" spans="1:35" x14ac:dyDescent="0.3">
      <c r="A85" s="1">
        <v>84</v>
      </c>
      <c r="B85">
        <v>306.89999999999998</v>
      </c>
      <c r="C85">
        <v>304.33</v>
      </c>
      <c r="D85">
        <v>302.01499999999999</v>
      </c>
      <c r="E85" t="str">
        <f t="shared" si="7"/>
        <v>Venta</v>
      </c>
      <c r="F85" t="str">
        <f t="shared" si="8"/>
        <v>Positivo</v>
      </c>
      <c r="G85" s="4">
        <f t="shared" si="9"/>
        <v>8.3740632127728681E-3</v>
      </c>
      <c r="H85" s="4">
        <f t="shared" si="10"/>
        <v>1.5917236884978793E-2</v>
      </c>
      <c r="I85" s="47" t="str">
        <f t="shared" si="11"/>
        <v>Venta</v>
      </c>
      <c r="J85" s="47" t="str">
        <f t="shared" si="12"/>
        <v>VentaVenta</v>
      </c>
      <c r="K85" s="47"/>
      <c r="L85" s="47"/>
      <c r="N85" s="52" t="s">
        <v>341</v>
      </c>
      <c r="O85" s="32">
        <v>0</v>
      </c>
      <c r="P85" s="32">
        <v>0</v>
      </c>
      <c r="Q85" s="34">
        <v>-3.4726362414749308E-2</v>
      </c>
      <c r="R85" s="34">
        <v>-4.8903848926786883E-2</v>
      </c>
      <c r="S85" s="72">
        <v>6</v>
      </c>
      <c r="T85" s="63">
        <v>2.2000000000000001E-3</v>
      </c>
      <c r="U85" s="34">
        <v>-0.40988636241474924</v>
      </c>
      <c r="V85" s="64">
        <v>-0.34996401527745985</v>
      </c>
      <c r="W85" s="4">
        <v>0.49700598802395207</v>
      </c>
      <c r="X85" s="65">
        <v>0.51515151515151514</v>
      </c>
      <c r="Y85" s="4">
        <v>0.2</v>
      </c>
      <c r="Z85" s="4">
        <v>0.28813559322033899</v>
      </c>
      <c r="AA85" s="4">
        <v>0.4925373134328358</v>
      </c>
      <c r="AB85" s="4">
        <v>0.80487804878048785</v>
      </c>
      <c r="AC85" s="68">
        <v>0.61111111111111105</v>
      </c>
      <c r="AD85">
        <v>3021.354235664558</v>
      </c>
      <c r="AE85">
        <v>46.071359180171051</v>
      </c>
      <c r="AF85">
        <v>0.14566091480121901</v>
      </c>
      <c r="AG85">
        <v>-1.2447945074174089</v>
      </c>
      <c r="AH85">
        <v>-1.4355286812502599</v>
      </c>
      <c r="AI85" s="22">
        <v>343.86441405871761</v>
      </c>
    </row>
    <row r="86" spans="1:35" x14ac:dyDescent="0.3">
      <c r="A86" s="1">
        <v>85</v>
      </c>
      <c r="B86">
        <v>306.36500000000001</v>
      </c>
      <c r="C86">
        <v>305.55500000000001</v>
      </c>
      <c r="D86">
        <v>301.91000000000003</v>
      </c>
      <c r="E86" t="str">
        <f t="shared" si="7"/>
        <v>Venta</v>
      </c>
      <c r="F86" t="str">
        <f t="shared" si="8"/>
        <v>Positivo</v>
      </c>
      <c r="G86" s="4">
        <f t="shared" si="9"/>
        <v>2.6439051458228002E-3</v>
      </c>
      <c r="H86" s="4">
        <f t="shared" si="10"/>
        <v>1.4541478302025309E-2</v>
      </c>
      <c r="I86" s="47" t="str">
        <f t="shared" si="11"/>
        <v>Venta</v>
      </c>
      <c r="J86" s="47" t="str">
        <f t="shared" si="12"/>
        <v>VentaVenta</v>
      </c>
      <c r="K86" s="47"/>
      <c r="L86" s="47"/>
      <c r="N86" s="52" t="s">
        <v>342</v>
      </c>
      <c r="O86" s="32">
        <v>0</v>
      </c>
      <c r="P86" s="32">
        <v>0</v>
      </c>
      <c r="Q86" s="34">
        <v>-1.541534062320672E-2</v>
      </c>
      <c r="R86" s="34">
        <v>-3.0203957668007059E-2</v>
      </c>
      <c r="S86" s="72">
        <v>6</v>
      </c>
      <c r="T86" s="63">
        <v>2.2000000000000001E-3</v>
      </c>
      <c r="U86" s="34">
        <v>-0.39057534062320665</v>
      </c>
      <c r="V86" s="64">
        <v>-0.33699074976591148</v>
      </c>
      <c r="W86" s="4">
        <v>0.50898203592814373</v>
      </c>
      <c r="X86" s="65">
        <v>0.54838709677419351</v>
      </c>
      <c r="Y86" s="4">
        <v>0.2</v>
      </c>
      <c r="Z86" s="4">
        <v>0.2931034482758621</v>
      </c>
      <c r="AA86" s="4">
        <v>0.5</v>
      </c>
      <c r="AB86" s="4">
        <v>0.82926829268292679</v>
      </c>
      <c r="AC86" s="68">
        <v>0.62385321100917435</v>
      </c>
      <c r="AD86">
        <v>3137.2927775028652</v>
      </c>
      <c r="AE86">
        <v>46.897189351616049</v>
      </c>
      <c r="AF86">
        <v>0.1480970567076236</v>
      </c>
      <c r="AG86">
        <v>-1.330934093052381</v>
      </c>
      <c r="AH86">
        <v>-1.5289873166450669</v>
      </c>
      <c r="AI86" s="22">
        <v>27.87311971578519</v>
      </c>
    </row>
    <row r="87" spans="1:35" x14ac:dyDescent="0.3">
      <c r="A87" s="1">
        <v>86</v>
      </c>
      <c r="B87">
        <v>305.435</v>
      </c>
      <c r="C87">
        <v>310.64999999999998</v>
      </c>
      <c r="D87">
        <v>301.91000000000003</v>
      </c>
      <c r="E87" t="str">
        <f t="shared" si="7"/>
        <v>Venta</v>
      </c>
      <c r="F87" t="str">
        <f t="shared" si="8"/>
        <v>Negativo</v>
      </c>
      <c r="G87" s="4">
        <f t="shared" si="9"/>
        <v>-1.707400919999337E-2</v>
      </c>
      <c r="H87" s="4">
        <f t="shared" si="10"/>
        <v>1.1540917052728002E-2</v>
      </c>
      <c r="I87" s="47" t="str">
        <f t="shared" si="11"/>
        <v>Compra</v>
      </c>
      <c r="J87" s="47" t="str">
        <f t="shared" si="12"/>
        <v>VentaCompra</v>
      </c>
      <c r="K87" s="47"/>
      <c r="L87" s="47"/>
      <c r="N87" s="52" t="s">
        <v>343</v>
      </c>
      <c r="O87" s="32">
        <v>0</v>
      </c>
      <c r="P87" s="32">
        <v>0</v>
      </c>
      <c r="Q87" s="34">
        <v>-3.8821013512229108E-2</v>
      </c>
      <c r="R87" s="34">
        <v>-5.3697428776872259E-2</v>
      </c>
      <c r="S87" s="72">
        <v>6</v>
      </c>
      <c r="T87" s="63">
        <v>2.2000000000000001E-3</v>
      </c>
      <c r="U87" s="34">
        <v>-0.41398101351223021</v>
      </c>
      <c r="V87" s="64">
        <v>-0.354046938315207</v>
      </c>
      <c r="W87" s="4">
        <v>0.53293413173652693</v>
      </c>
      <c r="X87" s="65">
        <v>0.5376344086021505</v>
      </c>
      <c r="Y87" s="4">
        <v>0.58823529411764708</v>
      </c>
      <c r="Z87" s="4">
        <v>0.56179775280898869</v>
      </c>
      <c r="AA87" s="4">
        <v>0.52702702702702697</v>
      </c>
      <c r="AB87" s="4">
        <v>0.47560975609756095</v>
      </c>
      <c r="AC87" s="68">
        <v>0.5</v>
      </c>
      <c r="AD87">
        <v>43.719914820359342</v>
      </c>
      <c r="AE87">
        <v>5.2389520958083864</v>
      </c>
      <c r="AF87">
        <v>1.778017019483704E-2</v>
      </c>
      <c r="AG87">
        <v>0.96751714065996874</v>
      </c>
      <c r="AH87">
        <v>0.96475715914741711</v>
      </c>
      <c r="AI87" s="22">
        <v>43.719914820359342</v>
      </c>
    </row>
    <row r="88" spans="1:35" x14ac:dyDescent="0.3">
      <c r="A88" s="1">
        <v>87</v>
      </c>
      <c r="B88">
        <v>310.04500000000002</v>
      </c>
      <c r="C88">
        <v>308.60000000000002</v>
      </c>
      <c r="D88">
        <v>301.91000000000003</v>
      </c>
      <c r="E88" t="str">
        <f t="shared" si="7"/>
        <v>Venta</v>
      </c>
      <c r="F88" t="str">
        <f t="shared" si="8"/>
        <v>Positivo</v>
      </c>
      <c r="G88" s="4">
        <f t="shared" si="9"/>
        <v>4.6606137818703515E-3</v>
      </c>
      <c r="H88" s="4">
        <f t="shared" si="10"/>
        <v>2.62381267235401E-2</v>
      </c>
      <c r="I88" s="47" t="str">
        <f t="shared" si="11"/>
        <v>Venta</v>
      </c>
      <c r="J88" s="47" t="str">
        <f t="shared" si="12"/>
        <v>VentaVenta</v>
      </c>
      <c r="K88" s="47"/>
      <c r="L88" s="47"/>
      <c r="N88" s="52" t="s">
        <v>344</v>
      </c>
      <c r="O88" s="32">
        <v>0</v>
      </c>
      <c r="P88" s="32">
        <v>0</v>
      </c>
      <c r="Q88" s="34">
        <v>0.15032571622392554</v>
      </c>
      <c r="R88" s="34">
        <v>0.14420810257806704</v>
      </c>
      <c r="S88" s="72">
        <v>6</v>
      </c>
      <c r="T88" s="63">
        <v>2.2000000000000001E-3</v>
      </c>
      <c r="U88" s="34">
        <v>-0.22483428377607503</v>
      </c>
      <c r="V88" s="64">
        <v>-0.21768159973908172</v>
      </c>
      <c r="W88" s="4">
        <v>0.55688622754491013</v>
      </c>
      <c r="X88" s="65">
        <v>0.55913978494623651</v>
      </c>
      <c r="Y88" s="4">
        <v>0.61176470588235299</v>
      </c>
      <c r="Z88" s="4">
        <v>0.5842696629213483</v>
      </c>
      <c r="AA88" s="4">
        <v>0.55405405405405406</v>
      </c>
      <c r="AB88" s="4">
        <v>0.5</v>
      </c>
      <c r="AC88" s="68">
        <v>0.52564102564102566</v>
      </c>
      <c r="AD88">
        <v>22.001339904684819</v>
      </c>
      <c r="AE88">
        <v>3.448717724550912</v>
      </c>
      <c r="AF88">
        <v>1.161375678181817E-2</v>
      </c>
      <c r="AG88">
        <v>0.98365352649124349</v>
      </c>
      <c r="AH88">
        <v>0.98226461044147984</v>
      </c>
      <c r="AI88" s="22">
        <v>22.001339904684819</v>
      </c>
    </row>
    <row r="89" spans="1:35" x14ac:dyDescent="0.3">
      <c r="A89" s="1">
        <v>88</v>
      </c>
      <c r="B89">
        <v>307.84500000000003</v>
      </c>
      <c r="C89">
        <v>306.98500000000001</v>
      </c>
      <c r="D89">
        <v>301.23</v>
      </c>
      <c r="E89" t="str">
        <f t="shared" si="7"/>
        <v>Venta</v>
      </c>
      <c r="F89" t="str">
        <f t="shared" si="8"/>
        <v>Positivo</v>
      </c>
      <c r="G89" s="4">
        <f t="shared" si="9"/>
        <v>2.7936136692166954E-3</v>
      </c>
      <c r="H89" s="4">
        <f t="shared" si="10"/>
        <v>2.1488086537056014E-2</v>
      </c>
      <c r="I89" s="47" t="str">
        <f t="shared" si="11"/>
        <v>Venta</v>
      </c>
      <c r="J89" s="47" t="str">
        <f t="shared" si="12"/>
        <v>VentaVenta</v>
      </c>
      <c r="K89" s="47"/>
      <c r="L89" s="47"/>
      <c r="M89" s="47" t="s">
        <v>304</v>
      </c>
      <c r="N89" s="52" t="s">
        <v>340</v>
      </c>
      <c r="O89" s="32">
        <v>0</v>
      </c>
      <c r="P89" s="32">
        <v>0</v>
      </c>
      <c r="Q89" s="34">
        <v>0.10884501000046803</v>
      </c>
      <c r="R89" s="34">
        <v>9.8762326412270923E-2</v>
      </c>
      <c r="S89" s="72">
        <v>6</v>
      </c>
      <c r="T89" s="63">
        <v>2.2000000000000001E-3</v>
      </c>
      <c r="U89" s="34">
        <v>-0.26631498999953224</v>
      </c>
      <c r="V89" s="64">
        <v>-0.24795999174319527</v>
      </c>
      <c r="W89" s="4">
        <v>0.52694610778443118</v>
      </c>
      <c r="X89" s="65">
        <v>0.59375</v>
      </c>
      <c r="Y89" s="4">
        <v>0.22352941176470589</v>
      </c>
      <c r="Z89" s="4">
        <v>0.3247863247863248</v>
      </c>
      <c r="AA89" s="4">
        <v>0.51111111111111107</v>
      </c>
      <c r="AB89" s="4">
        <v>0.84146341463414631</v>
      </c>
      <c r="AC89" s="68">
        <v>0.63594470046082952</v>
      </c>
      <c r="AD89">
        <v>15.900884402099519</v>
      </c>
      <c r="AE89">
        <v>41.809205131882202</v>
      </c>
      <c r="AF89">
        <v>0.1454299376340534</v>
      </c>
      <c r="AG89">
        <v>0.98818602018009949</v>
      </c>
      <c r="AH89">
        <v>0.98718221797317984</v>
      </c>
      <c r="AI89" s="22">
        <v>15.482849312821189</v>
      </c>
    </row>
    <row r="90" spans="1:35" x14ac:dyDescent="0.3">
      <c r="A90" s="1">
        <v>89</v>
      </c>
      <c r="B90">
        <v>308.94500000000011</v>
      </c>
      <c r="C90">
        <v>312.25</v>
      </c>
      <c r="D90">
        <v>304.7</v>
      </c>
      <c r="E90" t="str">
        <f t="shared" si="7"/>
        <v>Venta</v>
      </c>
      <c r="F90" t="str">
        <f t="shared" si="8"/>
        <v>Negativo</v>
      </c>
      <c r="G90" s="4">
        <f t="shared" si="9"/>
        <v>-1.0697697001083986E-2</v>
      </c>
      <c r="H90" s="4">
        <f t="shared" si="10"/>
        <v>1.3740309763874206E-2</v>
      </c>
      <c r="I90" s="47" t="str">
        <f t="shared" si="11"/>
        <v>Compra</v>
      </c>
      <c r="J90" s="47" t="str">
        <f t="shared" si="12"/>
        <v>VentaCompra</v>
      </c>
      <c r="K90" s="47"/>
      <c r="L90" s="47"/>
      <c r="M90" s="47" t="s">
        <v>304</v>
      </c>
      <c r="N90" s="52" t="s">
        <v>341</v>
      </c>
      <c r="O90" s="32">
        <v>0</v>
      </c>
      <c r="P90" s="32">
        <v>0</v>
      </c>
      <c r="Q90" s="34">
        <v>-0.11195905843481291</v>
      </c>
      <c r="R90" s="34">
        <v>-0.11909418760388769</v>
      </c>
      <c r="S90" s="72">
        <v>6</v>
      </c>
      <c r="T90" s="63">
        <v>2.2000000000000001E-3</v>
      </c>
      <c r="U90" s="34">
        <v>-0.48711905843481368</v>
      </c>
      <c r="V90" s="64">
        <v>-0.39754519969423396</v>
      </c>
      <c r="W90" s="4">
        <v>0.49700598802395207</v>
      </c>
      <c r="X90" s="65">
        <v>0.5074626865671642</v>
      </c>
      <c r="Y90" s="4">
        <v>0.4</v>
      </c>
      <c r="Z90" s="4">
        <v>0.44736842105263158</v>
      </c>
      <c r="AA90" s="4">
        <v>0.49</v>
      </c>
      <c r="AB90" s="4">
        <v>0.59756097560975607</v>
      </c>
      <c r="AC90" s="68">
        <v>0.53846153846153855</v>
      </c>
      <c r="AD90">
        <v>343.86441405871761</v>
      </c>
      <c r="AE90">
        <v>15.313211526567329</v>
      </c>
      <c r="AF90">
        <v>5.1371491247150847E-2</v>
      </c>
      <c r="AG90">
        <v>0.74451689945401878</v>
      </c>
      <c r="AH90">
        <v>0.72280918502854319</v>
      </c>
      <c r="AI90" s="22">
        <v>343.86441405871761</v>
      </c>
    </row>
    <row r="91" spans="1:35" x14ac:dyDescent="0.3">
      <c r="A91" s="1">
        <v>90</v>
      </c>
      <c r="B91">
        <v>310.13499999999999</v>
      </c>
      <c r="C91">
        <v>310.01</v>
      </c>
      <c r="D91">
        <v>304.7</v>
      </c>
      <c r="E91" t="str">
        <f t="shared" si="7"/>
        <v>Venta</v>
      </c>
      <c r="F91" t="str">
        <f t="shared" si="8"/>
        <v>Positivo</v>
      </c>
      <c r="G91" s="4">
        <f t="shared" si="9"/>
        <v>4.0305028455350089E-4</v>
      </c>
      <c r="H91" s="4">
        <f t="shared" si="10"/>
        <v>1.7524626372386228E-2</v>
      </c>
      <c r="I91" s="47" t="str">
        <f t="shared" si="11"/>
        <v>Venta</v>
      </c>
      <c r="J91" s="47" t="str">
        <f t="shared" si="12"/>
        <v>VentaVenta</v>
      </c>
      <c r="K91" s="47"/>
      <c r="L91" s="47"/>
      <c r="M91" s="47" t="s">
        <v>304</v>
      </c>
      <c r="N91" s="52" t="s">
        <v>342</v>
      </c>
      <c r="O91" s="32">
        <v>0</v>
      </c>
      <c r="P91" s="32">
        <v>0</v>
      </c>
      <c r="Q91" s="34">
        <v>0.31295507104619757</v>
      </c>
      <c r="R91" s="34">
        <v>0.34836009988203004</v>
      </c>
      <c r="S91" s="72">
        <v>6</v>
      </c>
      <c r="T91" s="63">
        <v>2.2000000000000001E-3</v>
      </c>
      <c r="U91" s="34">
        <v>-6.2204928953802446E-2</v>
      </c>
      <c r="V91" s="64">
        <v>-7.571390235304018E-2</v>
      </c>
      <c r="W91" s="4">
        <v>0.58682634730538918</v>
      </c>
      <c r="X91" s="65">
        <v>0.66</v>
      </c>
      <c r="Y91" s="4">
        <v>0.38823529411764707</v>
      </c>
      <c r="Z91" s="4">
        <v>0.48888888888888887</v>
      </c>
      <c r="AA91" s="4">
        <v>0.55555555555555558</v>
      </c>
      <c r="AB91" s="4">
        <v>0.79268292682926833</v>
      </c>
      <c r="AC91" s="68">
        <v>0.65326633165829151</v>
      </c>
      <c r="AD91">
        <v>27.87311971578519</v>
      </c>
      <c r="AE91">
        <v>4.0025801612529133</v>
      </c>
      <c r="AF91">
        <v>1.336867174446139E-2</v>
      </c>
      <c r="AG91">
        <v>0.97929093341522067</v>
      </c>
      <c r="AH91">
        <v>0.97753133952239624</v>
      </c>
      <c r="AI91" s="22">
        <v>27.87311971578519</v>
      </c>
    </row>
    <row r="92" spans="1:35" x14ac:dyDescent="0.3">
      <c r="A92" s="1">
        <v>91</v>
      </c>
      <c r="B92">
        <v>310.28500000000003</v>
      </c>
      <c r="C92">
        <v>308.99</v>
      </c>
      <c r="D92">
        <v>302.69499999999999</v>
      </c>
      <c r="E92" t="str">
        <f t="shared" si="7"/>
        <v>Venta</v>
      </c>
      <c r="F92" t="str">
        <f t="shared" si="8"/>
        <v>Positivo</v>
      </c>
      <c r="G92" s="4">
        <f t="shared" si="9"/>
        <v>4.1735823517089635E-3</v>
      </c>
      <c r="H92" s="4">
        <f t="shared" si="10"/>
        <v>2.4461382277583613E-2</v>
      </c>
      <c r="I92" s="47" t="str">
        <f t="shared" si="11"/>
        <v>Venta</v>
      </c>
      <c r="J92" s="47" t="str">
        <f t="shared" si="12"/>
        <v>VentaVenta</v>
      </c>
      <c r="K92" s="47"/>
      <c r="L92" s="47"/>
      <c r="M92" s="47" t="s">
        <v>304</v>
      </c>
      <c r="N92" s="52" t="s">
        <v>343</v>
      </c>
      <c r="O92" s="32">
        <v>0</v>
      </c>
      <c r="P92" s="32">
        <v>0</v>
      </c>
      <c r="Q92" s="34">
        <v>-3.198796193893213E-3</v>
      </c>
      <c r="R92" s="34">
        <v>-1.8974651940465118E-2</v>
      </c>
      <c r="S92" s="72">
        <v>6</v>
      </c>
      <c r="T92" s="63">
        <v>2.2000000000000001E-3</v>
      </c>
      <c r="U92" s="34">
        <v>-0.37835879619389384</v>
      </c>
      <c r="V92" s="64">
        <v>-0.32981656486298833</v>
      </c>
      <c r="W92" s="4">
        <v>0.55688622754491013</v>
      </c>
      <c r="X92" s="65">
        <v>0.5617977528089888</v>
      </c>
      <c r="Y92" s="4">
        <v>0.58823529411764708</v>
      </c>
      <c r="Z92" s="4">
        <v>0.57471264367816088</v>
      </c>
      <c r="AA92" s="4">
        <v>0.55128205128205132</v>
      </c>
      <c r="AB92" s="4">
        <v>0.52439024390243905</v>
      </c>
      <c r="AC92" s="68">
        <v>0.53749999999999998</v>
      </c>
      <c r="AD92">
        <v>44.471946856287452</v>
      </c>
      <c r="AE92">
        <v>5.2654790419161701</v>
      </c>
      <c r="AF92">
        <v>1.7983729428101509E-2</v>
      </c>
      <c r="AG92">
        <v>0.96695839870123834</v>
      </c>
      <c r="AH92">
        <v>0.96415094238173571</v>
      </c>
      <c r="AI92" s="22">
        <v>44.471946856287452</v>
      </c>
    </row>
    <row r="93" spans="1:35" x14ac:dyDescent="0.3">
      <c r="A93" s="1">
        <v>92</v>
      </c>
      <c r="B93">
        <v>309.06</v>
      </c>
      <c r="C93">
        <v>309.5</v>
      </c>
      <c r="D93">
        <v>302.69499999999999</v>
      </c>
      <c r="E93" t="str">
        <f t="shared" si="7"/>
        <v>Venta</v>
      </c>
      <c r="F93" t="str">
        <f t="shared" si="8"/>
        <v>Negativo</v>
      </c>
      <c r="G93" s="4">
        <f t="shared" si="9"/>
        <v>-1.4236717789425928E-3</v>
      </c>
      <c r="H93" s="4">
        <f t="shared" si="10"/>
        <v>2.0594706529476505E-2</v>
      </c>
      <c r="I93" s="47" t="str">
        <f t="shared" si="11"/>
        <v>Compra</v>
      </c>
      <c r="J93" s="47" t="str">
        <f t="shared" si="12"/>
        <v>VentaCompra</v>
      </c>
      <c r="K93" s="47"/>
      <c r="L93" s="47"/>
      <c r="M93" s="47" t="s">
        <v>304</v>
      </c>
      <c r="N93" s="52" t="s">
        <v>344</v>
      </c>
      <c r="O93" s="32">
        <v>0</v>
      </c>
      <c r="P93" s="32">
        <v>0</v>
      </c>
      <c r="Q93" s="34">
        <v>-5.6795943114037947E-2</v>
      </c>
      <c r="R93" s="34">
        <v>-7.0874144326125529E-2</v>
      </c>
      <c r="S93" s="72">
        <v>6</v>
      </c>
      <c r="T93" s="63">
        <v>2.2000000000000001E-3</v>
      </c>
      <c r="U93" s="34">
        <v>-0.43195594311403829</v>
      </c>
      <c r="V93" s="64">
        <v>-0.36606072177673377</v>
      </c>
      <c r="W93" s="4">
        <v>0.55688622754491013</v>
      </c>
      <c r="X93" s="65">
        <v>0.5662650602409639</v>
      </c>
      <c r="Y93" s="4">
        <v>0.55294117647058827</v>
      </c>
      <c r="Z93" s="4">
        <v>0.55952380952380942</v>
      </c>
      <c r="AA93" s="4">
        <v>0.54761904761904767</v>
      </c>
      <c r="AB93" s="4">
        <v>0.56097560975609762</v>
      </c>
      <c r="AC93" s="68">
        <v>0.55421686746987964</v>
      </c>
      <c r="AD93">
        <v>44.479065718562786</v>
      </c>
      <c r="AE93">
        <v>5.3954191616766387</v>
      </c>
      <c r="AF93">
        <v>1.841169754831061E-2</v>
      </c>
      <c r="AG93">
        <v>0.96695310955548175</v>
      </c>
      <c r="AH93">
        <v>0.96414520383143776</v>
      </c>
      <c r="AI93" s="22">
        <v>23.302369371043991</v>
      </c>
    </row>
    <row r="94" spans="1:35" x14ac:dyDescent="0.3">
      <c r="A94" s="1">
        <v>93</v>
      </c>
      <c r="B94">
        <v>309.98500000000001</v>
      </c>
      <c r="C94">
        <v>311.75</v>
      </c>
      <c r="D94">
        <v>299.875</v>
      </c>
      <c r="E94" t="str">
        <f t="shared" si="7"/>
        <v>Venta</v>
      </c>
      <c r="F94" t="str">
        <f t="shared" si="8"/>
        <v>Negativo</v>
      </c>
      <c r="G94" s="4">
        <f t="shared" si="9"/>
        <v>-5.6938238947045385E-3</v>
      </c>
      <c r="H94" s="4">
        <f t="shared" si="10"/>
        <v>3.2614481345871617E-2</v>
      </c>
      <c r="I94" s="47" t="str">
        <f t="shared" si="11"/>
        <v>Compra</v>
      </c>
      <c r="J94" s="47" t="str">
        <f t="shared" si="12"/>
        <v>VentaCompra</v>
      </c>
      <c r="K94" s="47"/>
      <c r="L94" s="47"/>
      <c r="N94" s="85" t="s">
        <v>280</v>
      </c>
      <c r="O94" s="33">
        <v>0</v>
      </c>
      <c r="P94" s="33">
        <v>0</v>
      </c>
      <c r="Q94" s="40">
        <v>0.24900566326774787</v>
      </c>
      <c r="R94" s="40">
        <v>0.26474844679331511</v>
      </c>
      <c r="S94" s="80">
        <v>6</v>
      </c>
      <c r="T94" s="81">
        <v>1.9300000000000001E-3</v>
      </c>
      <c r="U94" s="40">
        <v>-8.1334336732252266E-2</v>
      </c>
      <c r="V94" s="82">
        <v>-9.3102645063906822E-2</v>
      </c>
      <c r="W94" s="30">
        <v>0.53293413173652693</v>
      </c>
      <c r="X94" s="83">
        <v>0.54545454545454541</v>
      </c>
      <c r="Y94" s="30">
        <v>0.49411764705882355</v>
      </c>
      <c r="Z94" s="30">
        <v>0.5185185185185186</v>
      </c>
      <c r="AA94" s="30">
        <v>0.52222222222222225</v>
      </c>
      <c r="AB94" s="30">
        <v>0.57317073170731703</v>
      </c>
      <c r="AC94" s="84">
        <v>0.54651162790697683</v>
      </c>
      <c r="AD94" s="31">
        <v>15.482849312821189</v>
      </c>
      <c r="AE94" s="31">
        <v>2.9792129921884989</v>
      </c>
      <c r="AF94" s="31">
        <v>1.0097037464126549E-2</v>
      </c>
      <c r="AG94" s="31">
        <v>0.98849661033243663</v>
      </c>
      <c r="AH94" s="31">
        <v>0.98751919813846067</v>
      </c>
      <c r="AI94" s="22">
        <v>15.48284931282114</v>
      </c>
    </row>
    <row r="95" spans="1:35" x14ac:dyDescent="0.3">
      <c r="A95" s="1">
        <v>94</v>
      </c>
      <c r="B95">
        <v>312.14</v>
      </c>
      <c r="C95">
        <v>314.07499999999999</v>
      </c>
      <c r="D95">
        <v>302.69499999999999</v>
      </c>
      <c r="E95" t="str">
        <f t="shared" si="7"/>
        <v>Venta</v>
      </c>
      <c r="F95" t="str">
        <f t="shared" si="8"/>
        <v>Negativo</v>
      </c>
      <c r="G95" s="4">
        <f t="shared" si="9"/>
        <v>-6.1991414109053705E-3</v>
      </c>
      <c r="H95" s="4">
        <f t="shared" si="10"/>
        <v>3.025885820465174E-2</v>
      </c>
      <c r="I95" s="47" t="str">
        <f t="shared" si="11"/>
        <v>Compra</v>
      </c>
      <c r="J95" s="47" t="str">
        <f t="shared" si="12"/>
        <v>VentaCompra</v>
      </c>
      <c r="K95" s="47"/>
      <c r="L95" s="47"/>
      <c r="N95" s="79" t="s">
        <v>281</v>
      </c>
      <c r="O95" s="33">
        <v>0</v>
      </c>
      <c r="P95" s="33">
        <v>0</v>
      </c>
      <c r="Q95" s="40">
        <v>8.1040354323447542E-2</v>
      </c>
      <c r="R95" s="40">
        <v>6.8853062630683859E-2</v>
      </c>
      <c r="S95" s="80">
        <v>6</v>
      </c>
      <c r="T95" s="81">
        <v>1.9300000000000001E-3</v>
      </c>
      <c r="U95" s="40">
        <v>-0.24929964567655261</v>
      </c>
      <c r="V95" s="82">
        <v>-0.23422033284445293</v>
      </c>
      <c r="W95" s="30">
        <v>0.51497005988023947</v>
      </c>
      <c r="X95" s="83">
        <v>0.54545454545454541</v>
      </c>
      <c r="Y95" s="30">
        <v>0.28235294117647058</v>
      </c>
      <c r="Z95" s="30">
        <v>0.37209302325581395</v>
      </c>
      <c r="AA95" s="30">
        <v>0.50406504065040647</v>
      </c>
      <c r="AB95" s="30">
        <v>0.75609756097560976</v>
      </c>
      <c r="AC95" s="84">
        <v>0.60487804878048768</v>
      </c>
      <c r="AD95" s="31">
        <v>2552.808029582241</v>
      </c>
      <c r="AE95" s="31">
        <v>42.701683351781988</v>
      </c>
      <c r="AF95" s="31">
        <v>0.1360043703423848</v>
      </c>
      <c r="AG95" s="31">
        <v>-0.89667579380569462</v>
      </c>
      <c r="AH95" s="31">
        <v>-1.0578312534101</v>
      </c>
      <c r="AI95" s="22">
        <v>260.55666860480329</v>
      </c>
    </row>
    <row r="96" spans="1:35" x14ac:dyDescent="0.3">
      <c r="A96" s="1">
        <v>95</v>
      </c>
      <c r="B96">
        <v>314.58999999999997</v>
      </c>
      <c r="C96">
        <v>318.54000000000002</v>
      </c>
      <c r="D96">
        <v>299.875</v>
      </c>
      <c r="E96" t="str">
        <f t="shared" si="7"/>
        <v>Venta</v>
      </c>
      <c r="F96" t="str">
        <f t="shared" si="8"/>
        <v>Negativo</v>
      </c>
      <c r="G96" s="4">
        <f t="shared" si="9"/>
        <v>-1.2556025302775185E-2</v>
      </c>
      <c r="H96" s="4">
        <f t="shared" si="10"/>
        <v>4.6775167678565675E-2</v>
      </c>
      <c r="I96" s="47" t="str">
        <f t="shared" si="11"/>
        <v>Compra</v>
      </c>
      <c r="J96" s="47" t="str">
        <f t="shared" si="12"/>
        <v>VentaCompra</v>
      </c>
      <c r="K96" s="47"/>
      <c r="L96" s="47"/>
      <c r="N96" s="79" t="s">
        <v>282</v>
      </c>
      <c r="O96" s="33">
        <v>0</v>
      </c>
      <c r="P96" s="33">
        <v>0</v>
      </c>
      <c r="Q96" s="40">
        <v>3.8151179212443674E-2</v>
      </c>
      <c r="R96" s="40">
        <v>2.3595107951711398E-2</v>
      </c>
      <c r="S96" s="80">
        <v>6</v>
      </c>
      <c r="T96" s="81">
        <v>1.9300000000000001E-3</v>
      </c>
      <c r="U96" s="40">
        <v>-0.29218882078755648</v>
      </c>
      <c r="V96" s="82">
        <v>-0.26708284875792088</v>
      </c>
      <c r="W96" s="30">
        <v>0.52694610778443118</v>
      </c>
      <c r="X96" s="83">
        <v>0.61538461538461542</v>
      </c>
      <c r="Y96" s="30">
        <v>0.18823529411764706</v>
      </c>
      <c r="Z96" s="30">
        <v>0.28828828828828829</v>
      </c>
      <c r="AA96" s="30">
        <v>0.51063829787234039</v>
      </c>
      <c r="AB96" s="30">
        <v>0.87804878048780488</v>
      </c>
      <c r="AC96" s="84">
        <v>0.64573991031390132</v>
      </c>
      <c r="AD96" s="31">
        <v>3462.9308669724169</v>
      </c>
      <c r="AE96" s="31">
        <v>49.300415352322688</v>
      </c>
      <c r="AF96" s="31">
        <v>0.15540703162526029</v>
      </c>
      <c r="AG96" s="31">
        <v>-1.572875466896738</v>
      </c>
      <c r="AH96" s="31">
        <v>-1.79148580068535</v>
      </c>
      <c r="AI96" s="22">
        <v>39.452656951216483</v>
      </c>
    </row>
    <row r="97" spans="1:35" x14ac:dyDescent="0.3">
      <c r="A97" s="1">
        <v>96</v>
      </c>
      <c r="B97">
        <v>316.95</v>
      </c>
      <c r="C97">
        <v>318.32499999999999</v>
      </c>
      <c r="D97">
        <v>301.09500000000003</v>
      </c>
      <c r="E97" t="str">
        <f t="shared" si="7"/>
        <v>Venta</v>
      </c>
      <c r="F97" t="str">
        <f t="shared" si="8"/>
        <v>Negativo</v>
      </c>
      <c r="G97" s="4">
        <f t="shared" si="9"/>
        <v>-4.3382236945890516E-3</v>
      </c>
      <c r="H97" s="4">
        <f t="shared" si="10"/>
        <v>5.0023663038333999E-2</v>
      </c>
      <c r="I97" s="47" t="str">
        <f t="shared" si="11"/>
        <v>Compra</v>
      </c>
      <c r="J97" s="47" t="str">
        <f t="shared" si="12"/>
        <v>VentaCompra</v>
      </c>
      <c r="K97" s="47"/>
      <c r="L97" s="47"/>
      <c r="N97" s="85" t="s">
        <v>283</v>
      </c>
      <c r="O97" s="33">
        <v>0</v>
      </c>
      <c r="P97" s="33">
        <v>0</v>
      </c>
      <c r="Q97" s="40">
        <v>8.8133653366328363E-2</v>
      </c>
      <c r="R97" s="40">
        <v>7.5033703180707817E-2</v>
      </c>
      <c r="S97" s="80">
        <v>6</v>
      </c>
      <c r="T97" s="81">
        <v>1.9300000000000001E-3</v>
      </c>
      <c r="U97" s="40">
        <v>-0.24220634663367194</v>
      </c>
      <c r="V97" s="82">
        <v>-0.23113112929057272</v>
      </c>
      <c r="W97" s="30">
        <v>0.58083832335329344</v>
      </c>
      <c r="X97" s="83">
        <v>0.58620689655172409</v>
      </c>
      <c r="Y97" s="30">
        <v>0.6</v>
      </c>
      <c r="Z97" s="30">
        <v>0.59302325581395354</v>
      </c>
      <c r="AA97" s="30">
        <v>0.57499999999999996</v>
      </c>
      <c r="AB97" s="30">
        <v>0.56097560975609762</v>
      </c>
      <c r="AC97" s="84">
        <v>0.5679012345679012</v>
      </c>
      <c r="AD97" s="31">
        <v>52.145460928143613</v>
      </c>
      <c r="AE97" s="31">
        <v>5.7320059880239471</v>
      </c>
      <c r="AF97" s="31">
        <v>1.930261218914147E-2</v>
      </c>
      <c r="AG97" s="31">
        <v>0.96125715982042104</v>
      </c>
      <c r="AH97" s="31">
        <v>0.95796528451104501</v>
      </c>
      <c r="AI97" s="22">
        <v>52.145460928143613</v>
      </c>
    </row>
    <row r="98" spans="1:35" x14ac:dyDescent="0.3">
      <c r="A98" s="1">
        <v>97</v>
      </c>
      <c r="B98">
        <v>318.25</v>
      </c>
      <c r="C98">
        <v>321.22500000000002</v>
      </c>
      <c r="D98">
        <v>301.09500000000003</v>
      </c>
      <c r="E98" t="str">
        <f t="shared" si="7"/>
        <v>Venta</v>
      </c>
      <c r="F98" t="str">
        <f t="shared" si="8"/>
        <v>Negativo</v>
      </c>
      <c r="G98" s="4">
        <f t="shared" si="9"/>
        <v>-9.3479968578162528E-3</v>
      </c>
      <c r="H98" s="4">
        <f t="shared" si="10"/>
        <v>5.3904163393558441E-2</v>
      </c>
      <c r="I98" s="47" t="str">
        <f t="shared" si="11"/>
        <v>Compra</v>
      </c>
      <c r="J98" s="47" t="str">
        <f t="shared" si="12"/>
        <v>VentaCompra</v>
      </c>
      <c r="K98" s="47"/>
      <c r="L98" s="47"/>
      <c r="N98" s="79" t="s">
        <v>284</v>
      </c>
      <c r="O98" s="33">
        <v>0</v>
      </c>
      <c r="P98" s="33">
        <v>0</v>
      </c>
      <c r="Q98" s="40">
        <v>-3.7020241344612584E-2</v>
      </c>
      <c r="R98" s="40">
        <v>-5.1405904733516215E-2</v>
      </c>
      <c r="S98" s="80">
        <v>6</v>
      </c>
      <c r="T98" s="81">
        <v>1.9300000000000001E-3</v>
      </c>
      <c r="U98" s="40">
        <v>-0.36736024134461331</v>
      </c>
      <c r="V98" s="82">
        <v>-0.32165373340703346</v>
      </c>
      <c r="W98" s="30">
        <v>0.53892215568862278</v>
      </c>
      <c r="X98" s="83">
        <v>0.54255319148936165</v>
      </c>
      <c r="Y98" s="30">
        <v>0.6</v>
      </c>
      <c r="Z98" s="30">
        <v>0.56983240223463683</v>
      </c>
      <c r="AA98" s="30">
        <v>0.53424657534246578</v>
      </c>
      <c r="AB98" s="30">
        <v>0.47560975609756095</v>
      </c>
      <c r="AC98" s="84">
        <v>0.50322580645161297</v>
      </c>
      <c r="AD98" s="31">
        <v>23.302369371043991</v>
      </c>
      <c r="AE98" s="31">
        <v>3.5539623652694772</v>
      </c>
      <c r="AF98" s="31">
        <v>1.19529565896523E-2</v>
      </c>
      <c r="AG98" s="31">
        <v>0.98268689246813001</v>
      </c>
      <c r="AH98" s="31">
        <v>0.98121584411574891</v>
      </c>
      <c r="AI98" s="22">
        <v>23.302369371043991</v>
      </c>
    </row>
    <row r="99" spans="1:35" x14ac:dyDescent="0.3">
      <c r="A99" s="1">
        <v>98</v>
      </c>
      <c r="B99">
        <v>320.02999999999997</v>
      </c>
      <c r="C99">
        <v>315.33499999999998</v>
      </c>
      <c r="D99">
        <v>331.59500000000003</v>
      </c>
      <c r="E99" t="str">
        <f t="shared" si="7"/>
        <v>Compra</v>
      </c>
      <c r="F99" t="str">
        <f t="shared" si="8"/>
        <v>Negativo</v>
      </c>
      <c r="G99" s="4">
        <f t="shared" si="9"/>
        <v>-1.4670499640658669E-2</v>
      </c>
      <c r="H99" s="4">
        <f t="shared" si="10"/>
        <v>3.6137237134018861E-2</v>
      </c>
      <c r="I99" s="47" t="str">
        <f t="shared" si="11"/>
        <v>Venta</v>
      </c>
      <c r="J99" s="47" t="str">
        <f t="shared" si="12"/>
        <v>CompraVenta</v>
      </c>
      <c r="K99" s="47"/>
      <c r="L99" s="47"/>
      <c r="M99" s="47" t="s">
        <v>304</v>
      </c>
      <c r="N99" s="79" t="s">
        <v>280</v>
      </c>
      <c r="O99" s="33">
        <v>0</v>
      </c>
      <c r="P99" s="33">
        <v>0</v>
      </c>
      <c r="Q99" s="40">
        <v>0.24900566326774787</v>
      </c>
      <c r="R99" s="40">
        <v>0.26474844679331511</v>
      </c>
      <c r="S99" s="80">
        <v>6</v>
      </c>
      <c r="T99" s="81">
        <v>1.9300000000000001E-3</v>
      </c>
      <c r="U99" s="40">
        <v>-8.1334336732252266E-2</v>
      </c>
      <c r="V99" s="82">
        <v>-9.3102645063906822E-2</v>
      </c>
      <c r="W99" s="30">
        <v>0.53293413173652693</v>
      </c>
      <c r="X99" s="83">
        <v>0.54545454545454541</v>
      </c>
      <c r="Y99" s="30">
        <v>0.49411764705882355</v>
      </c>
      <c r="Z99" s="30">
        <v>0.5185185185185186</v>
      </c>
      <c r="AA99" s="30">
        <v>0.52222222222222225</v>
      </c>
      <c r="AB99" s="30">
        <v>0.57317073170731703</v>
      </c>
      <c r="AC99" s="84">
        <v>0.54651162790697683</v>
      </c>
      <c r="AD99" s="31">
        <v>15.48284931282114</v>
      </c>
      <c r="AE99" s="31">
        <v>41.771496636017353</v>
      </c>
      <c r="AF99" s="31">
        <v>0.14540651189232251</v>
      </c>
      <c r="AG99" s="31">
        <v>0.98849661033243674</v>
      </c>
      <c r="AH99" s="31">
        <v>0.98751919813846079</v>
      </c>
      <c r="AI99" s="22">
        <v>15.48284931282114</v>
      </c>
    </row>
    <row r="100" spans="1:35" x14ac:dyDescent="0.3">
      <c r="A100" s="1">
        <v>99</v>
      </c>
      <c r="B100">
        <v>314.45999999999998</v>
      </c>
      <c r="C100">
        <v>313.86</v>
      </c>
      <c r="D100">
        <v>301.09500000000003</v>
      </c>
      <c r="E100" t="str">
        <f t="shared" si="7"/>
        <v>Venta</v>
      </c>
      <c r="F100" t="str">
        <f t="shared" si="8"/>
        <v>Positivo</v>
      </c>
      <c r="G100" s="4">
        <f t="shared" si="9"/>
        <v>1.908032818164364E-3</v>
      </c>
      <c r="H100" s="4">
        <f t="shared" si="10"/>
        <v>4.2501431024613477E-2</v>
      </c>
      <c r="I100" s="47" t="str">
        <f t="shared" si="11"/>
        <v>Venta</v>
      </c>
      <c r="J100" s="47" t="str">
        <f t="shared" si="12"/>
        <v>VentaVenta</v>
      </c>
      <c r="K100" s="47"/>
      <c r="L100" s="47"/>
      <c r="M100" s="47" t="s">
        <v>304</v>
      </c>
      <c r="N100" s="85" t="s">
        <v>281</v>
      </c>
      <c r="O100" s="33">
        <v>0</v>
      </c>
      <c r="P100" s="33">
        <v>0</v>
      </c>
      <c r="Q100" s="40">
        <v>7.7951259115817226E-2</v>
      </c>
      <c r="R100" s="40">
        <v>6.6631985292687892E-2</v>
      </c>
      <c r="S100" s="80">
        <v>6</v>
      </c>
      <c r="T100" s="81">
        <v>1.9300000000000001E-3</v>
      </c>
      <c r="U100" s="40">
        <v>-0.25238874088418323</v>
      </c>
      <c r="V100" s="82">
        <v>-0.23476210560194696</v>
      </c>
      <c r="W100" s="30">
        <v>0.50299401197604787</v>
      </c>
      <c r="X100" s="83">
        <v>0.51041666666666663</v>
      </c>
      <c r="Y100" s="30">
        <v>0.57647058823529407</v>
      </c>
      <c r="Z100" s="30">
        <v>0.54143646408839774</v>
      </c>
      <c r="AA100" s="30">
        <v>0.49295774647887325</v>
      </c>
      <c r="AB100" s="30">
        <v>0.42682926829268292</v>
      </c>
      <c r="AC100" s="84">
        <v>0.45751633986928109</v>
      </c>
      <c r="AD100" s="31">
        <v>260.55666860480329</v>
      </c>
      <c r="AE100" s="31">
        <v>11.750659267986309</v>
      </c>
      <c r="AF100" s="31">
        <v>3.8563021938684182E-2</v>
      </c>
      <c r="AG100" s="31">
        <v>0.80641257762799523</v>
      </c>
      <c r="AH100" s="31">
        <v>0.78996397311272681</v>
      </c>
      <c r="AI100" s="22">
        <v>260.55666860480329</v>
      </c>
    </row>
    <row r="101" spans="1:35" x14ac:dyDescent="0.3">
      <c r="A101" s="1">
        <v>100</v>
      </c>
      <c r="B101">
        <v>323.505</v>
      </c>
      <c r="C101">
        <v>325.995</v>
      </c>
      <c r="D101">
        <v>332.51</v>
      </c>
      <c r="E101" t="str">
        <f t="shared" si="7"/>
        <v>Compra</v>
      </c>
      <c r="F101" t="str">
        <f t="shared" si="8"/>
        <v>Positivo</v>
      </c>
      <c r="G101" s="4">
        <f t="shared" si="9"/>
        <v>7.6969444058051931E-3</v>
      </c>
      <c r="H101" s="4">
        <f t="shared" si="10"/>
        <v>2.7835736696496177E-2</v>
      </c>
      <c r="I101" s="47" t="str">
        <f t="shared" si="11"/>
        <v>Compra</v>
      </c>
      <c r="J101" s="47" t="str">
        <f t="shared" si="12"/>
        <v>CompraCompra</v>
      </c>
      <c r="K101" s="47"/>
      <c r="L101" s="47"/>
      <c r="M101" s="47" t="s">
        <v>304</v>
      </c>
      <c r="N101" s="85" t="s">
        <v>282</v>
      </c>
      <c r="O101" s="33">
        <v>0</v>
      </c>
      <c r="P101" s="33">
        <v>0</v>
      </c>
      <c r="Q101" s="40">
        <v>4.9906452933312542E-2</v>
      </c>
      <c r="R101" s="40">
        <v>3.5236432220653223E-2</v>
      </c>
      <c r="S101" s="80">
        <v>6</v>
      </c>
      <c r="T101" s="81">
        <v>1.9300000000000001E-3</v>
      </c>
      <c r="U101" s="40">
        <v>-0.28043354706668761</v>
      </c>
      <c r="V101" s="82">
        <v>-0.25917673757347426</v>
      </c>
      <c r="W101" s="30">
        <v>0.54491017964071853</v>
      </c>
      <c r="X101" s="83">
        <v>0.65517241379310343</v>
      </c>
      <c r="Y101" s="30">
        <v>0.22352941176470589</v>
      </c>
      <c r="Z101" s="30">
        <v>0.33333333333333337</v>
      </c>
      <c r="AA101" s="30">
        <v>0.52173913043478259</v>
      </c>
      <c r="AB101" s="30">
        <v>0.87804878048780488</v>
      </c>
      <c r="AC101" s="84">
        <v>0.65454545454545454</v>
      </c>
      <c r="AD101" s="31">
        <v>39.452656951216483</v>
      </c>
      <c r="AE101" s="31">
        <v>4.8648940518398494</v>
      </c>
      <c r="AF101" s="31">
        <v>1.613291589802654E-2</v>
      </c>
      <c r="AG101" s="31">
        <v>0.97068761200467635</v>
      </c>
      <c r="AH101" s="31">
        <v>0.96819701694625016</v>
      </c>
      <c r="AI101" s="22">
        <v>39.452656951216483</v>
      </c>
    </row>
    <row r="102" spans="1:35" x14ac:dyDescent="0.3">
      <c r="A102" s="1">
        <v>101</v>
      </c>
      <c r="B102">
        <v>323.95499999999998</v>
      </c>
      <c r="C102">
        <v>332.82499999999999</v>
      </c>
      <c r="D102">
        <v>339.21499999999997</v>
      </c>
      <c r="E102" t="str">
        <f t="shared" si="7"/>
        <v>Compra</v>
      </c>
      <c r="F102" t="str">
        <f t="shared" si="8"/>
        <v>Positivo</v>
      </c>
      <c r="G102" s="4">
        <f t="shared" si="9"/>
        <v>2.7380346035714851E-2</v>
      </c>
      <c r="H102" s="4">
        <f t="shared" si="10"/>
        <v>4.7105307835964845E-2</v>
      </c>
      <c r="I102" s="47" t="str">
        <f t="shared" si="11"/>
        <v>Compra</v>
      </c>
      <c r="J102" s="47" t="str">
        <f t="shared" si="12"/>
        <v>CompraCompra</v>
      </c>
      <c r="K102" s="47"/>
      <c r="L102" s="47"/>
      <c r="M102" s="47" t="s">
        <v>304</v>
      </c>
      <c r="N102" s="79" t="s">
        <v>283</v>
      </c>
      <c r="O102" s="33">
        <v>0</v>
      </c>
      <c r="P102" s="33">
        <v>0</v>
      </c>
      <c r="Q102" s="40">
        <v>5.980446014557747E-2</v>
      </c>
      <c r="R102" s="40">
        <v>4.5203979866543523E-2</v>
      </c>
      <c r="S102" s="80">
        <v>6</v>
      </c>
      <c r="T102" s="81">
        <v>1.9300000000000001E-3</v>
      </c>
      <c r="U102" s="40">
        <v>-0.27053553985442313</v>
      </c>
      <c r="V102" s="82">
        <v>-0.2523529224581107</v>
      </c>
      <c r="W102" s="30">
        <v>0.58083832335329344</v>
      </c>
      <c r="X102" s="83">
        <v>0.59740259740259738</v>
      </c>
      <c r="Y102" s="30">
        <v>0.54117647058823526</v>
      </c>
      <c r="Z102" s="30">
        <v>0.56790123456790131</v>
      </c>
      <c r="AA102" s="30">
        <v>0.56666666666666665</v>
      </c>
      <c r="AB102" s="30">
        <v>0.62195121951219512</v>
      </c>
      <c r="AC102" s="84">
        <v>0.59302325581395354</v>
      </c>
      <c r="AD102" s="31">
        <v>55.591066017964017</v>
      </c>
      <c r="AE102" s="31">
        <v>5.9984131736526942</v>
      </c>
      <c r="AF102" s="31">
        <v>2.0213070063868171E-2</v>
      </c>
      <c r="AG102" s="31">
        <v>0.95869715699484803</v>
      </c>
      <c r="AH102" s="31">
        <v>0.95518776510552139</v>
      </c>
      <c r="AI102" s="22">
        <v>55.591066017964017</v>
      </c>
    </row>
    <row r="103" spans="1:35" x14ac:dyDescent="0.3">
      <c r="A103" s="1">
        <v>102</v>
      </c>
      <c r="B103">
        <v>335.56</v>
      </c>
      <c r="C103">
        <v>331.26</v>
      </c>
      <c r="D103">
        <v>333.95499999999998</v>
      </c>
      <c r="E103" t="str">
        <f t="shared" si="7"/>
        <v>Venta</v>
      </c>
      <c r="F103" t="str">
        <f t="shared" si="8"/>
        <v>Positivo</v>
      </c>
      <c r="G103" s="4">
        <f t="shared" si="9"/>
        <v>1.2814399809274082E-2</v>
      </c>
      <c r="H103" s="4">
        <f t="shared" si="10"/>
        <v>4.7830492311360653E-3</v>
      </c>
      <c r="I103" s="47" t="str">
        <f t="shared" si="11"/>
        <v>Venta</v>
      </c>
      <c r="J103" s="47" t="str">
        <f t="shared" si="12"/>
        <v>VentaVenta</v>
      </c>
      <c r="K103" s="47"/>
      <c r="L103" s="47"/>
      <c r="M103" s="47" t="s">
        <v>304</v>
      </c>
      <c r="N103" s="85" t="s">
        <v>284</v>
      </c>
      <c r="O103" s="33">
        <v>0</v>
      </c>
      <c r="P103" s="33">
        <v>0</v>
      </c>
      <c r="Q103" s="40">
        <v>7.2912056043271584E-2</v>
      </c>
      <c r="R103" s="40">
        <v>5.8805966622556299E-2</v>
      </c>
      <c r="S103" s="80">
        <v>6</v>
      </c>
      <c r="T103" s="81">
        <v>1.9300000000000001E-3</v>
      </c>
      <c r="U103" s="40">
        <v>-0.25742794395672869</v>
      </c>
      <c r="V103" s="82">
        <v>-0.2427640440901091</v>
      </c>
      <c r="W103" s="30">
        <v>0.56886227544910184</v>
      </c>
      <c r="X103" s="83">
        <v>0.57647058823529407</v>
      </c>
      <c r="Y103" s="30">
        <v>0.57647058823529407</v>
      </c>
      <c r="Z103" s="30">
        <v>0.57647058823529407</v>
      </c>
      <c r="AA103" s="30">
        <v>0.56097560975609762</v>
      </c>
      <c r="AB103" s="30">
        <v>0.56097560975609762</v>
      </c>
      <c r="AC103" s="84">
        <v>0.56097560975609762</v>
      </c>
      <c r="AD103" s="31">
        <v>51.519941916167568</v>
      </c>
      <c r="AE103" s="31">
        <v>5.7266467065868198</v>
      </c>
      <c r="AF103" s="31">
        <v>1.9330645683853322E-2</v>
      </c>
      <c r="AG103" s="31">
        <v>0.96172190560421367</v>
      </c>
      <c r="AH103" s="31">
        <v>0.95846951849868933</v>
      </c>
      <c r="AI103" s="22">
        <v>51.519941916167568</v>
      </c>
    </row>
    <row r="104" spans="1:35" x14ac:dyDescent="0.3">
      <c r="A104" s="1">
        <v>103</v>
      </c>
      <c r="B104">
        <v>332.255</v>
      </c>
      <c r="C104">
        <v>328.755</v>
      </c>
      <c r="D104">
        <v>336.79</v>
      </c>
      <c r="E104" t="str">
        <f t="shared" si="7"/>
        <v>Compra</v>
      </c>
      <c r="F104" t="str">
        <f t="shared" si="8"/>
        <v>Negativo</v>
      </c>
      <c r="G104" s="4">
        <f t="shared" si="9"/>
        <v>-1.0534077741493732E-2</v>
      </c>
      <c r="H104" s="4">
        <f t="shared" si="10"/>
        <v>1.3649155016478383E-2</v>
      </c>
      <c r="I104" s="47" t="str">
        <f t="shared" si="11"/>
        <v>Venta</v>
      </c>
      <c r="J104" s="47" t="str">
        <f t="shared" si="12"/>
        <v>CompraVenta</v>
      </c>
      <c r="K104" s="47"/>
      <c r="L104" s="47"/>
      <c r="N104" s="47"/>
      <c r="O104" s="47"/>
      <c r="P104" s="47"/>
    </row>
    <row r="105" spans="1:35" x14ac:dyDescent="0.3">
      <c r="A105" s="1">
        <v>104</v>
      </c>
      <c r="B105">
        <v>326.14</v>
      </c>
      <c r="C105">
        <v>332.65</v>
      </c>
      <c r="D105">
        <v>339.23</v>
      </c>
      <c r="E105" t="str">
        <f t="shared" si="7"/>
        <v>Compra</v>
      </c>
      <c r="F105" t="str">
        <f t="shared" si="8"/>
        <v>Positivo</v>
      </c>
      <c r="G105" s="4">
        <f t="shared" si="9"/>
        <v>1.9960753050837037E-2</v>
      </c>
      <c r="H105" s="4">
        <f t="shared" si="10"/>
        <v>4.0136137854909035E-2</v>
      </c>
      <c r="I105" s="47" t="str">
        <f t="shared" si="11"/>
        <v>Compra</v>
      </c>
      <c r="J105" s="47" t="str">
        <f t="shared" si="12"/>
        <v>CompraCompra</v>
      </c>
      <c r="K105" s="47"/>
      <c r="L105" s="47"/>
      <c r="N105" s="47"/>
      <c r="O105" s="47"/>
      <c r="P105" s="47"/>
    </row>
    <row r="106" spans="1:35" x14ac:dyDescent="0.3">
      <c r="A106" s="1">
        <v>105</v>
      </c>
      <c r="B106">
        <v>334.21499999999997</v>
      </c>
      <c r="C106">
        <v>335.41</v>
      </c>
      <c r="D106">
        <v>339.23</v>
      </c>
      <c r="E106" t="str">
        <f t="shared" si="7"/>
        <v>Compra</v>
      </c>
      <c r="F106" t="str">
        <f t="shared" si="8"/>
        <v>Positivo</v>
      </c>
      <c r="G106" s="4">
        <f t="shared" si="9"/>
        <v>3.5755426895861947E-3</v>
      </c>
      <c r="H106" s="4">
        <f t="shared" si="10"/>
        <v>1.5005310952530687E-2</v>
      </c>
      <c r="I106" s="47" t="str">
        <f t="shared" si="11"/>
        <v>Compra</v>
      </c>
      <c r="J106" s="47" t="str">
        <f t="shared" si="12"/>
        <v>CompraCompra</v>
      </c>
      <c r="K106" s="47"/>
      <c r="L106" s="47"/>
      <c r="N106" s="47"/>
      <c r="O106" s="47"/>
      <c r="P106" s="47"/>
    </row>
    <row r="107" spans="1:35" x14ac:dyDescent="0.3">
      <c r="A107" s="1">
        <v>106</v>
      </c>
      <c r="B107">
        <v>335.20499999999998</v>
      </c>
      <c r="C107">
        <v>335.98</v>
      </c>
      <c r="D107">
        <v>339.23</v>
      </c>
      <c r="E107" t="str">
        <f t="shared" si="7"/>
        <v>Compra</v>
      </c>
      <c r="F107" t="str">
        <f t="shared" si="8"/>
        <v>Positivo</v>
      </c>
      <c r="G107" s="4">
        <f t="shared" si="9"/>
        <v>2.3120180188244033E-3</v>
      </c>
      <c r="H107" s="4">
        <f t="shared" si="10"/>
        <v>1.2007577452603732E-2</v>
      </c>
      <c r="I107" s="47" t="str">
        <f t="shared" si="11"/>
        <v>Compra</v>
      </c>
      <c r="J107" s="47" t="str">
        <f t="shared" si="12"/>
        <v>CompraCompra</v>
      </c>
      <c r="K107" s="47"/>
      <c r="L107" s="47"/>
      <c r="N107" s="47"/>
      <c r="O107" s="47"/>
      <c r="P107" s="47"/>
    </row>
    <row r="108" spans="1:35" x14ac:dyDescent="0.3">
      <c r="A108" s="1">
        <v>107</v>
      </c>
      <c r="B108">
        <v>335.35500000000002</v>
      </c>
      <c r="C108">
        <v>333.64499999999998</v>
      </c>
      <c r="D108">
        <v>339.23</v>
      </c>
      <c r="E108" t="str">
        <f t="shared" si="7"/>
        <v>Compra</v>
      </c>
      <c r="F108" t="str">
        <f t="shared" si="8"/>
        <v>Negativo</v>
      </c>
      <c r="G108" s="4">
        <f t="shared" si="9"/>
        <v>-5.0990741154896642E-3</v>
      </c>
      <c r="H108" s="4">
        <f t="shared" si="10"/>
        <v>1.1554919413755572E-2</v>
      </c>
      <c r="I108" s="47" t="str">
        <f t="shared" si="11"/>
        <v>Venta</v>
      </c>
      <c r="J108" s="47" t="str">
        <f t="shared" si="12"/>
        <v>CompraVenta</v>
      </c>
      <c r="K108" s="47"/>
      <c r="L108" s="47"/>
      <c r="N108" s="47"/>
      <c r="O108" s="47"/>
      <c r="P108" s="47"/>
    </row>
    <row r="109" spans="1:35" x14ac:dyDescent="0.3">
      <c r="A109" s="1">
        <v>108</v>
      </c>
      <c r="B109">
        <v>331.60500000000002</v>
      </c>
      <c r="C109">
        <v>323.44</v>
      </c>
      <c r="D109">
        <v>339.23</v>
      </c>
      <c r="E109" t="str">
        <f t="shared" si="7"/>
        <v>Compra</v>
      </c>
      <c r="F109" t="str">
        <f t="shared" si="8"/>
        <v>Negativo</v>
      </c>
      <c r="G109" s="4">
        <f t="shared" si="9"/>
        <v>-2.4622668536361091E-2</v>
      </c>
      <c r="H109" s="4">
        <f t="shared" si="10"/>
        <v>2.2994225056920128E-2</v>
      </c>
      <c r="I109" s="47" t="str">
        <f t="shared" si="11"/>
        <v>Venta</v>
      </c>
      <c r="J109" s="47" t="str">
        <f t="shared" si="12"/>
        <v>CompraVenta</v>
      </c>
      <c r="K109" s="47"/>
      <c r="L109" s="47"/>
      <c r="N109" s="47"/>
      <c r="O109" s="47"/>
      <c r="P109" s="47"/>
    </row>
    <row r="110" spans="1:35" x14ac:dyDescent="0.3">
      <c r="A110" s="1">
        <v>109</v>
      </c>
      <c r="B110">
        <v>323.98500000000001</v>
      </c>
      <c r="C110">
        <v>325.22000000000003</v>
      </c>
      <c r="D110">
        <v>339.21499999999997</v>
      </c>
      <c r="E110" t="str">
        <f t="shared" si="7"/>
        <v>Compra</v>
      </c>
      <c r="F110" t="str">
        <f t="shared" si="8"/>
        <v>Positivo</v>
      </c>
      <c r="G110" s="4">
        <f t="shared" si="9"/>
        <v>3.8119048721391843E-3</v>
      </c>
      <c r="H110" s="4">
        <f t="shared" si="10"/>
        <v>4.7008349151966791E-2</v>
      </c>
      <c r="I110" s="47" t="str">
        <f t="shared" si="11"/>
        <v>Compra</v>
      </c>
      <c r="J110" s="47" t="str">
        <f t="shared" si="12"/>
        <v>CompraCompra</v>
      </c>
      <c r="K110" s="47"/>
      <c r="L110" s="47"/>
      <c r="N110" s="47"/>
      <c r="O110" s="47"/>
      <c r="P110" s="47"/>
      <c r="X110" s="85" t="s">
        <v>280</v>
      </c>
      <c r="Y110" s="85" t="s">
        <v>281</v>
      </c>
      <c r="Z110" s="85" t="s">
        <v>283</v>
      </c>
      <c r="AA110" s="85" t="s">
        <v>282</v>
      </c>
      <c r="AB110" s="85" t="s">
        <v>284</v>
      </c>
    </row>
    <row r="111" spans="1:35" x14ac:dyDescent="0.3">
      <c r="A111" s="1">
        <v>110</v>
      </c>
      <c r="B111">
        <v>324.75</v>
      </c>
      <c r="C111">
        <v>326.86</v>
      </c>
      <c r="D111">
        <v>339.21499999999997</v>
      </c>
      <c r="E111" t="str">
        <f t="shared" si="7"/>
        <v>Compra</v>
      </c>
      <c r="F111" t="str">
        <f t="shared" si="8"/>
        <v>Positivo</v>
      </c>
      <c r="G111" s="4">
        <f t="shared" si="9"/>
        <v>6.4973056197075094E-3</v>
      </c>
      <c r="H111" s="4">
        <f t="shared" si="10"/>
        <v>4.4541955350269363E-2</v>
      </c>
      <c r="I111" s="47" t="str">
        <f t="shared" si="11"/>
        <v>Compra</v>
      </c>
      <c r="J111" s="47" t="str">
        <f t="shared" si="12"/>
        <v>CompraCompra</v>
      </c>
      <c r="K111" s="47"/>
      <c r="L111" s="47"/>
      <c r="N111" s="47"/>
      <c r="O111" s="47"/>
      <c r="P111" s="47"/>
      <c r="W111" s="66" t="s">
        <v>231</v>
      </c>
      <c r="X111" s="83">
        <v>0.53293413173652693</v>
      </c>
      <c r="Y111" s="83">
        <v>0.51497005988023947</v>
      </c>
      <c r="Z111" s="83">
        <v>0.58083832335329344</v>
      </c>
      <c r="AA111" s="83">
        <v>0.54491017964071853</v>
      </c>
      <c r="AB111" s="83">
        <v>0.56886227544910184</v>
      </c>
    </row>
    <row r="112" spans="1:35" x14ac:dyDescent="0.3">
      <c r="A112" s="1">
        <v>111</v>
      </c>
      <c r="B112">
        <v>328.43</v>
      </c>
      <c r="C112">
        <v>331.90499999999997</v>
      </c>
      <c r="D112">
        <v>339.21499999999997</v>
      </c>
      <c r="E112" t="str">
        <f t="shared" si="7"/>
        <v>Compra</v>
      </c>
      <c r="F112" t="str">
        <f t="shared" si="8"/>
        <v>Positivo</v>
      </c>
      <c r="G112" s="4">
        <f t="shared" si="9"/>
        <v>1.058064123253042E-2</v>
      </c>
      <c r="H112" s="4">
        <f t="shared" si="10"/>
        <v>3.2838047681393201E-2</v>
      </c>
      <c r="I112" s="47" t="str">
        <f t="shared" si="11"/>
        <v>Compra</v>
      </c>
      <c r="J112" s="47" t="str">
        <f t="shared" si="12"/>
        <v>CompraCompra</v>
      </c>
      <c r="K112" s="47"/>
      <c r="L112" s="47"/>
      <c r="N112" s="47"/>
      <c r="O112" s="47"/>
      <c r="P112" s="47"/>
      <c r="V112" t="s">
        <v>227</v>
      </c>
      <c r="W112" s="66" t="s">
        <v>232</v>
      </c>
      <c r="X112" s="83">
        <v>0.54545454545454541</v>
      </c>
      <c r="Y112" s="83">
        <v>0.54545454545454541</v>
      </c>
      <c r="Z112" s="83">
        <v>0.58620689655172409</v>
      </c>
      <c r="AA112" s="83">
        <v>0.65517241379310343</v>
      </c>
      <c r="AB112" s="83">
        <v>0.57647058823529407</v>
      </c>
    </row>
    <row r="113" spans="1:28" x14ac:dyDescent="0.3">
      <c r="A113" s="1">
        <v>112</v>
      </c>
      <c r="B113">
        <v>334.39</v>
      </c>
      <c r="C113">
        <v>334.32</v>
      </c>
      <c r="D113">
        <v>339.21499999999997</v>
      </c>
      <c r="E113" t="str">
        <f t="shared" si="7"/>
        <v>Compra</v>
      </c>
      <c r="F113" t="str">
        <f t="shared" si="8"/>
        <v>Negativo</v>
      </c>
      <c r="G113" s="4">
        <f t="shared" si="9"/>
        <v>-2.0933640360056575E-4</v>
      </c>
      <c r="H113" s="4">
        <f t="shared" si="10"/>
        <v>1.4429259248183226E-2</v>
      </c>
      <c r="I113" s="47" t="str">
        <f t="shared" si="11"/>
        <v>Venta</v>
      </c>
      <c r="J113" s="47" t="str">
        <f t="shared" si="12"/>
        <v>CompraVenta</v>
      </c>
      <c r="K113" s="47"/>
      <c r="L113" s="47"/>
      <c r="N113" s="47"/>
      <c r="O113" s="47"/>
      <c r="P113" s="47"/>
      <c r="V113" t="s">
        <v>227</v>
      </c>
      <c r="W113" s="66" t="s">
        <v>233</v>
      </c>
      <c r="X113" s="83">
        <v>0.49411764705882355</v>
      </c>
      <c r="Y113" s="83">
        <v>0.28235294117647058</v>
      </c>
      <c r="Z113" s="83">
        <v>0.6</v>
      </c>
      <c r="AA113" s="83">
        <v>0.22352941176470589</v>
      </c>
      <c r="AB113" s="83">
        <v>0.57647058823529407</v>
      </c>
    </row>
    <row r="114" spans="1:28" x14ac:dyDescent="0.3">
      <c r="A114" s="1">
        <v>113</v>
      </c>
      <c r="B114">
        <v>334.32</v>
      </c>
      <c r="C114">
        <v>337.3</v>
      </c>
      <c r="D114">
        <v>339.21499999999997</v>
      </c>
      <c r="E114" t="str">
        <f t="shared" si="7"/>
        <v>Compra</v>
      </c>
      <c r="F114" t="str">
        <f t="shared" si="8"/>
        <v>Positivo</v>
      </c>
      <c r="G114" s="4">
        <f t="shared" si="9"/>
        <v>8.9136156975353504E-3</v>
      </c>
      <c r="H114" s="4">
        <f t="shared" si="10"/>
        <v>1.4641660684374199E-2</v>
      </c>
      <c r="I114" s="47" t="str">
        <f t="shared" si="11"/>
        <v>Compra</v>
      </c>
      <c r="J114" s="47" t="str">
        <f t="shared" si="12"/>
        <v>CompraCompra</v>
      </c>
      <c r="K114" s="47"/>
      <c r="L114" s="47"/>
      <c r="N114" s="47"/>
      <c r="O114" s="47"/>
      <c r="P114" s="47"/>
      <c r="V114" t="s">
        <v>227</v>
      </c>
      <c r="W114" s="66" t="s">
        <v>234</v>
      </c>
      <c r="X114" s="83">
        <v>0.5185185185185186</v>
      </c>
      <c r="Y114" s="83">
        <v>0.37209302325581395</v>
      </c>
      <c r="Z114" s="83">
        <v>0.59302325581395354</v>
      </c>
      <c r="AA114" s="83">
        <v>0.33333333333333337</v>
      </c>
      <c r="AB114" s="83">
        <v>0.57647058823529407</v>
      </c>
    </row>
    <row r="115" spans="1:28" x14ac:dyDescent="0.3">
      <c r="A115" s="1">
        <v>114</v>
      </c>
      <c r="B115">
        <v>337.4</v>
      </c>
      <c r="C115">
        <v>348.14499999999998</v>
      </c>
      <c r="D115">
        <v>339.21499999999997</v>
      </c>
      <c r="E115" t="str">
        <f t="shared" si="7"/>
        <v>Compra</v>
      </c>
      <c r="F115" t="str">
        <f t="shared" si="8"/>
        <v>Positivo</v>
      </c>
      <c r="G115" s="4">
        <f t="shared" si="9"/>
        <v>3.1846473029045662E-2</v>
      </c>
      <c r="H115" s="4">
        <f t="shared" si="10"/>
        <v>5.3793716656787135E-3</v>
      </c>
      <c r="I115" s="47" t="str">
        <f t="shared" si="11"/>
        <v>Compra</v>
      </c>
      <c r="J115" s="47" t="str">
        <f t="shared" si="12"/>
        <v>CompraCompra</v>
      </c>
      <c r="K115" s="47"/>
      <c r="L115" s="47"/>
      <c r="N115" s="47"/>
      <c r="O115" s="47"/>
      <c r="P115" s="47"/>
      <c r="V115" t="s">
        <v>228</v>
      </c>
      <c r="W115" s="66" t="s">
        <v>232</v>
      </c>
      <c r="X115" s="83">
        <v>0.52222222222222225</v>
      </c>
      <c r="Y115" s="83">
        <v>0.50406504065040647</v>
      </c>
      <c r="Z115" s="83">
        <v>0.57499999999999996</v>
      </c>
      <c r="AA115" s="83">
        <v>0.52173913043478259</v>
      </c>
      <c r="AB115" s="83">
        <v>0.56097560975609762</v>
      </c>
    </row>
    <row r="116" spans="1:28" x14ac:dyDescent="0.3">
      <c r="A116" s="1">
        <v>115</v>
      </c>
      <c r="B116">
        <v>351.375</v>
      </c>
      <c r="C116">
        <v>342.505</v>
      </c>
      <c r="D116">
        <v>339.21499999999997</v>
      </c>
      <c r="E116" t="str">
        <f t="shared" si="7"/>
        <v>Venta</v>
      </c>
      <c r="F116" t="str">
        <f t="shared" si="8"/>
        <v>Positivo</v>
      </c>
      <c r="G116" s="4">
        <f t="shared" si="9"/>
        <v>2.5243685521166858E-2</v>
      </c>
      <c r="H116" s="4">
        <f t="shared" si="10"/>
        <v>3.4606901458555744E-2</v>
      </c>
      <c r="I116" s="47" t="str">
        <f t="shared" si="11"/>
        <v>Venta</v>
      </c>
      <c r="J116" s="47" t="str">
        <f t="shared" si="12"/>
        <v>VentaVenta</v>
      </c>
      <c r="K116" s="47"/>
      <c r="L116" s="47"/>
      <c r="N116" s="47"/>
      <c r="O116" s="47"/>
      <c r="P116" s="47"/>
      <c r="V116" t="s">
        <v>228</v>
      </c>
      <c r="W116" s="66" t="s">
        <v>233</v>
      </c>
      <c r="X116" s="83">
        <v>0.57317073170731703</v>
      </c>
      <c r="Y116" s="83">
        <v>0.75609756097560976</v>
      </c>
      <c r="Z116" s="83">
        <v>0.56097560975609762</v>
      </c>
      <c r="AA116" s="83">
        <v>0.87804878048780488</v>
      </c>
      <c r="AB116" s="83">
        <v>0.56097560975609762</v>
      </c>
    </row>
    <row r="117" spans="1:28" x14ac:dyDescent="0.3">
      <c r="A117" s="1">
        <v>116</v>
      </c>
      <c r="B117">
        <v>339.30500000000001</v>
      </c>
      <c r="C117">
        <v>338.125</v>
      </c>
      <c r="D117">
        <v>339.21499999999997</v>
      </c>
      <c r="E117" t="str">
        <f t="shared" si="7"/>
        <v>Venta</v>
      </c>
      <c r="F117" t="str">
        <f t="shared" si="8"/>
        <v>Positivo</v>
      </c>
      <c r="G117" s="4">
        <f t="shared" si="9"/>
        <v>3.4776970572199255E-3</v>
      </c>
      <c r="H117" s="4">
        <f t="shared" si="10"/>
        <v>2.6524808063551031E-4</v>
      </c>
      <c r="I117" s="47" t="str">
        <f t="shared" si="11"/>
        <v>Venta</v>
      </c>
      <c r="J117" s="47" t="str">
        <f t="shared" si="12"/>
        <v>VentaVenta</v>
      </c>
      <c r="K117" s="47"/>
      <c r="L117" s="47"/>
      <c r="N117" s="47"/>
      <c r="O117" s="47"/>
      <c r="P117" s="47"/>
      <c r="V117" t="s">
        <v>228</v>
      </c>
      <c r="W117" s="67" t="s">
        <v>234</v>
      </c>
      <c r="X117" s="83">
        <v>0.54651162790697683</v>
      </c>
      <c r="Y117" s="83">
        <v>0.60487804878048768</v>
      </c>
      <c r="Z117" s="83">
        <v>0.5679012345679012</v>
      </c>
      <c r="AA117" s="83">
        <v>0.65454545454545454</v>
      </c>
      <c r="AB117" s="83">
        <v>0.56097560975609762</v>
      </c>
    </row>
    <row r="118" spans="1:28" x14ac:dyDescent="0.3">
      <c r="A118" s="1">
        <v>117</v>
      </c>
      <c r="B118">
        <v>336.14</v>
      </c>
      <c r="C118">
        <v>333.51499999999999</v>
      </c>
      <c r="D118">
        <v>339.21499999999997</v>
      </c>
      <c r="E118" t="str">
        <f t="shared" ref="E118:E168" si="13">+IF(D118&lt;B118,"Venta","Compra")</f>
        <v>Compra</v>
      </c>
      <c r="F118" t="str">
        <f t="shared" ref="F118:F168" si="14">IF(B118="","",IF(E118="Venta",IF(C118&lt;B118,"Positivo","Negativo"),IF(C118&gt;B118,"Positivo","Negativo")))</f>
        <v>Negativo</v>
      </c>
      <c r="G118" s="4">
        <f t="shared" ref="G118:G168" si="15">+IF(E118="Compra",(C118-B118)/B118,(B118-C118)/B118)</f>
        <v>-7.8092461474385672E-3</v>
      </c>
      <c r="H118" s="4">
        <f t="shared" ref="H118:H168" si="16">+IF(E118="Compra",(D118-B118)/B118,(B118-D118)/B118)</f>
        <v>9.1479740584280017E-3</v>
      </c>
      <c r="I118" s="47" t="str">
        <f t="shared" ref="I118:I168" si="17">+IF(C118&lt;B118,"Venta","Compra")</f>
        <v>Venta</v>
      </c>
      <c r="J118" s="47" t="str">
        <f t="shared" ref="J118:J168" si="18">+E118&amp;I118</f>
        <v>CompraVenta</v>
      </c>
      <c r="K118" s="47"/>
      <c r="L118" s="47"/>
      <c r="N118" s="47"/>
      <c r="O118" s="47"/>
      <c r="P118" s="47"/>
    </row>
    <row r="119" spans="1:28" x14ac:dyDescent="0.3">
      <c r="A119" s="1">
        <v>118</v>
      </c>
      <c r="B119">
        <v>333.90499999999997</v>
      </c>
      <c r="C119">
        <v>339.6</v>
      </c>
      <c r="D119">
        <v>339.21499999999997</v>
      </c>
      <c r="E119" t="str">
        <f t="shared" si="13"/>
        <v>Compra</v>
      </c>
      <c r="F119" t="str">
        <f t="shared" si="14"/>
        <v>Positivo</v>
      </c>
      <c r="G119" s="4">
        <f t="shared" si="15"/>
        <v>1.7055749389796652E-2</v>
      </c>
      <c r="H119" s="4">
        <f t="shared" si="16"/>
        <v>1.590272682349771E-2</v>
      </c>
      <c r="I119" s="47" t="str">
        <f t="shared" si="17"/>
        <v>Compra</v>
      </c>
      <c r="J119" s="47" t="str">
        <f t="shared" si="18"/>
        <v>CompraCompra</v>
      </c>
      <c r="K119" s="47"/>
      <c r="L119" s="47"/>
      <c r="N119" s="47"/>
      <c r="O119" s="47"/>
      <c r="P119" s="47"/>
    </row>
    <row r="120" spans="1:28" x14ac:dyDescent="0.3">
      <c r="A120" s="1">
        <v>119</v>
      </c>
      <c r="B120">
        <v>334.48500000000001</v>
      </c>
      <c r="C120">
        <v>335.04500000000002</v>
      </c>
      <c r="D120">
        <v>326.44</v>
      </c>
      <c r="E120" t="str">
        <f t="shared" si="13"/>
        <v>Venta</v>
      </c>
      <c r="F120" t="str">
        <f t="shared" si="14"/>
        <v>Negativo</v>
      </c>
      <c r="G120" s="4">
        <f t="shared" si="15"/>
        <v>-1.6742155851533021E-3</v>
      </c>
      <c r="H120" s="4">
        <f t="shared" si="16"/>
        <v>2.4051900683139799E-2</v>
      </c>
      <c r="I120" s="47" t="str">
        <f t="shared" si="17"/>
        <v>Compra</v>
      </c>
      <c r="J120" s="47" t="str">
        <f t="shared" si="18"/>
        <v>VentaCompra</v>
      </c>
      <c r="K120" s="47"/>
      <c r="L120" s="47"/>
      <c r="N120" s="47"/>
      <c r="O120" s="47"/>
      <c r="P120" s="47"/>
    </row>
    <row r="121" spans="1:28" x14ac:dyDescent="0.3">
      <c r="A121" s="1">
        <v>120</v>
      </c>
      <c r="B121">
        <v>333.815</v>
      </c>
      <c r="C121">
        <v>328.8</v>
      </c>
      <c r="D121">
        <v>326.44</v>
      </c>
      <c r="E121" t="str">
        <f t="shared" si="13"/>
        <v>Venta</v>
      </c>
      <c r="F121" t="str">
        <f t="shared" si="14"/>
        <v>Positivo</v>
      </c>
      <c r="G121" s="4">
        <f t="shared" si="15"/>
        <v>1.5023291344007868E-2</v>
      </c>
      <c r="H121" s="4">
        <f t="shared" si="16"/>
        <v>2.2093075505893983E-2</v>
      </c>
      <c r="I121" s="47" t="str">
        <f t="shared" si="17"/>
        <v>Venta</v>
      </c>
      <c r="J121" s="47" t="str">
        <f t="shared" si="18"/>
        <v>VentaVenta</v>
      </c>
      <c r="K121" s="47"/>
      <c r="L121" s="47"/>
      <c r="N121" s="47"/>
      <c r="O121" s="47"/>
      <c r="P121" s="47"/>
    </row>
    <row r="122" spans="1:28" x14ac:dyDescent="0.3">
      <c r="A122" s="1">
        <v>121</v>
      </c>
      <c r="B122">
        <v>332.13</v>
      </c>
      <c r="C122">
        <v>334.61</v>
      </c>
      <c r="D122">
        <v>326.44</v>
      </c>
      <c r="E122" t="str">
        <f t="shared" si="13"/>
        <v>Venta</v>
      </c>
      <c r="F122" t="str">
        <f t="shared" si="14"/>
        <v>Negativo</v>
      </c>
      <c r="G122" s="4">
        <f t="shared" si="15"/>
        <v>-7.4669557101135643E-3</v>
      </c>
      <c r="H122" s="4">
        <f t="shared" si="16"/>
        <v>1.7131845963929779E-2</v>
      </c>
      <c r="I122" s="47" t="str">
        <f t="shared" si="17"/>
        <v>Compra</v>
      </c>
      <c r="J122" s="47" t="str">
        <f t="shared" si="18"/>
        <v>VentaCompra</v>
      </c>
      <c r="K122" s="47"/>
      <c r="L122" s="47"/>
      <c r="N122" s="47"/>
      <c r="O122" s="47"/>
      <c r="P122" s="47"/>
    </row>
    <row r="123" spans="1:28" x14ac:dyDescent="0.3">
      <c r="A123" s="1">
        <v>122</v>
      </c>
      <c r="B123">
        <v>334.48</v>
      </c>
      <c r="C123">
        <v>335.9</v>
      </c>
      <c r="D123">
        <v>337.86</v>
      </c>
      <c r="E123" t="str">
        <f t="shared" si="13"/>
        <v>Compra</v>
      </c>
      <c r="F123" t="str">
        <f t="shared" si="14"/>
        <v>Positivo</v>
      </c>
      <c r="G123" s="4">
        <f t="shared" si="15"/>
        <v>4.2453958383160701E-3</v>
      </c>
      <c r="H123" s="4">
        <f t="shared" si="16"/>
        <v>1.0105237981344162E-2</v>
      </c>
      <c r="I123" s="47" t="str">
        <f t="shared" si="17"/>
        <v>Compra</v>
      </c>
      <c r="J123" s="47" t="str">
        <f t="shared" si="18"/>
        <v>CompraCompra</v>
      </c>
      <c r="K123" s="47"/>
      <c r="L123" s="47"/>
      <c r="N123" s="47"/>
      <c r="O123" s="47"/>
      <c r="P123" s="47"/>
    </row>
    <row r="124" spans="1:28" x14ac:dyDescent="0.3">
      <c r="A124" s="1">
        <v>123</v>
      </c>
      <c r="B124">
        <v>334.79</v>
      </c>
      <c r="C124">
        <v>335.05</v>
      </c>
      <c r="D124">
        <v>338.05</v>
      </c>
      <c r="E124" t="str">
        <f t="shared" si="13"/>
        <v>Compra</v>
      </c>
      <c r="F124" t="str">
        <f t="shared" si="14"/>
        <v>Positivo</v>
      </c>
      <c r="G124" s="4">
        <f t="shared" si="15"/>
        <v>7.7660623077150119E-4</v>
      </c>
      <c r="H124" s="4">
        <f t="shared" si="16"/>
        <v>9.7374473550583679E-3</v>
      </c>
      <c r="I124" s="47" t="str">
        <f t="shared" si="17"/>
        <v>Compra</v>
      </c>
      <c r="J124" s="47" t="str">
        <f t="shared" si="18"/>
        <v>CompraCompra</v>
      </c>
      <c r="K124" s="47"/>
      <c r="L124" s="47"/>
      <c r="N124" s="47"/>
      <c r="O124" s="47"/>
      <c r="P124" s="47"/>
    </row>
    <row r="125" spans="1:28" x14ac:dyDescent="0.3">
      <c r="A125" s="1">
        <v>124</v>
      </c>
      <c r="B125">
        <v>337.77499999999998</v>
      </c>
      <c r="C125">
        <v>340.24</v>
      </c>
      <c r="D125">
        <v>338.05</v>
      </c>
      <c r="E125" t="str">
        <f t="shared" si="13"/>
        <v>Compra</v>
      </c>
      <c r="F125" t="str">
        <f t="shared" si="14"/>
        <v>Positivo</v>
      </c>
      <c r="G125" s="4">
        <f t="shared" si="15"/>
        <v>7.2977573828733088E-3</v>
      </c>
      <c r="H125" s="4">
        <f t="shared" si="16"/>
        <v>8.1415143216648396E-4</v>
      </c>
      <c r="I125" s="47" t="str">
        <f t="shared" si="17"/>
        <v>Compra</v>
      </c>
      <c r="J125" s="47" t="str">
        <f t="shared" si="18"/>
        <v>CompraCompra</v>
      </c>
      <c r="K125" s="47"/>
      <c r="L125" s="47"/>
      <c r="N125" s="47"/>
      <c r="O125" s="47"/>
      <c r="P125" s="47"/>
    </row>
    <row r="126" spans="1:28" x14ac:dyDescent="0.3">
      <c r="A126" s="1">
        <v>125</v>
      </c>
      <c r="B126">
        <v>339.08499999999998</v>
      </c>
      <c r="C126">
        <v>338.31</v>
      </c>
      <c r="D126">
        <v>336.26</v>
      </c>
      <c r="E126" t="str">
        <f t="shared" si="13"/>
        <v>Venta</v>
      </c>
      <c r="F126" t="str">
        <f t="shared" si="14"/>
        <v>Positivo</v>
      </c>
      <c r="G126" s="4">
        <f t="shared" si="15"/>
        <v>2.2855626170428574E-3</v>
      </c>
      <c r="H126" s="4">
        <f t="shared" si="16"/>
        <v>8.3312443782532081E-3</v>
      </c>
      <c r="I126" s="47" t="str">
        <f t="shared" si="17"/>
        <v>Venta</v>
      </c>
      <c r="J126" s="47" t="str">
        <f t="shared" si="18"/>
        <v>VentaVenta</v>
      </c>
      <c r="K126" s="47"/>
      <c r="L126" s="47"/>
      <c r="N126" s="47"/>
      <c r="O126" s="47"/>
      <c r="P126" s="47"/>
    </row>
    <row r="127" spans="1:28" x14ac:dyDescent="0.3">
      <c r="A127" s="1">
        <v>126</v>
      </c>
      <c r="B127">
        <v>335.14</v>
      </c>
      <c r="C127">
        <v>338.2</v>
      </c>
      <c r="D127">
        <v>326.44</v>
      </c>
      <c r="E127" t="str">
        <f t="shared" si="13"/>
        <v>Venta</v>
      </c>
      <c r="F127" t="str">
        <f t="shared" si="14"/>
        <v>Negativo</v>
      </c>
      <c r="G127" s="4">
        <f t="shared" si="15"/>
        <v>-9.1305126215909839E-3</v>
      </c>
      <c r="H127" s="4">
        <f t="shared" si="16"/>
        <v>2.5959300590797842E-2</v>
      </c>
      <c r="I127" s="47" t="str">
        <f t="shared" si="17"/>
        <v>Compra</v>
      </c>
      <c r="J127" s="47" t="str">
        <f t="shared" si="18"/>
        <v>VentaCompra</v>
      </c>
      <c r="K127" s="47"/>
      <c r="L127" s="47"/>
      <c r="N127" s="47"/>
      <c r="O127" s="47"/>
      <c r="P127" s="47"/>
    </row>
    <row r="128" spans="1:28" x14ac:dyDescent="0.3">
      <c r="A128" s="1">
        <v>127</v>
      </c>
      <c r="B128">
        <v>337.44</v>
      </c>
      <c r="C128">
        <v>341.26499999999999</v>
      </c>
      <c r="D128">
        <v>336.26</v>
      </c>
      <c r="E128" t="str">
        <f t="shared" si="13"/>
        <v>Venta</v>
      </c>
      <c r="F128" t="str">
        <f t="shared" si="14"/>
        <v>Negativo</v>
      </c>
      <c r="G128" s="4">
        <f t="shared" si="15"/>
        <v>-1.1335348506401104E-2</v>
      </c>
      <c r="H128" s="4">
        <f t="shared" si="16"/>
        <v>3.4969179706022015E-3</v>
      </c>
      <c r="I128" s="47" t="str">
        <f t="shared" si="17"/>
        <v>Compra</v>
      </c>
      <c r="J128" s="47" t="str">
        <f t="shared" si="18"/>
        <v>VentaCompra</v>
      </c>
      <c r="K128" s="47"/>
      <c r="L128" s="47"/>
      <c r="N128" s="47"/>
      <c r="O128" s="47"/>
      <c r="P128" s="47"/>
    </row>
    <row r="129" spans="1:16" x14ac:dyDescent="0.3">
      <c r="A129" s="1">
        <v>128</v>
      </c>
      <c r="B129">
        <v>340.06</v>
      </c>
      <c r="C129">
        <v>337.18</v>
      </c>
      <c r="D129">
        <v>336.26</v>
      </c>
      <c r="E129" t="str">
        <f t="shared" si="13"/>
        <v>Venta</v>
      </c>
      <c r="F129" t="str">
        <f t="shared" si="14"/>
        <v>Positivo</v>
      </c>
      <c r="G129" s="4">
        <f t="shared" si="15"/>
        <v>8.4690936893489256E-3</v>
      </c>
      <c r="H129" s="4">
        <f t="shared" si="16"/>
        <v>1.1174498617890993E-2</v>
      </c>
      <c r="I129" s="47" t="str">
        <f t="shared" si="17"/>
        <v>Venta</v>
      </c>
      <c r="J129" s="47" t="str">
        <f t="shared" si="18"/>
        <v>VentaVenta</v>
      </c>
      <c r="K129" s="47"/>
      <c r="L129" s="47"/>
      <c r="N129" s="47"/>
      <c r="O129" s="47"/>
      <c r="P129" s="47"/>
    </row>
    <row r="130" spans="1:16" x14ac:dyDescent="0.3">
      <c r="A130" s="1">
        <v>129</v>
      </c>
      <c r="B130">
        <v>334.67500000000001</v>
      </c>
      <c r="C130">
        <v>331.85500000000002</v>
      </c>
      <c r="D130">
        <v>326.44</v>
      </c>
      <c r="E130" t="str">
        <f t="shared" si="13"/>
        <v>Venta</v>
      </c>
      <c r="F130" t="str">
        <f t="shared" si="14"/>
        <v>Positivo</v>
      </c>
      <c r="G130" s="4">
        <f t="shared" si="15"/>
        <v>8.4260850078434098E-3</v>
      </c>
      <c r="H130" s="4">
        <f t="shared" si="16"/>
        <v>2.4605961006947077E-2</v>
      </c>
      <c r="I130" s="47" t="str">
        <f t="shared" si="17"/>
        <v>Venta</v>
      </c>
      <c r="J130" s="47" t="str">
        <f t="shared" si="18"/>
        <v>VentaVenta</v>
      </c>
      <c r="K130" s="47"/>
      <c r="L130" s="47"/>
      <c r="N130" s="47"/>
      <c r="O130" s="47"/>
      <c r="P130" s="47"/>
    </row>
    <row r="131" spans="1:16" x14ac:dyDescent="0.3">
      <c r="A131" s="1">
        <v>130</v>
      </c>
      <c r="B131">
        <v>331.08499999999998</v>
      </c>
      <c r="C131">
        <v>332.435</v>
      </c>
      <c r="D131">
        <v>326.44</v>
      </c>
      <c r="E131" t="str">
        <f t="shared" si="13"/>
        <v>Venta</v>
      </c>
      <c r="F131" t="str">
        <f t="shared" si="14"/>
        <v>Negativo</v>
      </c>
      <c r="G131" s="4">
        <f t="shared" si="15"/>
        <v>-4.0775027560898949E-3</v>
      </c>
      <c r="H131" s="4">
        <f t="shared" si="16"/>
        <v>1.4029629853360865E-2</v>
      </c>
      <c r="I131" s="47" t="str">
        <f t="shared" si="17"/>
        <v>Compra</v>
      </c>
      <c r="J131" s="47" t="str">
        <f t="shared" si="18"/>
        <v>VentaCompra</v>
      </c>
      <c r="K131" s="47"/>
      <c r="L131" s="47"/>
      <c r="N131" s="47"/>
      <c r="O131" s="47"/>
      <c r="P131" s="47"/>
    </row>
    <row r="132" spans="1:16" x14ac:dyDescent="0.3">
      <c r="A132" s="1">
        <v>131</v>
      </c>
      <c r="B132">
        <v>336.625</v>
      </c>
      <c r="C132">
        <v>337.42500000000001</v>
      </c>
      <c r="D132">
        <v>326.44</v>
      </c>
      <c r="E132" t="str">
        <f t="shared" si="13"/>
        <v>Venta</v>
      </c>
      <c r="F132" t="str">
        <f t="shared" si="14"/>
        <v>Negativo</v>
      </c>
      <c r="G132" s="4">
        <f t="shared" si="15"/>
        <v>-2.3765317489788679E-3</v>
      </c>
      <c r="H132" s="4">
        <f t="shared" si="16"/>
        <v>3.0256219829186786E-2</v>
      </c>
      <c r="I132" s="47" t="str">
        <f t="shared" si="17"/>
        <v>Compra</v>
      </c>
      <c r="J132" s="47" t="str">
        <f t="shared" si="18"/>
        <v>VentaCompra</v>
      </c>
      <c r="K132" s="47"/>
      <c r="L132" s="47"/>
      <c r="N132" s="47"/>
      <c r="O132" s="47"/>
      <c r="P132" s="47"/>
    </row>
    <row r="133" spans="1:16" x14ac:dyDescent="0.3">
      <c r="A133" s="1">
        <v>132</v>
      </c>
      <c r="B133">
        <v>339.565</v>
      </c>
      <c r="C133">
        <v>342.685</v>
      </c>
      <c r="D133">
        <v>336.26</v>
      </c>
      <c r="E133" t="str">
        <f t="shared" si="13"/>
        <v>Venta</v>
      </c>
      <c r="F133" t="str">
        <f t="shared" si="14"/>
        <v>Negativo</v>
      </c>
      <c r="G133" s="4">
        <f t="shared" si="15"/>
        <v>-9.1882261128208281E-3</v>
      </c>
      <c r="H133" s="4">
        <f t="shared" si="16"/>
        <v>9.733040802202839E-3</v>
      </c>
      <c r="I133" s="47" t="str">
        <f t="shared" si="17"/>
        <v>Compra</v>
      </c>
      <c r="J133" s="47" t="str">
        <f t="shared" si="18"/>
        <v>VentaCompra</v>
      </c>
      <c r="K133" s="47"/>
      <c r="L133" s="47"/>
      <c r="N133" s="47"/>
      <c r="O133" s="47"/>
      <c r="P133" s="47"/>
    </row>
    <row r="134" spans="1:16" x14ac:dyDescent="0.3">
      <c r="A134" s="1">
        <v>133</v>
      </c>
      <c r="B134">
        <v>347.625</v>
      </c>
      <c r="C134">
        <v>345.35500000000002</v>
      </c>
      <c r="D134">
        <v>336.26</v>
      </c>
      <c r="E134" t="str">
        <f t="shared" si="13"/>
        <v>Venta</v>
      </c>
      <c r="F134" t="str">
        <f t="shared" si="14"/>
        <v>Positivo</v>
      </c>
      <c r="G134" s="4">
        <f t="shared" si="15"/>
        <v>6.5300251708018172E-3</v>
      </c>
      <c r="H134" s="4">
        <f t="shared" si="16"/>
        <v>3.269327580007194E-2</v>
      </c>
      <c r="I134" s="47" t="str">
        <f t="shared" si="17"/>
        <v>Venta</v>
      </c>
      <c r="J134" s="47" t="str">
        <f t="shared" si="18"/>
        <v>VentaVenta</v>
      </c>
      <c r="K134" s="47"/>
      <c r="L134" s="47"/>
      <c r="N134" s="47"/>
      <c r="O134" s="47"/>
      <c r="P134" s="47"/>
    </row>
    <row r="135" spans="1:16" x14ac:dyDescent="0.3">
      <c r="A135" s="1">
        <v>134</v>
      </c>
      <c r="B135">
        <v>345.73500000000001</v>
      </c>
      <c r="C135">
        <v>345.68</v>
      </c>
      <c r="D135">
        <v>336.26</v>
      </c>
      <c r="E135" t="str">
        <f t="shared" si="13"/>
        <v>Venta</v>
      </c>
      <c r="F135" t="str">
        <f t="shared" si="14"/>
        <v>Positivo</v>
      </c>
      <c r="G135" s="4">
        <f t="shared" si="15"/>
        <v>1.5908137735550876E-4</v>
      </c>
      <c r="H135" s="4">
        <f t="shared" si="16"/>
        <v>2.7405382735332037E-2</v>
      </c>
      <c r="I135" s="47" t="str">
        <f t="shared" si="17"/>
        <v>Venta</v>
      </c>
      <c r="J135" s="47" t="str">
        <f t="shared" si="18"/>
        <v>VentaVenta</v>
      </c>
      <c r="K135" s="47"/>
      <c r="L135" s="47"/>
      <c r="N135" s="47"/>
      <c r="O135" s="47"/>
      <c r="P135" s="47"/>
    </row>
    <row r="136" spans="1:16" x14ac:dyDescent="0.3">
      <c r="A136" s="1">
        <v>135</v>
      </c>
      <c r="B136">
        <v>345.875</v>
      </c>
      <c r="C136">
        <v>359.685</v>
      </c>
      <c r="D136">
        <v>336.26</v>
      </c>
      <c r="E136" t="str">
        <f t="shared" si="13"/>
        <v>Venta</v>
      </c>
      <c r="F136" t="str">
        <f t="shared" si="14"/>
        <v>Negativo</v>
      </c>
      <c r="G136" s="4">
        <f t="shared" si="15"/>
        <v>-3.9927719551861231E-2</v>
      </c>
      <c r="H136" s="4">
        <f t="shared" si="16"/>
        <v>2.7799060354174222E-2</v>
      </c>
      <c r="I136" s="47" t="str">
        <f t="shared" si="17"/>
        <v>Compra</v>
      </c>
      <c r="J136" s="47" t="str">
        <f t="shared" si="18"/>
        <v>VentaCompra</v>
      </c>
      <c r="K136" s="47"/>
      <c r="L136" s="47"/>
      <c r="N136" s="47"/>
      <c r="O136" s="47"/>
      <c r="P136" s="47"/>
    </row>
    <row r="137" spans="1:16" x14ac:dyDescent="0.3">
      <c r="A137" s="1">
        <v>136</v>
      </c>
      <c r="B137">
        <v>361.62</v>
      </c>
      <c r="C137">
        <v>355.06</v>
      </c>
      <c r="D137">
        <v>332.51</v>
      </c>
      <c r="E137" t="str">
        <f t="shared" si="13"/>
        <v>Venta</v>
      </c>
      <c r="F137" t="str">
        <f t="shared" si="14"/>
        <v>Positivo</v>
      </c>
      <c r="G137" s="4">
        <f t="shared" si="15"/>
        <v>1.8140589569161005E-2</v>
      </c>
      <c r="H137" s="4">
        <f t="shared" si="16"/>
        <v>8.0498866213151971E-2</v>
      </c>
      <c r="I137" s="47" t="str">
        <f t="shared" si="17"/>
        <v>Venta</v>
      </c>
      <c r="J137" s="47" t="str">
        <f t="shared" si="18"/>
        <v>VentaVenta</v>
      </c>
      <c r="K137" s="47"/>
      <c r="L137" s="47"/>
      <c r="N137" s="47"/>
      <c r="O137" s="47"/>
      <c r="P137" s="47"/>
    </row>
    <row r="138" spans="1:16" x14ac:dyDescent="0.3">
      <c r="A138" s="1">
        <v>137</v>
      </c>
      <c r="B138">
        <v>353.64499999999998</v>
      </c>
      <c r="C138">
        <v>346.875</v>
      </c>
      <c r="D138">
        <v>336.26</v>
      </c>
      <c r="E138" t="str">
        <f t="shared" si="13"/>
        <v>Venta</v>
      </c>
      <c r="F138" t="str">
        <f t="shared" si="14"/>
        <v>Positivo</v>
      </c>
      <c r="G138" s="4">
        <f t="shared" si="15"/>
        <v>1.9143491354324201E-2</v>
      </c>
      <c r="H138" s="4">
        <f t="shared" si="16"/>
        <v>4.9159467827906492E-2</v>
      </c>
      <c r="I138" s="47" t="str">
        <f t="shared" si="17"/>
        <v>Venta</v>
      </c>
      <c r="J138" s="47" t="str">
        <f t="shared" si="18"/>
        <v>VentaVenta</v>
      </c>
      <c r="K138" s="47"/>
      <c r="L138" s="47"/>
      <c r="N138" s="47"/>
      <c r="O138" s="47"/>
      <c r="P138" s="47"/>
    </row>
    <row r="139" spans="1:16" x14ac:dyDescent="0.3">
      <c r="A139" s="1">
        <v>138</v>
      </c>
      <c r="B139">
        <v>349.20499999999998</v>
      </c>
      <c r="C139">
        <v>343.67</v>
      </c>
      <c r="D139">
        <v>336.26</v>
      </c>
      <c r="E139" t="str">
        <f t="shared" si="13"/>
        <v>Venta</v>
      </c>
      <c r="F139" t="str">
        <f t="shared" si="14"/>
        <v>Positivo</v>
      </c>
      <c r="G139" s="4">
        <f t="shared" si="15"/>
        <v>1.5850288512478255E-2</v>
      </c>
      <c r="H139" s="4">
        <f t="shared" si="16"/>
        <v>3.7069915951947981E-2</v>
      </c>
      <c r="I139" s="47" t="str">
        <f t="shared" si="17"/>
        <v>Venta</v>
      </c>
      <c r="J139" s="47" t="str">
        <f t="shared" si="18"/>
        <v>VentaVenta</v>
      </c>
      <c r="K139" s="47"/>
      <c r="L139" s="47"/>
      <c r="N139" s="47"/>
      <c r="O139" s="47"/>
      <c r="P139" s="47"/>
    </row>
    <row r="140" spans="1:16" x14ac:dyDescent="0.3">
      <c r="A140" s="1">
        <v>139</v>
      </c>
      <c r="B140">
        <v>345.87</v>
      </c>
      <c r="C140">
        <v>345.185</v>
      </c>
      <c r="D140">
        <v>336.26</v>
      </c>
      <c r="E140" t="str">
        <f t="shared" si="13"/>
        <v>Venta</v>
      </c>
      <c r="F140" t="str">
        <f t="shared" si="14"/>
        <v>Positivo</v>
      </c>
      <c r="G140" s="4">
        <f t="shared" si="15"/>
        <v>1.9805129094746647E-3</v>
      </c>
      <c r="H140" s="4">
        <f t="shared" si="16"/>
        <v>2.7785005927082468E-2</v>
      </c>
      <c r="I140" s="47" t="str">
        <f t="shared" si="17"/>
        <v>Venta</v>
      </c>
      <c r="J140" s="47" t="str">
        <f t="shared" si="18"/>
        <v>VentaVenta</v>
      </c>
      <c r="K140" s="47"/>
      <c r="L140" s="47"/>
      <c r="N140" s="47"/>
      <c r="O140" s="47"/>
      <c r="P140" s="47"/>
    </row>
    <row r="141" spans="1:16" x14ac:dyDescent="0.3">
      <c r="A141" s="1">
        <v>140</v>
      </c>
      <c r="B141">
        <v>347.245</v>
      </c>
      <c r="C141">
        <v>350.86</v>
      </c>
      <c r="D141">
        <v>336.26</v>
      </c>
      <c r="E141" t="str">
        <f t="shared" si="13"/>
        <v>Venta</v>
      </c>
      <c r="F141" t="str">
        <f t="shared" si="14"/>
        <v>Negativo</v>
      </c>
      <c r="G141" s="4">
        <f t="shared" si="15"/>
        <v>-1.0410517070080229E-2</v>
      </c>
      <c r="H141" s="4">
        <f t="shared" si="16"/>
        <v>3.1634724762055651E-2</v>
      </c>
      <c r="I141" s="47" t="str">
        <f t="shared" si="17"/>
        <v>Compra</v>
      </c>
      <c r="J141" s="47" t="str">
        <f t="shared" si="18"/>
        <v>VentaCompra</v>
      </c>
      <c r="K141" s="47"/>
      <c r="L141" s="47"/>
      <c r="N141" s="47"/>
      <c r="O141" s="47"/>
      <c r="P141" s="47"/>
    </row>
    <row r="142" spans="1:16" x14ac:dyDescent="0.3">
      <c r="A142" s="1">
        <v>141</v>
      </c>
      <c r="B142">
        <v>341.47</v>
      </c>
      <c r="C142">
        <v>337.92500000000001</v>
      </c>
      <c r="D142">
        <v>336.26</v>
      </c>
      <c r="E142" t="str">
        <f t="shared" si="13"/>
        <v>Venta</v>
      </c>
      <c r="F142" t="str">
        <f t="shared" si="14"/>
        <v>Positivo</v>
      </c>
      <c r="G142" s="4">
        <f t="shared" si="15"/>
        <v>1.0381585497994013E-2</v>
      </c>
      <c r="H142" s="4">
        <f t="shared" si="16"/>
        <v>1.5257562889858658E-2</v>
      </c>
      <c r="I142" s="47" t="str">
        <f t="shared" si="17"/>
        <v>Venta</v>
      </c>
      <c r="J142" s="47" t="str">
        <f t="shared" si="18"/>
        <v>VentaVenta</v>
      </c>
      <c r="K142" s="47"/>
      <c r="L142" s="47"/>
      <c r="N142" s="47"/>
      <c r="O142" s="47"/>
      <c r="P142" s="47"/>
    </row>
    <row r="143" spans="1:16" x14ac:dyDescent="0.3">
      <c r="A143" s="1">
        <v>142</v>
      </c>
      <c r="B143">
        <v>340.36</v>
      </c>
      <c r="C143">
        <v>330.67500000000001</v>
      </c>
      <c r="D143">
        <v>326.44</v>
      </c>
      <c r="E143" t="str">
        <f t="shared" si="13"/>
        <v>Venta</v>
      </c>
      <c r="F143" t="str">
        <f t="shared" si="14"/>
        <v>Positivo</v>
      </c>
      <c r="G143" s="4">
        <f t="shared" si="15"/>
        <v>2.8455165119285468E-2</v>
      </c>
      <c r="H143" s="4">
        <f t="shared" si="16"/>
        <v>4.0897872840521848E-2</v>
      </c>
      <c r="I143" s="47" t="str">
        <f t="shared" si="17"/>
        <v>Venta</v>
      </c>
      <c r="J143" s="47" t="str">
        <f t="shared" si="18"/>
        <v>VentaVenta</v>
      </c>
      <c r="K143" s="47"/>
      <c r="L143" s="47"/>
      <c r="N143" s="47"/>
      <c r="O143" s="47"/>
      <c r="P143" s="47"/>
    </row>
    <row r="144" spans="1:16" x14ac:dyDescent="0.3">
      <c r="A144" s="1">
        <v>143</v>
      </c>
      <c r="B144">
        <v>333.66500000000002</v>
      </c>
      <c r="C144">
        <v>338.34</v>
      </c>
      <c r="D144">
        <v>326.44</v>
      </c>
      <c r="E144" t="str">
        <f t="shared" si="13"/>
        <v>Venta</v>
      </c>
      <c r="F144" t="str">
        <f t="shared" si="14"/>
        <v>Negativo</v>
      </c>
      <c r="G144" s="4">
        <f t="shared" si="15"/>
        <v>-1.4011058996298545E-2</v>
      </c>
      <c r="H144" s="4">
        <f t="shared" si="16"/>
        <v>2.1653454812461666E-2</v>
      </c>
      <c r="I144" s="47" t="str">
        <f t="shared" si="17"/>
        <v>Compra</v>
      </c>
      <c r="J144" s="47" t="str">
        <f t="shared" si="18"/>
        <v>VentaCompra</v>
      </c>
      <c r="K144" s="47"/>
      <c r="L144" s="47"/>
      <c r="N144" s="47"/>
      <c r="O144" s="47"/>
      <c r="P144" s="47"/>
    </row>
    <row r="145" spans="1:16" x14ac:dyDescent="0.3">
      <c r="A145" s="1">
        <v>144</v>
      </c>
      <c r="B145">
        <v>337.01</v>
      </c>
      <c r="C145">
        <v>335.95499999999998</v>
      </c>
      <c r="D145">
        <v>336.26</v>
      </c>
      <c r="E145" t="str">
        <f t="shared" si="13"/>
        <v>Venta</v>
      </c>
      <c r="F145" t="str">
        <f t="shared" si="14"/>
        <v>Positivo</v>
      </c>
      <c r="G145" s="4">
        <f t="shared" si="15"/>
        <v>3.1304709059078568E-3</v>
      </c>
      <c r="H145" s="4">
        <f t="shared" si="16"/>
        <v>2.2254532506453817E-3</v>
      </c>
      <c r="I145" s="47" t="str">
        <f t="shared" si="17"/>
        <v>Venta</v>
      </c>
      <c r="J145" s="47" t="str">
        <f t="shared" si="18"/>
        <v>VentaVenta</v>
      </c>
      <c r="K145" s="47"/>
      <c r="L145" s="47"/>
      <c r="N145" s="47"/>
      <c r="O145" s="47"/>
      <c r="P145" s="47"/>
    </row>
    <row r="146" spans="1:16" x14ac:dyDescent="0.3">
      <c r="A146" s="1">
        <v>145</v>
      </c>
      <c r="B146">
        <v>335.11</v>
      </c>
      <c r="C146">
        <v>336.39499999999998</v>
      </c>
      <c r="D146">
        <v>326.44</v>
      </c>
      <c r="E146" t="str">
        <f t="shared" si="13"/>
        <v>Venta</v>
      </c>
      <c r="F146" t="str">
        <f t="shared" si="14"/>
        <v>Negativo</v>
      </c>
      <c r="G146" s="4">
        <f t="shared" si="15"/>
        <v>-3.8345617856822183E-3</v>
      </c>
      <c r="H146" s="4">
        <f t="shared" si="16"/>
        <v>2.5872101697949974E-2</v>
      </c>
      <c r="I146" s="47" t="str">
        <f t="shared" si="17"/>
        <v>Compra</v>
      </c>
      <c r="J146" s="47" t="str">
        <f t="shared" si="18"/>
        <v>VentaCompra</v>
      </c>
      <c r="K146" s="47"/>
      <c r="L146" s="47"/>
      <c r="N146" s="47"/>
      <c r="O146" s="47"/>
      <c r="P146" s="47"/>
    </row>
    <row r="147" spans="1:16" x14ac:dyDescent="0.3">
      <c r="A147" s="1">
        <v>146</v>
      </c>
      <c r="B147">
        <v>333.32000000000011</v>
      </c>
      <c r="C147">
        <v>327.52999999999997</v>
      </c>
      <c r="D147">
        <v>326.44</v>
      </c>
      <c r="E147" t="str">
        <f t="shared" si="13"/>
        <v>Venta</v>
      </c>
      <c r="F147" t="str">
        <f t="shared" si="14"/>
        <v>Positivo</v>
      </c>
      <c r="G147" s="4">
        <f t="shared" si="15"/>
        <v>1.737069482779351E-2</v>
      </c>
      <c r="H147" s="4">
        <f t="shared" si="16"/>
        <v>2.064082563302564E-2</v>
      </c>
      <c r="I147" s="47" t="str">
        <f t="shared" si="17"/>
        <v>Venta</v>
      </c>
      <c r="J147" s="47" t="str">
        <f t="shared" si="18"/>
        <v>VentaVenta</v>
      </c>
      <c r="K147" s="47"/>
      <c r="L147" s="47"/>
      <c r="N147" s="47"/>
      <c r="O147" s="47"/>
      <c r="P147" s="47"/>
    </row>
    <row r="148" spans="1:16" x14ac:dyDescent="0.3">
      <c r="A148" s="1">
        <v>147</v>
      </c>
      <c r="B148">
        <v>326.04000000000002</v>
      </c>
      <c r="C148">
        <v>326.69499999999999</v>
      </c>
      <c r="D148">
        <v>326.44</v>
      </c>
      <c r="E148" t="str">
        <f t="shared" si="13"/>
        <v>Compra</v>
      </c>
      <c r="F148" t="str">
        <f t="shared" si="14"/>
        <v>Positivo</v>
      </c>
      <c r="G148" s="4">
        <f t="shared" si="15"/>
        <v>2.0089559563242934E-3</v>
      </c>
      <c r="H148" s="4">
        <f t="shared" si="16"/>
        <v>1.2268433321064201E-3</v>
      </c>
      <c r="I148" s="47" t="str">
        <f t="shared" si="17"/>
        <v>Compra</v>
      </c>
      <c r="J148" s="47" t="str">
        <f t="shared" si="18"/>
        <v>CompraCompra</v>
      </c>
      <c r="K148" s="47"/>
      <c r="L148" s="47"/>
      <c r="N148" s="47"/>
      <c r="O148" s="47"/>
      <c r="P148" s="47"/>
    </row>
    <row r="149" spans="1:16" x14ac:dyDescent="0.3">
      <c r="A149" s="1">
        <v>148</v>
      </c>
      <c r="B149">
        <v>331.96</v>
      </c>
      <c r="C149">
        <v>327.815</v>
      </c>
      <c r="D149">
        <v>326.44</v>
      </c>
      <c r="E149" t="str">
        <f t="shared" si="13"/>
        <v>Venta</v>
      </c>
      <c r="F149" t="str">
        <f t="shared" si="14"/>
        <v>Positivo</v>
      </c>
      <c r="G149" s="4">
        <f t="shared" si="15"/>
        <v>1.2486444149897524E-2</v>
      </c>
      <c r="H149" s="4">
        <f t="shared" si="16"/>
        <v>1.6628509458970906E-2</v>
      </c>
      <c r="I149" s="47" t="str">
        <f t="shared" si="17"/>
        <v>Venta</v>
      </c>
      <c r="J149" s="47" t="str">
        <f t="shared" si="18"/>
        <v>VentaVenta</v>
      </c>
      <c r="K149" s="47"/>
      <c r="L149" s="47"/>
      <c r="N149" s="47"/>
      <c r="O149" s="47"/>
      <c r="P149" s="47"/>
    </row>
    <row r="150" spans="1:16" x14ac:dyDescent="0.3">
      <c r="A150" s="1">
        <v>149</v>
      </c>
      <c r="B150">
        <v>328.91</v>
      </c>
      <c r="C150">
        <v>330.13</v>
      </c>
      <c r="D150">
        <v>326.44</v>
      </c>
      <c r="E150" t="str">
        <f t="shared" si="13"/>
        <v>Venta</v>
      </c>
      <c r="F150" t="str">
        <f t="shared" si="14"/>
        <v>Negativo</v>
      </c>
      <c r="G150" s="4">
        <f t="shared" si="15"/>
        <v>-3.7092213675472634E-3</v>
      </c>
      <c r="H150" s="4">
        <f t="shared" si="16"/>
        <v>7.509653096591855E-3</v>
      </c>
      <c r="I150" s="47" t="str">
        <f t="shared" si="17"/>
        <v>Compra</v>
      </c>
      <c r="J150" s="47" t="str">
        <f t="shared" si="18"/>
        <v>VentaCompra</v>
      </c>
      <c r="K150" s="47"/>
      <c r="L150" s="47"/>
      <c r="N150" s="47"/>
      <c r="O150" s="47"/>
      <c r="P150" s="47"/>
    </row>
    <row r="151" spans="1:16" x14ac:dyDescent="0.3">
      <c r="A151" s="1">
        <v>150</v>
      </c>
      <c r="B151">
        <v>327.125</v>
      </c>
      <c r="C151">
        <v>326.125</v>
      </c>
      <c r="D151">
        <v>326.44</v>
      </c>
      <c r="E151" t="str">
        <f t="shared" si="13"/>
        <v>Venta</v>
      </c>
      <c r="F151" t="str">
        <f t="shared" si="14"/>
        <v>Positivo</v>
      </c>
      <c r="G151" s="4">
        <f t="shared" si="15"/>
        <v>3.0569354222392052E-3</v>
      </c>
      <c r="H151" s="4">
        <f t="shared" si="16"/>
        <v>2.0940007642338623E-3</v>
      </c>
      <c r="I151" s="47" t="str">
        <f t="shared" si="17"/>
        <v>Venta</v>
      </c>
      <c r="J151" s="47" t="str">
        <f t="shared" si="18"/>
        <v>VentaVenta</v>
      </c>
      <c r="K151" s="47"/>
      <c r="L151" s="47"/>
      <c r="N151" s="47"/>
      <c r="O151" s="47"/>
      <c r="P151" s="47"/>
    </row>
    <row r="152" spans="1:16" x14ac:dyDescent="0.3">
      <c r="A152" s="1">
        <v>151</v>
      </c>
      <c r="B152">
        <v>326.52999999999997</v>
      </c>
      <c r="C152">
        <v>322.28500000000003</v>
      </c>
      <c r="D152">
        <v>326.44</v>
      </c>
      <c r="E152" t="str">
        <f t="shared" si="13"/>
        <v>Venta</v>
      </c>
      <c r="F152" t="str">
        <f t="shared" si="14"/>
        <v>Positivo</v>
      </c>
      <c r="G152" s="4">
        <f t="shared" si="15"/>
        <v>1.3000336875631483E-2</v>
      </c>
      <c r="H152" s="4">
        <f t="shared" si="16"/>
        <v>2.7562551679776744E-4</v>
      </c>
      <c r="I152" s="47" t="str">
        <f t="shared" si="17"/>
        <v>Venta</v>
      </c>
      <c r="J152" s="47" t="str">
        <f t="shared" si="18"/>
        <v>VentaVenta</v>
      </c>
      <c r="K152" s="47"/>
      <c r="L152" s="47"/>
      <c r="N152" s="47"/>
      <c r="O152" s="47"/>
      <c r="P152" s="47"/>
    </row>
    <row r="153" spans="1:16" x14ac:dyDescent="0.3">
      <c r="A153" s="1">
        <v>152</v>
      </c>
      <c r="B153">
        <v>326.08999999999997</v>
      </c>
      <c r="C153">
        <v>322.97000000000003</v>
      </c>
      <c r="D153">
        <v>326.44</v>
      </c>
      <c r="E153" t="str">
        <f t="shared" si="13"/>
        <v>Compra</v>
      </c>
      <c r="F153" t="str">
        <f t="shared" si="14"/>
        <v>Negativo</v>
      </c>
      <c r="G153" s="4">
        <f t="shared" si="15"/>
        <v>-9.5679106994999777E-3</v>
      </c>
      <c r="H153" s="4">
        <f t="shared" si="16"/>
        <v>1.0733233156491238E-3</v>
      </c>
      <c r="I153" s="47" t="str">
        <f t="shared" si="17"/>
        <v>Venta</v>
      </c>
      <c r="J153" s="47" t="str">
        <f t="shared" si="18"/>
        <v>CompraVenta</v>
      </c>
      <c r="K153" s="47"/>
      <c r="L153" s="47"/>
      <c r="N153" s="47"/>
      <c r="O153" s="47"/>
      <c r="P153" s="47"/>
    </row>
    <row r="154" spans="1:16" x14ac:dyDescent="0.3">
      <c r="A154" s="1">
        <v>153</v>
      </c>
      <c r="B154">
        <v>320.2</v>
      </c>
      <c r="C154">
        <v>321.09500000000003</v>
      </c>
      <c r="D154">
        <v>326.44</v>
      </c>
      <c r="E154" t="str">
        <f t="shared" si="13"/>
        <v>Compra</v>
      </c>
      <c r="F154" t="str">
        <f t="shared" si="14"/>
        <v>Positivo</v>
      </c>
      <c r="G154" s="4">
        <f t="shared" si="15"/>
        <v>2.7951280449720135E-3</v>
      </c>
      <c r="H154" s="4">
        <f t="shared" si="16"/>
        <v>1.9487820112429759E-2</v>
      </c>
      <c r="I154" s="47" t="str">
        <f t="shared" si="17"/>
        <v>Compra</v>
      </c>
      <c r="J154" s="47" t="str">
        <f t="shared" si="18"/>
        <v>CompraCompra</v>
      </c>
      <c r="K154" s="47"/>
      <c r="L154" s="47"/>
      <c r="N154" s="47"/>
      <c r="O154" s="47"/>
      <c r="P154" s="47"/>
    </row>
    <row r="155" spans="1:16" x14ac:dyDescent="0.3">
      <c r="A155" s="1">
        <v>154</v>
      </c>
      <c r="B155">
        <v>321.41000000000003</v>
      </c>
      <c r="C155">
        <v>324.01</v>
      </c>
      <c r="D155">
        <v>326.44</v>
      </c>
      <c r="E155" t="str">
        <f t="shared" si="13"/>
        <v>Compra</v>
      </c>
      <c r="F155" t="str">
        <f t="shared" si="14"/>
        <v>Positivo</v>
      </c>
      <c r="G155" s="4">
        <f t="shared" si="15"/>
        <v>8.0893562739179411E-3</v>
      </c>
      <c r="H155" s="4">
        <f t="shared" si="16"/>
        <v>1.5649793099156754E-2</v>
      </c>
      <c r="I155" s="47" t="str">
        <f t="shared" si="17"/>
        <v>Compra</v>
      </c>
      <c r="J155" s="47" t="str">
        <f t="shared" si="18"/>
        <v>CompraCompra</v>
      </c>
      <c r="K155" s="47"/>
      <c r="L155" s="47"/>
      <c r="N155" s="47"/>
      <c r="O155" s="47"/>
      <c r="P155" s="47"/>
    </row>
    <row r="156" spans="1:16" x14ac:dyDescent="0.3">
      <c r="A156" s="1">
        <v>155</v>
      </c>
      <c r="B156">
        <v>322.97000000000003</v>
      </c>
      <c r="C156">
        <v>321.92</v>
      </c>
      <c r="D156">
        <v>326.44</v>
      </c>
      <c r="E156" t="str">
        <f t="shared" si="13"/>
        <v>Compra</v>
      </c>
      <c r="F156" t="str">
        <f t="shared" si="14"/>
        <v>Negativo</v>
      </c>
      <c r="G156" s="4">
        <f t="shared" si="15"/>
        <v>-3.2510759513267834E-3</v>
      </c>
      <c r="H156" s="4">
        <f t="shared" si="16"/>
        <v>1.0744031953432116E-2</v>
      </c>
      <c r="I156" s="47" t="str">
        <f t="shared" si="17"/>
        <v>Venta</v>
      </c>
      <c r="J156" s="47" t="str">
        <f t="shared" si="18"/>
        <v>CompraVenta</v>
      </c>
      <c r="K156" s="47"/>
      <c r="L156" s="47"/>
      <c r="N156" s="47"/>
      <c r="O156" s="47"/>
      <c r="P156" s="47"/>
    </row>
    <row r="157" spans="1:16" x14ac:dyDescent="0.3">
      <c r="A157" s="1">
        <v>156</v>
      </c>
      <c r="B157">
        <v>320.89999999999998</v>
      </c>
      <c r="C157">
        <v>320.39</v>
      </c>
      <c r="D157">
        <v>326.44</v>
      </c>
      <c r="E157" t="str">
        <f t="shared" si="13"/>
        <v>Compra</v>
      </c>
      <c r="F157" t="str">
        <f t="shared" si="14"/>
        <v>Negativo</v>
      </c>
      <c r="G157" s="4">
        <f t="shared" si="15"/>
        <v>-1.5892801495792799E-3</v>
      </c>
      <c r="H157" s="4">
        <f t="shared" si="16"/>
        <v>1.7263945154253727E-2</v>
      </c>
      <c r="I157" s="47" t="str">
        <f t="shared" si="17"/>
        <v>Venta</v>
      </c>
      <c r="J157" s="47" t="str">
        <f t="shared" si="18"/>
        <v>CompraVenta</v>
      </c>
      <c r="K157" s="47"/>
      <c r="L157" s="47"/>
      <c r="N157" s="47"/>
      <c r="O157" s="47"/>
      <c r="P157" s="47"/>
    </row>
    <row r="158" spans="1:16" x14ac:dyDescent="0.3">
      <c r="A158" s="1">
        <v>157</v>
      </c>
      <c r="B158">
        <v>320.76</v>
      </c>
      <c r="C158">
        <v>316.83</v>
      </c>
      <c r="D158">
        <v>326.44</v>
      </c>
      <c r="E158" t="str">
        <f t="shared" si="13"/>
        <v>Compra</v>
      </c>
      <c r="F158" t="str">
        <f t="shared" si="14"/>
        <v>Negativo</v>
      </c>
      <c r="G158" s="4">
        <f t="shared" si="15"/>
        <v>-1.2252151141040052E-2</v>
      </c>
      <c r="H158" s="4">
        <f t="shared" si="16"/>
        <v>1.7707943633869582E-2</v>
      </c>
      <c r="I158" s="47" t="str">
        <f t="shared" si="17"/>
        <v>Venta</v>
      </c>
      <c r="J158" s="47" t="str">
        <f t="shared" si="18"/>
        <v>CompraVenta</v>
      </c>
      <c r="K158" s="47"/>
      <c r="L158" s="47"/>
      <c r="N158" s="47"/>
      <c r="O158" s="47"/>
      <c r="P158" s="47"/>
    </row>
    <row r="159" spans="1:16" x14ac:dyDescent="0.3">
      <c r="A159" s="1">
        <v>158</v>
      </c>
      <c r="B159">
        <v>314.44</v>
      </c>
      <c r="C159">
        <v>316.62</v>
      </c>
      <c r="D159">
        <v>326.44</v>
      </c>
      <c r="E159" t="str">
        <f t="shared" si="13"/>
        <v>Compra</v>
      </c>
      <c r="F159" t="str">
        <f t="shared" si="14"/>
        <v>Positivo</v>
      </c>
      <c r="G159" s="4">
        <f t="shared" si="15"/>
        <v>6.9329601831828232E-3</v>
      </c>
      <c r="H159" s="4">
        <f t="shared" si="16"/>
        <v>3.8163083577153034E-2</v>
      </c>
      <c r="I159" s="47" t="str">
        <f t="shared" si="17"/>
        <v>Compra</v>
      </c>
      <c r="J159" s="47" t="str">
        <f t="shared" si="18"/>
        <v>CompraCompra</v>
      </c>
      <c r="K159" s="47"/>
      <c r="L159" s="47"/>
      <c r="N159" s="47"/>
      <c r="O159" s="47"/>
      <c r="P159" s="47"/>
    </row>
    <row r="160" spans="1:16" x14ac:dyDescent="0.3">
      <c r="A160" s="1">
        <v>159</v>
      </c>
      <c r="B160">
        <v>317.86500000000001</v>
      </c>
      <c r="C160">
        <v>321.89499999999998</v>
      </c>
      <c r="D160">
        <v>326.44</v>
      </c>
      <c r="E160" t="str">
        <f t="shared" si="13"/>
        <v>Compra</v>
      </c>
      <c r="F160" t="str">
        <f t="shared" si="14"/>
        <v>Positivo</v>
      </c>
      <c r="G160" s="4">
        <f t="shared" si="15"/>
        <v>1.2678338288266946E-2</v>
      </c>
      <c r="H160" s="4">
        <f t="shared" si="16"/>
        <v>2.6976861246126464E-2</v>
      </c>
      <c r="I160" s="47" t="str">
        <f t="shared" si="17"/>
        <v>Compra</v>
      </c>
      <c r="J160" s="47" t="str">
        <f t="shared" si="18"/>
        <v>CompraCompra</v>
      </c>
      <c r="K160" s="47"/>
      <c r="L160" s="47"/>
      <c r="N160" s="47"/>
      <c r="O160" s="47"/>
      <c r="P160" s="47"/>
    </row>
    <row r="161" spans="1:16" x14ac:dyDescent="0.3">
      <c r="A161" s="1">
        <v>160</v>
      </c>
      <c r="B161">
        <v>325.47000000000003</v>
      </c>
      <c r="C161">
        <v>322.42500000000001</v>
      </c>
      <c r="D161">
        <v>326.44</v>
      </c>
      <c r="E161" t="str">
        <f t="shared" si="13"/>
        <v>Compra</v>
      </c>
      <c r="F161" t="str">
        <f t="shared" si="14"/>
        <v>Negativo</v>
      </c>
      <c r="G161" s="4">
        <f t="shared" si="15"/>
        <v>-9.3557009862660634E-3</v>
      </c>
      <c r="H161" s="4">
        <f t="shared" si="16"/>
        <v>2.9803054044918744E-3</v>
      </c>
      <c r="I161" s="47" t="str">
        <f t="shared" si="17"/>
        <v>Venta</v>
      </c>
      <c r="J161" s="47" t="str">
        <f t="shared" si="18"/>
        <v>CompraVenta</v>
      </c>
      <c r="K161" s="47"/>
      <c r="L161" s="47"/>
      <c r="N161" s="47"/>
      <c r="O161" s="47"/>
      <c r="P161" s="47"/>
    </row>
    <row r="162" spans="1:16" x14ac:dyDescent="0.3">
      <c r="A162" s="1">
        <v>161</v>
      </c>
      <c r="B162">
        <v>323.83499999999998</v>
      </c>
      <c r="C162">
        <v>327.02999999999997</v>
      </c>
      <c r="D162">
        <v>326.44</v>
      </c>
      <c r="E162" t="str">
        <f t="shared" si="13"/>
        <v>Compra</v>
      </c>
      <c r="F162" t="str">
        <f t="shared" si="14"/>
        <v>Positivo</v>
      </c>
      <c r="G162" s="4">
        <f t="shared" si="15"/>
        <v>9.8661355319838596E-3</v>
      </c>
      <c r="H162" s="4">
        <f t="shared" si="16"/>
        <v>8.0442200503343317E-3</v>
      </c>
      <c r="I162" s="47" t="str">
        <f t="shared" si="17"/>
        <v>Compra</v>
      </c>
      <c r="J162" s="47" t="str">
        <f t="shared" si="18"/>
        <v>CompraCompra</v>
      </c>
      <c r="K162" s="47"/>
      <c r="L162" s="47"/>
      <c r="N162" s="47"/>
      <c r="O162" s="47"/>
      <c r="P162" s="47"/>
    </row>
    <row r="163" spans="1:16" x14ac:dyDescent="0.3">
      <c r="A163" s="1">
        <v>162</v>
      </c>
      <c r="B163">
        <v>332.77499999999998</v>
      </c>
      <c r="C163">
        <v>319.95</v>
      </c>
      <c r="D163">
        <v>326.44</v>
      </c>
      <c r="E163" t="str">
        <f t="shared" si="13"/>
        <v>Venta</v>
      </c>
      <c r="F163" t="str">
        <f t="shared" si="14"/>
        <v>Positivo</v>
      </c>
      <c r="G163" s="4">
        <f t="shared" si="15"/>
        <v>3.8539553752535469E-2</v>
      </c>
      <c r="H163" s="4">
        <f t="shared" si="16"/>
        <v>1.9036886785365428E-2</v>
      </c>
      <c r="I163" s="47" t="str">
        <f t="shared" si="17"/>
        <v>Venta</v>
      </c>
      <c r="J163" s="47" t="str">
        <f t="shared" si="18"/>
        <v>VentaVenta</v>
      </c>
      <c r="K163" s="47"/>
      <c r="L163" s="47"/>
      <c r="N163" s="47"/>
      <c r="O163" s="47"/>
      <c r="P163" s="47"/>
    </row>
    <row r="164" spans="1:16" x14ac:dyDescent="0.3">
      <c r="A164" s="1">
        <v>163</v>
      </c>
      <c r="B164">
        <v>321.47000000000003</v>
      </c>
      <c r="C164">
        <v>322.95999999999998</v>
      </c>
      <c r="D164">
        <v>326.44</v>
      </c>
      <c r="E164" t="str">
        <f t="shared" si="13"/>
        <v>Compra</v>
      </c>
      <c r="F164" t="str">
        <f t="shared" si="14"/>
        <v>Positivo</v>
      </c>
      <c r="G164" s="4">
        <f t="shared" si="15"/>
        <v>4.6349581609479952E-3</v>
      </c>
      <c r="H164" s="4">
        <f t="shared" si="16"/>
        <v>1.5460229570410832E-2</v>
      </c>
      <c r="I164" s="47" t="str">
        <f t="shared" si="17"/>
        <v>Compra</v>
      </c>
      <c r="J164" s="47" t="str">
        <f t="shared" si="18"/>
        <v>CompraCompra</v>
      </c>
      <c r="K164" s="47"/>
      <c r="L164" s="47"/>
      <c r="N164" s="47"/>
      <c r="O164" s="47"/>
      <c r="P164" s="47"/>
    </row>
    <row r="165" spans="1:16" x14ac:dyDescent="0.3">
      <c r="A165" s="1">
        <v>164</v>
      </c>
      <c r="B165">
        <v>325.51</v>
      </c>
      <c r="C165">
        <v>323.83</v>
      </c>
      <c r="D165">
        <v>326.44</v>
      </c>
      <c r="E165" t="str">
        <f t="shared" si="13"/>
        <v>Compra</v>
      </c>
      <c r="F165" t="str">
        <f t="shared" si="14"/>
        <v>Negativo</v>
      </c>
      <c r="G165" s="4">
        <f t="shared" si="15"/>
        <v>-5.1611317624650757E-3</v>
      </c>
      <c r="H165" s="4">
        <f t="shared" si="16"/>
        <v>2.8570550827931762E-3</v>
      </c>
      <c r="I165" s="47" t="str">
        <f t="shared" si="17"/>
        <v>Venta</v>
      </c>
      <c r="J165" s="47" t="str">
        <f t="shared" si="18"/>
        <v>CompraVenta</v>
      </c>
      <c r="K165" s="47"/>
      <c r="L165" s="47"/>
      <c r="N165" s="47"/>
      <c r="O165" s="47"/>
      <c r="P165" s="47"/>
    </row>
    <row r="166" spans="1:16" x14ac:dyDescent="0.3">
      <c r="A166" s="1">
        <v>165</v>
      </c>
      <c r="B166">
        <v>322.04500000000002</v>
      </c>
      <c r="C166">
        <v>328.36</v>
      </c>
      <c r="D166">
        <v>326.44</v>
      </c>
      <c r="E166" t="str">
        <f t="shared" si="13"/>
        <v>Compra</v>
      </c>
      <c r="F166" t="str">
        <f t="shared" si="14"/>
        <v>Positivo</v>
      </c>
      <c r="G166" s="4">
        <f t="shared" si="15"/>
        <v>1.9609060845534002E-2</v>
      </c>
      <c r="H166" s="4">
        <f t="shared" si="16"/>
        <v>1.36471611110248E-2</v>
      </c>
      <c r="I166" s="47" t="str">
        <f t="shared" si="17"/>
        <v>Compra</v>
      </c>
      <c r="J166" s="47" t="str">
        <f t="shared" si="18"/>
        <v>CompraCompra</v>
      </c>
      <c r="K166" s="47"/>
      <c r="L166" s="47"/>
      <c r="N166" s="47"/>
      <c r="O166" s="47"/>
      <c r="P166" s="47"/>
    </row>
    <row r="167" spans="1:16" x14ac:dyDescent="0.3">
      <c r="A167" s="1">
        <v>166</v>
      </c>
      <c r="B167">
        <v>328.61</v>
      </c>
      <c r="C167">
        <v>328.8</v>
      </c>
      <c r="D167">
        <v>339.52499999999998</v>
      </c>
      <c r="E167" t="str">
        <f t="shared" si="13"/>
        <v>Compra</v>
      </c>
      <c r="F167" t="str">
        <f t="shared" si="14"/>
        <v>Positivo</v>
      </c>
      <c r="G167" s="4">
        <f t="shared" si="15"/>
        <v>5.7819299473539372E-4</v>
      </c>
      <c r="H167" s="4">
        <f t="shared" si="16"/>
        <v>3.3215665987036194E-2</v>
      </c>
      <c r="I167" s="47" t="str">
        <f t="shared" si="17"/>
        <v>Compra</v>
      </c>
      <c r="J167" s="47" t="str">
        <f t="shared" si="18"/>
        <v>CompraCompra</v>
      </c>
      <c r="K167" s="47"/>
      <c r="L167" s="47"/>
      <c r="N167" s="47"/>
      <c r="O167" s="47"/>
      <c r="P167" s="47"/>
    </row>
    <row r="168" spans="1:16" x14ac:dyDescent="0.3">
      <c r="A168" s="1">
        <v>167</v>
      </c>
      <c r="B168">
        <v>329.16500000000002</v>
      </c>
      <c r="C168">
        <v>327.88499999999999</v>
      </c>
      <c r="D168">
        <v>339.52499999999998</v>
      </c>
      <c r="E168" t="str">
        <f t="shared" si="13"/>
        <v>Compra</v>
      </c>
      <c r="F168" t="str">
        <f t="shared" si="14"/>
        <v>Negativo</v>
      </c>
      <c r="G168" s="4">
        <f t="shared" si="15"/>
        <v>-3.8886272841888703E-3</v>
      </c>
      <c r="H168" s="4">
        <f t="shared" si="16"/>
        <v>3.1473577081402811E-2</v>
      </c>
      <c r="I168" s="47" t="str">
        <f t="shared" si="17"/>
        <v>Venta</v>
      </c>
      <c r="J168" s="47" t="str">
        <f t="shared" si="18"/>
        <v>CompraVenta</v>
      </c>
      <c r="K168" s="47"/>
      <c r="L168" s="47"/>
      <c r="N168" s="47"/>
      <c r="O168" s="47"/>
      <c r="P168" s="47"/>
    </row>
    <row r="169" spans="1:16" x14ac:dyDescent="0.3">
      <c r="A169" s="1">
        <v>168</v>
      </c>
      <c r="G169" s="4"/>
      <c r="H169" s="4"/>
      <c r="I169" s="47"/>
      <c r="J169" s="47"/>
      <c r="K169" s="47"/>
      <c r="L169" s="47"/>
      <c r="N169" s="47"/>
      <c r="O169" s="47"/>
      <c r="P169" s="47"/>
    </row>
    <row r="170" spans="1:16" x14ac:dyDescent="0.3">
      <c r="A170" s="1">
        <v>169</v>
      </c>
      <c r="G170" s="4"/>
      <c r="H170" s="4"/>
      <c r="I170" s="47"/>
      <c r="J170" s="47"/>
      <c r="K170" s="47"/>
      <c r="L170" s="47"/>
      <c r="N170" s="47"/>
      <c r="O170" s="47"/>
      <c r="P170" s="47"/>
    </row>
    <row r="171" spans="1:16" x14ac:dyDescent="0.3">
      <c r="A171" s="1">
        <v>170</v>
      </c>
      <c r="G171" s="4"/>
      <c r="H171" s="4"/>
      <c r="I171" s="47"/>
      <c r="J171" s="47"/>
      <c r="K171" s="47"/>
      <c r="L171" s="47"/>
      <c r="N171" s="47"/>
      <c r="O171" s="47"/>
      <c r="P171" s="47"/>
    </row>
    <row r="172" spans="1:16" x14ac:dyDescent="0.3">
      <c r="A172" s="1">
        <v>171</v>
      </c>
      <c r="G172" s="4"/>
      <c r="H172" s="4"/>
      <c r="I172" s="47"/>
      <c r="J172" s="47"/>
      <c r="K172" s="47"/>
      <c r="L172" s="47"/>
      <c r="N172" s="47"/>
      <c r="O172" s="47"/>
      <c r="P172" s="47"/>
    </row>
    <row r="173" spans="1:16" x14ac:dyDescent="0.3">
      <c r="A173" s="1">
        <v>172</v>
      </c>
      <c r="G173" s="4"/>
      <c r="H173" s="4"/>
      <c r="I173" s="47"/>
      <c r="J173" s="47"/>
      <c r="K173" s="47"/>
      <c r="L173" s="47"/>
      <c r="N173" s="47"/>
      <c r="O173" s="47"/>
      <c r="P173" s="47"/>
    </row>
    <row r="174" spans="1:16" x14ac:dyDescent="0.3">
      <c r="A174" s="1">
        <v>173</v>
      </c>
      <c r="G174" s="4"/>
      <c r="H174" s="4"/>
      <c r="I174" s="47"/>
      <c r="J174" s="47"/>
      <c r="K174" s="47"/>
      <c r="L174" s="47"/>
      <c r="N174" s="47"/>
      <c r="O174" s="47"/>
      <c r="P174" s="47"/>
    </row>
    <row r="175" spans="1:16" x14ac:dyDescent="0.3">
      <c r="A175" s="1">
        <v>174</v>
      </c>
      <c r="G175" s="4"/>
      <c r="H175" s="4"/>
      <c r="I175" s="47"/>
      <c r="J175" s="47"/>
      <c r="K175" s="47"/>
      <c r="L175" s="47"/>
      <c r="N175" s="47"/>
      <c r="O175" s="47"/>
      <c r="P175" s="47"/>
    </row>
    <row r="176" spans="1:16" x14ac:dyDescent="0.3">
      <c r="A176" s="1">
        <v>175</v>
      </c>
      <c r="G176" s="4"/>
      <c r="H176" s="4"/>
      <c r="I176" s="47"/>
      <c r="J176" s="47"/>
      <c r="K176" s="47"/>
      <c r="L176" s="47"/>
      <c r="N176" s="47"/>
      <c r="O176" s="47"/>
      <c r="P176" s="47"/>
    </row>
    <row r="177" spans="1:16" x14ac:dyDescent="0.3">
      <c r="A177" s="1">
        <v>176</v>
      </c>
      <c r="G177" s="4"/>
      <c r="H177" s="4"/>
      <c r="I177" s="47"/>
      <c r="J177" s="47"/>
      <c r="K177" s="47"/>
      <c r="L177" s="47"/>
      <c r="N177" s="47"/>
      <c r="O177" s="47"/>
      <c r="P177" s="47"/>
    </row>
    <row r="178" spans="1:16" x14ac:dyDescent="0.3">
      <c r="A178" s="1">
        <v>177</v>
      </c>
      <c r="G178" s="4"/>
      <c r="H178" s="4"/>
      <c r="I178" s="47"/>
      <c r="J178" s="47"/>
      <c r="K178" s="47"/>
      <c r="L178" s="47"/>
      <c r="N178" s="47"/>
      <c r="O178" s="47"/>
      <c r="P178" s="47"/>
    </row>
    <row r="179" spans="1:16" x14ac:dyDescent="0.3">
      <c r="A179" s="1">
        <v>178</v>
      </c>
      <c r="G179" s="4"/>
      <c r="H179" s="4"/>
      <c r="I179" s="47"/>
      <c r="J179" s="47"/>
      <c r="K179" s="47"/>
      <c r="L179" s="47"/>
      <c r="N179" s="47"/>
      <c r="O179" s="47"/>
      <c r="P179" s="47"/>
    </row>
    <row r="180" spans="1:16" x14ac:dyDescent="0.3">
      <c r="A180" s="1">
        <v>179</v>
      </c>
      <c r="G180" s="4"/>
      <c r="H180" s="4"/>
      <c r="I180" s="47"/>
      <c r="J180" s="47"/>
      <c r="K180" s="47"/>
      <c r="L180" s="47"/>
      <c r="N180" s="47"/>
      <c r="O180" s="47"/>
      <c r="P180" s="47"/>
    </row>
    <row r="181" spans="1:16" x14ac:dyDescent="0.3">
      <c r="A181" s="1">
        <v>180</v>
      </c>
      <c r="G181" s="4"/>
      <c r="H181" s="4"/>
      <c r="I181" s="47"/>
      <c r="J181" s="47"/>
      <c r="K181" s="47"/>
      <c r="L181" s="47"/>
      <c r="N181" s="47"/>
      <c r="O181" s="47"/>
      <c r="P181" s="47"/>
    </row>
    <row r="182" spans="1:16" x14ac:dyDescent="0.3">
      <c r="A182" s="1">
        <v>181</v>
      </c>
      <c r="G182" s="4"/>
      <c r="H182" s="4"/>
      <c r="I182" s="47"/>
      <c r="J182" s="47"/>
      <c r="K182" s="47"/>
      <c r="L182" s="47"/>
      <c r="N182" s="47"/>
      <c r="O182" s="47"/>
      <c r="P182" s="47"/>
    </row>
    <row r="183" spans="1:16" x14ac:dyDescent="0.3">
      <c r="A183" s="1">
        <v>182</v>
      </c>
      <c r="G183" s="4"/>
      <c r="H183" s="4"/>
      <c r="I183" s="47"/>
      <c r="J183" s="47"/>
      <c r="K183" s="47"/>
      <c r="L183" s="47"/>
      <c r="N183" s="47"/>
      <c r="O183" s="47"/>
      <c r="P183" s="47"/>
    </row>
    <row r="184" spans="1:16" x14ac:dyDescent="0.3">
      <c r="A184" s="1">
        <v>183</v>
      </c>
      <c r="G184" s="4"/>
      <c r="H184" s="4"/>
      <c r="I184" s="47"/>
      <c r="J184" s="47"/>
      <c r="K184" s="47"/>
      <c r="L184" s="47"/>
      <c r="N184" s="47"/>
      <c r="O184" s="47"/>
      <c r="P184" s="47"/>
    </row>
    <row r="185" spans="1:16" x14ac:dyDescent="0.3">
      <c r="A185" s="1">
        <v>184</v>
      </c>
      <c r="G185" s="4"/>
      <c r="H185" s="4"/>
      <c r="I185" s="47"/>
      <c r="J185" s="47"/>
      <c r="K185" s="47"/>
      <c r="L185" s="47"/>
      <c r="N185" s="47"/>
      <c r="O185" s="47"/>
      <c r="P185" s="47"/>
    </row>
    <row r="186" spans="1:16" x14ac:dyDescent="0.3">
      <c r="A186" s="1">
        <v>185</v>
      </c>
      <c r="G186" s="4"/>
      <c r="H186" s="4"/>
      <c r="I186" s="47"/>
      <c r="J186" s="47"/>
      <c r="K186" s="47"/>
      <c r="L186" s="47"/>
      <c r="N186" s="47"/>
      <c r="O186" s="47"/>
      <c r="P186" s="47"/>
    </row>
    <row r="187" spans="1:16" x14ac:dyDescent="0.3">
      <c r="A187" s="1">
        <v>186</v>
      </c>
      <c r="G187" s="4"/>
      <c r="H187" s="4"/>
      <c r="I187" s="47"/>
      <c r="J187" s="47"/>
      <c r="K187" s="47"/>
      <c r="L187" s="47"/>
      <c r="N187" s="47"/>
      <c r="O187" s="47"/>
      <c r="P187" s="47"/>
    </row>
    <row r="188" spans="1:16" x14ac:dyDescent="0.3">
      <c r="A188" s="1">
        <v>187</v>
      </c>
      <c r="G188" s="4"/>
      <c r="H188" s="4"/>
      <c r="I188" s="47"/>
      <c r="J188" s="47"/>
      <c r="K188" s="47"/>
      <c r="L188" s="47"/>
      <c r="N188" s="47"/>
      <c r="O188" s="47"/>
      <c r="P188" s="47"/>
    </row>
    <row r="189" spans="1:16" x14ac:dyDescent="0.3">
      <c r="A189" s="1">
        <v>188</v>
      </c>
      <c r="G189" s="4"/>
      <c r="H189" s="4"/>
      <c r="I189" s="47"/>
      <c r="J189" s="47"/>
      <c r="K189" s="47"/>
      <c r="L189" s="47"/>
      <c r="N189" s="47"/>
      <c r="O189" s="47"/>
      <c r="P189" s="47"/>
    </row>
    <row r="190" spans="1:16" x14ac:dyDescent="0.3">
      <c r="A190" s="1">
        <v>189</v>
      </c>
      <c r="G190" s="4"/>
      <c r="H190" s="4"/>
      <c r="I190" s="47"/>
      <c r="J190" s="47"/>
      <c r="K190" s="47"/>
      <c r="L190" s="47"/>
      <c r="N190" s="47"/>
      <c r="O190" s="47"/>
      <c r="P190" s="47"/>
    </row>
    <row r="191" spans="1:16" x14ac:dyDescent="0.3">
      <c r="A191" s="1">
        <v>190</v>
      </c>
      <c r="G191" s="4"/>
      <c r="H191" s="4"/>
      <c r="I191" s="47"/>
      <c r="J191" s="47"/>
      <c r="K191" s="47"/>
      <c r="L191" s="47"/>
      <c r="N191" s="47"/>
      <c r="O191" s="47"/>
      <c r="P191" s="47"/>
    </row>
    <row r="192" spans="1:16" x14ac:dyDescent="0.3">
      <c r="A192" s="1">
        <v>191</v>
      </c>
      <c r="G192" s="4"/>
      <c r="H192" s="4"/>
      <c r="I192" s="47"/>
      <c r="J192" s="47"/>
      <c r="K192" s="47"/>
      <c r="L192" s="47"/>
      <c r="N192" s="47"/>
      <c r="O192" s="47"/>
      <c r="P192" s="47"/>
    </row>
    <row r="193" spans="1:16" x14ac:dyDescent="0.3">
      <c r="A193" s="1">
        <v>192</v>
      </c>
      <c r="G193" s="4"/>
      <c r="H193" s="4"/>
      <c r="I193" s="47"/>
      <c r="J193" s="47"/>
      <c r="K193" s="47"/>
      <c r="L193" s="47"/>
      <c r="N193" s="47"/>
      <c r="O193" s="47"/>
      <c r="P193" s="47"/>
    </row>
    <row r="194" spans="1:16" x14ac:dyDescent="0.3">
      <c r="A194" s="1">
        <v>193</v>
      </c>
      <c r="G194" s="4"/>
      <c r="H194" s="4"/>
      <c r="I194" s="47"/>
      <c r="J194" s="47"/>
      <c r="K194" s="47"/>
      <c r="L194" s="47"/>
      <c r="N194" s="47"/>
      <c r="O194" s="47"/>
      <c r="P194" s="47"/>
    </row>
    <row r="195" spans="1:16" x14ac:dyDescent="0.3">
      <c r="A195" s="1">
        <v>194</v>
      </c>
      <c r="G195" s="4"/>
      <c r="H195" s="4"/>
      <c r="I195" s="47"/>
      <c r="J195" s="47"/>
      <c r="K195" s="47"/>
      <c r="L195" s="47"/>
      <c r="N195" s="47"/>
      <c r="O195" s="47"/>
      <c r="P195" s="47"/>
    </row>
    <row r="196" spans="1:16" x14ac:dyDescent="0.3">
      <c r="A196" s="1">
        <v>195</v>
      </c>
      <c r="G196" s="4"/>
      <c r="H196" s="4"/>
      <c r="I196" s="47"/>
      <c r="J196" s="47"/>
      <c r="K196" s="47"/>
      <c r="L196" s="47"/>
      <c r="N196" s="47"/>
      <c r="O196" s="47"/>
      <c r="P196" s="47"/>
    </row>
    <row r="197" spans="1:16" x14ac:dyDescent="0.3">
      <c r="A197" s="1">
        <v>196</v>
      </c>
      <c r="G197" s="4"/>
      <c r="H197" s="4"/>
      <c r="I197" s="47"/>
      <c r="J197" s="47"/>
      <c r="K197" s="47"/>
      <c r="L197" s="47"/>
      <c r="N197" s="47"/>
      <c r="O197" s="47"/>
      <c r="P197" s="47"/>
    </row>
    <row r="198" spans="1:16" x14ac:dyDescent="0.3">
      <c r="A198" s="1">
        <v>197</v>
      </c>
      <c r="G198" s="4"/>
      <c r="H198" s="4"/>
      <c r="I198" s="47"/>
      <c r="J198" s="47"/>
      <c r="K198" s="47"/>
      <c r="L198" s="47"/>
      <c r="N198" s="47"/>
      <c r="O198" s="47"/>
      <c r="P198" s="47"/>
    </row>
    <row r="199" spans="1:16" x14ac:dyDescent="0.3">
      <c r="A199" s="1">
        <v>198</v>
      </c>
      <c r="G199" s="4"/>
      <c r="H199" s="4"/>
      <c r="I199" s="47"/>
      <c r="J199" s="47"/>
      <c r="K199" s="47"/>
      <c r="L199" s="47"/>
      <c r="N199" s="47"/>
      <c r="O199" s="47"/>
      <c r="P199" s="47"/>
    </row>
    <row r="200" spans="1:16" x14ac:dyDescent="0.3">
      <c r="A200" s="1">
        <v>199</v>
      </c>
      <c r="G200" s="4"/>
      <c r="H200" s="4"/>
      <c r="I200" s="47"/>
      <c r="J200" s="47"/>
      <c r="K200" s="47"/>
      <c r="L200" s="47"/>
      <c r="N200" s="47"/>
      <c r="O200" s="47"/>
      <c r="P200" s="47"/>
    </row>
    <row r="201" spans="1:16" x14ac:dyDescent="0.3">
      <c r="A201" s="1">
        <v>200</v>
      </c>
      <c r="G201" s="4"/>
      <c r="H201" s="4"/>
      <c r="I201" s="47"/>
      <c r="J201" s="47"/>
      <c r="K201" s="47"/>
      <c r="L201" s="47"/>
      <c r="N201" s="47"/>
      <c r="O201" s="47"/>
      <c r="P201" s="47"/>
    </row>
    <row r="202" spans="1:16" x14ac:dyDescent="0.3">
      <c r="A202" s="1">
        <v>201</v>
      </c>
      <c r="G202" s="4"/>
      <c r="H202" s="4"/>
      <c r="I202" s="47"/>
      <c r="J202" s="47"/>
      <c r="K202" s="47"/>
      <c r="L202" s="47"/>
      <c r="N202" s="47"/>
      <c r="O202" s="47"/>
      <c r="P202" s="47"/>
    </row>
    <row r="203" spans="1:16" x14ac:dyDescent="0.3">
      <c r="A203" s="1">
        <v>202</v>
      </c>
      <c r="G203" s="4"/>
      <c r="H203" s="4"/>
      <c r="I203" s="47"/>
      <c r="J203" s="47"/>
      <c r="K203" s="47"/>
      <c r="L203" s="47"/>
      <c r="N203" s="47"/>
      <c r="O203" s="47"/>
      <c r="P203" s="47"/>
    </row>
    <row r="204" spans="1:16" x14ac:dyDescent="0.3">
      <c r="A204" s="1">
        <v>203</v>
      </c>
      <c r="G204" s="4"/>
      <c r="H204" s="4"/>
      <c r="I204" s="47"/>
      <c r="J204" s="47"/>
      <c r="K204" s="47"/>
      <c r="L204" s="47"/>
      <c r="N204" s="47"/>
      <c r="O204" s="47"/>
      <c r="P204" s="47"/>
    </row>
    <row r="205" spans="1:16" x14ac:dyDescent="0.3">
      <c r="A205" s="1">
        <v>204</v>
      </c>
      <c r="G205" s="4"/>
      <c r="H205" s="4"/>
      <c r="I205" s="47"/>
      <c r="J205" s="47"/>
      <c r="K205" s="47"/>
      <c r="L205" s="47"/>
      <c r="N205" s="47"/>
      <c r="O205" s="47"/>
      <c r="P205" s="47"/>
    </row>
    <row r="206" spans="1:16" x14ac:dyDescent="0.3">
      <c r="A206" s="1">
        <v>205</v>
      </c>
      <c r="G206" s="4"/>
      <c r="H206" s="4"/>
      <c r="I206" s="47"/>
      <c r="J206" s="47"/>
      <c r="K206" s="47"/>
      <c r="L206" s="47"/>
      <c r="N206" s="47"/>
      <c r="O206" s="47"/>
      <c r="P206" s="47"/>
    </row>
    <row r="207" spans="1:16" x14ac:dyDescent="0.3">
      <c r="A207" s="1">
        <v>206</v>
      </c>
      <c r="G207" s="4"/>
      <c r="H207" s="4"/>
      <c r="I207" s="47"/>
      <c r="J207" s="47"/>
      <c r="K207" s="47"/>
      <c r="L207" s="47"/>
      <c r="N207" s="47"/>
      <c r="O207" s="47"/>
      <c r="P207" s="47"/>
    </row>
    <row r="208" spans="1:16" x14ac:dyDescent="0.3">
      <c r="A208" s="1">
        <v>207</v>
      </c>
      <c r="G208" s="4"/>
      <c r="H208" s="4"/>
      <c r="I208" s="47"/>
      <c r="J208" s="47"/>
      <c r="K208" s="47"/>
      <c r="L208" s="47"/>
      <c r="N208" s="47"/>
      <c r="O208" s="47"/>
      <c r="P208" s="47"/>
    </row>
    <row r="209" spans="1:16" x14ac:dyDescent="0.3">
      <c r="A209" s="1">
        <v>208</v>
      </c>
      <c r="G209" s="4"/>
      <c r="H209" s="4"/>
      <c r="I209" s="47"/>
      <c r="J209" s="47"/>
      <c r="K209" s="47"/>
      <c r="L209" s="47"/>
      <c r="N209" s="47"/>
      <c r="O209" s="47"/>
      <c r="P209" s="47"/>
    </row>
    <row r="210" spans="1:16" x14ac:dyDescent="0.3">
      <c r="A210" s="1">
        <v>209</v>
      </c>
      <c r="G210" s="4"/>
      <c r="H210" s="4"/>
      <c r="I210" s="47"/>
      <c r="J210" s="47"/>
      <c r="K210" s="47"/>
      <c r="L210" s="47"/>
      <c r="N210" s="47"/>
      <c r="O210" s="47"/>
      <c r="P210" s="47"/>
    </row>
    <row r="211" spans="1:16" x14ac:dyDescent="0.3">
      <c r="A211" s="1">
        <v>210</v>
      </c>
      <c r="G211" s="4"/>
      <c r="H211" s="4"/>
      <c r="I211" s="47"/>
      <c r="J211" s="47"/>
      <c r="K211" s="47"/>
      <c r="L211" s="47"/>
      <c r="N211" s="47"/>
      <c r="O211" s="47"/>
      <c r="P211" s="47"/>
    </row>
    <row r="212" spans="1:16" x14ac:dyDescent="0.3">
      <c r="A212" s="1">
        <v>211</v>
      </c>
      <c r="G212" s="4"/>
      <c r="H212" s="4"/>
      <c r="I212" s="47"/>
      <c r="J212" s="47"/>
      <c r="K212" s="47"/>
      <c r="L212" s="47"/>
      <c r="N212" s="47"/>
      <c r="O212" s="47"/>
      <c r="P212" s="47"/>
    </row>
    <row r="213" spans="1:16" x14ac:dyDescent="0.3">
      <c r="A213" s="1">
        <v>212</v>
      </c>
      <c r="G213" s="4"/>
      <c r="H213" s="4"/>
      <c r="I213" s="47"/>
      <c r="J213" s="47"/>
      <c r="K213" s="47"/>
      <c r="L213" s="47"/>
      <c r="N213" s="47"/>
      <c r="O213" s="47"/>
      <c r="P213" s="47"/>
    </row>
    <row r="214" spans="1:16" x14ac:dyDescent="0.3">
      <c r="A214" s="1">
        <v>213</v>
      </c>
      <c r="G214" s="4"/>
      <c r="H214" s="4"/>
      <c r="I214" s="47"/>
      <c r="J214" s="47"/>
      <c r="K214" s="47"/>
      <c r="L214" s="47"/>
      <c r="N214" s="47"/>
      <c r="O214" s="47"/>
      <c r="P214" s="47"/>
    </row>
    <row r="215" spans="1:16" x14ac:dyDescent="0.3">
      <c r="A215" s="1">
        <v>214</v>
      </c>
      <c r="G215" s="4"/>
      <c r="H215" s="4"/>
      <c r="I215" s="47"/>
      <c r="J215" s="47"/>
      <c r="K215" s="47"/>
      <c r="L215" s="47"/>
      <c r="N215" s="47"/>
      <c r="O215" s="47"/>
      <c r="P215" s="47"/>
    </row>
    <row r="216" spans="1:16" x14ac:dyDescent="0.3">
      <c r="A216" s="1">
        <v>215</v>
      </c>
      <c r="G216" s="4"/>
      <c r="H216" s="4"/>
      <c r="I216" s="47"/>
      <c r="J216" s="47"/>
      <c r="K216" s="47"/>
      <c r="L216" s="47"/>
      <c r="N216" s="47"/>
      <c r="O216" s="47"/>
      <c r="P216" s="47"/>
    </row>
    <row r="217" spans="1:16" x14ac:dyDescent="0.3">
      <c r="A217" s="1">
        <v>216</v>
      </c>
      <c r="G217" s="4"/>
      <c r="H217" s="4"/>
      <c r="I217" s="47"/>
      <c r="J217" s="47"/>
      <c r="K217" s="47"/>
      <c r="L217" s="47"/>
      <c r="N217" s="47"/>
      <c r="O217" s="47"/>
      <c r="P217" s="47"/>
    </row>
    <row r="218" spans="1:16" x14ac:dyDescent="0.3">
      <c r="A218" s="1">
        <v>217</v>
      </c>
      <c r="G218" s="4"/>
      <c r="H218" s="4"/>
      <c r="I218" s="47"/>
      <c r="J218" s="47"/>
      <c r="K218" s="47"/>
      <c r="L218" s="47"/>
      <c r="N218" s="47"/>
      <c r="O218" s="47"/>
      <c r="P218" s="47"/>
    </row>
    <row r="219" spans="1:16" x14ac:dyDescent="0.3">
      <c r="A219" s="1">
        <v>218</v>
      </c>
      <c r="G219" s="4"/>
      <c r="H219" s="4"/>
      <c r="I219" s="47"/>
      <c r="J219" s="47"/>
      <c r="K219" s="47"/>
      <c r="L219" s="47"/>
      <c r="N219" s="47"/>
      <c r="O219" s="47"/>
      <c r="P219" s="47"/>
    </row>
    <row r="220" spans="1:16" x14ac:dyDescent="0.3">
      <c r="A220" s="1">
        <v>219</v>
      </c>
      <c r="G220" s="4"/>
      <c r="H220" s="4"/>
      <c r="I220" s="47"/>
      <c r="J220" s="47"/>
      <c r="K220" s="47"/>
      <c r="L220" s="47"/>
      <c r="N220" s="47"/>
      <c r="O220" s="47"/>
      <c r="P220" s="47"/>
    </row>
    <row r="221" spans="1:16" x14ac:dyDescent="0.3">
      <c r="A221" s="1">
        <v>220</v>
      </c>
      <c r="G221" s="4"/>
      <c r="H221" s="4"/>
      <c r="I221" s="47"/>
      <c r="J221" s="47"/>
      <c r="K221" s="47"/>
      <c r="L221" s="47"/>
      <c r="N221" s="47"/>
      <c r="O221" s="47"/>
      <c r="P221" s="47"/>
    </row>
    <row r="222" spans="1:16" x14ac:dyDescent="0.3">
      <c r="A222" s="1">
        <v>221</v>
      </c>
      <c r="G222" s="4"/>
      <c r="H222" s="4"/>
      <c r="I222" s="47"/>
      <c r="J222" s="47"/>
      <c r="K222" s="47"/>
      <c r="L222" s="47"/>
      <c r="N222" s="47"/>
      <c r="O222" s="47"/>
      <c r="P222" s="47"/>
    </row>
    <row r="223" spans="1:16" x14ac:dyDescent="0.3">
      <c r="A223" s="1">
        <v>222</v>
      </c>
      <c r="G223" s="4"/>
      <c r="H223" s="4"/>
      <c r="I223" s="47"/>
      <c r="J223" s="47"/>
      <c r="K223" s="47"/>
      <c r="L223" s="47"/>
      <c r="N223" s="47"/>
      <c r="O223" s="47"/>
      <c r="P223" s="47"/>
    </row>
    <row r="224" spans="1:16" x14ac:dyDescent="0.3">
      <c r="A224" s="1">
        <v>223</v>
      </c>
      <c r="G224" s="4"/>
      <c r="H224" s="4"/>
      <c r="I224" s="47"/>
      <c r="J224" s="47"/>
      <c r="K224" s="47"/>
      <c r="L224" s="47"/>
      <c r="N224" s="47"/>
      <c r="O224" s="47"/>
      <c r="P224" s="47"/>
    </row>
    <row r="225" spans="1:16" x14ac:dyDescent="0.3">
      <c r="A225" s="1">
        <v>224</v>
      </c>
      <c r="G225" s="4"/>
      <c r="H225" s="4"/>
      <c r="I225" s="47"/>
      <c r="J225" s="47"/>
      <c r="K225" s="47"/>
      <c r="L225" s="47"/>
      <c r="N225" s="47"/>
      <c r="O225" s="47"/>
      <c r="P225" s="47"/>
    </row>
    <row r="226" spans="1:16" x14ac:dyDescent="0.3">
      <c r="A226" s="1">
        <v>225</v>
      </c>
      <c r="G226" s="4"/>
      <c r="H226" s="4"/>
      <c r="I226" s="47"/>
      <c r="J226" s="47"/>
      <c r="K226" s="47"/>
      <c r="L226" s="47"/>
      <c r="N226" s="47"/>
      <c r="O226" s="47"/>
      <c r="P226" s="47"/>
    </row>
    <row r="227" spans="1:16" x14ac:dyDescent="0.3">
      <c r="A227" s="1">
        <v>226</v>
      </c>
      <c r="G227" s="4"/>
      <c r="H227" s="4"/>
      <c r="I227" s="47"/>
      <c r="J227" s="47"/>
      <c r="K227" s="47"/>
      <c r="L227" s="47"/>
      <c r="N227" s="47"/>
      <c r="O227" s="47"/>
      <c r="P227" s="47"/>
    </row>
    <row r="228" spans="1:16" x14ac:dyDescent="0.3">
      <c r="A228" s="1">
        <v>227</v>
      </c>
      <c r="G228" s="4"/>
      <c r="H228" s="4"/>
      <c r="I228" s="47"/>
      <c r="J228" s="47"/>
      <c r="K228" s="47"/>
      <c r="L228" s="47"/>
      <c r="N228" s="47"/>
      <c r="O228" s="47"/>
      <c r="P228" s="47"/>
    </row>
    <row r="229" spans="1:16" x14ac:dyDescent="0.3">
      <c r="A229" s="1">
        <v>228</v>
      </c>
      <c r="G229" s="4"/>
      <c r="H229" s="4"/>
      <c r="I229" s="47"/>
      <c r="J229" s="47"/>
      <c r="K229" s="47"/>
      <c r="L229" s="47"/>
      <c r="N229" s="47"/>
      <c r="O229" s="47"/>
      <c r="P229" s="47"/>
    </row>
    <row r="230" spans="1:16" x14ac:dyDescent="0.3">
      <c r="A230" s="1">
        <v>229</v>
      </c>
      <c r="G230" s="4"/>
      <c r="H230" s="4"/>
      <c r="I230" s="47"/>
      <c r="J230" s="47"/>
      <c r="K230" s="47"/>
      <c r="L230" s="47"/>
      <c r="N230" s="47"/>
      <c r="O230" s="47"/>
      <c r="P230" s="47"/>
    </row>
    <row r="231" spans="1:16" x14ac:dyDescent="0.3">
      <c r="A231" s="1">
        <v>230</v>
      </c>
      <c r="G231" s="4"/>
      <c r="H231" s="4"/>
      <c r="I231" s="47"/>
      <c r="J231" s="47"/>
      <c r="K231" s="47"/>
      <c r="L231" s="47"/>
      <c r="N231" s="47"/>
      <c r="O231" s="47"/>
      <c r="P231" s="47"/>
    </row>
    <row r="232" spans="1:16" x14ac:dyDescent="0.3">
      <c r="A232" s="1">
        <v>231</v>
      </c>
      <c r="G232" s="4"/>
      <c r="H232" s="4"/>
      <c r="I232" s="47"/>
      <c r="J232" s="47"/>
      <c r="K232" s="47"/>
      <c r="L232" s="47"/>
      <c r="N232" s="47"/>
      <c r="O232" s="47"/>
      <c r="P232" s="47"/>
    </row>
    <row r="233" spans="1:16" x14ac:dyDescent="0.3">
      <c r="A233" s="1">
        <v>232</v>
      </c>
      <c r="G233" s="4"/>
      <c r="H233" s="4"/>
      <c r="I233" s="47"/>
      <c r="J233" s="47"/>
      <c r="K233" s="47"/>
      <c r="L233" s="47"/>
      <c r="N233" s="47"/>
      <c r="O233" s="47"/>
      <c r="P233" s="47"/>
    </row>
    <row r="234" spans="1:16" x14ac:dyDescent="0.3">
      <c r="A234" s="1">
        <v>233</v>
      </c>
      <c r="G234" s="4"/>
      <c r="H234" s="4"/>
      <c r="I234" s="47"/>
      <c r="J234" s="47"/>
      <c r="K234" s="47"/>
      <c r="L234" s="47"/>
      <c r="N234" s="47"/>
      <c r="O234" s="47"/>
      <c r="P234" s="47"/>
    </row>
    <row r="235" spans="1:16" x14ac:dyDescent="0.3">
      <c r="A235" s="1">
        <v>234</v>
      </c>
      <c r="G235" s="4"/>
      <c r="H235" s="4"/>
      <c r="I235" s="47"/>
      <c r="J235" s="47"/>
      <c r="K235" s="47"/>
      <c r="L235" s="47"/>
      <c r="N235" s="47"/>
      <c r="O235" s="47"/>
      <c r="P235" s="47"/>
    </row>
    <row r="236" spans="1:16" x14ac:dyDescent="0.3">
      <c r="A236" s="1">
        <v>235</v>
      </c>
      <c r="G236" s="4"/>
      <c r="H236" s="4"/>
      <c r="I236" s="47"/>
      <c r="J236" s="47"/>
      <c r="K236" s="47"/>
      <c r="L236" s="47"/>
      <c r="N236" s="47"/>
      <c r="O236" s="47"/>
      <c r="P236" s="47"/>
    </row>
    <row r="237" spans="1:16" x14ac:dyDescent="0.3">
      <c r="A237" s="1">
        <v>236</v>
      </c>
      <c r="G237" s="4"/>
      <c r="H237" s="4"/>
      <c r="I237" s="47"/>
      <c r="J237" s="47"/>
      <c r="K237" s="47"/>
      <c r="L237" s="47"/>
      <c r="N237" s="47"/>
      <c r="O237" s="47"/>
      <c r="P237" s="47"/>
    </row>
    <row r="238" spans="1:16" x14ac:dyDescent="0.3">
      <c r="A238" s="1">
        <v>237</v>
      </c>
      <c r="G238" s="4"/>
      <c r="H238" s="4"/>
      <c r="I238" s="47"/>
      <c r="J238" s="47"/>
      <c r="K238" s="47"/>
      <c r="L238" s="47"/>
      <c r="N238" s="47"/>
      <c r="O238" s="47"/>
      <c r="P238" s="47"/>
    </row>
    <row r="239" spans="1:16" x14ac:dyDescent="0.3">
      <c r="A239" s="1">
        <v>238</v>
      </c>
      <c r="G239" s="4"/>
      <c r="H239" s="4"/>
      <c r="I239" s="47"/>
      <c r="J239" s="47"/>
      <c r="K239" s="47"/>
      <c r="L239" s="47"/>
      <c r="N239" s="47"/>
      <c r="O239" s="47"/>
      <c r="P239" s="47"/>
    </row>
    <row r="240" spans="1:16" x14ac:dyDescent="0.3">
      <c r="A240" s="1">
        <v>239</v>
      </c>
      <c r="G240" s="4"/>
      <c r="H240" s="4"/>
      <c r="I240" s="47"/>
      <c r="J240" s="47"/>
      <c r="K240" s="47"/>
      <c r="L240" s="47"/>
      <c r="N240" s="47"/>
      <c r="O240" s="47"/>
      <c r="P240" s="47"/>
    </row>
    <row r="241" spans="1:16" x14ac:dyDescent="0.3">
      <c r="A241" s="1">
        <v>240</v>
      </c>
      <c r="G241" s="4"/>
      <c r="H241" s="4"/>
      <c r="I241" s="47"/>
      <c r="J241" s="47"/>
      <c r="K241" s="47"/>
      <c r="L241" s="47"/>
      <c r="N241" s="47"/>
      <c r="O241" s="47"/>
      <c r="P241" s="47"/>
    </row>
    <row r="242" spans="1:16" x14ac:dyDescent="0.3">
      <c r="A242" s="1">
        <v>241</v>
      </c>
      <c r="G242" s="4"/>
      <c r="H242" s="4"/>
      <c r="I242" s="47"/>
      <c r="J242" s="47"/>
      <c r="K242" s="47"/>
      <c r="L242" s="47"/>
      <c r="N242" s="47"/>
      <c r="O242" s="47"/>
      <c r="P242" s="47"/>
    </row>
    <row r="243" spans="1:16" x14ac:dyDescent="0.3">
      <c r="A243" s="1">
        <v>242</v>
      </c>
      <c r="G243" s="4"/>
      <c r="H243" s="4"/>
      <c r="I243" s="47"/>
      <c r="J243" s="47"/>
      <c r="K243" s="47"/>
      <c r="L243" s="47"/>
      <c r="N243" s="47"/>
      <c r="O243" s="47"/>
      <c r="P243" s="47"/>
    </row>
    <row r="244" spans="1:16" x14ac:dyDescent="0.3">
      <c r="A244" s="1">
        <v>243</v>
      </c>
      <c r="G244" s="4"/>
      <c r="H244" s="4"/>
      <c r="I244" s="47"/>
      <c r="J244" s="47"/>
      <c r="K244" s="47"/>
      <c r="L244" s="47"/>
      <c r="N244" s="47"/>
      <c r="O244" s="47"/>
      <c r="P244" s="47"/>
    </row>
    <row r="245" spans="1:16" x14ac:dyDescent="0.3">
      <c r="A245" s="1">
        <v>244</v>
      </c>
      <c r="G245" s="4"/>
      <c r="H245" s="4"/>
      <c r="I245" s="47"/>
      <c r="J245" s="47"/>
      <c r="K245" s="47"/>
      <c r="L245" s="47"/>
      <c r="N245" s="47"/>
      <c r="O245" s="47"/>
      <c r="P245" s="47"/>
    </row>
    <row r="246" spans="1:16" x14ac:dyDescent="0.3">
      <c r="A246" s="1">
        <v>245</v>
      </c>
      <c r="G246" s="4"/>
      <c r="H246" s="4"/>
      <c r="I246" s="47"/>
      <c r="J246" s="47"/>
      <c r="K246" s="47"/>
      <c r="L246" s="47"/>
      <c r="N246" s="47"/>
      <c r="O246" s="47"/>
      <c r="P246" s="47"/>
    </row>
    <row r="247" spans="1:16" x14ac:dyDescent="0.3">
      <c r="A247" s="1">
        <v>246</v>
      </c>
      <c r="G247" s="4"/>
      <c r="H247" s="4"/>
      <c r="I247" s="47"/>
      <c r="J247" s="47"/>
      <c r="K247" s="47"/>
      <c r="L247" s="47"/>
      <c r="N247" s="47"/>
      <c r="O247" s="47"/>
      <c r="P247" s="47"/>
    </row>
    <row r="248" spans="1:16" x14ac:dyDescent="0.3">
      <c r="A248" s="1">
        <v>247</v>
      </c>
      <c r="G248" s="4"/>
      <c r="H248" s="4"/>
      <c r="I248" s="47"/>
      <c r="J248" s="47"/>
      <c r="K248" s="47"/>
      <c r="L248" s="47"/>
      <c r="N248" s="47"/>
      <c r="O248" s="47"/>
      <c r="P248" s="47"/>
    </row>
    <row r="249" spans="1:16" x14ac:dyDescent="0.3">
      <c r="A249" s="1">
        <v>248</v>
      </c>
      <c r="G249" s="4"/>
      <c r="H249" s="4"/>
      <c r="I249" s="47"/>
      <c r="J249" s="47"/>
      <c r="K249" s="47"/>
      <c r="L249" s="47"/>
      <c r="N249" s="47"/>
      <c r="O249" s="47"/>
      <c r="P249" s="47"/>
    </row>
    <row r="250" spans="1:16" x14ac:dyDescent="0.3">
      <c r="A250" s="1">
        <v>249</v>
      </c>
      <c r="G250" s="4"/>
      <c r="H250" s="4"/>
      <c r="I250" s="47"/>
      <c r="J250" s="47"/>
      <c r="K250" s="47"/>
      <c r="L250" s="47"/>
      <c r="N250" s="47"/>
      <c r="O250" s="47"/>
      <c r="P250" s="47"/>
    </row>
    <row r="251" spans="1:16" x14ac:dyDescent="0.3">
      <c r="A251" s="1">
        <v>250</v>
      </c>
      <c r="G251" s="4"/>
      <c r="H251" s="4"/>
      <c r="I251" s="47"/>
      <c r="J251" s="47"/>
      <c r="K251" s="47"/>
      <c r="L251" s="47"/>
      <c r="N251" s="47"/>
      <c r="O251" s="47"/>
      <c r="P251" s="47"/>
    </row>
    <row r="252" spans="1:16" x14ac:dyDescent="0.3">
      <c r="A252" s="1">
        <v>251</v>
      </c>
      <c r="G252" s="4"/>
      <c r="H252" s="4"/>
      <c r="I252" s="47"/>
      <c r="J252" s="47"/>
      <c r="K252" s="47"/>
      <c r="L252" s="47"/>
      <c r="N252" s="47"/>
      <c r="O252" s="47"/>
      <c r="P252" s="47"/>
    </row>
    <row r="253" spans="1:16" x14ac:dyDescent="0.3">
      <c r="A253" s="1">
        <v>252</v>
      </c>
      <c r="G253" s="4"/>
      <c r="H253" s="4"/>
      <c r="I253" s="47"/>
      <c r="J253" s="47"/>
      <c r="K253" s="47"/>
      <c r="L253" s="47"/>
      <c r="N253" s="47"/>
      <c r="O253" s="47"/>
      <c r="P253" s="47"/>
    </row>
    <row r="254" spans="1:16" x14ac:dyDescent="0.3">
      <c r="A254" s="1">
        <v>253</v>
      </c>
      <c r="G254" s="4"/>
      <c r="H254" s="4"/>
      <c r="I254" s="47"/>
      <c r="J254" s="47"/>
      <c r="K254" s="47"/>
      <c r="L254" s="47"/>
      <c r="N254" s="47"/>
      <c r="O254" s="47"/>
      <c r="P254" s="47"/>
    </row>
    <row r="255" spans="1:16" x14ac:dyDescent="0.3">
      <c r="A255" s="1">
        <v>254</v>
      </c>
      <c r="G255" s="4"/>
      <c r="H255" s="4"/>
      <c r="I255" s="47"/>
      <c r="J255" s="47"/>
      <c r="K255" s="47"/>
      <c r="L255" s="47"/>
      <c r="N255" s="47"/>
      <c r="O255" s="47"/>
      <c r="P255" s="47"/>
    </row>
    <row r="256" spans="1:16" x14ac:dyDescent="0.3">
      <c r="A256" s="1">
        <v>255</v>
      </c>
      <c r="G256" s="4"/>
      <c r="H256" s="4"/>
      <c r="I256" s="47"/>
      <c r="J256" s="47"/>
      <c r="K256" s="47"/>
      <c r="L256" s="47"/>
      <c r="N256" s="47"/>
      <c r="O256" s="47"/>
      <c r="P256" s="47"/>
    </row>
    <row r="257" spans="1:16" x14ac:dyDescent="0.3">
      <c r="A257" s="1">
        <v>256</v>
      </c>
      <c r="G257" s="4"/>
      <c r="H257" s="4"/>
      <c r="I257" s="47"/>
      <c r="J257" s="47"/>
      <c r="K257" s="47"/>
      <c r="L257" s="47"/>
      <c r="N257" s="47"/>
      <c r="O257" s="47"/>
      <c r="P257" s="47"/>
    </row>
    <row r="258" spans="1:16" x14ac:dyDescent="0.3">
      <c r="A258" s="1">
        <v>257</v>
      </c>
      <c r="G258" s="4"/>
      <c r="H258" s="4"/>
      <c r="I258" s="47"/>
      <c r="J258" s="47"/>
      <c r="K258" s="47"/>
      <c r="L258" s="47"/>
      <c r="N258" s="47"/>
      <c r="O258" s="47"/>
      <c r="P258" s="47"/>
    </row>
    <row r="259" spans="1:16" x14ac:dyDescent="0.3">
      <c r="A259" s="1">
        <v>258</v>
      </c>
      <c r="G259" s="4"/>
      <c r="H259" s="4"/>
      <c r="I259" s="47"/>
      <c r="J259" s="47"/>
      <c r="K259" s="47"/>
      <c r="L259" s="47"/>
      <c r="N259" s="47"/>
      <c r="O259" s="47"/>
      <c r="P259" s="47"/>
    </row>
    <row r="260" spans="1:16" x14ac:dyDescent="0.3">
      <c r="A260" s="1">
        <v>259</v>
      </c>
      <c r="G260" s="4"/>
      <c r="H260" s="4"/>
      <c r="I260" s="47"/>
      <c r="J260" s="47"/>
      <c r="K260" s="47"/>
      <c r="L260" s="47"/>
      <c r="N260" s="47"/>
      <c r="O260" s="47"/>
      <c r="P260" s="47"/>
    </row>
    <row r="261" spans="1:16" x14ac:dyDescent="0.3">
      <c r="A261" s="1">
        <v>260</v>
      </c>
      <c r="G261" s="4"/>
      <c r="H261" s="4"/>
      <c r="I261" s="47"/>
      <c r="J261" s="47"/>
      <c r="K261" s="47"/>
      <c r="L261" s="47"/>
      <c r="N261" s="47"/>
      <c r="O261" s="47"/>
      <c r="P261" s="47"/>
    </row>
    <row r="262" spans="1:16" x14ac:dyDescent="0.3">
      <c r="A262" s="1">
        <v>261</v>
      </c>
      <c r="G262" s="4"/>
      <c r="H262" s="4"/>
      <c r="I262" s="47"/>
      <c r="J262" s="47"/>
      <c r="K262" s="47"/>
      <c r="L262" s="47"/>
      <c r="N262" s="47"/>
      <c r="O262" s="47"/>
      <c r="P262" s="47"/>
    </row>
    <row r="263" spans="1:16" x14ac:dyDescent="0.3">
      <c r="A263" s="1">
        <v>262</v>
      </c>
      <c r="G263" s="4"/>
      <c r="H263" s="4"/>
      <c r="I263" s="47"/>
      <c r="J263" s="47"/>
      <c r="K263" s="47"/>
      <c r="L263" s="47"/>
      <c r="N263" s="47"/>
      <c r="O263" s="47"/>
      <c r="P263" s="47"/>
    </row>
    <row r="264" spans="1:16" x14ac:dyDescent="0.3">
      <c r="A264" s="1">
        <v>263</v>
      </c>
      <c r="G264" s="4"/>
      <c r="H264" s="4"/>
      <c r="I264" s="47"/>
      <c r="J264" s="47"/>
      <c r="K264" s="47"/>
      <c r="L264" s="47"/>
      <c r="N264" s="47"/>
      <c r="O264" s="47"/>
      <c r="P264" s="47"/>
    </row>
    <row r="265" spans="1:16" x14ac:dyDescent="0.3">
      <c r="A265" s="1">
        <v>264</v>
      </c>
      <c r="G265" s="4"/>
      <c r="H265" s="4"/>
      <c r="I265" s="47"/>
      <c r="J265" s="47"/>
      <c r="K265" s="47"/>
      <c r="L265" s="47"/>
      <c r="N265" s="47"/>
      <c r="O265" s="47"/>
      <c r="P265" s="47"/>
    </row>
    <row r="266" spans="1:16" x14ac:dyDescent="0.3">
      <c r="A266" s="1">
        <v>265</v>
      </c>
      <c r="G266" s="4"/>
      <c r="H266" s="4"/>
      <c r="I266" s="47"/>
      <c r="J266" s="47"/>
      <c r="K266" s="47"/>
      <c r="L266" s="47"/>
      <c r="N266" s="47"/>
      <c r="O266" s="47"/>
      <c r="P266" s="47"/>
    </row>
    <row r="267" spans="1:16" x14ac:dyDescent="0.3">
      <c r="A267" s="1">
        <v>266</v>
      </c>
      <c r="G267" s="4"/>
      <c r="H267" s="4"/>
      <c r="I267" s="47"/>
      <c r="J267" s="47"/>
      <c r="K267" s="47"/>
      <c r="L267" s="47"/>
      <c r="N267" s="47"/>
      <c r="O267" s="47"/>
      <c r="P267" s="47"/>
    </row>
    <row r="268" spans="1:16" x14ac:dyDescent="0.3">
      <c r="A268" s="1">
        <v>267</v>
      </c>
      <c r="G268" s="4"/>
      <c r="H268" s="4"/>
      <c r="I268" s="47"/>
      <c r="J268" s="47"/>
      <c r="K268" s="47"/>
      <c r="L268" s="47"/>
      <c r="N268" s="47"/>
      <c r="O268" s="47"/>
      <c r="P268" s="47"/>
    </row>
    <row r="269" spans="1:16" x14ac:dyDescent="0.3">
      <c r="A269" s="1">
        <v>268</v>
      </c>
      <c r="G269" s="4"/>
      <c r="H269" s="4"/>
      <c r="I269" s="47"/>
      <c r="J269" s="47"/>
      <c r="K269" s="47"/>
      <c r="L269" s="47"/>
      <c r="N269" s="47"/>
      <c r="O269" s="47"/>
      <c r="P269" s="47"/>
    </row>
    <row r="270" spans="1:16" x14ac:dyDescent="0.3">
      <c r="A270" s="1">
        <v>269</v>
      </c>
      <c r="G270" s="4"/>
      <c r="H270" s="4"/>
      <c r="I270" s="47"/>
      <c r="J270" s="47"/>
      <c r="K270" s="47"/>
      <c r="L270" s="47"/>
      <c r="N270" s="47"/>
      <c r="O270" s="47"/>
      <c r="P270" s="47"/>
    </row>
    <row r="271" spans="1:16" x14ac:dyDescent="0.3">
      <c r="A271" s="1">
        <v>270</v>
      </c>
      <c r="G271" s="4"/>
      <c r="H271" s="4"/>
      <c r="I271" s="47"/>
      <c r="J271" s="47"/>
      <c r="K271" s="47"/>
      <c r="L271" s="47"/>
      <c r="N271" s="47"/>
      <c r="O271" s="47"/>
      <c r="P271" s="47"/>
    </row>
    <row r="272" spans="1:16" x14ac:dyDescent="0.3">
      <c r="A272" s="1">
        <v>271</v>
      </c>
      <c r="G272" s="4"/>
      <c r="H272" s="4"/>
      <c r="I272" s="47"/>
      <c r="J272" s="47"/>
      <c r="K272" s="47"/>
      <c r="L272" s="47"/>
      <c r="N272" s="47"/>
      <c r="O272" s="47"/>
      <c r="P272" s="47"/>
    </row>
    <row r="273" spans="1:16" x14ac:dyDescent="0.3">
      <c r="A273" s="1">
        <v>272</v>
      </c>
      <c r="G273" s="4"/>
      <c r="H273" s="4"/>
      <c r="I273" s="47"/>
      <c r="J273" s="47"/>
      <c r="K273" s="47"/>
      <c r="L273" s="47"/>
      <c r="N273" s="47"/>
      <c r="O273" s="47"/>
      <c r="P273" s="47"/>
    </row>
    <row r="274" spans="1:16" x14ac:dyDescent="0.3">
      <c r="A274" s="1">
        <v>273</v>
      </c>
      <c r="G274" s="4"/>
      <c r="H274" s="4"/>
      <c r="I274" s="47"/>
      <c r="J274" s="47"/>
      <c r="K274" s="47"/>
      <c r="L274" s="47"/>
      <c r="N274" s="47"/>
      <c r="O274" s="47"/>
      <c r="P274" s="47"/>
    </row>
    <row r="275" spans="1:16" x14ac:dyDescent="0.3">
      <c r="A275" s="1">
        <v>274</v>
      </c>
      <c r="G275" s="4"/>
      <c r="H275" s="4"/>
      <c r="I275" s="47"/>
      <c r="J275" s="47"/>
      <c r="K275" s="47"/>
      <c r="L275" s="47"/>
      <c r="N275" s="47"/>
      <c r="O275" s="47"/>
      <c r="P275" s="47"/>
    </row>
    <row r="276" spans="1:16" x14ac:dyDescent="0.3">
      <c r="A276" s="1">
        <v>275</v>
      </c>
      <c r="G276" s="4"/>
      <c r="H276" s="4"/>
      <c r="I276" s="47"/>
      <c r="J276" s="47"/>
      <c r="K276" s="47"/>
      <c r="L276" s="47"/>
      <c r="N276" s="47"/>
      <c r="O276" s="47"/>
      <c r="P276" s="47"/>
    </row>
    <row r="277" spans="1:16" x14ac:dyDescent="0.3">
      <c r="A277" s="1">
        <v>276</v>
      </c>
      <c r="G277" s="4"/>
      <c r="H277" s="4"/>
      <c r="I277" s="47"/>
      <c r="J277" s="47"/>
      <c r="K277" s="47"/>
      <c r="L277" s="47"/>
      <c r="N277" s="47"/>
      <c r="O277" s="47"/>
      <c r="P277" s="47"/>
    </row>
    <row r="278" spans="1:16" x14ac:dyDescent="0.3">
      <c r="A278" s="1">
        <v>277</v>
      </c>
      <c r="G278" s="4"/>
      <c r="H278" s="4"/>
      <c r="I278" s="47"/>
      <c r="J278" s="47"/>
      <c r="K278" s="47"/>
      <c r="L278" s="47"/>
      <c r="N278" s="47"/>
      <c r="O278" s="47"/>
      <c r="P278" s="47"/>
    </row>
    <row r="279" spans="1:16" x14ac:dyDescent="0.3">
      <c r="A279" s="1">
        <v>278</v>
      </c>
      <c r="G279" s="4"/>
      <c r="H279" s="4"/>
      <c r="I279" s="47"/>
      <c r="J279" s="47"/>
      <c r="K279" s="47"/>
      <c r="L279" s="47"/>
      <c r="N279" s="47"/>
      <c r="O279" s="47"/>
      <c r="P279" s="47"/>
    </row>
    <row r="280" spans="1:16" x14ac:dyDescent="0.3">
      <c r="A280" s="1">
        <v>279</v>
      </c>
      <c r="G280" s="4"/>
      <c r="H280" s="4"/>
      <c r="I280" s="47"/>
      <c r="J280" s="47"/>
      <c r="K280" s="47"/>
      <c r="L280" s="47"/>
      <c r="N280" s="47"/>
      <c r="O280" s="47"/>
      <c r="P280" s="47"/>
    </row>
    <row r="281" spans="1:16" x14ac:dyDescent="0.3">
      <c r="A281" s="1">
        <v>280</v>
      </c>
      <c r="G281" s="4"/>
      <c r="H281" s="4"/>
      <c r="I281" s="47"/>
      <c r="J281" s="47"/>
      <c r="K281" s="47"/>
      <c r="L281" s="47"/>
      <c r="N281" s="47"/>
      <c r="O281" s="47"/>
      <c r="P281" s="47"/>
    </row>
    <row r="282" spans="1:16" x14ac:dyDescent="0.3">
      <c r="A282" s="1">
        <v>281</v>
      </c>
      <c r="G282" s="4"/>
      <c r="H282" s="4"/>
      <c r="I282" s="47"/>
      <c r="J282" s="47"/>
      <c r="K282" s="47"/>
      <c r="L282" s="47"/>
      <c r="N282" s="47"/>
      <c r="O282" s="47"/>
      <c r="P282" s="47"/>
    </row>
    <row r="283" spans="1:16" x14ac:dyDescent="0.3">
      <c r="A283" s="1">
        <v>282</v>
      </c>
      <c r="G283" s="4"/>
      <c r="H283" s="4"/>
      <c r="I283" s="47"/>
      <c r="J283" s="47"/>
      <c r="K283" s="47"/>
      <c r="L283" s="47"/>
      <c r="N283" s="47"/>
      <c r="O283" s="47"/>
      <c r="P283" s="47"/>
    </row>
    <row r="284" spans="1:16" x14ac:dyDescent="0.3">
      <c r="A284" s="1">
        <v>283</v>
      </c>
      <c r="G284" s="4"/>
      <c r="H284" s="4"/>
      <c r="I284" s="47"/>
      <c r="J284" s="47"/>
      <c r="K284" s="47"/>
      <c r="L284" s="47"/>
      <c r="N284" s="47"/>
      <c r="O284" s="47"/>
      <c r="P284" s="47"/>
    </row>
    <row r="285" spans="1:16" x14ac:dyDescent="0.3">
      <c r="A285" s="1">
        <v>284</v>
      </c>
      <c r="G285" s="4"/>
      <c r="H285" s="4"/>
      <c r="I285" s="47"/>
      <c r="J285" s="47"/>
      <c r="K285" s="47"/>
      <c r="L285" s="47"/>
      <c r="N285" s="47"/>
      <c r="O285" s="47"/>
      <c r="P285" s="47"/>
    </row>
    <row r="286" spans="1:16" x14ac:dyDescent="0.3">
      <c r="A286" s="1">
        <v>285</v>
      </c>
      <c r="G286" s="4"/>
      <c r="H286" s="4"/>
      <c r="I286" s="47"/>
      <c r="J286" s="47"/>
      <c r="K286" s="47"/>
      <c r="L286" s="47"/>
      <c r="N286" s="47"/>
      <c r="O286" s="47"/>
      <c r="P286" s="47"/>
    </row>
    <row r="287" spans="1:16" x14ac:dyDescent="0.3">
      <c r="A287" s="1">
        <v>286</v>
      </c>
      <c r="G287" s="4"/>
      <c r="H287" s="4"/>
      <c r="I287" s="47"/>
      <c r="J287" s="47"/>
      <c r="K287" s="47"/>
      <c r="L287" s="47"/>
      <c r="N287" s="47"/>
      <c r="O287" s="47"/>
      <c r="P287" s="47"/>
    </row>
    <row r="288" spans="1:16" x14ac:dyDescent="0.3">
      <c r="A288" s="1">
        <v>287</v>
      </c>
      <c r="G288" s="4"/>
      <c r="H288" s="4"/>
      <c r="I288" s="47"/>
      <c r="J288" s="47"/>
      <c r="K288" s="47"/>
      <c r="L288" s="47"/>
      <c r="N288" s="47"/>
      <c r="O288" s="47"/>
      <c r="P288" s="47"/>
    </row>
    <row r="289" spans="1:16" x14ac:dyDescent="0.3">
      <c r="A289" s="1">
        <v>288</v>
      </c>
      <c r="G289" s="4"/>
      <c r="H289" s="4"/>
      <c r="I289" s="47"/>
      <c r="J289" s="47"/>
      <c r="K289" s="47"/>
      <c r="L289" s="47"/>
      <c r="N289" s="47"/>
      <c r="O289" s="47"/>
      <c r="P289" s="47"/>
    </row>
    <row r="290" spans="1:16" x14ac:dyDescent="0.3">
      <c r="A290" s="1">
        <v>289</v>
      </c>
      <c r="G290" s="4"/>
      <c r="H290" s="4"/>
      <c r="I290" s="47"/>
      <c r="J290" s="47"/>
      <c r="K290" s="47"/>
      <c r="L290" s="47"/>
      <c r="N290" s="47"/>
      <c r="O290" s="47"/>
      <c r="P290" s="47"/>
    </row>
    <row r="291" spans="1:16" x14ac:dyDescent="0.3">
      <c r="A291" s="1">
        <v>290</v>
      </c>
      <c r="G291" s="4"/>
      <c r="H291" s="4"/>
      <c r="I291" s="47"/>
      <c r="J291" s="47"/>
      <c r="K291" s="47"/>
      <c r="L291" s="47"/>
      <c r="N291" s="47"/>
      <c r="O291" s="47"/>
      <c r="P291" s="47"/>
    </row>
    <row r="292" spans="1:16" x14ac:dyDescent="0.3">
      <c r="A292" s="1">
        <v>291</v>
      </c>
      <c r="G292" s="4"/>
      <c r="H292" s="4"/>
      <c r="I292" s="47"/>
      <c r="J292" s="47"/>
      <c r="K292" s="47"/>
      <c r="L292" s="47"/>
      <c r="N292" s="47"/>
      <c r="O292" s="47"/>
      <c r="P292" s="47"/>
    </row>
    <row r="293" spans="1:16" x14ac:dyDescent="0.3">
      <c r="A293" s="1">
        <v>292</v>
      </c>
      <c r="G293" s="4"/>
      <c r="H293" s="4"/>
      <c r="I293" s="47"/>
      <c r="J293" s="47"/>
      <c r="K293" s="47"/>
      <c r="L293" s="47"/>
      <c r="N293" s="47"/>
      <c r="O293" s="47"/>
      <c r="P293" s="47"/>
    </row>
    <row r="294" spans="1:16" x14ac:dyDescent="0.3">
      <c r="A294" s="1">
        <v>293</v>
      </c>
      <c r="G294" s="4"/>
      <c r="H294" s="4"/>
      <c r="I294" s="47"/>
      <c r="J294" s="47"/>
      <c r="K294" s="47"/>
      <c r="L294" s="47"/>
      <c r="N294" s="47"/>
      <c r="O294" s="47"/>
      <c r="P294" s="47"/>
    </row>
    <row r="295" spans="1:16" x14ac:dyDescent="0.3">
      <c r="A295" s="1">
        <v>294</v>
      </c>
      <c r="G295" s="4"/>
      <c r="H295" s="4"/>
      <c r="I295" s="47"/>
      <c r="J295" s="47"/>
      <c r="K295" s="47"/>
      <c r="L295" s="47"/>
      <c r="N295" s="47"/>
      <c r="O295" s="47"/>
      <c r="P295" s="47"/>
    </row>
    <row r="296" spans="1:16" x14ac:dyDescent="0.3">
      <c r="A296" s="1">
        <v>295</v>
      </c>
      <c r="G296" s="4"/>
      <c r="H296" s="4"/>
      <c r="I296" s="47"/>
      <c r="J296" s="47"/>
      <c r="K296" s="47"/>
      <c r="L296" s="47"/>
      <c r="N296" s="47"/>
      <c r="O296" s="47"/>
      <c r="P296" s="47"/>
    </row>
    <row r="297" spans="1:16" x14ac:dyDescent="0.3">
      <c r="A297" s="1">
        <v>296</v>
      </c>
      <c r="G297" s="4"/>
      <c r="H297" s="4"/>
      <c r="I297" s="47"/>
      <c r="J297" s="47"/>
      <c r="K297" s="47"/>
      <c r="L297" s="47"/>
      <c r="N297" s="47"/>
      <c r="O297" s="47"/>
      <c r="P297" s="47"/>
    </row>
    <row r="298" spans="1:16" x14ac:dyDescent="0.3">
      <c r="A298" s="1">
        <v>297</v>
      </c>
      <c r="G298" s="4"/>
      <c r="H298" s="4"/>
      <c r="I298" s="47"/>
      <c r="J298" s="47"/>
      <c r="K298" s="47"/>
      <c r="L298" s="47"/>
      <c r="N298" s="47"/>
      <c r="O298" s="47"/>
      <c r="P298" s="47"/>
    </row>
    <row r="299" spans="1:16" x14ac:dyDescent="0.3">
      <c r="A299" s="1">
        <v>298</v>
      </c>
      <c r="G299" s="4"/>
      <c r="H299" s="4"/>
      <c r="I299" s="47"/>
      <c r="J299" s="47"/>
      <c r="K299" s="47"/>
      <c r="L299" s="47"/>
      <c r="N299" s="47"/>
      <c r="O299" s="47"/>
      <c r="P299" s="47"/>
    </row>
    <row r="300" spans="1:16" x14ac:dyDescent="0.3">
      <c r="A300" s="1">
        <v>299</v>
      </c>
      <c r="G300" s="4"/>
      <c r="H300" s="4"/>
      <c r="I300" s="47"/>
      <c r="J300" s="47"/>
      <c r="K300" s="47"/>
      <c r="L300" s="47"/>
      <c r="N300" s="47"/>
      <c r="O300" s="47"/>
      <c r="P300" s="47"/>
    </row>
    <row r="301" spans="1:16" x14ac:dyDescent="0.3">
      <c r="A301" s="1">
        <v>300</v>
      </c>
      <c r="G301" s="4"/>
      <c r="H301" s="4"/>
      <c r="I301" s="47"/>
      <c r="J301" s="47"/>
      <c r="K301" s="47"/>
      <c r="L301" s="47"/>
      <c r="N301" s="47"/>
      <c r="O301" s="47"/>
      <c r="P301" s="47"/>
    </row>
    <row r="302" spans="1:16" x14ac:dyDescent="0.3">
      <c r="A302" s="1">
        <v>301</v>
      </c>
      <c r="G302" s="4"/>
      <c r="H302" s="4"/>
      <c r="I302" s="47"/>
      <c r="J302" s="47"/>
      <c r="K302" s="47"/>
      <c r="L302" s="47"/>
      <c r="N302" s="47"/>
      <c r="O302" s="47"/>
      <c r="P302" s="47"/>
    </row>
    <row r="303" spans="1:16" x14ac:dyDescent="0.3">
      <c r="A303" s="1">
        <v>302</v>
      </c>
      <c r="G303" s="4"/>
      <c r="H303" s="4"/>
      <c r="I303" s="47"/>
      <c r="J303" s="47"/>
      <c r="K303" s="47"/>
      <c r="L303" s="47"/>
      <c r="N303" s="47"/>
      <c r="O303" s="47"/>
      <c r="P303" s="47"/>
    </row>
    <row r="304" spans="1:16" x14ac:dyDescent="0.3">
      <c r="A304" s="1">
        <v>303</v>
      </c>
      <c r="G304" s="4"/>
      <c r="H304" s="4"/>
      <c r="I304" s="47"/>
      <c r="J304" s="47"/>
      <c r="K304" s="47"/>
      <c r="L304" s="47"/>
      <c r="N304" s="47"/>
      <c r="O304" s="47"/>
      <c r="P304" s="47"/>
    </row>
    <row r="305" spans="1:16" x14ac:dyDescent="0.3">
      <c r="A305" s="1">
        <v>304</v>
      </c>
      <c r="G305" s="4"/>
      <c r="H305" s="4"/>
      <c r="I305" s="47"/>
      <c r="J305" s="47"/>
      <c r="K305" s="47"/>
      <c r="L305" s="47"/>
      <c r="N305" s="47"/>
      <c r="O305" s="47"/>
      <c r="P305" s="47"/>
    </row>
    <row r="306" spans="1:16" x14ac:dyDescent="0.3">
      <c r="A306" s="1">
        <v>305</v>
      </c>
      <c r="G306" s="4"/>
      <c r="H306" s="4"/>
      <c r="I306" s="47"/>
      <c r="J306" s="47"/>
      <c r="K306" s="47"/>
      <c r="L306" s="47"/>
      <c r="N306" s="47"/>
      <c r="O306" s="47"/>
      <c r="P306" s="47"/>
    </row>
    <row r="307" spans="1:16" x14ac:dyDescent="0.3">
      <c r="A307" s="1">
        <v>306</v>
      </c>
      <c r="G307" s="4"/>
      <c r="H307" s="4"/>
      <c r="I307" s="47"/>
      <c r="J307" s="47"/>
      <c r="K307" s="47"/>
      <c r="L307" s="47"/>
      <c r="N307" s="47"/>
      <c r="O307" s="47"/>
      <c r="P307" s="47"/>
    </row>
    <row r="308" spans="1:16" x14ac:dyDescent="0.3">
      <c r="A308" s="1">
        <v>307</v>
      </c>
      <c r="G308" s="4"/>
      <c r="H308" s="4"/>
      <c r="I308" s="47"/>
      <c r="J308" s="47"/>
      <c r="K308" s="47"/>
      <c r="L308" s="47"/>
      <c r="N308" s="47"/>
      <c r="O308" s="47"/>
      <c r="P308" s="47"/>
    </row>
    <row r="309" spans="1:16" x14ac:dyDescent="0.3">
      <c r="A309" s="1">
        <v>308</v>
      </c>
      <c r="G309" s="4"/>
      <c r="H309" s="4"/>
      <c r="I309" s="47"/>
      <c r="J309" s="47"/>
      <c r="K309" s="47"/>
      <c r="L309" s="47"/>
      <c r="N309" s="47"/>
      <c r="O309" s="47"/>
      <c r="P309" s="47"/>
    </row>
    <row r="310" spans="1:16" x14ac:dyDescent="0.3">
      <c r="A310" s="1">
        <v>309</v>
      </c>
      <c r="G310" s="4"/>
      <c r="H310" s="4"/>
      <c r="I310" s="47"/>
      <c r="J310" s="47"/>
      <c r="K310" s="47"/>
      <c r="L310" s="47"/>
      <c r="N310" s="47"/>
      <c r="O310" s="47"/>
      <c r="P310" s="47"/>
    </row>
    <row r="311" spans="1:16" x14ac:dyDescent="0.3">
      <c r="A311" s="1">
        <v>310</v>
      </c>
      <c r="G311" s="4"/>
      <c r="H311" s="4"/>
      <c r="I311" s="47"/>
      <c r="J311" s="47"/>
      <c r="K311" s="47"/>
      <c r="L311" s="47"/>
      <c r="N311" s="47"/>
      <c r="O311" s="47"/>
      <c r="P311" s="47"/>
    </row>
    <row r="312" spans="1:16" x14ac:dyDescent="0.3">
      <c r="A312" s="1">
        <v>311</v>
      </c>
      <c r="G312" s="4"/>
      <c r="H312" s="4"/>
      <c r="I312" s="47"/>
      <c r="J312" s="47"/>
      <c r="K312" s="47"/>
      <c r="L312" s="47"/>
      <c r="N312" s="47"/>
      <c r="O312" s="47"/>
      <c r="P312" s="47"/>
    </row>
    <row r="313" spans="1:16" x14ac:dyDescent="0.3">
      <c r="A313" s="1">
        <v>312</v>
      </c>
      <c r="G313" s="4"/>
      <c r="H313" s="4"/>
      <c r="I313" s="47"/>
      <c r="J313" s="47"/>
      <c r="K313" s="47"/>
      <c r="L313" s="47"/>
      <c r="N313" s="47"/>
      <c r="O313" s="47"/>
      <c r="P313" s="47"/>
    </row>
    <row r="314" spans="1:16" x14ac:dyDescent="0.3">
      <c r="A314" s="1">
        <v>313</v>
      </c>
      <c r="G314" s="4"/>
      <c r="H314" s="4"/>
      <c r="I314" s="47"/>
      <c r="J314" s="47"/>
      <c r="K314" s="47"/>
      <c r="L314" s="47"/>
      <c r="N314" s="47"/>
      <c r="O314" s="47"/>
      <c r="P314" s="47"/>
    </row>
    <row r="315" spans="1:16" x14ac:dyDescent="0.3">
      <c r="A315" s="1">
        <v>314</v>
      </c>
      <c r="G315" s="4"/>
      <c r="H315" s="4"/>
      <c r="I315" s="47"/>
      <c r="J315" s="47"/>
      <c r="K315" s="47"/>
      <c r="L315" s="47"/>
      <c r="N315" s="47"/>
      <c r="O315" s="47"/>
      <c r="P315" s="47"/>
    </row>
    <row r="316" spans="1:16" x14ac:dyDescent="0.3">
      <c r="A316" s="1">
        <v>315</v>
      </c>
      <c r="G316" s="4"/>
      <c r="H316" s="4"/>
      <c r="I316" s="47"/>
      <c r="J316" s="47"/>
      <c r="K316" s="47"/>
      <c r="L316" s="47"/>
      <c r="N316" s="47"/>
      <c r="O316" s="47"/>
      <c r="P316" s="47"/>
    </row>
    <row r="317" spans="1:16" x14ac:dyDescent="0.3">
      <c r="A317" s="1">
        <v>316</v>
      </c>
      <c r="G317" s="4"/>
      <c r="H317" s="4"/>
      <c r="I317" s="47"/>
      <c r="J317" s="47"/>
      <c r="K317" s="47"/>
      <c r="L317" s="47"/>
      <c r="N317" s="47"/>
      <c r="O317" s="47"/>
      <c r="P317" s="47"/>
    </row>
    <row r="318" spans="1:16" x14ac:dyDescent="0.3">
      <c r="A318" s="1">
        <v>317</v>
      </c>
      <c r="G318" s="4"/>
      <c r="H318" s="4"/>
      <c r="I318" s="47"/>
      <c r="J318" s="47"/>
      <c r="K318" s="47"/>
      <c r="L318" s="47"/>
      <c r="N318" s="47"/>
      <c r="O318" s="47"/>
      <c r="P318" s="47"/>
    </row>
    <row r="319" spans="1:16" x14ac:dyDescent="0.3">
      <c r="A319" s="1">
        <v>318</v>
      </c>
      <c r="G319" s="4"/>
      <c r="H319" s="4"/>
      <c r="I319" s="47"/>
      <c r="J319" s="47"/>
      <c r="K319" s="47"/>
      <c r="L319" s="47"/>
      <c r="N319" s="47"/>
      <c r="O319" s="47"/>
      <c r="P319" s="47"/>
    </row>
    <row r="320" spans="1:16" x14ac:dyDescent="0.3">
      <c r="A320" s="1">
        <v>319</v>
      </c>
      <c r="G320" s="4"/>
      <c r="H320" s="4"/>
      <c r="I320" s="47"/>
      <c r="J320" s="47"/>
      <c r="K320" s="47"/>
      <c r="L320" s="47"/>
      <c r="N320" s="47"/>
      <c r="O320" s="47"/>
      <c r="P320" s="47"/>
    </row>
    <row r="321" spans="1:16" x14ac:dyDescent="0.3">
      <c r="A321" s="1">
        <v>320</v>
      </c>
      <c r="G321" s="4"/>
      <c r="H321" s="4"/>
      <c r="I321" s="47"/>
      <c r="J321" s="47"/>
      <c r="K321" s="47"/>
      <c r="L321" s="47"/>
      <c r="N321" s="47"/>
      <c r="O321" s="47"/>
      <c r="P321" s="47"/>
    </row>
    <row r="322" spans="1:16" x14ac:dyDescent="0.3">
      <c r="A322" s="1">
        <v>321</v>
      </c>
      <c r="G322" s="4"/>
      <c r="H322" s="4"/>
      <c r="I322" s="47"/>
      <c r="J322" s="47"/>
      <c r="K322" s="47"/>
      <c r="L322" s="47"/>
      <c r="N322" s="47"/>
      <c r="O322" s="47"/>
      <c r="P322" s="47"/>
    </row>
    <row r="323" spans="1:16" x14ac:dyDescent="0.3">
      <c r="A323" s="1">
        <v>322</v>
      </c>
      <c r="G323" s="4"/>
      <c r="H323" s="4"/>
      <c r="I323" s="47"/>
      <c r="J323" s="47"/>
      <c r="K323" s="47"/>
      <c r="L323" s="47"/>
      <c r="N323" s="47"/>
      <c r="O323" s="47"/>
      <c r="P323" s="47"/>
    </row>
    <row r="324" spans="1:16" x14ac:dyDescent="0.3">
      <c r="A324" s="1">
        <v>323</v>
      </c>
      <c r="G324" s="4"/>
      <c r="H324" s="4"/>
      <c r="I324" s="47"/>
      <c r="J324" s="47"/>
      <c r="K324" s="47"/>
      <c r="L324" s="47"/>
      <c r="N324" s="47"/>
      <c r="O324" s="47"/>
      <c r="P324" s="47"/>
    </row>
    <row r="325" spans="1:16" x14ac:dyDescent="0.3">
      <c r="A325" s="1">
        <v>324</v>
      </c>
      <c r="G325" s="4"/>
      <c r="H325" s="4"/>
      <c r="I325" s="47"/>
      <c r="J325" s="47"/>
      <c r="K325" s="47"/>
      <c r="L325" s="47"/>
      <c r="N325" s="47"/>
      <c r="O325" s="47"/>
      <c r="P325" s="47"/>
    </row>
    <row r="326" spans="1:16" x14ac:dyDescent="0.3">
      <c r="A326" s="1">
        <v>325</v>
      </c>
      <c r="G326" s="4"/>
      <c r="H326" s="4"/>
      <c r="I326" s="47"/>
      <c r="J326" s="47"/>
      <c r="K326" s="47"/>
      <c r="L326" s="47"/>
      <c r="N326" s="47"/>
      <c r="O326" s="47"/>
      <c r="P326" s="47"/>
    </row>
    <row r="327" spans="1:16" x14ac:dyDescent="0.3">
      <c r="A327" s="1">
        <v>326</v>
      </c>
      <c r="G327" s="4"/>
      <c r="H327" s="4"/>
      <c r="I327" s="47"/>
      <c r="J327" s="47"/>
      <c r="K327" s="47"/>
      <c r="L327" s="47"/>
      <c r="N327" s="47"/>
      <c r="O327" s="47"/>
      <c r="P327" s="47"/>
    </row>
    <row r="328" spans="1:16" x14ac:dyDescent="0.3">
      <c r="A328" s="1">
        <v>327</v>
      </c>
      <c r="G328" s="4"/>
      <c r="H328" s="4"/>
      <c r="I328" s="47"/>
      <c r="J328" s="47"/>
      <c r="K328" s="47"/>
      <c r="L328" s="47"/>
      <c r="N328" s="47"/>
      <c r="O328" s="47"/>
      <c r="P328" s="47"/>
    </row>
    <row r="329" spans="1:16" x14ac:dyDescent="0.3">
      <c r="A329" s="1">
        <v>328</v>
      </c>
      <c r="G329" s="4"/>
      <c r="H329" s="4"/>
      <c r="I329" s="47"/>
      <c r="J329" s="47"/>
      <c r="K329" s="47"/>
      <c r="L329" s="47"/>
      <c r="N329" s="47"/>
      <c r="O329" s="47"/>
      <c r="P329" s="47"/>
    </row>
    <row r="330" spans="1:16" x14ac:dyDescent="0.3">
      <c r="A330" s="1">
        <v>329</v>
      </c>
      <c r="G330" s="4"/>
      <c r="H330" s="4"/>
      <c r="I330" s="47"/>
      <c r="J330" s="47"/>
      <c r="K330" s="47"/>
      <c r="L330" s="47"/>
      <c r="N330" s="47"/>
      <c r="O330" s="47"/>
      <c r="P330" s="47"/>
    </row>
    <row r="331" spans="1:16" x14ac:dyDescent="0.3">
      <c r="A331" s="1">
        <v>330</v>
      </c>
      <c r="G331" s="4"/>
      <c r="H331" s="4"/>
      <c r="I331" s="47"/>
      <c r="J331" s="47"/>
      <c r="K331" s="47"/>
      <c r="L331" s="47"/>
      <c r="N331" s="47"/>
      <c r="O331" s="47"/>
      <c r="P331" s="47"/>
    </row>
    <row r="332" spans="1:16" x14ac:dyDescent="0.3">
      <c r="A332" s="1">
        <v>331</v>
      </c>
      <c r="G332" s="4"/>
      <c r="H332" s="4"/>
      <c r="I332" s="47"/>
      <c r="J332" s="47"/>
      <c r="K332" s="47"/>
      <c r="L332" s="47"/>
      <c r="N332" s="47"/>
      <c r="O332" s="47"/>
      <c r="P332" s="47"/>
    </row>
    <row r="333" spans="1:16" x14ac:dyDescent="0.3">
      <c r="A333" s="1">
        <v>332</v>
      </c>
      <c r="G333" s="4"/>
      <c r="H333" s="4"/>
      <c r="I333" s="47"/>
      <c r="J333" s="47"/>
      <c r="K333" s="47"/>
      <c r="L333" s="47"/>
      <c r="N333" s="47"/>
      <c r="O333" s="47"/>
      <c r="P333" s="47"/>
    </row>
    <row r="334" spans="1:16" x14ac:dyDescent="0.3">
      <c r="A334" s="1">
        <v>333</v>
      </c>
      <c r="G334" s="4"/>
      <c r="H334" s="4"/>
      <c r="I334" s="47"/>
      <c r="J334" s="47"/>
      <c r="K334" s="47"/>
      <c r="L334" s="47"/>
      <c r="N334" s="47"/>
      <c r="O334" s="47"/>
      <c r="P334" s="47"/>
    </row>
    <row r="335" spans="1:16" x14ac:dyDescent="0.3">
      <c r="A335" s="1">
        <v>334</v>
      </c>
      <c r="G335" s="4"/>
      <c r="H335" s="4"/>
      <c r="I335" s="47"/>
      <c r="J335" s="47"/>
      <c r="K335" s="47"/>
      <c r="L335" s="47"/>
      <c r="N335" s="47"/>
      <c r="O335" s="47"/>
      <c r="P335" s="47"/>
    </row>
    <row r="336" spans="1:16" x14ac:dyDescent="0.3">
      <c r="A336" s="1">
        <v>335</v>
      </c>
      <c r="G336" s="4"/>
      <c r="H336" s="4"/>
      <c r="I336" s="47"/>
      <c r="J336" s="47"/>
      <c r="K336" s="47"/>
      <c r="L336" s="47"/>
      <c r="N336" s="47"/>
      <c r="O336" s="47"/>
      <c r="P336" s="47"/>
    </row>
    <row r="337" spans="1:16" x14ac:dyDescent="0.3">
      <c r="A337" s="1">
        <v>336</v>
      </c>
      <c r="G337" s="4"/>
      <c r="H337" s="4"/>
      <c r="I337" s="47"/>
      <c r="J337" s="47"/>
      <c r="K337" s="47"/>
      <c r="L337" s="47"/>
      <c r="N337" s="47"/>
      <c r="O337" s="47"/>
      <c r="P337" s="47"/>
    </row>
    <row r="338" spans="1:16" x14ac:dyDescent="0.3">
      <c r="A338" s="1">
        <v>337</v>
      </c>
      <c r="G338" s="4"/>
      <c r="H338" s="4"/>
      <c r="I338" s="47"/>
      <c r="J338" s="47"/>
      <c r="K338" s="47"/>
      <c r="L338" s="47"/>
      <c r="N338" s="47"/>
      <c r="O338" s="47"/>
      <c r="P338" s="47"/>
    </row>
    <row r="339" spans="1:16" x14ac:dyDescent="0.3">
      <c r="A339" s="1">
        <v>338</v>
      </c>
      <c r="G339" s="4"/>
      <c r="H339" s="4"/>
      <c r="I339" s="47"/>
      <c r="J339" s="47"/>
      <c r="K339" s="47"/>
      <c r="L339" s="47"/>
      <c r="N339" s="47"/>
      <c r="O339" s="47"/>
      <c r="P339" s="47"/>
    </row>
    <row r="340" spans="1:16" x14ac:dyDescent="0.3">
      <c r="A340" s="1">
        <v>339</v>
      </c>
      <c r="G340" s="4"/>
      <c r="H340" s="4"/>
      <c r="I340" s="47"/>
      <c r="J340" s="47"/>
      <c r="K340" s="47"/>
      <c r="L340" s="47"/>
      <c r="N340" s="47"/>
      <c r="O340" s="47"/>
      <c r="P340" s="47"/>
    </row>
    <row r="341" spans="1:16" x14ac:dyDescent="0.3">
      <c r="A341" s="1">
        <v>340</v>
      </c>
      <c r="G341" s="4"/>
      <c r="H341" s="4"/>
      <c r="I341" s="47"/>
      <c r="J341" s="47"/>
      <c r="K341" s="47"/>
      <c r="L341" s="47"/>
      <c r="N341" s="47"/>
      <c r="O341" s="47"/>
      <c r="P341" s="47"/>
    </row>
    <row r="342" spans="1:16" x14ac:dyDescent="0.3">
      <c r="A342" s="1">
        <v>341</v>
      </c>
      <c r="G342" s="4"/>
      <c r="H342" s="4"/>
      <c r="I342" s="47"/>
      <c r="J342" s="47"/>
      <c r="K342" s="47"/>
      <c r="L342" s="47"/>
      <c r="N342" s="47"/>
      <c r="O342" s="47"/>
      <c r="P342" s="47"/>
    </row>
    <row r="343" spans="1:16" x14ac:dyDescent="0.3">
      <c r="A343" s="1">
        <v>342</v>
      </c>
      <c r="G343" s="4"/>
      <c r="H343" s="4"/>
      <c r="I343" s="47"/>
      <c r="J343" s="47"/>
      <c r="K343" s="47"/>
      <c r="L343" s="47"/>
      <c r="N343" s="47"/>
      <c r="O343" s="47"/>
      <c r="P343" s="47"/>
    </row>
    <row r="344" spans="1:16" x14ac:dyDescent="0.3">
      <c r="A344" s="1">
        <v>343</v>
      </c>
      <c r="G344" s="4"/>
      <c r="H344" s="4"/>
      <c r="I344" s="47"/>
      <c r="J344" s="47"/>
      <c r="K344" s="47"/>
      <c r="L344" s="47"/>
      <c r="N344" s="47"/>
      <c r="O344" s="47"/>
      <c r="P344" s="47"/>
    </row>
    <row r="345" spans="1:16" x14ac:dyDescent="0.3">
      <c r="A345" s="1">
        <v>344</v>
      </c>
      <c r="G345" s="4"/>
      <c r="H345" s="4"/>
      <c r="I345" s="47"/>
      <c r="J345" s="47"/>
      <c r="K345" s="47"/>
      <c r="L345" s="47"/>
      <c r="N345" s="47"/>
      <c r="O345" s="47"/>
      <c r="P345" s="47"/>
    </row>
    <row r="346" spans="1:16" x14ac:dyDescent="0.3">
      <c r="A346" s="1">
        <v>345</v>
      </c>
      <c r="G346" s="4"/>
      <c r="H346" s="4"/>
      <c r="I346" s="47"/>
      <c r="J346" s="47"/>
      <c r="K346" s="47"/>
      <c r="L346" s="47"/>
      <c r="N346" s="47"/>
      <c r="O346" s="47"/>
      <c r="P346" s="47"/>
    </row>
    <row r="347" spans="1:16" x14ac:dyDescent="0.3">
      <c r="A347" s="1">
        <v>346</v>
      </c>
      <c r="G347" s="4"/>
      <c r="H347" s="4"/>
      <c r="I347" s="47"/>
      <c r="J347" s="47"/>
      <c r="K347" s="47"/>
      <c r="L347" s="47"/>
      <c r="N347" s="47"/>
      <c r="O347" s="47"/>
      <c r="P347" s="47"/>
    </row>
    <row r="348" spans="1:16" x14ac:dyDescent="0.3">
      <c r="A348" s="1">
        <v>347</v>
      </c>
      <c r="G348" s="4"/>
      <c r="H348" s="4"/>
      <c r="I348" s="47"/>
      <c r="J348" s="47"/>
      <c r="K348" s="47"/>
      <c r="L348" s="47"/>
      <c r="N348" s="47"/>
      <c r="O348" s="47"/>
      <c r="P348" s="47"/>
    </row>
    <row r="349" spans="1:16" x14ac:dyDescent="0.3">
      <c r="A349" s="1">
        <v>348</v>
      </c>
      <c r="G349" s="4"/>
      <c r="H349" s="4"/>
      <c r="I349" s="47"/>
      <c r="J349" s="47"/>
      <c r="K349" s="47"/>
      <c r="L349" s="47"/>
      <c r="N349" s="47"/>
      <c r="O349" s="47"/>
      <c r="P349" s="47"/>
    </row>
    <row r="350" spans="1:16" x14ac:dyDescent="0.3">
      <c r="A350" s="1">
        <v>349</v>
      </c>
      <c r="G350" s="4"/>
      <c r="H350" s="4"/>
      <c r="I350" s="47"/>
      <c r="J350" s="47"/>
      <c r="K350" s="47"/>
      <c r="L350" s="47"/>
      <c r="N350" s="47"/>
      <c r="O350" s="47"/>
      <c r="P350" s="47"/>
    </row>
    <row r="351" spans="1:16" x14ac:dyDescent="0.3">
      <c r="A351" s="1">
        <v>350</v>
      </c>
      <c r="G351" s="4"/>
      <c r="H351" s="4"/>
      <c r="I351" s="47"/>
      <c r="J351" s="47"/>
      <c r="K351" s="47"/>
      <c r="L351" s="47"/>
      <c r="N351" s="47"/>
      <c r="O351" s="47"/>
      <c r="P351" s="47"/>
    </row>
    <row r="352" spans="1:16" x14ac:dyDescent="0.3">
      <c r="A352" s="1">
        <v>351</v>
      </c>
      <c r="G352" s="4"/>
      <c r="H352" s="4"/>
      <c r="I352" s="47"/>
      <c r="J352" s="47"/>
      <c r="K352" s="47"/>
      <c r="L352" s="47"/>
      <c r="N352" s="47"/>
      <c r="O352" s="47"/>
      <c r="P352" s="47"/>
    </row>
    <row r="353" spans="1:16" x14ac:dyDescent="0.3">
      <c r="A353" s="1">
        <v>352</v>
      </c>
      <c r="G353" s="4"/>
      <c r="H353" s="4"/>
      <c r="I353" s="47"/>
      <c r="J353" s="47"/>
      <c r="K353" s="47"/>
      <c r="L353" s="47"/>
      <c r="N353" s="47"/>
      <c r="O353" s="47"/>
      <c r="P353" s="47"/>
    </row>
    <row r="354" spans="1:16" x14ac:dyDescent="0.3">
      <c r="A354" s="1">
        <v>353</v>
      </c>
      <c r="G354" s="4"/>
      <c r="H354" s="4"/>
      <c r="I354" s="47"/>
      <c r="J354" s="47"/>
      <c r="K354" s="47"/>
      <c r="L354" s="47"/>
      <c r="N354" s="47"/>
      <c r="O354" s="47"/>
      <c r="P354" s="47"/>
    </row>
    <row r="355" spans="1:16" x14ac:dyDescent="0.3">
      <c r="A355" s="1">
        <v>354</v>
      </c>
      <c r="G355" s="4"/>
      <c r="H355" s="4"/>
      <c r="I355" s="47"/>
      <c r="J355" s="47"/>
      <c r="K355" s="47"/>
      <c r="L355" s="47"/>
      <c r="N355" s="47"/>
      <c r="O355" s="47"/>
      <c r="P355" s="47"/>
    </row>
    <row r="356" spans="1:16" x14ac:dyDescent="0.3">
      <c r="A356" s="1">
        <v>355</v>
      </c>
      <c r="G356" s="4"/>
      <c r="H356" s="4"/>
      <c r="I356" s="47"/>
      <c r="J356" s="47"/>
      <c r="K356" s="47"/>
      <c r="L356" s="47"/>
      <c r="N356" s="47"/>
      <c r="O356" s="47"/>
      <c r="P356" s="47"/>
    </row>
    <row r="357" spans="1:16" x14ac:dyDescent="0.3">
      <c r="A357" s="1">
        <v>356</v>
      </c>
      <c r="G357" s="4"/>
      <c r="H357" s="4"/>
      <c r="I357" s="47"/>
      <c r="J357" s="47"/>
      <c r="K357" s="47"/>
      <c r="L357" s="47"/>
      <c r="N357" s="47"/>
      <c r="O357" s="47"/>
      <c r="P357" s="47"/>
    </row>
    <row r="358" spans="1:16" x14ac:dyDescent="0.3">
      <c r="A358" s="1">
        <v>357</v>
      </c>
      <c r="G358" s="4"/>
      <c r="H358" s="4"/>
      <c r="I358" s="47"/>
      <c r="J358" s="47"/>
      <c r="K358" s="47"/>
      <c r="L358" s="47"/>
      <c r="N358" s="47"/>
      <c r="O358" s="47"/>
      <c r="P358" s="47"/>
    </row>
    <row r="359" spans="1:16" x14ac:dyDescent="0.3">
      <c r="A359" s="1">
        <v>358</v>
      </c>
      <c r="G359" s="4"/>
      <c r="H359" s="4"/>
      <c r="I359" s="47"/>
      <c r="J359" s="47"/>
      <c r="K359" s="47"/>
      <c r="L359" s="47"/>
      <c r="N359" s="47"/>
      <c r="O359" s="47"/>
      <c r="P359" s="47"/>
    </row>
    <row r="360" spans="1:16" x14ac:dyDescent="0.3">
      <c r="A360" s="1">
        <v>359</v>
      </c>
      <c r="G360" s="4"/>
      <c r="H360" s="4"/>
      <c r="I360" s="47"/>
      <c r="J360" s="47"/>
      <c r="K360" s="47"/>
      <c r="L360" s="47"/>
      <c r="N360" s="47"/>
      <c r="O360" s="47"/>
      <c r="P360" s="47"/>
    </row>
    <row r="361" spans="1:16" x14ac:dyDescent="0.3">
      <c r="A361" s="1">
        <v>360</v>
      </c>
      <c r="G361" s="4"/>
      <c r="H361" s="4"/>
      <c r="I361" s="47"/>
      <c r="J361" s="47"/>
      <c r="K361" s="47"/>
      <c r="L361" s="47"/>
      <c r="N361" s="47"/>
      <c r="O361" s="47"/>
      <c r="P361" s="47"/>
    </row>
    <row r="362" spans="1:16" x14ac:dyDescent="0.3">
      <c r="A362" s="1">
        <v>361</v>
      </c>
      <c r="G362" s="4"/>
      <c r="H362" s="4"/>
      <c r="I362" s="47"/>
      <c r="J362" s="47"/>
      <c r="K362" s="47"/>
      <c r="L362" s="47"/>
      <c r="N362" s="47"/>
      <c r="O362" s="47"/>
      <c r="P362" s="47"/>
    </row>
    <row r="363" spans="1:16" x14ac:dyDescent="0.3">
      <c r="A363" s="1">
        <v>362</v>
      </c>
      <c r="G363" s="4"/>
      <c r="H363" s="4"/>
      <c r="I363" s="47"/>
      <c r="J363" s="47"/>
      <c r="K363" s="47"/>
      <c r="L363" s="47"/>
      <c r="N363" s="47"/>
      <c r="O363" s="47"/>
      <c r="P363" s="47"/>
    </row>
    <row r="364" spans="1:16" x14ac:dyDescent="0.3">
      <c r="A364" s="1">
        <v>363</v>
      </c>
      <c r="G364" s="4"/>
      <c r="H364" s="4"/>
      <c r="I364" s="47"/>
      <c r="J364" s="47"/>
      <c r="K364" s="47"/>
      <c r="L364" s="47"/>
      <c r="N364" s="47"/>
      <c r="O364" s="47"/>
      <c r="P364" s="47"/>
    </row>
    <row r="365" spans="1:16" x14ac:dyDescent="0.3">
      <c r="A365" s="1">
        <v>364</v>
      </c>
      <c r="G365" s="4"/>
      <c r="H365" s="4"/>
      <c r="I365" s="47"/>
      <c r="J365" s="47"/>
      <c r="K365" s="47"/>
      <c r="L365" s="47"/>
      <c r="N365" s="47"/>
      <c r="O365" s="47"/>
      <c r="P365" s="47"/>
    </row>
    <row r="366" spans="1:16" x14ac:dyDescent="0.3">
      <c r="A366" s="1">
        <v>365</v>
      </c>
      <c r="G366" s="4"/>
      <c r="H366" s="4"/>
      <c r="I366" s="47"/>
      <c r="J366" s="47"/>
      <c r="K366" s="47"/>
      <c r="L366" s="47"/>
      <c r="N366" s="47"/>
      <c r="O366" s="47"/>
      <c r="P366" s="47"/>
    </row>
    <row r="367" spans="1:16" x14ac:dyDescent="0.3">
      <c r="A367" s="1">
        <v>366</v>
      </c>
      <c r="G367" s="4"/>
      <c r="H367" s="4"/>
      <c r="I367" s="47"/>
      <c r="J367" s="47"/>
      <c r="K367" s="47"/>
      <c r="L367" s="47"/>
      <c r="N367" s="47"/>
      <c r="O367" s="47"/>
      <c r="P367" s="47"/>
    </row>
    <row r="368" spans="1:16" x14ac:dyDescent="0.3">
      <c r="A368" s="1">
        <v>367</v>
      </c>
      <c r="G368" s="4"/>
      <c r="H368" s="4"/>
      <c r="I368" s="47"/>
      <c r="J368" s="47"/>
      <c r="K368" s="47"/>
      <c r="L368" s="47"/>
      <c r="N368" s="47"/>
      <c r="O368" s="47"/>
      <c r="P368" s="47"/>
    </row>
    <row r="369" spans="1:16" x14ac:dyDescent="0.3">
      <c r="A369" s="1">
        <v>368</v>
      </c>
      <c r="G369" s="4"/>
      <c r="H369" s="4"/>
      <c r="I369" s="47"/>
      <c r="J369" s="47"/>
      <c r="K369" s="47"/>
      <c r="L369" s="47"/>
      <c r="N369" s="47"/>
      <c r="O369" s="47"/>
      <c r="P369" s="47"/>
    </row>
    <row r="370" spans="1:16" x14ac:dyDescent="0.3">
      <c r="A370" s="1">
        <v>369</v>
      </c>
      <c r="G370" s="4"/>
      <c r="H370" s="4"/>
      <c r="I370" s="47"/>
      <c r="J370" s="47"/>
      <c r="K370" s="47"/>
      <c r="L370" s="47"/>
      <c r="N370" s="47"/>
      <c r="O370" s="47"/>
      <c r="P370" s="47"/>
    </row>
    <row r="371" spans="1:16" x14ac:dyDescent="0.3">
      <c r="A371" s="1">
        <v>370</v>
      </c>
      <c r="G371" s="4"/>
      <c r="H371" s="4"/>
      <c r="I371" s="47"/>
      <c r="J371" s="47"/>
      <c r="K371" s="47"/>
      <c r="L371" s="47"/>
      <c r="N371" s="47"/>
      <c r="O371" s="47"/>
      <c r="P371" s="47"/>
    </row>
    <row r="372" spans="1:16" x14ac:dyDescent="0.3">
      <c r="A372" s="1">
        <v>371</v>
      </c>
      <c r="G372" s="4"/>
      <c r="H372" s="4"/>
      <c r="I372" s="47"/>
      <c r="J372" s="47"/>
      <c r="K372" s="47"/>
      <c r="L372" s="47"/>
      <c r="N372" s="47"/>
      <c r="O372" s="47"/>
      <c r="P372" s="47"/>
    </row>
    <row r="373" spans="1:16" x14ac:dyDescent="0.3">
      <c r="A373" s="1">
        <v>372</v>
      </c>
      <c r="G373" s="4"/>
      <c r="H373" s="4"/>
      <c r="I373" s="47"/>
      <c r="J373" s="47"/>
      <c r="K373" s="47"/>
      <c r="L373" s="47"/>
      <c r="N373" s="47"/>
      <c r="O373" s="47"/>
      <c r="P373" s="47"/>
    </row>
    <row r="374" spans="1:16" x14ac:dyDescent="0.3">
      <c r="A374" s="1">
        <v>373</v>
      </c>
      <c r="G374" s="4"/>
      <c r="H374" s="4"/>
      <c r="I374" s="47"/>
      <c r="J374" s="47"/>
      <c r="K374" s="47"/>
      <c r="L374" s="47"/>
      <c r="N374" s="47"/>
      <c r="O374" s="47"/>
      <c r="P374" s="47"/>
    </row>
    <row r="375" spans="1:16" x14ac:dyDescent="0.3">
      <c r="A375" s="1">
        <v>374</v>
      </c>
      <c r="G375" s="4"/>
      <c r="H375" s="4"/>
      <c r="I375" s="47"/>
      <c r="J375" s="47"/>
      <c r="K375" s="47"/>
      <c r="L375" s="47"/>
      <c r="N375" s="47"/>
      <c r="O375" s="47"/>
      <c r="P375" s="47"/>
    </row>
    <row r="376" spans="1:16" x14ac:dyDescent="0.3">
      <c r="A376" s="1">
        <v>375</v>
      </c>
      <c r="G376" s="4"/>
      <c r="H376" s="4"/>
      <c r="I376" s="47"/>
      <c r="J376" s="47"/>
      <c r="K376" s="47"/>
      <c r="L376" s="47"/>
      <c r="N376" s="47"/>
      <c r="O376" s="47"/>
      <c r="P376" s="47"/>
    </row>
    <row r="377" spans="1:16" x14ac:dyDescent="0.3">
      <c r="A377" s="1">
        <v>376</v>
      </c>
      <c r="G377" s="4"/>
      <c r="H377" s="4"/>
      <c r="I377" s="47"/>
      <c r="J377" s="47"/>
      <c r="K377" s="47"/>
      <c r="L377" s="47"/>
      <c r="N377" s="47"/>
      <c r="O377" s="47"/>
      <c r="P377" s="47"/>
    </row>
    <row r="378" spans="1:16" x14ac:dyDescent="0.3">
      <c r="A378" s="1">
        <v>377</v>
      </c>
      <c r="G378" s="4"/>
      <c r="H378" s="4"/>
      <c r="I378" s="47"/>
      <c r="J378" s="47"/>
      <c r="K378" s="47"/>
      <c r="L378" s="47"/>
      <c r="N378" s="47"/>
      <c r="O378" s="47"/>
      <c r="P378" s="47"/>
    </row>
    <row r="379" spans="1:16" x14ac:dyDescent="0.3">
      <c r="A379" s="1">
        <v>378</v>
      </c>
      <c r="G379" s="4"/>
      <c r="H379" s="4"/>
      <c r="I379" s="47"/>
      <c r="J379" s="47"/>
      <c r="K379" s="47"/>
      <c r="L379" s="47"/>
      <c r="N379" s="47"/>
      <c r="O379" s="47"/>
      <c r="P379" s="47"/>
    </row>
    <row r="380" spans="1:16" x14ac:dyDescent="0.3">
      <c r="A380" s="1">
        <v>379</v>
      </c>
      <c r="G380" s="4"/>
      <c r="H380" s="4"/>
      <c r="I380" s="47"/>
      <c r="J380" s="47"/>
      <c r="K380" s="47"/>
      <c r="L380" s="47"/>
      <c r="N380" s="47"/>
      <c r="O380" s="47"/>
      <c r="P380" s="47"/>
    </row>
    <row r="381" spans="1:16" x14ac:dyDescent="0.3">
      <c r="A381" s="1">
        <v>380</v>
      </c>
      <c r="G381" s="4"/>
      <c r="H381" s="4"/>
      <c r="I381" s="47"/>
      <c r="J381" s="47"/>
      <c r="K381" s="47"/>
      <c r="L381" s="47"/>
      <c r="N381" s="47"/>
      <c r="O381" s="47"/>
      <c r="P381" s="47"/>
    </row>
    <row r="382" spans="1:16" x14ac:dyDescent="0.3">
      <c r="A382" s="1">
        <v>381</v>
      </c>
      <c r="G382" s="4"/>
      <c r="H382" s="4"/>
      <c r="I382" s="47"/>
      <c r="J382" s="47"/>
      <c r="K382" s="47"/>
      <c r="L382" s="47"/>
      <c r="N382" s="47"/>
      <c r="O382" s="47"/>
      <c r="P382" s="47"/>
    </row>
    <row r="383" spans="1:16" x14ac:dyDescent="0.3">
      <c r="A383" s="1">
        <v>382</v>
      </c>
      <c r="G383" s="4"/>
      <c r="H383" s="4"/>
      <c r="I383" s="47"/>
      <c r="J383" s="47"/>
      <c r="K383" s="47"/>
      <c r="L383" s="47"/>
      <c r="N383" s="47"/>
      <c r="O383" s="47"/>
      <c r="P383" s="47"/>
    </row>
    <row r="384" spans="1:16" x14ac:dyDescent="0.3">
      <c r="A384" s="1">
        <v>383</v>
      </c>
      <c r="G384" s="4"/>
      <c r="H384" s="4"/>
      <c r="I384" s="47"/>
      <c r="J384" s="47"/>
      <c r="K384" s="47"/>
      <c r="L384" s="47"/>
      <c r="N384" s="47"/>
      <c r="O384" s="47"/>
      <c r="P384" s="47"/>
    </row>
    <row r="385" spans="1:16" x14ac:dyDescent="0.3">
      <c r="A385" s="1">
        <v>384</v>
      </c>
      <c r="G385" s="4"/>
      <c r="H385" s="4"/>
      <c r="I385" s="47"/>
      <c r="J385" s="47"/>
      <c r="K385" s="47"/>
      <c r="L385" s="47"/>
      <c r="N385" s="47"/>
      <c r="O385" s="47"/>
      <c r="P385" s="47"/>
    </row>
    <row r="386" spans="1:16" x14ac:dyDescent="0.3">
      <c r="A386" s="1">
        <v>385</v>
      </c>
      <c r="G386" s="4"/>
      <c r="H386" s="4"/>
      <c r="I386" s="47"/>
      <c r="J386" s="47"/>
      <c r="K386" s="47"/>
      <c r="L386" s="47"/>
      <c r="N386" s="47"/>
      <c r="O386" s="47"/>
      <c r="P386" s="47"/>
    </row>
    <row r="387" spans="1:16" x14ac:dyDescent="0.3">
      <c r="A387" s="1">
        <v>386</v>
      </c>
      <c r="G387" s="4"/>
      <c r="H387" s="4"/>
      <c r="I387" s="47"/>
      <c r="J387" s="47"/>
      <c r="K387" s="47"/>
      <c r="L387" s="47"/>
      <c r="N387" s="47"/>
      <c r="O387" s="47"/>
      <c r="P387" s="47"/>
    </row>
    <row r="388" spans="1:16" x14ac:dyDescent="0.3">
      <c r="A388" s="1">
        <v>387</v>
      </c>
      <c r="G388" s="4"/>
      <c r="H388" s="4"/>
      <c r="I388" s="47"/>
      <c r="J388" s="47"/>
      <c r="K388" s="47"/>
      <c r="L388" s="47"/>
      <c r="N388" s="47"/>
      <c r="O388" s="47"/>
      <c r="P388" s="47"/>
    </row>
    <row r="389" spans="1:16" x14ac:dyDescent="0.3">
      <c r="A389" s="1">
        <v>388</v>
      </c>
      <c r="G389" s="4"/>
      <c r="H389" s="4"/>
      <c r="I389" s="47"/>
      <c r="J389" s="47"/>
      <c r="K389" s="47"/>
      <c r="L389" s="47"/>
      <c r="N389" s="47"/>
      <c r="O389" s="47"/>
      <c r="P389" s="47"/>
    </row>
    <row r="390" spans="1:16" x14ac:dyDescent="0.3">
      <c r="A390" s="1">
        <v>389</v>
      </c>
      <c r="G390" s="4"/>
      <c r="H390" s="4"/>
      <c r="I390" s="47"/>
      <c r="J390" s="47"/>
      <c r="K390" s="47"/>
      <c r="L390" s="47"/>
      <c r="N390" s="47"/>
      <c r="O390" s="47"/>
      <c r="P390" s="47"/>
    </row>
    <row r="391" spans="1:16" x14ac:dyDescent="0.3">
      <c r="A391" s="1">
        <v>390</v>
      </c>
      <c r="G391" s="4"/>
      <c r="H391" s="4"/>
      <c r="I391" s="47"/>
      <c r="J391" s="47"/>
      <c r="K391" s="47"/>
      <c r="L391" s="47"/>
      <c r="N391" s="47"/>
      <c r="O391" s="47"/>
      <c r="P391" s="47"/>
    </row>
    <row r="392" spans="1:16" x14ac:dyDescent="0.3">
      <c r="A392" s="1">
        <v>391</v>
      </c>
      <c r="G392" s="4"/>
      <c r="H392" s="4"/>
      <c r="I392" s="47"/>
      <c r="J392" s="47"/>
      <c r="K392" s="47"/>
      <c r="L392" s="47"/>
      <c r="N392" s="47"/>
      <c r="O392" s="47"/>
      <c r="P392" s="47"/>
    </row>
    <row r="393" spans="1:16" x14ac:dyDescent="0.3">
      <c r="A393" s="1">
        <v>392</v>
      </c>
      <c r="G393" s="4"/>
      <c r="H393" s="4"/>
      <c r="I393" s="47"/>
      <c r="J393" s="47"/>
      <c r="K393" s="47"/>
      <c r="L393" s="47"/>
      <c r="N393" s="47"/>
      <c r="O393" s="47"/>
      <c r="P393" s="47"/>
    </row>
    <row r="394" spans="1:16" x14ac:dyDescent="0.3">
      <c r="A394" s="1">
        <v>393</v>
      </c>
      <c r="G394" s="4"/>
      <c r="H394" s="4"/>
      <c r="I394" s="47"/>
      <c r="J394" s="47"/>
      <c r="K394" s="47"/>
      <c r="L394" s="47"/>
      <c r="N394" s="47"/>
      <c r="O394" s="47"/>
      <c r="P394" s="47"/>
    </row>
    <row r="395" spans="1:16" x14ac:dyDescent="0.3">
      <c r="A395" s="1">
        <v>394</v>
      </c>
      <c r="G395" s="4"/>
      <c r="H395" s="4"/>
      <c r="I395" s="47"/>
      <c r="J395" s="47"/>
      <c r="K395" s="47"/>
      <c r="L395" s="47"/>
      <c r="N395" s="47"/>
      <c r="O395" s="47"/>
      <c r="P395" s="47"/>
    </row>
    <row r="396" spans="1:16" x14ac:dyDescent="0.3">
      <c r="A396" s="1">
        <v>395</v>
      </c>
      <c r="G396" s="4"/>
      <c r="H396" s="4"/>
      <c r="I396" s="47"/>
      <c r="J396" s="47"/>
      <c r="K396" s="47"/>
      <c r="L396" s="47"/>
      <c r="N396" s="47"/>
      <c r="O396" s="47"/>
      <c r="P396" s="47"/>
    </row>
    <row r="397" spans="1:16" x14ac:dyDescent="0.3">
      <c r="A397" s="1">
        <v>396</v>
      </c>
      <c r="G397" s="4"/>
      <c r="H397" s="4"/>
      <c r="I397" s="47"/>
      <c r="J397" s="47"/>
      <c r="K397" s="47"/>
      <c r="L397" s="47"/>
      <c r="N397" s="47"/>
      <c r="O397" s="47"/>
      <c r="P397" s="47"/>
    </row>
    <row r="398" spans="1:16" x14ac:dyDescent="0.3">
      <c r="A398" s="1">
        <v>397</v>
      </c>
      <c r="G398" s="4"/>
      <c r="H398" s="4"/>
      <c r="I398" s="47"/>
      <c r="J398" s="47"/>
      <c r="K398" s="47"/>
      <c r="L398" s="47"/>
      <c r="N398" s="47"/>
      <c r="O398" s="47"/>
      <c r="P398" s="47"/>
    </row>
    <row r="399" spans="1:16" x14ac:dyDescent="0.3">
      <c r="A399" s="1">
        <v>398</v>
      </c>
      <c r="G399" s="4"/>
      <c r="H399" s="4"/>
      <c r="I399" s="47"/>
      <c r="J399" s="47"/>
      <c r="K399" s="47"/>
      <c r="L399" s="47"/>
      <c r="N399" s="47"/>
      <c r="O399" s="47"/>
      <c r="P399" s="47"/>
    </row>
    <row r="400" spans="1:16" x14ac:dyDescent="0.3">
      <c r="A400" s="1">
        <v>399</v>
      </c>
      <c r="G400" s="4"/>
      <c r="H400" s="4"/>
      <c r="I400" s="47"/>
      <c r="J400" s="47"/>
      <c r="K400" s="47"/>
      <c r="L400" s="47"/>
      <c r="N400" s="47"/>
      <c r="O400" s="47"/>
      <c r="P400" s="47"/>
    </row>
    <row r="401" spans="1:16" x14ac:dyDescent="0.3">
      <c r="A401" s="1">
        <v>400</v>
      </c>
      <c r="G401" s="4"/>
      <c r="H401" s="4"/>
      <c r="I401" s="47"/>
      <c r="J401" s="47"/>
      <c r="K401" s="47"/>
      <c r="L401" s="47"/>
      <c r="N401" s="47"/>
      <c r="O401" s="47"/>
      <c r="P401" s="47"/>
    </row>
    <row r="402" spans="1:16" x14ac:dyDescent="0.3">
      <c r="A402" s="1">
        <v>401</v>
      </c>
      <c r="G402" s="4"/>
      <c r="H402" s="4"/>
      <c r="I402" s="47"/>
      <c r="J402" s="47"/>
      <c r="K402" s="47"/>
      <c r="L402" s="47"/>
      <c r="N402" s="47"/>
      <c r="O402" s="47"/>
      <c r="P402" s="47"/>
    </row>
    <row r="403" spans="1:16" x14ac:dyDescent="0.3">
      <c r="A403" s="1">
        <v>402</v>
      </c>
      <c r="G403" s="4"/>
      <c r="H403" s="4"/>
      <c r="I403" s="47"/>
      <c r="J403" s="47"/>
      <c r="K403" s="47"/>
      <c r="L403" s="47"/>
      <c r="N403" s="47"/>
      <c r="O403" s="47"/>
      <c r="P403" s="47"/>
    </row>
    <row r="404" spans="1:16" x14ac:dyDescent="0.3">
      <c r="A404" s="1">
        <v>403</v>
      </c>
      <c r="G404" s="4"/>
      <c r="H404" s="4"/>
      <c r="I404" s="47"/>
      <c r="J404" s="47"/>
      <c r="K404" s="47"/>
      <c r="L404" s="47"/>
      <c r="N404" s="47"/>
      <c r="O404" s="47"/>
      <c r="P404" s="47"/>
    </row>
    <row r="405" spans="1:16" x14ac:dyDescent="0.3">
      <c r="A405" s="1">
        <v>404</v>
      </c>
      <c r="G405" s="4"/>
      <c r="H405" s="4"/>
      <c r="I405" s="47"/>
      <c r="J405" s="47"/>
      <c r="K405" s="47"/>
      <c r="L405" s="47"/>
      <c r="N405" s="47"/>
      <c r="O405" s="47"/>
      <c r="P405" s="47"/>
    </row>
    <row r="406" spans="1:16" x14ac:dyDescent="0.3">
      <c r="A406" s="1">
        <v>405</v>
      </c>
      <c r="G406" s="4"/>
      <c r="H406" s="4"/>
      <c r="I406" s="47"/>
      <c r="J406" s="47"/>
      <c r="K406" s="47"/>
      <c r="L406" s="47"/>
      <c r="N406" s="47"/>
      <c r="O406" s="47"/>
      <c r="P406" s="47"/>
    </row>
    <row r="407" spans="1:16" x14ac:dyDescent="0.3">
      <c r="A407" s="1">
        <v>406</v>
      </c>
      <c r="G407" s="4"/>
      <c r="H407" s="4"/>
      <c r="I407" s="47"/>
      <c r="J407" s="47"/>
      <c r="K407" s="47"/>
      <c r="L407" s="47"/>
      <c r="N407" s="47"/>
      <c r="O407" s="47"/>
      <c r="P407" s="47"/>
    </row>
    <row r="408" spans="1:16" x14ac:dyDescent="0.3">
      <c r="A408" s="1">
        <v>407</v>
      </c>
      <c r="G408" s="4"/>
      <c r="H408" s="4"/>
      <c r="I408" s="47"/>
      <c r="J408" s="47"/>
      <c r="K408" s="47"/>
      <c r="L408" s="47"/>
      <c r="N408" s="47"/>
      <c r="O408" s="47"/>
      <c r="P408" s="47"/>
    </row>
    <row r="409" spans="1:16" x14ac:dyDescent="0.3">
      <c r="A409" s="1">
        <v>408</v>
      </c>
      <c r="G409" s="4"/>
      <c r="H409" s="4"/>
      <c r="I409" s="47"/>
      <c r="J409" s="47"/>
      <c r="K409" s="47"/>
      <c r="L409" s="47"/>
      <c r="N409" s="47"/>
      <c r="O409" s="47"/>
      <c r="P409" s="47"/>
    </row>
    <row r="410" spans="1:16" x14ac:dyDescent="0.3">
      <c r="A410" s="1">
        <v>409</v>
      </c>
      <c r="G410" s="4"/>
      <c r="H410" s="4"/>
      <c r="I410" s="47"/>
      <c r="J410" s="47"/>
      <c r="K410" s="47"/>
      <c r="L410" s="47"/>
      <c r="N410" s="47"/>
      <c r="O410" s="47"/>
      <c r="P410" s="47"/>
    </row>
    <row r="411" spans="1:16" x14ac:dyDescent="0.3">
      <c r="A411" s="1">
        <v>410</v>
      </c>
      <c r="G411" s="4"/>
      <c r="H411" s="4"/>
      <c r="I411" s="47"/>
      <c r="J411" s="47"/>
      <c r="K411" s="47"/>
      <c r="L411" s="47"/>
      <c r="N411" s="47"/>
      <c r="O411" s="47"/>
      <c r="P411" s="47"/>
    </row>
    <row r="412" spans="1:16" x14ac:dyDescent="0.3">
      <c r="A412" s="1">
        <v>411</v>
      </c>
      <c r="G412" s="4"/>
      <c r="H412" s="4"/>
      <c r="I412" s="47"/>
      <c r="J412" s="47"/>
      <c r="K412" s="47"/>
      <c r="L412" s="47"/>
      <c r="N412" s="47"/>
      <c r="O412" s="47"/>
      <c r="P412" s="47"/>
    </row>
    <row r="413" spans="1:16" x14ac:dyDescent="0.3">
      <c r="A413" s="1">
        <v>412</v>
      </c>
      <c r="G413" s="4"/>
      <c r="H413" s="4"/>
      <c r="I413" s="47"/>
      <c r="J413" s="47"/>
      <c r="K413" s="47"/>
      <c r="L413" s="47"/>
      <c r="N413" s="47"/>
      <c r="O413" s="47"/>
      <c r="P413" s="47"/>
    </row>
    <row r="414" spans="1:16" x14ac:dyDescent="0.3">
      <c r="A414" s="1">
        <v>413</v>
      </c>
      <c r="G414" s="4"/>
      <c r="H414" s="4"/>
      <c r="I414" s="47"/>
      <c r="J414" s="47"/>
      <c r="K414" s="47"/>
      <c r="L414" s="47"/>
      <c r="N414" s="47"/>
      <c r="O414" s="47"/>
      <c r="P414" s="47"/>
    </row>
    <row r="415" spans="1:16" x14ac:dyDescent="0.3">
      <c r="A415" s="1">
        <v>414</v>
      </c>
      <c r="G415" s="4"/>
      <c r="H415" s="4"/>
      <c r="I415" s="47"/>
      <c r="J415" s="47"/>
      <c r="K415" s="47"/>
      <c r="L415" s="47"/>
      <c r="N415" s="47"/>
      <c r="O415" s="47"/>
      <c r="P415" s="47"/>
    </row>
    <row r="416" spans="1:16" x14ac:dyDescent="0.3">
      <c r="A416" s="1">
        <v>415</v>
      </c>
      <c r="G416" s="4"/>
      <c r="H416" s="4"/>
      <c r="I416" s="47"/>
      <c r="J416" s="47"/>
      <c r="K416" s="47"/>
      <c r="L416" s="47"/>
      <c r="N416" s="47"/>
      <c r="O416" s="47"/>
      <c r="P416" s="47"/>
    </row>
    <row r="417" spans="1:16" x14ac:dyDescent="0.3">
      <c r="A417" s="1">
        <v>416</v>
      </c>
      <c r="G417" s="4"/>
      <c r="H417" s="4"/>
      <c r="I417" s="47"/>
      <c r="J417" s="47"/>
      <c r="K417" s="47"/>
      <c r="L417" s="47"/>
      <c r="N417" s="47"/>
      <c r="O417" s="47"/>
      <c r="P417" s="47"/>
    </row>
    <row r="418" spans="1:16" x14ac:dyDescent="0.3">
      <c r="A418" s="1">
        <v>417</v>
      </c>
      <c r="G418" s="4"/>
      <c r="H418" s="4"/>
      <c r="I418" s="47"/>
      <c r="J418" s="47"/>
      <c r="K418" s="47"/>
      <c r="L418" s="47"/>
      <c r="N418" s="47"/>
      <c r="O418" s="47"/>
      <c r="P418" s="47"/>
    </row>
    <row r="419" spans="1:16" x14ac:dyDescent="0.3">
      <c r="A419" s="1">
        <v>418</v>
      </c>
      <c r="G419" s="4"/>
      <c r="H419" s="4"/>
      <c r="I419" s="47"/>
      <c r="J419" s="47" t="str">
        <f t="shared" ref="J419:J450" si="19">+E419&amp;I419</f>
        <v/>
      </c>
      <c r="K419" s="47"/>
      <c r="L419" s="47"/>
      <c r="N419" s="47"/>
      <c r="O419" s="47"/>
      <c r="P419" s="47"/>
    </row>
    <row r="420" spans="1:16" x14ac:dyDescent="0.3">
      <c r="A420" s="1">
        <v>419</v>
      </c>
      <c r="G420" s="4"/>
      <c r="H420" s="4"/>
      <c r="I420" s="47"/>
      <c r="J420" s="47" t="str">
        <f t="shared" si="19"/>
        <v/>
      </c>
      <c r="K420" s="47"/>
      <c r="L420" s="47"/>
      <c r="N420" s="47"/>
      <c r="O420" s="47"/>
      <c r="P420" s="47"/>
    </row>
    <row r="421" spans="1:16" x14ac:dyDescent="0.3">
      <c r="A421" s="1">
        <v>420</v>
      </c>
      <c r="G421" s="4"/>
      <c r="H421" s="4"/>
      <c r="I421" s="47"/>
      <c r="J421" s="47" t="str">
        <f t="shared" si="19"/>
        <v/>
      </c>
      <c r="K421" s="47"/>
      <c r="L421" s="47"/>
      <c r="N421" s="47"/>
      <c r="O421" s="47"/>
      <c r="P421" s="47"/>
    </row>
    <row r="422" spans="1:16" x14ac:dyDescent="0.3">
      <c r="A422" s="1">
        <v>421</v>
      </c>
      <c r="G422" s="4"/>
      <c r="H422" s="4"/>
      <c r="I422" s="47"/>
      <c r="J422" s="47" t="str">
        <f t="shared" si="19"/>
        <v/>
      </c>
      <c r="K422" s="47"/>
      <c r="L422" s="47"/>
      <c r="N422" s="47"/>
      <c r="O422" s="47"/>
      <c r="P422" s="47"/>
    </row>
    <row r="423" spans="1:16" x14ac:dyDescent="0.3">
      <c r="A423" s="1">
        <v>422</v>
      </c>
      <c r="G423" s="4"/>
      <c r="H423" s="4"/>
      <c r="I423" s="47"/>
      <c r="J423" s="47" t="str">
        <f t="shared" si="19"/>
        <v/>
      </c>
      <c r="K423" s="47"/>
      <c r="L423" s="47"/>
      <c r="N423" s="47"/>
      <c r="O423" s="47"/>
      <c r="P423" s="47"/>
    </row>
    <row r="424" spans="1:16" x14ac:dyDescent="0.3">
      <c r="A424" s="1">
        <v>423</v>
      </c>
      <c r="G424" s="4"/>
      <c r="H424" s="4"/>
      <c r="I424" s="47"/>
      <c r="J424" s="47" t="str">
        <f t="shared" si="19"/>
        <v/>
      </c>
      <c r="K424" s="47"/>
      <c r="L424" s="47"/>
      <c r="N424" s="47"/>
      <c r="O424" s="47"/>
      <c r="P424" s="47"/>
    </row>
    <row r="425" spans="1:16" x14ac:dyDescent="0.3">
      <c r="A425" s="1">
        <v>424</v>
      </c>
      <c r="G425" s="4"/>
      <c r="H425" s="4"/>
      <c r="I425" s="47"/>
      <c r="J425" s="47" t="str">
        <f t="shared" si="19"/>
        <v/>
      </c>
      <c r="K425" s="47"/>
      <c r="L425" s="47"/>
      <c r="N425" s="47"/>
      <c r="O425" s="47"/>
      <c r="P425" s="47"/>
    </row>
    <row r="426" spans="1:16" x14ac:dyDescent="0.3">
      <c r="A426" s="1">
        <v>425</v>
      </c>
      <c r="G426" s="4"/>
      <c r="H426" s="4"/>
      <c r="I426" s="47"/>
      <c r="J426" s="47" t="str">
        <f t="shared" si="19"/>
        <v/>
      </c>
      <c r="K426" s="47"/>
      <c r="L426" s="47"/>
      <c r="N426" s="47"/>
      <c r="O426" s="47"/>
      <c r="P426" s="47"/>
    </row>
    <row r="427" spans="1:16" x14ac:dyDescent="0.3">
      <c r="A427" s="1">
        <v>426</v>
      </c>
      <c r="G427" s="4"/>
      <c r="H427" s="4"/>
      <c r="I427" s="47"/>
      <c r="J427" s="47" t="str">
        <f t="shared" si="19"/>
        <v/>
      </c>
      <c r="K427" s="47"/>
      <c r="L427" s="47"/>
      <c r="N427" s="47"/>
      <c r="O427" s="47"/>
      <c r="P427" s="47"/>
    </row>
    <row r="428" spans="1:16" x14ac:dyDescent="0.3">
      <c r="A428" s="1">
        <v>427</v>
      </c>
      <c r="G428" s="4"/>
      <c r="H428" s="4"/>
      <c r="I428" s="47"/>
      <c r="J428" s="47" t="str">
        <f t="shared" si="19"/>
        <v/>
      </c>
      <c r="K428" s="47"/>
      <c r="L428" s="47"/>
      <c r="N428" s="47"/>
      <c r="O428" s="47"/>
      <c r="P428" s="47"/>
    </row>
    <row r="429" spans="1:16" x14ac:dyDescent="0.3">
      <c r="A429" s="1">
        <v>428</v>
      </c>
      <c r="G429" s="4"/>
      <c r="H429" s="4"/>
      <c r="I429" s="47"/>
      <c r="J429" s="47" t="str">
        <f t="shared" si="19"/>
        <v/>
      </c>
      <c r="K429" s="47"/>
      <c r="L429" s="47"/>
      <c r="N429" s="47"/>
      <c r="O429" s="47"/>
      <c r="P429" s="47"/>
    </row>
    <row r="430" spans="1:16" x14ac:dyDescent="0.3">
      <c r="A430" s="1">
        <v>429</v>
      </c>
      <c r="G430" s="4"/>
      <c r="H430" s="4"/>
      <c r="I430" s="47"/>
      <c r="J430" s="47" t="str">
        <f t="shared" si="19"/>
        <v/>
      </c>
      <c r="K430" s="47"/>
      <c r="L430" s="47"/>
      <c r="N430" s="47"/>
      <c r="O430" s="47"/>
      <c r="P430" s="47"/>
    </row>
    <row r="431" spans="1:16" x14ac:dyDescent="0.3">
      <c r="A431" s="1">
        <v>430</v>
      </c>
      <c r="G431" s="4"/>
      <c r="H431" s="4"/>
      <c r="I431" s="47"/>
      <c r="J431" s="47" t="str">
        <f t="shared" si="19"/>
        <v/>
      </c>
      <c r="K431" s="47"/>
      <c r="L431" s="47"/>
      <c r="N431" s="47"/>
      <c r="O431" s="47"/>
      <c r="P431" s="47"/>
    </row>
    <row r="432" spans="1:16" x14ac:dyDescent="0.3">
      <c r="A432" s="1">
        <v>431</v>
      </c>
      <c r="G432" s="4"/>
      <c r="H432" s="4"/>
      <c r="I432" s="47"/>
      <c r="J432" s="47" t="str">
        <f t="shared" si="19"/>
        <v/>
      </c>
      <c r="K432" s="47"/>
      <c r="L432" s="47"/>
      <c r="N432" s="47"/>
      <c r="O432" s="47"/>
      <c r="P432" s="47"/>
    </row>
    <row r="433" spans="1:16" x14ac:dyDescent="0.3">
      <c r="A433" s="1">
        <v>432</v>
      </c>
      <c r="G433" s="4"/>
      <c r="H433" s="4"/>
      <c r="I433" s="47"/>
      <c r="J433" s="47" t="str">
        <f t="shared" si="19"/>
        <v/>
      </c>
      <c r="K433" s="47"/>
      <c r="L433" s="47"/>
      <c r="N433" s="47"/>
      <c r="O433" s="47"/>
      <c r="P433" s="47"/>
    </row>
    <row r="434" spans="1:16" x14ac:dyDescent="0.3">
      <c r="A434" s="1">
        <v>433</v>
      </c>
      <c r="G434" s="4"/>
      <c r="H434" s="4"/>
      <c r="I434" s="47"/>
      <c r="J434" s="47" t="str">
        <f t="shared" si="19"/>
        <v/>
      </c>
      <c r="K434" s="47"/>
      <c r="L434" s="47"/>
      <c r="N434" s="47"/>
      <c r="O434" s="47"/>
      <c r="P434" s="47"/>
    </row>
    <row r="435" spans="1:16" x14ac:dyDescent="0.3">
      <c r="A435" s="1">
        <v>434</v>
      </c>
      <c r="G435" s="4"/>
      <c r="H435" s="4"/>
      <c r="I435" s="47"/>
      <c r="J435" s="47" t="str">
        <f t="shared" si="19"/>
        <v/>
      </c>
      <c r="K435" s="47"/>
      <c r="L435" s="47"/>
      <c r="N435" s="47"/>
      <c r="O435" s="47"/>
      <c r="P435" s="47"/>
    </row>
    <row r="436" spans="1:16" x14ac:dyDescent="0.3">
      <c r="A436" s="1">
        <v>435</v>
      </c>
      <c r="G436" s="4"/>
      <c r="H436" s="4"/>
      <c r="I436" s="47"/>
      <c r="J436" s="47" t="str">
        <f t="shared" si="19"/>
        <v/>
      </c>
      <c r="K436" s="47"/>
      <c r="L436" s="47"/>
      <c r="N436" s="47"/>
      <c r="O436" s="47"/>
      <c r="P436" s="47"/>
    </row>
    <row r="437" spans="1:16" x14ac:dyDescent="0.3">
      <c r="A437" s="1">
        <v>436</v>
      </c>
      <c r="G437" s="4"/>
      <c r="H437" s="4"/>
      <c r="I437" s="47"/>
      <c r="J437" s="47" t="str">
        <f t="shared" si="19"/>
        <v/>
      </c>
      <c r="K437" s="47"/>
      <c r="L437" s="47"/>
      <c r="N437" s="47"/>
      <c r="O437" s="47"/>
      <c r="P437" s="47"/>
    </row>
    <row r="438" spans="1:16" x14ac:dyDescent="0.3">
      <c r="A438" s="1">
        <v>437</v>
      </c>
      <c r="G438" s="4"/>
      <c r="H438" s="4"/>
      <c r="I438" s="47"/>
      <c r="J438" s="47" t="str">
        <f t="shared" si="19"/>
        <v/>
      </c>
      <c r="K438" s="47"/>
      <c r="L438" s="47"/>
      <c r="N438" s="47"/>
      <c r="O438" s="47"/>
      <c r="P438" s="47"/>
    </row>
    <row r="439" spans="1:16" x14ac:dyDescent="0.3">
      <c r="A439" s="1">
        <v>438</v>
      </c>
      <c r="G439" s="4"/>
      <c r="H439" s="4"/>
      <c r="I439" s="47"/>
      <c r="J439" s="47" t="str">
        <f t="shared" si="19"/>
        <v/>
      </c>
      <c r="K439" s="47"/>
      <c r="L439" s="47"/>
      <c r="N439" s="47"/>
      <c r="O439" s="47"/>
      <c r="P439" s="47"/>
    </row>
    <row r="440" spans="1:16" x14ac:dyDescent="0.3">
      <c r="A440" s="1">
        <v>439</v>
      </c>
      <c r="G440" s="4"/>
      <c r="H440" s="4"/>
      <c r="I440" s="47"/>
      <c r="J440" s="47" t="str">
        <f t="shared" si="19"/>
        <v/>
      </c>
      <c r="K440" s="47"/>
      <c r="L440" s="47"/>
      <c r="N440" s="47"/>
      <c r="O440" s="47"/>
      <c r="P440" s="47"/>
    </row>
    <row r="441" spans="1:16" x14ac:dyDescent="0.3">
      <c r="A441" s="1">
        <v>440</v>
      </c>
      <c r="G441" s="4"/>
      <c r="H441" s="4"/>
      <c r="I441" s="47"/>
      <c r="J441" s="47" t="str">
        <f t="shared" si="19"/>
        <v/>
      </c>
      <c r="K441" s="47"/>
      <c r="L441" s="47"/>
      <c r="N441" s="47"/>
      <c r="O441" s="47"/>
      <c r="P441" s="47"/>
    </row>
    <row r="442" spans="1:16" x14ac:dyDescent="0.3">
      <c r="A442" s="1">
        <v>441</v>
      </c>
      <c r="G442" s="4"/>
      <c r="H442" s="4"/>
      <c r="I442" s="47"/>
      <c r="J442" s="47" t="str">
        <f t="shared" si="19"/>
        <v/>
      </c>
      <c r="K442" s="47"/>
      <c r="L442" s="47"/>
      <c r="N442" s="47"/>
      <c r="O442" s="47"/>
      <c r="P442" s="47"/>
    </row>
    <row r="443" spans="1:16" x14ac:dyDescent="0.3">
      <c r="A443" s="1">
        <v>442</v>
      </c>
      <c r="G443" s="4"/>
      <c r="H443" s="4"/>
      <c r="I443" s="47"/>
      <c r="J443" s="47" t="str">
        <f t="shared" si="19"/>
        <v/>
      </c>
      <c r="K443" s="47"/>
      <c r="L443" s="47"/>
      <c r="N443" s="47"/>
      <c r="O443" s="47"/>
      <c r="P443" s="47"/>
    </row>
    <row r="444" spans="1:16" x14ac:dyDescent="0.3">
      <c r="A444" s="1">
        <v>443</v>
      </c>
      <c r="G444" s="4"/>
      <c r="H444" s="4"/>
      <c r="I444" s="47"/>
      <c r="J444" s="47" t="str">
        <f t="shared" si="19"/>
        <v/>
      </c>
      <c r="K444" s="47"/>
      <c r="L444" s="47"/>
      <c r="N444" s="47"/>
      <c r="O444" s="47"/>
      <c r="P444" s="47"/>
    </row>
    <row r="445" spans="1:16" x14ac:dyDescent="0.3">
      <c r="A445" s="1">
        <v>444</v>
      </c>
      <c r="G445" s="4"/>
      <c r="H445" s="4"/>
      <c r="I445" s="47"/>
      <c r="J445" s="47" t="str">
        <f t="shared" si="19"/>
        <v/>
      </c>
      <c r="K445" s="47"/>
      <c r="L445" s="47"/>
      <c r="N445" s="47"/>
      <c r="O445" s="47"/>
      <c r="P445" s="47"/>
    </row>
    <row r="446" spans="1:16" x14ac:dyDescent="0.3">
      <c r="A446" s="1">
        <v>445</v>
      </c>
      <c r="G446" s="4"/>
      <c r="H446" s="4"/>
      <c r="I446" s="47"/>
      <c r="J446" s="47" t="str">
        <f t="shared" si="19"/>
        <v/>
      </c>
      <c r="K446" s="47"/>
      <c r="L446" s="47"/>
      <c r="N446" s="47"/>
      <c r="O446" s="47"/>
      <c r="P446" s="47"/>
    </row>
    <row r="447" spans="1:16" x14ac:dyDescent="0.3">
      <c r="A447" s="1">
        <v>446</v>
      </c>
      <c r="G447" s="4"/>
      <c r="H447" s="4"/>
      <c r="I447" s="47"/>
      <c r="J447" s="47" t="str">
        <f t="shared" si="19"/>
        <v/>
      </c>
      <c r="K447" s="47"/>
      <c r="L447" s="47"/>
      <c r="N447" s="47"/>
      <c r="O447" s="47"/>
      <c r="P447" s="47"/>
    </row>
    <row r="448" spans="1:16" x14ac:dyDescent="0.3">
      <c r="A448" s="1">
        <v>447</v>
      </c>
      <c r="G448" s="4"/>
      <c r="H448" s="4"/>
      <c r="I448" s="47"/>
      <c r="J448" s="47" t="str">
        <f t="shared" si="19"/>
        <v/>
      </c>
      <c r="K448" s="47"/>
      <c r="L448" s="47"/>
      <c r="N448" s="47"/>
      <c r="O448" s="47"/>
      <c r="P448" s="47"/>
    </row>
    <row r="449" spans="1:16" x14ac:dyDescent="0.3">
      <c r="A449" s="1">
        <v>448</v>
      </c>
      <c r="G449" s="4"/>
      <c r="H449" s="4"/>
      <c r="I449" s="47"/>
      <c r="J449" s="47" t="str">
        <f t="shared" si="19"/>
        <v/>
      </c>
      <c r="K449" s="47"/>
      <c r="L449" s="47"/>
      <c r="N449" s="47"/>
      <c r="O449" s="47"/>
      <c r="P449" s="47"/>
    </row>
    <row r="450" spans="1:16" x14ac:dyDescent="0.3">
      <c r="A450" s="1">
        <v>449</v>
      </c>
      <c r="G450" s="4"/>
      <c r="H450" s="4"/>
      <c r="I450" s="47"/>
      <c r="J450" s="47" t="str">
        <f t="shared" si="19"/>
        <v/>
      </c>
      <c r="K450" s="47"/>
      <c r="L450" s="47"/>
      <c r="N450" s="47"/>
      <c r="O450" s="47"/>
      <c r="P450" s="47"/>
    </row>
    <row r="451" spans="1:16" x14ac:dyDescent="0.3">
      <c r="A451" s="1">
        <v>450</v>
      </c>
      <c r="G451" s="4"/>
      <c r="H451" s="4"/>
      <c r="I451" s="47"/>
      <c r="J451" s="47" t="str">
        <f t="shared" ref="J451:J514" si="20">+E451&amp;I451</f>
        <v/>
      </c>
      <c r="K451" s="47"/>
      <c r="L451" s="47"/>
      <c r="N451" s="47"/>
      <c r="O451" s="47"/>
      <c r="P451" s="47"/>
    </row>
    <row r="452" spans="1:16" x14ac:dyDescent="0.3">
      <c r="A452" s="1">
        <v>451</v>
      </c>
      <c r="G452" s="4"/>
      <c r="H452" s="4"/>
      <c r="I452" s="47"/>
      <c r="J452" s="47" t="str">
        <f t="shared" si="20"/>
        <v/>
      </c>
      <c r="K452" s="47"/>
      <c r="L452" s="47"/>
      <c r="N452" s="47"/>
      <c r="O452" s="47"/>
      <c r="P452" s="47"/>
    </row>
    <row r="453" spans="1:16" x14ac:dyDescent="0.3">
      <c r="A453" s="1">
        <v>452</v>
      </c>
      <c r="G453" s="4"/>
      <c r="H453" s="4"/>
      <c r="I453" s="47"/>
      <c r="J453" s="47" t="str">
        <f t="shared" si="20"/>
        <v/>
      </c>
      <c r="K453" s="47"/>
      <c r="L453" s="47"/>
      <c r="N453" s="47"/>
      <c r="O453" s="47"/>
      <c r="P453" s="47"/>
    </row>
    <row r="454" spans="1:16" x14ac:dyDescent="0.3">
      <c r="A454" s="1">
        <v>453</v>
      </c>
      <c r="G454" s="4"/>
      <c r="H454" s="4"/>
      <c r="I454" s="47"/>
      <c r="J454" s="47" t="str">
        <f t="shared" si="20"/>
        <v/>
      </c>
      <c r="K454" s="47"/>
      <c r="L454" s="47"/>
      <c r="N454" s="47"/>
      <c r="O454" s="47"/>
      <c r="P454" s="47"/>
    </row>
    <row r="455" spans="1:16" x14ac:dyDescent="0.3">
      <c r="A455" s="1">
        <v>454</v>
      </c>
      <c r="G455" s="4"/>
      <c r="H455" s="4"/>
      <c r="I455" s="47"/>
      <c r="J455" s="47" t="str">
        <f t="shared" si="20"/>
        <v/>
      </c>
      <c r="K455" s="47"/>
      <c r="L455" s="47"/>
      <c r="N455" s="47"/>
      <c r="O455" s="47"/>
      <c r="P455" s="47"/>
    </row>
    <row r="456" spans="1:16" x14ac:dyDescent="0.3">
      <c r="A456" s="1">
        <v>455</v>
      </c>
      <c r="G456" s="4"/>
      <c r="H456" s="4"/>
      <c r="I456" s="47"/>
      <c r="J456" s="47" t="str">
        <f t="shared" si="20"/>
        <v/>
      </c>
      <c r="K456" s="47"/>
      <c r="L456" s="47"/>
      <c r="N456" s="47"/>
      <c r="O456" s="47"/>
      <c r="P456" s="47"/>
    </row>
    <row r="457" spans="1:16" x14ac:dyDescent="0.3">
      <c r="A457" s="1">
        <v>456</v>
      </c>
      <c r="G457" s="4"/>
      <c r="H457" s="4"/>
      <c r="I457" s="47"/>
      <c r="J457" s="47" t="str">
        <f t="shared" si="20"/>
        <v/>
      </c>
      <c r="K457" s="47"/>
      <c r="L457" s="47"/>
      <c r="N457" s="47"/>
      <c r="O457" s="47"/>
      <c r="P457" s="47"/>
    </row>
    <row r="458" spans="1:16" x14ac:dyDescent="0.3">
      <c r="A458" s="1">
        <v>457</v>
      </c>
      <c r="G458" s="4"/>
      <c r="H458" s="4"/>
      <c r="I458" s="47"/>
      <c r="J458" s="47" t="str">
        <f t="shared" si="20"/>
        <v/>
      </c>
      <c r="K458" s="47"/>
      <c r="L458" s="47"/>
      <c r="N458" s="47"/>
      <c r="O458" s="47"/>
      <c r="P458" s="47"/>
    </row>
    <row r="459" spans="1:16" x14ac:dyDescent="0.3">
      <c r="A459" s="1">
        <v>458</v>
      </c>
      <c r="G459" s="4"/>
      <c r="H459" s="4"/>
      <c r="I459" s="47"/>
      <c r="J459" s="47" t="str">
        <f t="shared" si="20"/>
        <v/>
      </c>
      <c r="K459" s="47"/>
      <c r="L459" s="47"/>
      <c r="N459" s="47"/>
      <c r="O459" s="47"/>
      <c r="P459" s="47"/>
    </row>
    <row r="460" spans="1:16" x14ac:dyDescent="0.3">
      <c r="A460" s="1">
        <v>459</v>
      </c>
      <c r="G460" s="4"/>
      <c r="H460" s="4"/>
      <c r="I460" s="47"/>
      <c r="J460" s="47" t="str">
        <f t="shared" si="20"/>
        <v/>
      </c>
      <c r="K460" s="47"/>
      <c r="L460" s="47"/>
      <c r="N460" s="47"/>
      <c r="O460" s="47"/>
      <c r="P460" s="47"/>
    </row>
    <row r="461" spans="1:16" x14ac:dyDescent="0.3">
      <c r="A461" s="1">
        <v>460</v>
      </c>
      <c r="G461" s="4"/>
      <c r="H461" s="4"/>
      <c r="I461" s="47"/>
      <c r="J461" s="47" t="str">
        <f t="shared" si="20"/>
        <v/>
      </c>
      <c r="K461" s="47"/>
      <c r="L461" s="47"/>
      <c r="N461" s="47"/>
      <c r="O461" s="47"/>
      <c r="P461" s="47"/>
    </row>
    <row r="462" spans="1:16" x14ac:dyDescent="0.3">
      <c r="A462" s="1">
        <v>461</v>
      </c>
      <c r="G462" s="4"/>
      <c r="H462" s="4"/>
      <c r="I462" s="47"/>
      <c r="J462" s="47" t="str">
        <f t="shared" si="20"/>
        <v/>
      </c>
      <c r="K462" s="47"/>
      <c r="L462" s="47"/>
      <c r="N462" s="47"/>
      <c r="O462" s="47"/>
      <c r="P462" s="47"/>
    </row>
    <row r="463" spans="1:16" x14ac:dyDescent="0.3">
      <c r="A463" s="1">
        <v>462</v>
      </c>
      <c r="G463" s="4"/>
      <c r="H463" s="4"/>
      <c r="I463" s="47"/>
      <c r="J463" s="47" t="str">
        <f t="shared" si="20"/>
        <v/>
      </c>
      <c r="K463" s="47"/>
      <c r="L463" s="47"/>
      <c r="N463" s="47"/>
      <c r="O463" s="47"/>
      <c r="P463" s="47"/>
    </row>
    <row r="464" spans="1:16" x14ac:dyDescent="0.3">
      <c r="A464" s="1">
        <v>463</v>
      </c>
      <c r="G464" s="4"/>
      <c r="H464" s="4"/>
      <c r="I464" s="47"/>
      <c r="J464" s="47" t="str">
        <f t="shared" si="20"/>
        <v/>
      </c>
      <c r="K464" s="47"/>
      <c r="L464" s="47"/>
      <c r="N464" s="47"/>
      <c r="O464" s="47"/>
      <c r="P464" s="47"/>
    </row>
    <row r="465" spans="1:16" x14ac:dyDescent="0.3">
      <c r="A465" s="1">
        <v>464</v>
      </c>
      <c r="G465" s="4"/>
      <c r="H465" s="4"/>
      <c r="I465" s="47"/>
      <c r="J465" s="47" t="str">
        <f t="shared" si="20"/>
        <v/>
      </c>
      <c r="K465" s="47"/>
      <c r="L465" s="47"/>
      <c r="N465" s="47"/>
      <c r="O465" s="47"/>
      <c r="P465" s="47"/>
    </row>
    <row r="466" spans="1:16" x14ac:dyDescent="0.3">
      <c r="A466" s="1">
        <v>465</v>
      </c>
      <c r="G466" s="4"/>
      <c r="H466" s="4"/>
      <c r="I466" s="47"/>
      <c r="J466" s="47" t="str">
        <f t="shared" si="20"/>
        <v/>
      </c>
      <c r="K466" s="47"/>
      <c r="L466" s="47"/>
      <c r="N466" s="47"/>
      <c r="O466" s="47"/>
      <c r="P466" s="47"/>
    </row>
    <row r="467" spans="1:16" x14ac:dyDescent="0.3">
      <c r="A467" s="1">
        <v>466</v>
      </c>
      <c r="G467" s="4"/>
      <c r="H467" s="4"/>
      <c r="I467" s="47"/>
      <c r="J467" s="47" t="str">
        <f t="shared" si="20"/>
        <v/>
      </c>
      <c r="K467" s="47"/>
      <c r="L467" s="47"/>
      <c r="N467" s="47"/>
      <c r="O467" s="47"/>
      <c r="P467" s="47"/>
    </row>
    <row r="468" spans="1:16" x14ac:dyDescent="0.3">
      <c r="A468" s="1">
        <v>467</v>
      </c>
      <c r="G468" s="4"/>
      <c r="H468" s="4"/>
      <c r="I468" s="47"/>
      <c r="J468" s="47" t="str">
        <f t="shared" si="20"/>
        <v/>
      </c>
      <c r="K468" s="47"/>
      <c r="L468" s="47"/>
      <c r="N468" s="47"/>
      <c r="O468" s="47"/>
      <c r="P468" s="47"/>
    </row>
    <row r="469" spans="1:16" x14ac:dyDescent="0.3">
      <c r="A469" s="1">
        <v>468</v>
      </c>
      <c r="G469" s="4"/>
      <c r="H469" s="4"/>
      <c r="I469" s="47"/>
      <c r="J469" s="47" t="str">
        <f t="shared" si="20"/>
        <v/>
      </c>
      <c r="K469" s="47"/>
      <c r="L469" s="47"/>
      <c r="N469" s="47"/>
      <c r="O469" s="47"/>
      <c r="P469" s="47"/>
    </row>
    <row r="470" spans="1:16" x14ac:dyDescent="0.3">
      <c r="A470" s="1">
        <v>469</v>
      </c>
      <c r="G470" s="4"/>
      <c r="H470" s="4"/>
      <c r="I470" s="47"/>
      <c r="J470" s="47" t="str">
        <f t="shared" si="20"/>
        <v/>
      </c>
      <c r="K470" s="47"/>
      <c r="L470" s="47"/>
      <c r="N470" s="47"/>
      <c r="O470" s="47"/>
      <c r="P470" s="47"/>
    </row>
    <row r="471" spans="1:16" x14ac:dyDescent="0.3">
      <c r="A471" s="1">
        <v>470</v>
      </c>
      <c r="G471" s="4"/>
      <c r="H471" s="4"/>
      <c r="I471" s="47"/>
      <c r="J471" s="47" t="str">
        <f t="shared" si="20"/>
        <v/>
      </c>
      <c r="K471" s="47"/>
      <c r="L471" s="47"/>
      <c r="N471" s="47"/>
      <c r="O471" s="47"/>
      <c r="P471" s="47"/>
    </row>
    <row r="472" spans="1:16" x14ac:dyDescent="0.3">
      <c r="A472" s="1">
        <v>471</v>
      </c>
      <c r="G472" s="4"/>
      <c r="H472" s="4"/>
      <c r="I472" s="47"/>
      <c r="J472" s="47" t="str">
        <f t="shared" si="20"/>
        <v/>
      </c>
      <c r="K472" s="47"/>
      <c r="L472" s="47"/>
      <c r="N472" s="47"/>
      <c r="O472" s="47"/>
      <c r="P472" s="47"/>
    </row>
    <row r="473" spans="1:16" x14ac:dyDescent="0.3">
      <c r="A473" s="1">
        <v>472</v>
      </c>
      <c r="G473" s="4"/>
      <c r="H473" s="4"/>
      <c r="I473" s="47"/>
      <c r="J473" s="47" t="str">
        <f t="shared" si="20"/>
        <v/>
      </c>
      <c r="K473" s="47"/>
      <c r="L473" s="47"/>
      <c r="N473" s="47"/>
      <c r="O473" s="47"/>
      <c r="P473" s="47"/>
    </row>
    <row r="474" spans="1:16" x14ac:dyDescent="0.3">
      <c r="A474" s="1">
        <v>473</v>
      </c>
      <c r="G474" s="4"/>
      <c r="H474" s="4"/>
      <c r="I474" s="47"/>
      <c r="J474" s="47" t="str">
        <f t="shared" si="20"/>
        <v/>
      </c>
      <c r="K474" s="47"/>
      <c r="L474" s="47"/>
      <c r="N474" s="47"/>
      <c r="O474" s="47"/>
      <c r="P474" s="47"/>
    </row>
    <row r="475" spans="1:16" x14ac:dyDescent="0.3">
      <c r="A475" s="1">
        <v>474</v>
      </c>
      <c r="G475" s="4"/>
      <c r="H475" s="4"/>
      <c r="I475" s="47"/>
      <c r="J475" s="47" t="str">
        <f t="shared" si="20"/>
        <v/>
      </c>
      <c r="K475" s="47"/>
      <c r="L475" s="47"/>
      <c r="N475" s="47"/>
      <c r="O475" s="47"/>
      <c r="P475" s="47"/>
    </row>
    <row r="476" spans="1:16" x14ac:dyDescent="0.3">
      <c r="A476" s="1">
        <v>475</v>
      </c>
      <c r="G476" s="4"/>
      <c r="H476" s="4"/>
      <c r="I476" s="47"/>
      <c r="J476" s="47" t="str">
        <f t="shared" si="20"/>
        <v/>
      </c>
      <c r="K476" s="47"/>
      <c r="L476" s="47"/>
      <c r="N476" s="47"/>
      <c r="O476" s="47"/>
      <c r="P476" s="47"/>
    </row>
    <row r="477" spans="1:16" x14ac:dyDescent="0.3">
      <c r="A477" s="1">
        <v>476</v>
      </c>
      <c r="G477" s="4"/>
      <c r="H477" s="4"/>
      <c r="I477" s="47"/>
      <c r="J477" s="47" t="str">
        <f t="shared" si="20"/>
        <v/>
      </c>
      <c r="K477" s="47"/>
      <c r="L477" s="47"/>
      <c r="N477" s="47"/>
      <c r="O477" s="47"/>
      <c r="P477" s="47"/>
    </row>
    <row r="478" spans="1:16" x14ac:dyDescent="0.3">
      <c r="A478" s="1">
        <v>477</v>
      </c>
      <c r="G478" s="4"/>
      <c r="H478" s="4"/>
      <c r="I478" s="47"/>
      <c r="J478" s="47" t="str">
        <f t="shared" si="20"/>
        <v/>
      </c>
      <c r="K478" s="47"/>
      <c r="L478" s="47"/>
      <c r="N478" s="47"/>
      <c r="O478" s="47"/>
      <c r="P478" s="47"/>
    </row>
    <row r="479" spans="1:16" x14ac:dyDescent="0.3">
      <c r="A479" s="1">
        <v>478</v>
      </c>
      <c r="G479" s="4"/>
      <c r="H479" s="4"/>
      <c r="I479" s="47"/>
      <c r="J479" s="47" t="str">
        <f t="shared" si="20"/>
        <v/>
      </c>
      <c r="K479" s="47"/>
      <c r="L479" s="47"/>
      <c r="N479" s="47"/>
      <c r="O479" s="47"/>
      <c r="P479" s="47"/>
    </row>
    <row r="480" spans="1:16" x14ac:dyDescent="0.3">
      <c r="A480" s="1">
        <v>479</v>
      </c>
      <c r="G480" s="4"/>
      <c r="H480" s="4"/>
      <c r="I480" s="47"/>
      <c r="J480" s="47" t="str">
        <f t="shared" si="20"/>
        <v/>
      </c>
      <c r="K480" s="47"/>
      <c r="L480" s="47"/>
      <c r="N480" s="47"/>
      <c r="O480" s="47"/>
      <c r="P480" s="47"/>
    </row>
    <row r="481" spans="1:16" x14ac:dyDescent="0.3">
      <c r="A481" s="1">
        <v>480</v>
      </c>
      <c r="G481" s="4"/>
      <c r="H481" s="4"/>
      <c r="I481" s="47"/>
      <c r="J481" s="47" t="str">
        <f t="shared" si="20"/>
        <v/>
      </c>
      <c r="K481" s="47"/>
      <c r="L481" s="47"/>
      <c r="N481" s="47"/>
      <c r="O481" s="47"/>
      <c r="P481" s="47"/>
    </row>
    <row r="482" spans="1:16" x14ac:dyDescent="0.3">
      <c r="A482" s="1">
        <v>481</v>
      </c>
      <c r="G482" s="4"/>
      <c r="H482" s="4"/>
      <c r="I482" s="47"/>
      <c r="J482" s="47" t="str">
        <f t="shared" si="20"/>
        <v/>
      </c>
      <c r="K482" s="47"/>
      <c r="L482" s="47"/>
      <c r="N482" s="47"/>
      <c r="O482" s="47"/>
      <c r="P482" s="47"/>
    </row>
    <row r="483" spans="1:16" x14ac:dyDescent="0.3">
      <c r="A483" s="1">
        <v>482</v>
      </c>
      <c r="G483" s="4"/>
      <c r="H483" s="4"/>
      <c r="I483" s="47"/>
      <c r="J483" s="47" t="str">
        <f t="shared" si="20"/>
        <v/>
      </c>
      <c r="K483" s="47"/>
      <c r="L483" s="47"/>
      <c r="N483" s="47"/>
      <c r="O483" s="47"/>
      <c r="P483" s="47"/>
    </row>
    <row r="484" spans="1:16" x14ac:dyDescent="0.3">
      <c r="A484" s="1">
        <v>483</v>
      </c>
      <c r="G484" s="4"/>
      <c r="H484" s="4"/>
      <c r="I484" s="47"/>
      <c r="J484" s="47" t="str">
        <f t="shared" si="20"/>
        <v/>
      </c>
      <c r="K484" s="47"/>
      <c r="L484" s="47"/>
      <c r="N484" s="47"/>
      <c r="O484" s="47"/>
      <c r="P484" s="47"/>
    </row>
    <row r="485" spans="1:16" x14ac:dyDescent="0.3">
      <c r="A485" s="1">
        <v>484</v>
      </c>
      <c r="G485" s="4"/>
      <c r="H485" s="4"/>
      <c r="I485" s="47"/>
      <c r="J485" s="47" t="str">
        <f t="shared" si="20"/>
        <v/>
      </c>
      <c r="K485" s="47"/>
      <c r="L485" s="47"/>
      <c r="N485" s="47"/>
      <c r="O485" s="47"/>
      <c r="P485" s="47"/>
    </row>
    <row r="486" spans="1:16" x14ac:dyDescent="0.3">
      <c r="A486" s="1">
        <v>485</v>
      </c>
      <c r="G486" s="4"/>
      <c r="H486" s="4"/>
      <c r="I486" s="47"/>
      <c r="J486" s="47" t="str">
        <f t="shared" si="20"/>
        <v/>
      </c>
      <c r="K486" s="47"/>
      <c r="L486" s="47"/>
      <c r="N486" s="47"/>
      <c r="O486" s="47"/>
      <c r="P486" s="47"/>
    </row>
    <row r="487" spans="1:16" x14ac:dyDescent="0.3">
      <c r="A487" s="1">
        <v>486</v>
      </c>
      <c r="G487" s="4"/>
      <c r="H487" s="4"/>
      <c r="I487" s="47"/>
      <c r="J487" s="47" t="str">
        <f t="shared" si="20"/>
        <v/>
      </c>
      <c r="K487" s="47"/>
      <c r="L487" s="47"/>
      <c r="N487" s="47"/>
      <c r="O487" s="47"/>
      <c r="P487" s="47"/>
    </row>
    <row r="488" spans="1:16" x14ac:dyDescent="0.3">
      <c r="A488" s="1">
        <v>487</v>
      </c>
      <c r="G488" s="4"/>
      <c r="H488" s="4"/>
      <c r="I488" s="47"/>
      <c r="J488" s="47" t="str">
        <f t="shared" si="20"/>
        <v/>
      </c>
      <c r="K488" s="47"/>
      <c r="L488" s="47"/>
      <c r="N488" s="47"/>
      <c r="O488" s="47"/>
      <c r="P488" s="47"/>
    </row>
    <row r="489" spans="1:16" x14ac:dyDescent="0.3">
      <c r="A489" s="1">
        <v>488</v>
      </c>
      <c r="G489" s="4"/>
      <c r="H489" s="4"/>
      <c r="I489" s="47"/>
      <c r="J489" s="47" t="str">
        <f t="shared" si="20"/>
        <v/>
      </c>
      <c r="K489" s="47"/>
      <c r="L489" s="47"/>
      <c r="N489" s="47"/>
      <c r="O489" s="47"/>
      <c r="P489" s="47"/>
    </row>
    <row r="490" spans="1:16" x14ac:dyDescent="0.3">
      <c r="A490" s="1">
        <v>489</v>
      </c>
      <c r="G490" s="4"/>
      <c r="H490" s="4"/>
      <c r="I490" s="47"/>
      <c r="J490" s="47" t="str">
        <f t="shared" si="20"/>
        <v/>
      </c>
      <c r="K490" s="47"/>
      <c r="L490" s="47"/>
      <c r="N490" s="47"/>
      <c r="O490" s="47"/>
      <c r="P490" s="47"/>
    </row>
    <row r="491" spans="1:16" x14ac:dyDescent="0.3">
      <c r="A491" s="1">
        <v>490</v>
      </c>
      <c r="G491" s="4"/>
      <c r="H491" s="4"/>
      <c r="I491" s="47"/>
      <c r="J491" s="47" t="str">
        <f t="shared" si="20"/>
        <v/>
      </c>
      <c r="K491" s="47"/>
      <c r="L491" s="47"/>
      <c r="N491" s="47"/>
      <c r="O491" s="47"/>
      <c r="P491" s="47"/>
    </row>
    <row r="492" spans="1:16" x14ac:dyDescent="0.3">
      <c r="A492" s="1">
        <v>491</v>
      </c>
      <c r="G492" s="4"/>
      <c r="H492" s="4"/>
      <c r="I492" s="47"/>
      <c r="J492" s="47" t="str">
        <f t="shared" si="20"/>
        <v/>
      </c>
      <c r="K492" s="47"/>
      <c r="L492" s="47"/>
      <c r="N492" s="47"/>
      <c r="O492" s="47"/>
      <c r="P492" s="47"/>
    </row>
    <row r="493" spans="1:16" x14ac:dyDescent="0.3">
      <c r="A493" s="1">
        <v>492</v>
      </c>
      <c r="G493" s="4"/>
      <c r="H493" s="4"/>
      <c r="I493" s="47"/>
      <c r="J493" s="47" t="str">
        <f t="shared" si="20"/>
        <v/>
      </c>
      <c r="K493" s="47"/>
      <c r="L493" s="47"/>
      <c r="N493" s="47"/>
      <c r="O493" s="47"/>
      <c r="P493" s="47"/>
    </row>
    <row r="494" spans="1:16" x14ac:dyDescent="0.3">
      <c r="A494" s="1">
        <v>493</v>
      </c>
      <c r="G494" s="4"/>
      <c r="H494" s="4"/>
      <c r="I494" s="47"/>
      <c r="J494" s="47" t="str">
        <f t="shared" si="20"/>
        <v/>
      </c>
      <c r="K494" s="47"/>
      <c r="L494" s="47"/>
      <c r="N494" s="47"/>
      <c r="O494" s="47"/>
      <c r="P494" s="47"/>
    </row>
    <row r="495" spans="1:16" x14ac:dyDescent="0.3">
      <c r="A495" s="1">
        <v>494</v>
      </c>
      <c r="G495" s="4"/>
      <c r="H495" s="4"/>
      <c r="I495" s="47"/>
      <c r="J495" s="47" t="str">
        <f t="shared" si="20"/>
        <v/>
      </c>
      <c r="K495" s="47"/>
      <c r="L495" s="47"/>
      <c r="N495" s="47"/>
      <c r="O495" s="47"/>
      <c r="P495" s="47"/>
    </row>
    <row r="496" spans="1:16" x14ac:dyDescent="0.3">
      <c r="A496" s="1">
        <v>495</v>
      </c>
      <c r="G496" s="4"/>
      <c r="H496" s="4"/>
      <c r="I496" s="47"/>
      <c r="J496" s="47" t="str">
        <f t="shared" si="20"/>
        <v/>
      </c>
      <c r="K496" s="47"/>
      <c r="L496" s="47"/>
      <c r="N496" s="47"/>
      <c r="O496" s="47"/>
      <c r="P496" s="47"/>
    </row>
    <row r="497" spans="1:16" x14ac:dyDescent="0.3">
      <c r="A497" s="1">
        <v>496</v>
      </c>
      <c r="G497" s="4"/>
      <c r="H497" s="4"/>
      <c r="I497" s="47"/>
      <c r="J497" s="47" t="str">
        <f t="shared" si="20"/>
        <v/>
      </c>
      <c r="K497" s="47"/>
      <c r="L497" s="47"/>
      <c r="N497" s="47"/>
      <c r="O497" s="47"/>
      <c r="P497" s="47"/>
    </row>
    <row r="498" spans="1:16" x14ac:dyDescent="0.3">
      <c r="A498" s="1">
        <v>497</v>
      </c>
      <c r="G498" s="4"/>
      <c r="H498" s="4"/>
      <c r="I498" s="47"/>
      <c r="J498" s="47" t="str">
        <f t="shared" si="20"/>
        <v/>
      </c>
      <c r="K498" s="47"/>
      <c r="L498" s="47"/>
      <c r="N498" s="47"/>
      <c r="O498" s="47"/>
      <c r="P498" s="47"/>
    </row>
    <row r="499" spans="1:16" x14ac:dyDescent="0.3">
      <c r="A499" s="1">
        <v>498</v>
      </c>
      <c r="G499" s="4"/>
      <c r="H499" s="4"/>
      <c r="I499" s="47"/>
      <c r="J499" s="47" t="str">
        <f t="shared" si="20"/>
        <v/>
      </c>
      <c r="K499" s="47"/>
      <c r="L499" s="47"/>
      <c r="N499" s="47"/>
      <c r="O499" s="47"/>
      <c r="P499" s="47"/>
    </row>
    <row r="500" spans="1:16" x14ac:dyDescent="0.3">
      <c r="A500" s="1">
        <v>499</v>
      </c>
      <c r="G500" s="4"/>
      <c r="H500" s="4"/>
      <c r="I500" s="47"/>
      <c r="J500" s="47" t="str">
        <f t="shared" si="20"/>
        <v/>
      </c>
      <c r="K500" s="47"/>
      <c r="L500" s="47"/>
      <c r="N500" s="47"/>
      <c r="O500" s="47"/>
      <c r="P500" s="47"/>
    </row>
    <row r="501" spans="1:16" x14ac:dyDescent="0.3">
      <c r="A501" s="1">
        <v>500</v>
      </c>
      <c r="G501" s="4"/>
      <c r="H501" s="4"/>
      <c r="I501" s="47"/>
      <c r="J501" s="47" t="str">
        <f t="shared" si="20"/>
        <v/>
      </c>
      <c r="K501" s="47"/>
      <c r="L501" s="47"/>
      <c r="N501" s="47"/>
      <c r="O501" s="47"/>
      <c r="P501" s="47"/>
    </row>
    <row r="502" spans="1:16" x14ac:dyDescent="0.3">
      <c r="A502" s="1">
        <v>501</v>
      </c>
      <c r="G502" s="4"/>
      <c r="H502" s="4"/>
      <c r="I502" s="47"/>
      <c r="J502" s="47" t="str">
        <f t="shared" si="20"/>
        <v/>
      </c>
      <c r="K502" s="47"/>
      <c r="L502" s="47"/>
      <c r="N502" s="47"/>
      <c r="O502" s="47"/>
      <c r="P502" s="47"/>
    </row>
    <row r="503" spans="1:16" x14ac:dyDescent="0.3">
      <c r="A503" s="1">
        <v>502</v>
      </c>
      <c r="G503" s="4"/>
      <c r="H503" s="4"/>
      <c r="I503" s="47"/>
      <c r="J503" s="47" t="str">
        <f t="shared" si="20"/>
        <v/>
      </c>
      <c r="K503" s="47"/>
      <c r="L503" s="47"/>
      <c r="N503" s="47"/>
      <c r="O503" s="47"/>
      <c r="P503" s="47"/>
    </row>
    <row r="504" spans="1:16" x14ac:dyDescent="0.3">
      <c r="A504" s="1">
        <v>503</v>
      </c>
      <c r="G504" s="4"/>
      <c r="H504" s="4"/>
      <c r="I504" s="47"/>
      <c r="J504" s="47" t="str">
        <f t="shared" si="20"/>
        <v/>
      </c>
      <c r="K504" s="47"/>
      <c r="L504" s="47"/>
      <c r="N504" s="47"/>
      <c r="O504" s="47"/>
      <c r="P504" s="47"/>
    </row>
    <row r="505" spans="1:16" x14ac:dyDescent="0.3">
      <c r="A505" s="1">
        <v>504</v>
      </c>
      <c r="G505" s="4"/>
      <c r="H505" s="4"/>
      <c r="I505" s="47"/>
      <c r="J505" s="47" t="str">
        <f t="shared" si="20"/>
        <v/>
      </c>
      <c r="K505" s="47"/>
      <c r="L505" s="47"/>
      <c r="N505" s="47"/>
      <c r="O505" s="47"/>
      <c r="P505" s="47"/>
    </row>
    <row r="506" spans="1:16" x14ac:dyDescent="0.3">
      <c r="A506" s="1">
        <v>505</v>
      </c>
      <c r="G506" s="4"/>
      <c r="H506" s="4"/>
      <c r="I506" s="47"/>
      <c r="J506" s="47" t="str">
        <f t="shared" si="20"/>
        <v/>
      </c>
      <c r="K506" s="47"/>
      <c r="L506" s="47"/>
      <c r="N506" s="47"/>
      <c r="O506" s="47"/>
      <c r="P506" s="47"/>
    </row>
    <row r="507" spans="1:16" x14ac:dyDescent="0.3">
      <c r="A507" s="1">
        <v>506</v>
      </c>
      <c r="G507" s="4"/>
      <c r="H507" s="4"/>
      <c r="I507" s="47"/>
      <c r="J507" s="47" t="str">
        <f t="shared" si="20"/>
        <v/>
      </c>
      <c r="K507" s="47"/>
      <c r="L507" s="47"/>
      <c r="N507" s="47"/>
      <c r="O507" s="47"/>
      <c r="P507" s="47"/>
    </row>
    <row r="508" spans="1:16" x14ac:dyDescent="0.3">
      <c r="A508" s="1">
        <v>507</v>
      </c>
      <c r="G508" s="4"/>
      <c r="H508" s="4"/>
      <c r="I508" s="47"/>
      <c r="J508" s="47" t="str">
        <f t="shared" si="20"/>
        <v/>
      </c>
      <c r="K508" s="47"/>
      <c r="L508" s="47"/>
      <c r="N508" s="47"/>
      <c r="O508" s="47"/>
      <c r="P508" s="47"/>
    </row>
    <row r="509" spans="1:16" x14ac:dyDescent="0.3">
      <c r="A509" s="1">
        <v>508</v>
      </c>
      <c r="G509" s="4"/>
      <c r="H509" s="4"/>
      <c r="I509" s="47"/>
      <c r="J509" s="47" t="str">
        <f t="shared" si="20"/>
        <v/>
      </c>
      <c r="K509" s="47"/>
      <c r="L509" s="47"/>
      <c r="N509" s="47"/>
      <c r="O509" s="47"/>
      <c r="P509" s="47"/>
    </row>
    <row r="510" spans="1:16" x14ac:dyDescent="0.3">
      <c r="A510" s="1">
        <v>509</v>
      </c>
      <c r="G510" s="4"/>
      <c r="H510" s="4"/>
      <c r="I510" s="47"/>
      <c r="J510" s="47" t="str">
        <f t="shared" si="20"/>
        <v/>
      </c>
      <c r="K510" s="47"/>
      <c r="L510" s="47"/>
      <c r="N510" s="47"/>
      <c r="O510" s="47"/>
      <c r="P510" s="47"/>
    </row>
    <row r="511" spans="1:16" x14ac:dyDescent="0.3">
      <c r="A511" s="1">
        <v>510</v>
      </c>
      <c r="G511" s="4"/>
      <c r="H511" s="4"/>
      <c r="I511" s="47"/>
      <c r="J511" s="47" t="str">
        <f t="shared" si="20"/>
        <v/>
      </c>
      <c r="K511" s="47"/>
      <c r="L511" s="47"/>
      <c r="N511" s="47"/>
      <c r="O511" s="47"/>
      <c r="P511" s="47"/>
    </row>
    <row r="512" spans="1:16" x14ac:dyDescent="0.3">
      <c r="A512" s="1">
        <v>511</v>
      </c>
      <c r="G512" s="4"/>
      <c r="H512" s="4"/>
      <c r="I512" s="47"/>
      <c r="J512" s="47" t="str">
        <f t="shared" si="20"/>
        <v/>
      </c>
      <c r="K512" s="47"/>
      <c r="L512" s="47"/>
      <c r="N512" s="47"/>
      <c r="O512" s="47"/>
      <c r="P512" s="47"/>
    </row>
    <row r="513" spans="1:16" x14ac:dyDescent="0.3">
      <c r="A513" s="1">
        <v>512</v>
      </c>
      <c r="G513" s="4"/>
      <c r="H513" s="4"/>
      <c r="I513" s="47"/>
      <c r="J513" s="47" t="str">
        <f t="shared" si="20"/>
        <v/>
      </c>
      <c r="K513" s="47"/>
      <c r="L513" s="47"/>
      <c r="N513" s="47"/>
      <c r="O513" s="47"/>
      <c r="P513" s="47"/>
    </row>
    <row r="514" spans="1:16" x14ac:dyDescent="0.3">
      <c r="A514" s="1">
        <v>513</v>
      </c>
      <c r="G514" s="4"/>
      <c r="H514" s="4"/>
      <c r="I514" s="47"/>
      <c r="J514" s="47" t="str">
        <f t="shared" si="20"/>
        <v/>
      </c>
      <c r="K514" s="47"/>
      <c r="L514" s="47"/>
      <c r="N514" s="47"/>
      <c r="O514" s="47"/>
      <c r="P514" s="47"/>
    </row>
    <row r="515" spans="1:16" x14ac:dyDescent="0.3">
      <c r="A515" s="1">
        <v>514</v>
      </c>
      <c r="G515" s="4"/>
      <c r="H515" s="4"/>
      <c r="I515" s="47"/>
      <c r="J515" s="47" t="str">
        <f t="shared" ref="J515:J578" si="21">+E515&amp;I515</f>
        <v/>
      </c>
      <c r="K515" s="47"/>
      <c r="L515" s="47"/>
      <c r="N515" s="47"/>
      <c r="O515" s="47"/>
      <c r="P515" s="47"/>
    </row>
    <row r="516" spans="1:16" x14ac:dyDescent="0.3">
      <c r="A516" s="1">
        <v>515</v>
      </c>
      <c r="G516" s="4"/>
      <c r="H516" s="4"/>
      <c r="I516" s="47"/>
      <c r="J516" s="47" t="str">
        <f t="shared" si="21"/>
        <v/>
      </c>
      <c r="K516" s="47"/>
      <c r="L516" s="47"/>
      <c r="N516" s="47"/>
      <c r="O516" s="47"/>
      <c r="P516" s="47"/>
    </row>
    <row r="517" spans="1:16" x14ac:dyDescent="0.3">
      <c r="A517" s="1">
        <v>516</v>
      </c>
      <c r="G517" s="4"/>
      <c r="H517" s="4"/>
      <c r="I517" s="47"/>
      <c r="J517" s="47" t="str">
        <f t="shared" si="21"/>
        <v/>
      </c>
      <c r="K517" s="47"/>
      <c r="L517" s="47"/>
      <c r="N517" s="47"/>
      <c r="O517" s="47"/>
      <c r="P517" s="47"/>
    </row>
    <row r="518" spans="1:16" x14ac:dyDescent="0.3">
      <c r="A518" s="1">
        <v>517</v>
      </c>
      <c r="G518" s="4"/>
      <c r="H518" s="4"/>
      <c r="I518" s="47"/>
      <c r="J518" s="47" t="str">
        <f t="shared" si="21"/>
        <v/>
      </c>
      <c r="K518" s="47"/>
      <c r="L518" s="47"/>
      <c r="N518" s="47"/>
      <c r="O518" s="47"/>
      <c r="P518" s="47"/>
    </row>
    <row r="519" spans="1:16" x14ac:dyDescent="0.3">
      <c r="A519" s="1">
        <v>518</v>
      </c>
      <c r="G519" s="4"/>
      <c r="H519" s="4"/>
      <c r="I519" s="47"/>
      <c r="J519" s="47" t="str">
        <f t="shared" si="21"/>
        <v/>
      </c>
      <c r="K519" s="47"/>
      <c r="L519" s="47"/>
      <c r="N519" s="47"/>
      <c r="O519" s="47"/>
      <c r="P519" s="47"/>
    </row>
    <row r="520" spans="1:16" x14ac:dyDescent="0.3">
      <c r="A520" s="1">
        <v>519</v>
      </c>
      <c r="G520" s="4"/>
      <c r="H520" s="4"/>
      <c r="I520" s="47"/>
      <c r="J520" s="47" t="str">
        <f t="shared" si="21"/>
        <v/>
      </c>
      <c r="K520" s="47"/>
      <c r="L520" s="47"/>
      <c r="N520" s="47"/>
      <c r="O520" s="47"/>
      <c r="P520" s="47"/>
    </row>
    <row r="521" spans="1:16" x14ac:dyDescent="0.3">
      <c r="A521" s="1">
        <v>520</v>
      </c>
      <c r="G521" s="4"/>
      <c r="H521" s="4"/>
      <c r="I521" s="47"/>
      <c r="J521" s="47" t="str">
        <f t="shared" si="21"/>
        <v/>
      </c>
      <c r="K521" s="47"/>
      <c r="L521" s="47"/>
      <c r="N521" s="47"/>
      <c r="O521" s="47"/>
      <c r="P521" s="47"/>
    </row>
    <row r="522" spans="1:16" x14ac:dyDescent="0.3">
      <c r="A522" s="1">
        <v>521</v>
      </c>
      <c r="G522" s="4"/>
      <c r="H522" s="4"/>
      <c r="I522" s="47"/>
      <c r="J522" s="47" t="str">
        <f t="shared" si="21"/>
        <v/>
      </c>
      <c r="K522" s="47"/>
      <c r="L522" s="47"/>
      <c r="N522" s="47"/>
      <c r="O522" s="47"/>
      <c r="P522" s="47"/>
    </row>
    <row r="523" spans="1:16" x14ac:dyDescent="0.3">
      <c r="A523" s="1">
        <v>522</v>
      </c>
      <c r="G523" s="4"/>
      <c r="H523" s="4"/>
      <c r="I523" s="47"/>
      <c r="J523" s="47" t="str">
        <f t="shared" si="21"/>
        <v/>
      </c>
      <c r="K523" s="47"/>
      <c r="L523" s="47"/>
      <c r="N523" s="47"/>
      <c r="O523" s="47"/>
      <c r="P523" s="47"/>
    </row>
    <row r="524" spans="1:16" x14ac:dyDescent="0.3">
      <c r="A524" s="1">
        <v>523</v>
      </c>
      <c r="G524" s="4"/>
      <c r="H524" s="4"/>
      <c r="I524" s="47"/>
      <c r="J524" s="47" t="str">
        <f t="shared" si="21"/>
        <v/>
      </c>
      <c r="K524" s="47"/>
      <c r="L524" s="47"/>
      <c r="N524" s="47"/>
      <c r="O524" s="47"/>
      <c r="P524" s="47"/>
    </row>
    <row r="525" spans="1:16" x14ac:dyDescent="0.3">
      <c r="A525" s="1">
        <v>524</v>
      </c>
      <c r="G525" s="4"/>
      <c r="H525" s="4"/>
      <c r="I525" s="47"/>
      <c r="J525" s="47" t="str">
        <f t="shared" si="21"/>
        <v/>
      </c>
      <c r="K525" s="47"/>
      <c r="L525" s="47"/>
      <c r="N525" s="47"/>
      <c r="O525" s="47"/>
      <c r="P525" s="47"/>
    </row>
    <row r="526" spans="1:16" x14ac:dyDescent="0.3">
      <c r="A526" s="1">
        <v>525</v>
      </c>
      <c r="G526" s="4"/>
      <c r="H526" s="4"/>
      <c r="I526" s="47"/>
      <c r="J526" s="47" t="str">
        <f t="shared" si="21"/>
        <v/>
      </c>
      <c r="K526" s="47"/>
      <c r="L526" s="47"/>
      <c r="N526" s="47"/>
      <c r="O526" s="47"/>
      <c r="P526" s="47"/>
    </row>
    <row r="527" spans="1:16" x14ac:dyDescent="0.3">
      <c r="A527" s="1">
        <v>526</v>
      </c>
      <c r="G527" s="4"/>
      <c r="H527" s="4"/>
      <c r="I527" s="47"/>
      <c r="J527" s="47" t="str">
        <f t="shared" si="21"/>
        <v/>
      </c>
      <c r="K527" s="47"/>
      <c r="L527" s="47"/>
      <c r="N527" s="47"/>
      <c r="O527" s="47"/>
      <c r="P527" s="47"/>
    </row>
    <row r="528" spans="1:16" x14ac:dyDescent="0.3">
      <c r="A528" s="1">
        <v>527</v>
      </c>
      <c r="G528" s="4"/>
      <c r="H528" s="4"/>
      <c r="I528" s="47"/>
      <c r="J528" s="47" t="str">
        <f t="shared" si="21"/>
        <v/>
      </c>
      <c r="K528" s="47"/>
      <c r="L528" s="47"/>
      <c r="N528" s="47"/>
      <c r="O528" s="47"/>
      <c r="P528" s="47"/>
    </row>
    <row r="529" spans="1:16" x14ac:dyDescent="0.3">
      <c r="A529" s="1">
        <v>528</v>
      </c>
      <c r="G529" s="4"/>
      <c r="H529" s="4"/>
      <c r="I529" s="47"/>
      <c r="J529" s="47" t="str">
        <f t="shared" si="21"/>
        <v/>
      </c>
      <c r="K529" s="47"/>
      <c r="L529" s="47"/>
      <c r="N529" s="47"/>
      <c r="O529" s="47"/>
      <c r="P529" s="47"/>
    </row>
    <row r="530" spans="1:16" x14ac:dyDescent="0.3">
      <c r="A530" s="1">
        <v>529</v>
      </c>
      <c r="G530" s="4"/>
      <c r="H530" s="4"/>
      <c r="I530" s="47"/>
      <c r="J530" s="47" t="str">
        <f t="shared" si="21"/>
        <v/>
      </c>
      <c r="K530" s="47"/>
      <c r="L530" s="47"/>
      <c r="N530" s="47"/>
      <c r="O530" s="47"/>
      <c r="P530" s="47"/>
    </row>
    <row r="531" spans="1:16" x14ac:dyDescent="0.3">
      <c r="A531" s="1">
        <v>530</v>
      </c>
      <c r="G531" s="4"/>
      <c r="H531" s="4"/>
      <c r="I531" s="47"/>
      <c r="J531" s="47" t="str">
        <f t="shared" si="21"/>
        <v/>
      </c>
      <c r="K531" s="47"/>
      <c r="L531" s="47"/>
      <c r="N531" s="47"/>
      <c r="O531" s="47"/>
      <c r="P531" s="47"/>
    </row>
    <row r="532" spans="1:16" x14ac:dyDescent="0.3">
      <c r="A532" s="1">
        <v>531</v>
      </c>
      <c r="G532" s="4"/>
      <c r="H532" s="4"/>
      <c r="I532" s="47"/>
      <c r="J532" s="47" t="str">
        <f t="shared" si="21"/>
        <v/>
      </c>
      <c r="K532" s="47"/>
      <c r="L532" s="47"/>
      <c r="N532" s="47"/>
      <c r="O532" s="47"/>
      <c r="P532" s="47"/>
    </row>
    <row r="533" spans="1:16" x14ac:dyDescent="0.3">
      <c r="A533" s="1">
        <v>532</v>
      </c>
      <c r="G533" s="4"/>
      <c r="H533" s="4"/>
      <c r="I533" s="47"/>
      <c r="J533" s="47" t="str">
        <f t="shared" si="21"/>
        <v/>
      </c>
      <c r="K533" s="47"/>
      <c r="L533" s="47"/>
      <c r="N533" s="47"/>
      <c r="O533" s="47"/>
      <c r="P533" s="47"/>
    </row>
    <row r="534" spans="1:16" x14ac:dyDescent="0.3">
      <c r="A534" s="1">
        <v>533</v>
      </c>
      <c r="G534" s="4"/>
      <c r="H534" s="4"/>
      <c r="I534" s="47"/>
      <c r="J534" s="47" t="str">
        <f t="shared" si="21"/>
        <v/>
      </c>
      <c r="K534" s="47"/>
      <c r="L534" s="47"/>
      <c r="N534" s="47"/>
      <c r="O534" s="47"/>
      <c r="P534" s="47"/>
    </row>
    <row r="535" spans="1:16" x14ac:dyDescent="0.3">
      <c r="A535" s="1">
        <v>534</v>
      </c>
      <c r="G535" s="4"/>
      <c r="H535" s="4"/>
      <c r="I535" s="47"/>
      <c r="J535" s="47" t="str">
        <f t="shared" si="21"/>
        <v/>
      </c>
      <c r="K535" s="47"/>
      <c r="L535" s="47"/>
      <c r="N535" s="47"/>
      <c r="O535" s="47"/>
      <c r="P535" s="47"/>
    </row>
    <row r="536" spans="1:16" x14ac:dyDescent="0.3">
      <c r="A536" s="1">
        <v>535</v>
      </c>
      <c r="G536" s="4"/>
      <c r="H536" s="4"/>
      <c r="I536" s="47"/>
      <c r="J536" s="47" t="str">
        <f t="shared" si="21"/>
        <v/>
      </c>
      <c r="K536" s="47"/>
      <c r="L536" s="47"/>
      <c r="N536" s="47"/>
      <c r="O536" s="47"/>
      <c r="P536" s="47"/>
    </row>
    <row r="537" spans="1:16" x14ac:dyDescent="0.3">
      <c r="A537" s="1">
        <v>536</v>
      </c>
      <c r="G537" s="4"/>
      <c r="H537" s="4"/>
      <c r="I537" s="47"/>
      <c r="J537" s="47" t="str">
        <f t="shared" si="21"/>
        <v/>
      </c>
      <c r="K537" s="47"/>
      <c r="L537" s="47"/>
      <c r="N537" s="47"/>
      <c r="O537" s="47"/>
      <c r="P537" s="47"/>
    </row>
    <row r="538" spans="1:16" x14ac:dyDescent="0.3">
      <c r="A538" s="1">
        <v>537</v>
      </c>
      <c r="G538" s="4"/>
      <c r="H538" s="4"/>
      <c r="I538" s="47"/>
      <c r="J538" s="47" t="str">
        <f t="shared" si="21"/>
        <v/>
      </c>
      <c r="K538" s="47"/>
      <c r="L538" s="47"/>
      <c r="N538" s="47"/>
      <c r="O538" s="47"/>
      <c r="P538" s="47"/>
    </row>
    <row r="539" spans="1:16" x14ac:dyDescent="0.3">
      <c r="A539" s="1">
        <v>538</v>
      </c>
      <c r="G539" s="4"/>
      <c r="H539" s="4"/>
      <c r="I539" s="47"/>
      <c r="J539" s="47" t="str">
        <f t="shared" si="21"/>
        <v/>
      </c>
      <c r="K539" s="47"/>
      <c r="L539" s="47"/>
      <c r="N539" s="47"/>
      <c r="O539" s="47"/>
      <c r="P539" s="47"/>
    </row>
    <row r="540" spans="1:16" x14ac:dyDescent="0.3">
      <c r="A540" s="1">
        <v>539</v>
      </c>
      <c r="G540" s="4"/>
      <c r="H540" s="4"/>
      <c r="I540" s="47"/>
      <c r="J540" s="47" t="str">
        <f t="shared" si="21"/>
        <v/>
      </c>
      <c r="K540" s="47"/>
      <c r="L540" s="47"/>
      <c r="N540" s="47"/>
      <c r="O540" s="47"/>
      <c r="P540" s="47"/>
    </row>
    <row r="541" spans="1:16" x14ac:dyDescent="0.3">
      <c r="A541" s="1">
        <v>540</v>
      </c>
      <c r="G541" s="4"/>
      <c r="H541" s="4"/>
      <c r="I541" s="47"/>
      <c r="J541" s="47" t="str">
        <f t="shared" si="21"/>
        <v/>
      </c>
      <c r="K541" s="47"/>
      <c r="L541" s="47"/>
      <c r="N541" s="47"/>
      <c r="O541" s="47"/>
      <c r="P541" s="47"/>
    </row>
    <row r="542" spans="1:16" x14ac:dyDescent="0.3">
      <c r="A542" s="1">
        <v>541</v>
      </c>
      <c r="G542" s="4"/>
      <c r="H542" s="4"/>
      <c r="I542" s="47"/>
      <c r="J542" s="47" t="str">
        <f t="shared" si="21"/>
        <v/>
      </c>
      <c r="K542" s="47"/>
      <c r="L542" s="47"/>
      <c r="N542" s="47"/>
      <c r="O542" s="47"/>
      <c r="P542" s="47"/>
    </row>
    <row r="543" spans="1:16" x14ac:dyDescent="0.3">
      <c r="A543" s="1">
        <v>542</v>
      </c>
      <c r="G543" s="4"/>
      <c r="H543" s="4"/>
      <c r="I543" s="47"/>
      <c r="J543" s="47" t="str">
        <f t="shared" si="21"/>
        <v/>
      </c>
      <c r="K543" s="47"/>
      <c r="L543" s="47"/>
      <c r="N543" s="47"/>
      <c r="O543" s="47"/>
      <c r="P543" s="47"/>
    </row>
    <row r="544" spans="1:16" x14ac:dyDescent="0.3">
      <c r="A544" s="1">
        <v>543</v>
      </c>
      <c r="G544" s="4"/>
      <c r="H544" s="4"/>
      <c r="I544" s="47"/>
      <c r="J544" s="47" t="str">
        <f t="shared" si="21"/>
        <v/>
      </c>
      <c r="K544" s="47"/>
      <c r="L544" s="47"/>
      <c r="N544" s="47"/>
      <c r="O544" s="47"/>
      <c r="P544" s="47"/>
    </row>
    <row r="545" spans="1:16" x14ac:dyDescent="0.3">
      <c r="A545" s="1">
        <v>544</v>
      </c>
      <c r="G545" s="4"/>
      <c r="H545" s="4"/>
      <c r="I545" s="47"/>
      <c r="J545" s="47" t="str">
        <f t="shared" si="21"/>
        <v/>
      </c>
      <c r="K545" s="47"/>
      <c r="L545" s="47"/>
      <c r="N545" s="47"/>
      <c r="O545" s="47"/>
      <c r="P545" s="47"/>
    </row>
    <row r="546" spans="1:16" x14ac:dyDescent="0.3">
      <c r="A546" s="1">
        <v>545</v>
      </c>
      <c r="G546" s="4"/>
      <c r="H546" s="4"/>
      <c r="I546" s="47"/>
      <c r="J546" s="47" t="str">
        <f t="shared" si="21"/>
        <v/>
      </c>
      <c r="K546" s="47"/>
      <c r="L546" s="47"/>
      <c r="N546" s="47"/>
      <c r="O546" s="47"/>
      <c r="P546" s="47"/>
    </row>
    <row r="547" spans="1:16" x14ac:dyDescent="0.3">
      <c r="A547" s="1">
        <v>546</v>
      </c>
      <c r="G547" s="4"/>
      <c r="H547" s="4"/>
      <c r="I547" s="47"/>
      <c r="J547" s="47" t="str">
        <f t="shared" si="21"/>
        <v/>
      </c>
      <c r="K547" s="47"/>
      <c r="L547" s="47"/>
      <c r="N547" s="47"/>
      <c r="O547" s="47"/>
      <c r="P547" s="47"/>
    </row>
    <row r="548" spans="1:16" x14ac:dyDescent="0.3">
      <c r="A548" s="1">
        <v>547</v>
      </c>
      <c r="G548" s="4"/>
      <c r="H548" s="4"/>
      <c r="I548" s="47"/>
      <c r="J548" s="47" t="str">
        <f t="shared" si="21"/>
        <v/>
      </c>
      <c r="K548" s="47"/>
      <c r="L548" s="47"/>
      <c r="N548" s="47"/>
      <c r="O548" s="47"/>
      <c r="P548" s="47"/>
    </row>
    <row r="549" spans="1:16" x14ac:dyDescent="0.3">
      <c r="A549" s="1">
        <v>548</v>
      </c>
      <c r="G549" s="4"/>
      <c r="H549" s="4"/>
      <c r="I549" s="47"/>
      <c r="J549" s="47" t="str">
        <f t="shared" si="21"/>
        <v/>
      </c>
      <c r="K549" s="47"/>
      <c r="L549" s="47"/>
      <c r="N549" s="47"/>
      <c r="O549" s="47"/>
      <c r="P549" s="47"/>
    </row>
    <row r="550" spans="1:16" x14ac:dyDescent="0.3">
      <c r="A550" s="1">
        <v>549</v>
      </c>
      <c r="G550" s="4"/>
      <c r="H550" s="4"/>
      <c r="I550" s="47"/>
      <c r="J550" s="47" t="str">
        <f t="shared" si="21"/>
        <v/>
      </c>
      <c r="K550" s="47"/>
      <c r="L550" s="47"/>
      <c r="N550" s="47"/>
      <c r="O550" s="47"/>
      <c r="P550" s="47"/>
    </row>
    <row r="551" spans="1:16" x14ac:dyDescent="0.3">
      <c r="A551" s="1">
        <v>550</v>
      </c>
      <c r="G551" s="4"/>
      <c r="H551" s="4"/>
      <c r="I551" s="47"/>
      <c r="J551" s="47" t="str">
        <f t="shared" si="21"/>
        <v/>
      </c>
      <c r="K551" s="47"/>
      <c r="L551" s="47"/>
      <c r="N551" s="47"/>
      <c r="O551" s="47"/>
      <c r="P551" s="47"/>
    </row>
    <row r="552" spans="1:16" x14ac:dyDescent="0.3">
      <c r="A552" s="1">
        <v>551</v>
      </c>
      <c r="G552" s="4"/>
      <c r="H552" s="4"/>
      <c r="I552" s="47"/>
      <c r="J552" s="47" t="str">
        <f t="shared" si="21"/>
        <v/>
      </c>
      <c r="K552" s="47"/>
      <c r="L552" s="47"/>
      <c r="N552" s="47"/>
      <c r="O552" s="47"/>
      <c r="P552" s="47"/>
    </row>
    <row r="553" spans="1:16" x14ac:dyDescent="0.3">
      <c r="A553" s="1">
        <v>552</v>
      </c>
      <c r="G553" s="4"/>
      <c r="H553" s="4"/>
      <c r="I553" s="47"/>
      <c r="J553" s="47" t="str">
        <f t="shared" si="21"/>
        <v/>
      </c>
      <c r="K553" s="47"/>
      <c r="L553" s="47"/>
      <c r="N553" s="47"/>
      <c r="O553" s="47"/>
      <c r="P553" s="47"/>
    </row>
    <row r="554" spans="1:16" x14ac:dyDescent="0.3">
      <c r="A554" s="1">
        <v>553</v>
      </c>
      <c r="G554" s="4"/>
      <c r="H554" s="4"/>
      <c r="I554" s="47"/>
      <c r="J554" s="47" t="str">
        <f t="shared" si="21"/>
        <v/>
      </c>
      <c r="K554" s="47"/>
      <c r="L554" s="47"/>
      <c r="N554" s="47"/>
      <c r="O554" s="47"/>
      <c r="P554" s="47"/>
    </row>
    <row r="555" spans="1:16" x14ac:dyDescent="0.3">
      <c r="A555" s="1">
        <v>554</v>
      </c>
      <c r="G555" s="4"/>
      <c r="H555" s="4"/>
      <c r="I555" s="47"/>
      <c r="J555" s="47" t="str">
        <f t="shared" si="21"/>
        <v/>
      </c>
      <c r="K555" s="47"/>
      <c r="L555" s="47"/>
      <c r="N555" s="47"/>
      <c r="O555" s="47"/>
      <c r="P555" s="47"/>
    </row>
    <row r="556" spans="1:16" x14ac:dyDescent="0.3">
      <c r="A556" s="1">
        <v>555</v>
      </c>
      <c r="G556" s="4"/>
      <c r="H556" s="4"/>
      <c r="I556" s="47"/>
      <c r="J556" s="47" t="str">
        <f t="shared" si="21"/>
        <v/>
      </c>
      <c r="K556" s="47"/>
      <c r="L556" s="47"/>
      <c r="N556" s="47"/>
      <c r="O556" s="47"/>
      <c r="P556" s="47"/>
    </row>
    <row r="557" spans="1:16" x14ac:dyDescent="0.3">
      <c r="A557" s="1">
        <v>556</v>
      </c>
      <c r="G557" s="4"/>
      <c r="H557" s="4"/>
      <c r="I557" s="47"/>
      <c r="J557" s="47" t="str">
        <f t="shared" si="21"/>
        <v/>
      </c>
      <c r="K557" s="47"/>
      <c r="L557" s="47"/>
      <c r="N557" s="47"/>
      <c r="O557" s="47"/>
      <c r="P557" s="47"/>
    </row>
    <row r="558" spans="1:16" x14ac:dyDescent="0.3">
      <c r="A558" s="1">
        <v>557</v>
      </c>
      <c r="G558" s="4"/>
      <c r="H558" s="4"/>
      <c r="I558" s="47"/>
      <c r="J558" s="47" t="str">
        <f t="shared" si="21"/>
        <v/>
      </c>
      <c r="K558" s="47"/>
      <c r="L558" s="47"/>
      <c r="N558" s="47"/>
      <c r="O558" s="47"/>
      <c r="P558" s="47"/>
    </row>
    <row r="559" spans="1:16" x14ac:dyDescent="0.3">
      <c r="A559" s="1">
        <v>558</v>
      </c>
      <c r="G559" s="4"/>
      <c r="H559" s="4"/>
      <c r="I559" s="47"/>
      <c r="J559" s="47" t="str">
        <f t="shared" si="21"/>
        <v/>
      </c>
      <c r="K559" s="47"/>
      <c r="L559" s="47"/>
      <c r="N559" s="47"/>
      <c r="O559" s="47"/>
      <c r="P559" s="47"/>
    </row>
    <row r="560" spans="1:16" x14ac:dyDescent="0.3">
      <c r="A560" s="1">
        <v>559</v>
      </c>
      <c r="G560" s="4"/>
      <c r="H560" s="4"/>
      <c r="I560" s="47"/>
      <c r="J560" s="47" t="str">
        <f t="shared" si="21"/>
        <v/>
      </c>
      <c r="K560" s="47"/>
      <c r="L560" s="47"/>
      <c r="N560" s="47"/>
      <c r="O560" s="47"/>
      <c r="P560" s="47"/>
    </row>
    <row r="561" spans="1:16" x14ac:dyDescent="0.3">
      <c r="A561" s="1">
        <v>560</v>
      </c>
      <c r="G561" s="4"/>
      <c r="H561" s="4"/>
      <c r="I561" s="47"/>
      <c r="J561" s="47" t="str">
        <f t="shared" si="21"/>
        <v/>
      </c>
      <c r="K561" s="47"/>
      <c r="L561" s="47"/>
      <c r="N561" s="47"/>
      <c r="O561" s="47"/>
      <c r="P561" s="47"/>
    </row>
    <row r="562" spans="1:16" x14ac:dyDescent="0.3">
      <c r="A562" s="1">
        <v>561</v>
      </c>
      <c r="G562" s="4"/>
      <c r="H562" s="4"/>
      <c r="I562" s="47"/>
      <c r="J562" s="47" t="str">
        <f t="shared" si="21"/>
        <v/>
      </c>
      <c r="K562" s="47"/>
      <c r="L562" s="47"/>
      <c r="N562" s="47"/>
      <c r="O562" s="47"/>
      <c r="P562" s="47"/>
    </row>
    <row r="563" spans="1:16" x14ac:dyDescent="0.3">
      <c r="A563" s="1">
        <v>562</v>
      </c>
      <c r="G563" s="4"/>
      <c r="H563" s="4"/>
      <c r="I563" s="47"/>
      <c r="J563" s="47" t="str">
        <f t="shared" si="21"/>
        <v/>
      </c>
      <c r="K563" s="47"/>
      <c r="L563" s="47"/>
      <c r="N563" s="47"/>
      <c r="O563" s="47"/>
      <c r="P563" s="47"/>
    </row>
    <row r="564" spans="1:16" x14ac:dyDescent="0.3">
      <c r="A564" s="1">
        <v>563</v>
      </c>
      <c r="G564" s="4"/>
      <c r="H564" s="4"/>
      <c r="I564" s="47"/>
      <c r="J564" s="47" t="str">
        <f t="shared" si="21"/>
        <v/>
      </c>
      <c r="K564" s="47"/>
      <c r="L564" s="47"/>
      <c r="N564" s="47"/>
      <c r="O564" s="47"/>
      <c r="P564" s="47"/>
    </row>
    <row r="565" spans="1:16" x14ac:dyDescent="0.3">
      <c r="A565" s="1">
        <v>564</v>
      </c>
      <c r="G565" s="4"/>
      <c r="H565" s="4"/>
      <c r="I565" s="47"/>
      <c r="J565" s="47" t="str">
        <f t="shared" si="21"/>
        <v/>
      </c>
      <c r="K565" s="47"/>
      <c r="L565" s="47"/>
      <c r="N565" s="47"/>
      <c r="O565" s="47"/>
      <c r="P565" s="47"/>
    </row>
    <row r="566" spans="1:16" x14ac:dyDescent="0.3">
      <c r="A566" s="1">
        <v>565</v>
      </c>
      <c r="G566" s="4"/>
      <c r="H566" s="4"/>
      <c r="I566" s="47"/>
      <c r="J566" s="47" t="str">
        <f t="shared" si="21"/>
        <v/>
      </c>
      <c r="K566" s="47"/>
      <c r="L566" s="47"/>
      <c r="N566" s="47"/>
      <c r="O566" s="47"/>
      <c r="P566" s="47"/>
    </row>
    <row r="567" spans="1:16" x14ac:dyDescent="0.3">
      <c r="A567" s="1">
        <v>566</v>
      </c>
      <c r="G567" s="4"/>
      <c r="H567" s="4"/>
      <c r="I567" s="47"/>
      <c r="J567" s="47" t="str">
        <f t="shared" si="21"/>
        <v/>
      </c>
      <c r="K567" s="47"/>
      <c r="L567" s="47"/>
      <c r="N567" s="47"/>
      <c r="O567" s="47"/>
      <c r="P567" s="47"/>
    </row>
    <row r="568" spans="1:16" x14ac:dyDescent="0.3">
      <c r="A568" s="1">
        <v>567</v>
      </c>
      <c r="G568" s="4"/>
      <c r="H568" s="4"/>
      <c r="I568" s="47"/>
      <c r="J568" s="47" t="str">
        <f t="shared" si="21"/>
        <v/>
      </c>
      <c r="K568" s="47"/>
      <c r="L568" s="47"/>
      <c r="N568" s="47"/>
      <c r="O568" s="47"/>
      <c r="P568" s="47"/>
    </row>
    <row r="569" spans="1:16" x14ac:dyDescent="0.3">
      <c r="A569" s="1">
        <v>568</v>
      </c>
      <c r="G569" s="4"/>
      <c r="H569" s="4"/>
      <c r="I569" s="47"/>
      <c r="J569" s="47" t="str">
        <f t="shared" si="21"/>
        <v/>
      </c>
      <c r="K569" s="47"/>
      <c r="L569" s="47"/>
      <c r="N569" s="47"/>
      <c r="O569" s="47"/>
      <c r="P569" s="47"/>
    </row>
    <row r="570" spans="1:16" x14ac:dyDescent="0.3">
      <c r="A570" s="1">
        <v>569</v>
      </c>
      <c r="G570" s="4"/>
      <c r="H570" s="4"/>
      <c r="I570" s="47"/>
      <c r="J570" s="47" t="str">
        <f t="shared" si="21"/>
        <v/>
      </c>
      <c r="K570" s="47"/>
      <c r="L570" s="47"/>
      <c r="N570" s="47"/>
      <c r="O570" s="47"/>
      <c r="P570" s="47"/>
    </row>
    <row r="571" spans="1:16" x14ac:dyDescent="0.3">
      <c r="A571" s="1">
        <v>570</v>
      </c>
      <c r="G571" s="4"/>
      <c r="H571" s="4"/>
      <c r="I571" s="47"/>
      <c r="J571" s="47" t="str">
        <f t="shared" si="21"/>
        <v/>
      </c>
      <c r="K571" s="47"/>
      <c r="L571" s="47"/>
      <c r="N571" s="47"/>
      <c r="O571" s="47"/>
      <c r="P571" s="47"/>
    </row>
    <row r="572" spans="1:16" x14ac:dyDescent="0.3">
      <c r="A572" s="1">
        <v>571</v>
      </c>
      <c r="G572" s="4"/>
      <c r="H572" s="4"/>
      <c r="I572" s="47"/>
      <c r="J572" s="47" t="str">
        <f t="shared" si="21"/>
        <v/>
      </c>
      <c r="K572" s="47"/>
      <c r="L572" s="47"/>
      <c r="N572" s="47"/>
      <c r="O572" s="47"/>
      <c r="P572" s="47"/>
    </row>
    <row r="573" spans="1:16" x14ac:dyDescent="0.3">
      <c r="A573" s="1">
        <v>572</v>
      </c>
      <c r="G573" s="4"/>
      <c r="H573" s="4"/>
      <c r="I573" s="47"/>
      <c r="J573" s="47" t="str">
        <f t="shared" si="21"/>
        <v/>
      </c>
      <c r="K573" s="47"/>
      <c r="L573" s="47"/>
      <c r="N573" s="47"/>
      <c r="O573" s="47"/>
      <c r="P573" s="47"/>
    </row>
    <row r="574" spans="1:16" x14ac:dyDescent="0.3">
      <c r="A574" s="1">
        <v>573</v>
      </c>
      <c r="G574" s="4"/>
      <c r="H574" s="4"/>
      <c r="I574" s="47"/>
      <c r="J574" s="47" t="str">
        <f t="shared" si="21"/>
        <v/>
      </c>
      <c r="K574" s="47"/>
      <c r="L574" s="47"/>
      <c r="N574" s="47"/>
      <c r="O574" s="47"/>
      <c r="P574" s="47"/>
    </row>
    <row r="575" spans="1:16" x14ac:dyDescent="0.3">
      <c r="A575" s="1">
        <v>574</v>
      </c>
      <c r="G575" s="4"/>
      <c r="H575" s="4"/>
      <c r="I575" s="47"/>
      <c r="J575" s="47" t="str">
        <f t="shared" si="21"/>
        <v/>
      </c>
      <c r="K575" s="47"/>
      <c r="L575" s="47"/>
      <c r="N575" s="47"/>
      <c r="O575" s="47"/>
      <c r="P575" s="47"/>
    </row>
    <row r="576" spans="1:16" x14ac:dyDescent="0.3">
      <c r="A576" s="1">
        <v>575</v>
      </c>
      <c r="G576" s="4"/>
      <c r="H576" s="4"/>
      <c r="I576" s="47"/>
      <c r="J576" s="47" t="str">
        <f t="shared" si="21"/>
        <v/>
      </c>
      <c r="K576" s="47"/>
      <c r="L576" s="47"/>
      <c r="N576" s="47"/>
      <c r="O576" s="47"/>
      <c r="P576" s="47"/>
    </row>
    <row r="577" spans="1:16" x14ac:dyDescent="0.3">
      <c r="A577" s="1">
        <v>576</v>
      </c>
      <c r="G577" s="4"/>
      <c r="H577" s="4"/>
      <c r="I577" s="47"/>
      <c r="J577" s="47" t="str">
        <f t="shared" si="21"/>
        <v/>
      </c>
      <c r="K577" s="47"/>
      <c r="L577" s="47"/>
      <c r="N577" s="47"/>
      <c r="O577" s="47"/>
      <c r="P577" s="47"/>
    </row>
    <row r="578" spans="1:16" x14ac:dyDescent="0.3">
      <c r="A578" s="1">
        <v>577</v>
      </c>
      <c r="G578" s="4"/>
      <c r="H578" s="4"/>
      <c r="I578" s="47"/>
      <c r="J578" s="47" t="str">
        <f t="shared" si="21"/>
        <v/>
      </c>
      <c r="K578" s="47"/>
      <c r="L578" s="47"/>
      <c r="N578" s="47"/>
      <c r="O578" s="47"/>
      <c r="P578" s="47"/>
    </row>
    <row r="579" spans="1:16" x14ac:dyDescent="0.3">
      <c r="A579" s="1">
        <v>578</v>
      </c>
      <c r="G579" s="4"/>
      <c r="H579" s="4"/>
      <c r="I579" s="47"/>
      <c r="J579" s="47" t="str">
        <f t="shared" ref="J579:J642" si="22">+E579&amp;I579</f>
        <v/>
      </c>
      <c r="K579" s="47"/>
      <c r="L579" s="47"/>
      <c r="N579" s="47"/>
      <c r="O579" s="47"/>
      <c r="P579" s="47"/>
    </row>
    <row r="580" spans="1:16" x14ac:dyDescent="0.3">
      <c r="A580" s="1">
        <v>579</v>
      </c>
      <c r="G580" s="4"/>
      <c r="H580" s="4"/>
      <c r="I580" s="47"/>
      <c r="J580" s="47" t="str">
        <f t="shared" si="22"/>
        <v/>
      </c>
      <c r="K580" s="47"/>
      <c r="L580" s="47"/>
      <c r="N580" s="47"/>
      <c r="O580" s="47"/>
      <c r="P580" s="47"/>
    </row>
    <row r="581" spans="1:16" x14ac:dyDescent="0.3">
      <c r="A581" s="1">
        <v>580</v>
      </c>
      <c r="G581" s="4"/>
      <c r="H581" s="4"/>
      <c r="I581" s="47"/>
      <c r="J581" s="47" t="str">
        <f t="shared" si="22"/>
        <v/>
      </c>
      <c r="K581" s="47"/>
      <c r="L581" s="47"/>
      <c r="N581" s="47"/>
      <c r="O581" s="47"/>
      <c r="P581" s="47"/>
    </row>
    <row r="582" spans="1:16" x14ac:dyDescent="0.3">
      <c r="A582" s="1">
        <v>581</v>
      </c>
      <c r="G582" s="4"/>
      <c r="H582" s="4"/>
      <c r="I582" s="47"/>
      <c r="J582" s="47" t="str">
        <f t="shared" si="22"/>
        <v/>
      </c>
      <c r="K582" s="47"/>
      <c r="L582" s="47"/>
      <c r="N582" s="47"/>
      <c r="O582" s="47"/>
      <c r="P582" s="47"/>
    </row>
    <row r="583" spans="1:16" x14ac:dyDescent="0.3">
      <c r="A583" s="1">
        <v>582</v>
      </c>
      <c r="G583" s="4"/>
      <c r="H583" s="4"/>
      <c r="I583" s="47"/>
      <c r="J583" s="47" t="str">
        <f t="shared" si="22"/>
        <v/>
      </c>
      <c r="K583" s="47"/>
      <c r="L583" s="47"/>
      <c r="N583" s="47"/>
      <c r="O583" s="47"/>
      <c r="P583" s="47"/>
    </row>
    <row r="584" spans="1:16" x14ac:dyDescent="0.3">
      <c r="A584" s="1">
        <v>583</v>
      </c>
      <c r="G584" s="4"/>
      <c r="H584" s="4"/>
      <c r="I584" s="47"/>
      <c r="J584" s="47" t="str">
        <f t="shared" si="22"/>
        <v/>
      </c>
      <c r="K584" s="47"/>
      <c r="L584" s="47"/>
      <c r="N584" s="47"/>
      <c r="O584" s="47"/>
      <c r="P584" s="47"/>
    </row>
    <row r="585" spans="1:16" x14ac:dyDescent="0.3">
      <c r="A585" s="1">
        <v>584</v>
      </c>
      <c r="G585" s="4"/>
      <c r="H585" s="4"/>
      <c r="I585" s="47"/>
      <c r="J585" s="47" t="str">
        <f t="shared" si="22"/>
        <v/>
      </c>
      <c r="K585" s="47"/>
      <c r="L585" s="47"/>
      <c r="N585" s="47"/>
      <c r="O585" s="47"/>
      <c r="P585" s="47"/>
    </row>
    <row r="586" spans="1:16" x14ac:dyDescent="0.3">
      <c r="A586" s="1">
        <v>585</v>
      </c>
      <c r="G586" s="4"/>
      <c r="H586" s="4"/>
      <c r="I586" s="47"/>
      <c r="J586" s="47" t="str">
        <f t="shared" si="22"/>
        <v/>
      </c>
      <c r="K586" s="47"/>
      <c r="L586" s="47"/>
      <c r="N586" s="47"/>
      <c r="O586" s="47"/>
      <c r="P586" s="47"/>
    </row>
    <row r="587" spans="1:16" x14ac:dyDescent="0.3">
      <c r="A587" s="1">
        <v>586</v>
      </c>
      <c r="G587" s="4"/>
      <c r="H587" s="4"/>
      <c r="I587" s="47"/>
      <c r="J587" s="47" t="str">
        <f t="shared" si="22"/>
        <v/>
      </c>
      <c r="K587" s="47"/>
      <c r="L587" s="47"/>
      <c r="N587" s="47"/>
      <c r="O587" s="47"/>
      <c r="P587" s="47"/>
    </row>
    <row r="588" spans="1:16" x14ac:dyDescent="0.3">
      <c r="A588" s="1">
        <v>587</v>
      </c>
      <c r="G588" s="4"/>
      <c r="H588" s="4"/>
      <c r="I588" s="47"/>
      <c r="J588" s="47" t="str">
        <f t="shared" si="22"/>
        <v/>
      </c>
      <c r="K588" s="47"/>
      <c r="L588" s="47"/>
      <c r="N588" s="47"/>
      <c r="O588" s="47"/>
      <c r="P588" s="47"/>
    </row>
    <row r="589" spans="1:16" x14ac:dyDescent="0.3">
      <c r="A589" s="1">
        <v>588</v>
      </c>
      <c r="G589" s="4"/>
      <c r="H589" s="4"/>
      <c r="I589" s="47"/>
      <c r="J589" s="47" t="str">
        <f t="shared" si="22"/>
        <v/>
      </c>
      <c r="K589" s="47"/>
      <c r="L589" s="47"/>
      <c r="N589" s="47"/>
      <c r="O589" s="47"/>
      <c r="P589" s="47"/>
    </row>
    <row r="590" spans="1:16" x14ac:dyDescent="0.3">
      <c r="A590" s="1">
        <v>589</v>
      </c>
      <c r="G590" s="4"/>
      <c r="H590" s="4"/>
      <c r="I590" s="47"/>
      <c r="J590" s="47" t="str">
        <f t="shared" si="22"/>
        <v/>
      </c>
      <c r="K590" s="47"/>
      <c r="L590" s="47"/>
      <c r="N590" s="47"/>
      <c r="O590" s="47"/>
      <c r="P590" s="47"/>
    </row>
    <row r="591" spans="1:16" x14ac:dyDescent="0.3">
      <c r="A591" s="1">
        <v>590</v>
      </c>
      <c r="G591" s="4"/>
      <c r="H591" s="4"/>
      <c r="I591" s="47"/>
      <c r="J591" s="47" t="str">
        <f t="shared" si="22"/>
        <v/>
      </c>
      <c r="K591" s="47"/>
      <c r="L591" s="47"/>
      <c r="N591" s="47"/>
      <c r="O591" s="47"/>
      <c r="P591" s="47"/>
    </row>
    <row r="592" spans="1:16" x14ac:dyDescent="0.3">
      <c r="A592" s="1">
        <v>591</v>
      </c>
      <c r="G592" s="4"/>
      <c r="H592" s="4"/>
      <c r="I592" s="47"/>
      <c r="J592" s="47" t="str">
        <f t="shared" si="22"/>
        <v/>
      </c>
      <c r="K592" s="47"/>
      <c r="L592" s="47"/>
      <c r="N592" s="47"/>
      <c r="O592" s="47"/>
      <c r="P592" s="47"/>
    </row>
    <row r="593" spans="1:16" x14ac:dyDescent="0.3">
      <c r="A593" s="1">
        <v>592</v>
      </c>
      <c r="G593" s="4"/>
      <c r="H593" s="4"/>
      <c r="I593" s="47"/>
      <c r="J593" s="47" t="str">
        <f t="shared" si="22"/>
        <v/>
      </c>
      <c r="K593" s="47"/>
      <c r="L593" s="47"/>
      <c r="N593" s="47"/>
      <c r="O593" s="47"/>
      <c r="P593" s="47"/>
    </row>
    <row r="594" spans="1:16" x14ac:dyDescent="0.3">
      <c r="A594" s="1">
        <v>593</v>
      </c>
      <c r="G594" s="4"/>
      <c r="H594" s="4"/>
      <c r="I594" s="47"/>
      <c r="J594" s="47" t="str">
        <f t="shared" si="22"/>
        <v/>
      </c>
      <c r="K594" s="47"/>
      <c r="L594" s="47"/>
      <c r="N594" s="47"/>
      <c r="O594" s="47"/>
      <c r="P594" s="47"/>
    </row>
    <row r="595" spans="1:16" x14ac:dyDescent="0.3">
      <c r="A595" s="1">
        <v>594</v>
      </c>
      <c r="G595" s="4"/>
      <c r="H595" s="4"/>
      <c r="I595" s="47"/>
      <c r="J595" s="47" t="str">
        <f t="shared" si="22"/>
        <v/>
      </c>
      <c r="K595" s="47"/>
      <c r="L595" s="47"/>
      <c r="N595" s="47"/>
      <c r="O595" s="47"/>
      <c r="P595" s="47"/>
    </row>
    <row r="596" spans="1:16" x14ac:dyDescent="0.3">
      <c r="A596" s="1">
        <v>595</v>
      </c>
      <c r="G596" s="4"/>
      <c r="H596" s="4"/>
      <c r="I596" s="47"/>
      <c r="J596" s="47" t="str">
        <f t="shared" si="22"/>
        <v/>
      </c>
      <c r="K596" s="47"/>
      <c r="L596" s="47"/>
      <c r="N596" s="47"/>
      <c r="O596" s="47"/>
      <c r="P596" s="47"/>
    </row>
    <row r="597" spans="1:16" x14ac:dyDescent="0.3">
      <c r="A597" s="1">
        <v>596</v>
      </c>
      <c r="G597" s="4"/>
      <c r="H597" s="4"/>
      <c r="I597" s="47"/>
      <c r="J597" s="47" t="str">
        <f t="shared" si="22"/>
        <v/>
      </c>
      <c r="K597" s="47"/>
      <c r="L597" s="47"/>
      <c r="N597" s="47"/>
      <c r="O597" s="47"/>
      <c r="P597" s="47"/>
    </row>
    <row r="598" spans="1:16" x14ac:dyDescent="0.3">
      <c r="A598" s="1">
        <v>597</v>
      </c>
      <c r="G598" s="4"/>
      <c r="H598" s="4"/>
      <c r="I598" s="47"/>
      <c r="J598" s="47" t="str">
        <f t="shared" si="22"/>
        <v/>
      </c>
      <c r="K598" s="47"/>
      <c r="L598" s="47"/>
      <c r="N598" s="47"/>
      <c r="O598" s="47"/>
      <c r="P598" s="47"/>
    </row>
    <row r="599" spans="1:16" x14ac:dyDescent="0.3">
      <c r="A599" s="1">
        <v>598</v>
      </c>
      <c r="G599" s="4"/>
      <c r="H599" s="4"/>
      <c r="I599" s="47"/>
      <c r="J599" s="47" t="str">
        <f t="shared" si="22"/>
        <v/>
      </c>
      <c r="K599" s="47"/>
      <c r="L599" s="47"/>
      <c r="N599" s="47"/>
      <c r="O599" s="47"/>
      <c r="P599" s="47"/>
    </row>
    <row r="600" spans="1:16" x14ac:dyDescent="0.3">
      <c r="A600" s="1">
        <v>599</v>
      </c>
      <c r="G600" s="4"/>
      <c r="H600" s="4"/>
      <c r="I600" s="47"/>
      <c r="J600" s="47" t="str">
        <f t="shared" si="22"/>
        <v/>
      </c>
      <c r="K600" s="47"/>
      <c r="L600" s="47"/>
      <c r="N600" s="47"/>
      <c r="O600" s="47"/>
      <c r="P600" s="47"/>
    </row>
    <row r="601" spans="1:16" x14ac:dyDescent="0.3">
      <c r="A601" s="1">
        <v>600</v>
      </c>
      <c r="G601" s="4"/>
      <c r="H601" s="4"/>
      <c r="I601" s="47"/>
      <c r="J601" s="47" t="str">
        <f t="shared" si="22"/>
        <v/>
      </c>
      <c r="K601" s="47"/>
      <c r="L601" s="47"/>
      <c r="N601" s="47"/>
      <c r="O601" s="47"/>
      <c r="P601" s="47"/>
    </row>
    <row r="602" spans="1:16" x14ac:dyDescent="0.3">
      <c r="A602" s="1">
        <v>601</v>
      </c>
      <c r="G602" s="4"/>
      <c r="H602" s="4"/>
      <c r="I602" s="47"/>
      <c r="J602" s="47" t="str">
        <f t="shared" si="22"/>
        <v/>
      </c>
      <c r="K602" s="47"/>
      <c r="L602" s="47"/>
      <c r="N602" s="47"/>
      <c r="O602" s="47"/>
      <c r="P602" s="47"/>
    </row>
    <row r="603" spans="1:16" x14ac:dyDescent="0.3">
      <c r="A603" s="1">
        <v>602</v>
      </c>
      <c r="G603" s="4"/>
      <c r="H603" s="4"/>
      <c r="I603" s="47"/>
      <c r="J603" s="47" t="str">
        <f t="shared" si="22"/>
        <v/>
      </c>
      <c r="K603" s="47"/>
      <c r="L603" s="47"/>
      <c r="N603" s="47"/>
      <c r="O603" s="47"/>
      <c r="P603" s="47"/>
    </row>
    <row r="604" spans="1:16" x14ac:dyDescent="0.3">
      <c r="A604" s="1">
        <v>603</v>
      </c>
      <c r="G604" s="4"/>
      <c r="H604" s="4"/>
      <c r="I604" s="47"/>
      <c r="J604" s="47" t="str">
        <f t="shared" si="22"/>
        <v/>
      </c>
      <c r="K604" s="47"/>
      <c r="L604" s="47"/>
      <c r="N604" s="47"/>
      <c r="O604" s="47"/>
      <c r="P604" s="47"/>
    </row>
    <row r="605" spans="1:16" x14ac:dyDescent="0.3">
      <c r="A605" s="1">
        <v>604</v>
      </c>
      <c r="G605" s="4"/>
      <c r="H605" s="4"/>
      <c r="I605" s="47"/>
      <c r="J605" s="47" t="str">
        <f t="shared" si="22"/>
        <v/>
      </c>
      <c r="K605" s="47"/>
      <c r="L605" s="47"/>
      <c r="N605" s="47"/>
      <c r="O605" s="47"/>
      <c r="P605" s="47"/>
    </row>
    <row r="606" spans="1:16" x14ac:dyDescent="0.3">
      <c r="A606" s="1">
        <v>605</v>
      </c>
      <c r="G606" s="4"/>
      <c r="H606" s="4"/>
      <c r="I606" s="47"/>
      <c r="J606" s="47" t="str">
        <f t="shared" si="22"/>
        <v/>
      </c>
      <c r="K606" s="47"/>
      <c r="L606" s="47"/>
      <c r="N606" s="47"/>
      <c r="O606" s="47"/>
      <c r="P606" s="47"/>
    </row>
    <row r="607" spans="1:16" x14ac:dyDescent="0.3">
      <c r="A607" s="1">
        <v>606</v>
      </c>
      <c r="G607" s="4"/>
      <c r="H607" s="4"/>
      <c r="I607" s="47"/>
      <c r="J607" s="47" t="str">
        <f t="shared" si="22"/>
        <v/>
      </c>
      <c r="K607" s="47"/>
      <c r="L607" s="47"/>
      <c r="N607" s="47"/>
      <c r="O607" s="47"/>
      <c r="P607" s="47"/>
    </row>
    <row r="608" spans="1:16" x14ac:dyDescent="0.3">
      <c r="A608" s="1">
        <v>607</v>
      </c>
      <c r="G608" s="4"/>
      <c r="H608" s="4"/>
      <c r="I608" s="47"/>
      <c r="J608" s="47" t="str">
        <f t="shared" si="22"/>
        <v/>
      </c>
      <c r="K608" s="47"/>
      <c r="L608" s="47"/>
      <c r="N608" s="47"/>
      <c r="O608" s="47"/>
      <c r="P608" s="47"/>
    </row>
    <row r="609" spans="1:16" x14ac:dyDescent="0.3">
      <c r="A609" s="1">
        <v>608</v>
      </c>
      <c r="G609" s="4"/>
      <c r="H609" s="4"/>
      <c r="I609" s="47"/>
      <c r="J609" s="47" t="str">
        <f t="shared" si="22"/>
        <v/>
      </c>
      <c r="K609" s="47"/>
      <c r="L609" s="47"/>
      <c r="N609" s="47"/>
      <c r="O609" s="47"/>
      <c r="P609" s="47"/>
    </row>
    <row r="610" spans="1:16" x14ac:dyDescent="0.3">
      <c r="A610" s="1">
        <v>609</v>
      </c>
      <c r="G610" s="4"/>
      <c r="H610" s="4"/>
      <c r="I610" s="47"/>
      <c r="J610" s="47" t="str">
        <f t="shared" si="22"/>
        <v/>
      </c>
      <c r="K610" s="47"/>
      <c r="L610" s="47"/>
      <c r="N610" s="47"/>
      <c r="O610" s="47"/>
      <c r="P610" s="47"/>
    </row>
    <row r="611" spans="1:16" x14ac:dyDescent="0.3">
      <c r="A611" s="1">
        <v>610</v>
      </c>
      <c r="G611" s="4"/>
      <c r="H611" s="4"/>
      <c r="I611" s="47"/>
      <c r="J611" s="47" t="str">
        <f t="shared" si="22"/>
        <v/>
      </c>
      <c r="K611" s="47"/>
      <c r="L611" s="47"/>
      <c r="N611" s="47"/>
      <c r="O611" s="47"/>
      <c r="P611" s="47"/>
    </row>
    <row r="612" spans="1:16" x14ac:dyDescent="0.3">
      <c r="A612" s="1">
        <v>611</v>
      </c>
      <c r="G612" s="4"/>
      <c r="H612" s="4"/>
      <c r="I612" s="47"/>
      <c r="J612" s="47" t="str">
        <f t="shared" si="22"/>
        <v/>
      </c>
      <c r="K612" s="47"/>
      <c r="L612" s="47"/>
      <c r="N612" s="47"/>
      <c r="O612" s="47"/>
      <c r="P612" s="47"/>
    </row>
    <row r="613" spans="1:16" x14ac:dyDescent="0.3">
      <c r="A613" s="1">
        <v>612</v>
      </c>
      <c r="G613" s="4"/>
      <c r="H613" s="4"/>
      <c r="I613" s="47"/>
      <c r="J613" s="47" t="str">
        <f t="shared" si="22"/>
        <v/>
      </c>
      <c r="K613" s="47"/>
      <c r="L613" s="47"/>
      <c r="N613" s="47"/>
      <c r="O613" s="47"/>
      <c r="P613" s="47"/>
    </row>
    <row r="614" spans="1:16" x14ac:dyDescent="0.3">
      <c r="A614" s="1">
        <v>613</v>
      </c>
      <c r="G614" s="4"/>
      <c r="H614" s="4"/>
      <c r="I614" s="47"/>
      <c r="J614" s="47" t="str">
        <f t="shared" si="22"/>
        <v/>
      </c>
      <c r="K614" s="47"/>
      <c r="L614" s="47"/>
      <c r="N614" s="47"/>
      <c r="O614" s="47"/>
      <c r="P614" s="47"/>
    </row>
    <row r="615" spans="1:16" x14ac:dyDescent="0.3">
      <c r="A615" s="1">
        <v>614</v>
      </c>
      <c r="G615" s="4"/>
      <c r="H615" s="4"/>
      <c r="I615" s="47"/>
      <c r="J615" s="47" t="str">
        <f t="shared" si="22"/>
        <v/>
      </c>
      <c r="K615" s="47"/>
      <c r="L615" s="47"/>
      <c r="N615" s="47"/>
      <c r="O615" s="47"/>
      <c r="P615" s="47"/>
    </row>
    <row r="616" spans="1:16" x14ac:dyDescent="0.3">
      <c r="A616" s="1">
        <v>615</v>
      </c>
      <c r="G616" s="4"/>
      <c r="H616" s="4"/>
      <c r="I616" s="47"/>
      <c r="J616" s="47" t="str">
        <f t="shared" si="22"/>
        <v/>
      </c>
      <c r="K616" s="47"/>
      <c r="L616" s="47"/>
      <c r="N616" s="47"/>
      <c r="O616" s="47"/>
      <c r="P616" s="47"/>
    </row>
    <row r="617" spans="1:16" x14ac:dyDescent="0.3">
      <c r="A617" s="1">
        <v>616</v>
      </c>
      <c r="G617" s="4"/>
      <c r="H617" s="4"/>
      <c r="I617" s="47"/>
      <c r="J617" s="47" t="str">
        <f t="shared" si="22"/>
        <v/>
      </c>
      <c r="K617" s="47"/>
      <c r="L617" s="47"/>
      <c r="N617" s="47"/>
      <c r="O617" s="47"/>
      <c r="P617" s="47"/>
    </row>
    <row r="618" spans="1:16" x14ac:dyDescent="0.3">
      <c r="A618" s="1">
        <v>617</v>
      </c>
      <c r="G618" s="4"/>
      <c r="H618" s="4"/>
      <c r="I618" s="47"/>
      <c r="J618" s="47" t="str">
        <f t="shared" si="22"/>
        <v/>
      </c>
      <c r="K618" s="47"/>
      <c r="L618" s="47"/>
      <c r="N618" s="47"/>
      <c r="O618" s="47"/>
      <c r="P618" s="47"/>
    </row>
    <row r="619" spans="1:16" x14ac:dyDescent="0.3">
      <c r="A619" s="1">
        <v>618</v>
      </c>
      <c r="G619" s="4"/>
      <c r="H619" s="4"/>
      <c r="I619" s="47"/>
      <c r="J619" s="47" t="str">
        <f t="shared" si="22"/>
        <v/>
      </c>
      <c r="K619" s="47"/>
      <c r="L619" s="47"/>
      <c r="N619" s="47"/>
      <c r="O619" s="47"/>
      <c r="P619" s="47"/>
    </row>
    <row r="620" spans="1:16" x14ac:dyDescent="0.3">
      <c r="A620" s="1">
        <v>619</v>
      </c>
      <c r="G620" s="4"/>
      <c r="H620" s="4"/>
      <c r="I620" s="47"/>
      <c r="J620" s="47" t="str">
        <f t="shared" si="22"/>
        <v/>
      </c>
      <c r="K620" s="47"/>
      <c r="L620" s="47"/>
      <c r="N620" s="47"/>
      <c r="O620" s="47"/>
      <c r="P620" s="47"/>
    </row>
    <row r="621" spans="1:16" x14ac:dyDescent="0.3">
      <c r="A621" s="1">
        <v>620</v>
      </c>
      <c r="G621" s="4"/>
      <c r="H621" s="4"/>
      <c r="I621" s="47"/>
      <c r="J621" s="47" t="str">
        <f t="shared" si="22"/>
        <v/>
      </c>
      <c r="K621" s="47"/>
      <c r="L621" s="47"/>
      <c r="N621" s="47"/>
      <c r="O621" s="47"/>
      <c r="P621" s="47"/>
    </row>
    <row r="622" spans="1:16" x14ac:dyDescent="0.3">
      <c r="A622" s="1">
        <v>621</v>
      </c>
      <c r="G622" s="4"/>
      <c r="H622" s="4"/>
      <c r="I622" s="47"/>
      <c r="J622" s="47" t="str">
        <f t="shared" si="22"/>
        <v/>
      </c>
      <c r="K622" s="47"/>
      <c r="L622" s="47"/>
      <c r="N622" s="47"/>
      <c r="O622" s="47"/>
      <c r="P622" s="47"/>
    </row>
    <row r="623" spans="1:16" x14ac:dyDescent="0.3">
      <c r="A623" s="1">
        <v>622</v>
      </c>
      <c r="G623" s="4"/>
      <c r="H623" s="4"/>
      <c r="I623" s="47"/>
      <c r="J623" s="47" t="str">
        <f t="shared" si="22"/>
        <v/>
      </c>
      <c r="K623" s="47"/>
      <c r="L623" s="47"/>
      <c r="N623" s="47"/>
      <c r="O623" s="47"/>
      <c r="P623" s="47"/>
    </row>
    <row r="624" spans="1:16" x14ac:dyDescent="0.3">
      <c r="A624" s="1">
        <v>623</v>
      </c>
      <c r="G624" s="4"/>
      <c r="H624" s="4"/>
      <c r="I624" s="47"/>
      <c r="J624" s="47" t="str">
        <f t="shared" si="22"/>
        <v/>
      </c>
      <c r="K624" s="47"/>
      <c r="L624" s="47"/>
      <c r="N624" s="47"/>
      <c r="O624" s="47"/>
      <c r="P624" s="47"/>
    </row>
    <row r="625" spans="1:16" x14ac:dyDescent="0.3">
      <c r="A625" s="1">
        <v>624</v>
      </c>
      <c r="G625" s="4"/>
      <c r="H625" s="4"/>
      <c r="I625" s="47"/>
      <c r="J625" s="47" t="str">
        <f t="shared" si="22"/>
        <v/>
      </c>
      <c r="K625" s="47"/>
      <c r="L625" s="47"/>
      <c r="N625" s="47"/>
      <c r="O625" s="47"/>
      <c r="P625" s="47"/>
    </row>
    <row r="626" spans="1:16" x14ac:dyDescent="0.3">
      <c r="A626" s="1">
        <v>625</v>
      </c>
      <c r="G626" s="4"/>
      <c r="H626" s="4"/>
      <c r="I626" s="47"/>
      <c r="J626" s="47" t="str">
        <f t="shared" si="22"/>
        <v/>
      </c>
      <c r="K626" s="47"/>
      <c r="L626" s="47"/>
      <c r="N626" s="47"/>
      <c r="O626" s="47"/>
      <c r="P626" s="47"/>
    </row>
    <row r="627" spans="1:16" x14ac:dyDescent="0.3">
      <c r="A627" s="1">
        <v>626</v>
      </c>
      <c r="G627" s="4"/>
      <c r="H627" s="4"/>
      <c r="I627" s="47"/>
      <c r="J627" s="47" t="str">
        <f t="shared" si="22"/>
        <v/>
      </c>
      <c r="K627" s="47"/>
      <c r="L627" s="47"/>
      <c r="N627" s="47"/>
      <c r="O627" s="47"/>
      <c r="P627" s="47"/>
    </row>
    <row r="628" spans="1:16" x14ac:dyDescent="0.3">
      <c r="A628" s="1">
        <v>627</v>
      </c>
      <c r="G628" s="4"/>
      <c r="H628" s="4"/>
      <c r="I628" s="47"/>
      <c r="J628" s="47" t="str">
        <f t="shared" si="22"/>
        <v/>
      </c>
      <c r="K628" s="47"/>
      <c r="L628" s="47"/>
      <c r="N628" s="47"/>
      <c r="O628" s="47"/>
      <c r="P628" s="47"/>
    </row>
    <row r="629" spans="1:16" x14ac:dyDescent="0.3">
      <c r="A629" s="1">
        <v>628</v>
      </c>
      <c r="G629" s="4"/>
      <c r="H629" s="4"/>
      <c r="I629" s="47"/>
      <c r="J629" s="47" t="str">
        <f t="shared" si="22"/>
        <v/>
      </c>
      <c r="K629" s="47"/>
      <c r="L629" s="47"/>
      <c r="N629" s="47"/>
      <c r="O629" s="47"/>
      <c r="P629" s="47"/>
    </row>
    <row r="630" spans="1:16" x14ac:dyDescent="0.3">
      <c r="A630" s="1">
        <v>629</v>
      </c>
      <c r="G630" s="4"/>
      <c r="H630" s="4"/>
      <c r="I630" s="47"/>
      <c r="J630" s="47" t="str">
        <f t="shared" si="22"/>
        <v/>
      </c>
      <c r="K630" s="47"/>
      <c r="L630" s="47"/>
      <c r="N630" s="47"/>
      <c r="O630" s="47"/>
      <c r="P630" s="47"/>
    </row>
    <row r="631" spans="1:16" x14ac:dyDescent="0.3">
      <c r="A631" s="1">
        <v>630</v>
      </c>
      <c r="G631" s="4"/>
      <c r="H631" s="4"/>
      <c r="I631" s="47"/>
      <c r="J631" s="47" t="str">
        <f t="shared" si="22"/>
        <v/>
      </c>
      <c r="K631" s="47"/>
      <c r="L631" s="47"/>
      <c r="N631" s="47"/>
      <c r="O631" s="47"/>
      <c r="P631" s="47"/>
    </row>
    <row r="632" spans="1:16" x14ac:dyDescent="0.3">
      <c r="A632" s="1">
        <v>631</v>
      </c>
      <c r="G632" s="4"/>
      <c r="H632" s="4"/>
      <c r="I632" s="47"/>
      <c r="J632" s="47" t="str">
        <f t="shared" si="22"/>
        <v/>
      </c>
      <c r="K632" s="47"/>
      <c r="L632" s="47"/>
      <c r="N632" s="47"/>
      <c r="O632" s="47"/>
      <c r="P632" s="47"/>
    </row>
    <row r="633" spans="1:16" x14ac:dyDescent="0.3">
      <c r="A633" s="1">
        <v>632</v>
      </c>
      <c r="G633" s="4"/>
      <c r="H633" s="4"/>
      <c r="I633" s="47"/>
      <c r="J633" s="47" t="str">
        <f t="shared" si="22"/>
        <v/>
      </c>
      <c r="K633" s="47"/>
      <c r="L633" s="47"/>
      <c r="N633" s="47"/>
      <c r="O633" s="47"/>
      <c r="P633" s="47"/>
    </row>
    <row r="634" spans="1:16" x14ac:dyDescent="0.3">
      <c r="A634" s="1">
        <v>633</v>
      </c>
      <c r="G634" s="4"/>
      <c r="H634" s="4"/>
      <c r="I634" s="47"/>
      <c r="J634" s="47" t="str">
        <f t="shared" si="22"/>
        <v/>
      </c>
      <c r="K634" s="47"/>
      <c r="L634" s="47"/>
      <c r="N634" s="47"/>
      <c r="O634" s="47"/>
      <c r="P634" s="47"/>
    </row>
    <row r="635" spans="1:16" x14ac:dyDescent="0.3">
      <c r="A635" s="1">
        <v>634</v>
      </c>
      <c r="G635" s="4"/>
      <c r="H635" s="4"/>
      <c r="I635" s="47"/>
      <c r="J635" s="47" t="str">
        <f t="shared" si="22"/>
        <v/>
      </c>
      <c r="K635" s="47"/>
      <c r="L635" s="47"/>
      <c r="N635" s="47"/>
      <c r="O635" s="47"/>
      <c r="P635" s="47"/>
    </row>
    <row r="636" spans="1:16" x14ac:dyDescent="0.3">
      <c r="A636" s="1">
        <v>635</v>
      </c>
      <c r="G636" s="4"/>
      <c r="H636" s="4"/>
      <c r="I636" s="47"/>
      <c r="J636" s="47" t="str">
        <f t="shared" si="22"/>
        <v/>
      </c>
      <c r="K636" s="47"/>
      <c r="L636" s="47"/>
      <c r="N636" s="47"/>
      <c r="O636" s="47"/>
      <c r="P636" s="47"/>
    </row>
    <row r="637" spans="1:16" x14ac:dyDescent="0.3">
      <c r="A637" s="1">
        <v>636</v>
      </c>
      <c r="G637" s="4"/>
      <c r="H637" s="4"/>
      <c r="I637" s="47"/>
      <c r="J637" s="47" t="str">
        <f t="shared" si="22"/>
        <v/>
      </c>
      <c r="K637" s="47"/>
      <c r="L637" s="47"/>
      <c r="N637" s="47"/>
      <c r="O637" s="47"/>
      <c r="P637" s="47"/>
    </row>
    <row r="638" spans="1:16" x14ac:dyDescent="0.3">
      <c r="A638" s="1">
        <v>637</v>
      </c>
      <c r="G638" s="4"/>
      <c r="H638" s="4"/>
      <c r="I638" s="47"/>
      <c r="J638" s="47" t="str">
        <f t="shared" si="22"/>
        <v/>
      </c>
      <c r="K638" s="47"/>
      <c r="L638" s="47"/>
      <c r="N638" s="47"/>
      <c r="O638" s="47"/>
      <c r="P638" s="47"/>
    </row>
    <row r="639" spans="1:16" x14ac:dyDescent="0.3">
      <c r="A639" s="1">
        <v>638</v>
      </c>
      <c r="G639" s="4"/>
      <c r="H639" s="4"/>
      <c r="I639" s="47"/>
      <c r="J639" s="47" t="str">
        <f t="shared" si="22"/>
        <v/>
      </c>
      <c r="K639" s="47"/>
      <c r="L639" s="47"/>
      <c r="N639" s="47"/>
      <c r="O639" s="47"/>
      <c r="P639" s="47"/>
    </row>
    <row r="640" spans="1:16" x14ac:dyDescent="0.3">
      <c r="A640" s="1">
        <v>639</v>
      </c>
      <c r="G640" s="4"/>
      <c r="H640" s="4"/>
      <c r="I640" s="47"/>
      <c r="J640" s="47" t="str">
        <f t="shared" si="22"/>
        <v/>
      </c>
      <c r="K640" s="47"/>
      <c r="L640" s="47"/>
      <c r="N640" s="47"/>
      <c r="O640" s="47"/>
      <c r="P640" s="47"/>
    </row>
    <row r="641" spans="1:16" x14ac:dyDescent="0.3">
      <c r="A641" s="1">
        <v>640</v>
      </c>
      <c r="G641" s="4"/>
      <c r="H641" s="4"/>
      <c r="I641" s="47"/>
      <c r="J641" s="47" t="str">
        <f t="shared" si="22"/>
        <v/>
      </c>
      <c r="K641" s="47"/>
      <c r="L641" s="47"/>
      <c r="N641" s="47"/>
      <c r="O641" s="47"/>
      <c r="P641" s="47"/>
    </row>
    <row r="642" spans="1:16" x14ac:dyDescent="0.3">
      <c r="A642" s="1">
        <v>641</v>
      </c>
      <c r="G642" s="4"/>
      <c r="H642" s="4"/>
      <c r="I642" s="47"/>
      <c r="J642" s="47" t="str">
        <f t="shared" si="22"/>
        <v/>
      </c>
      <c r="K642" s="47"/>
      <c r="L642" s="47"/>
      <c r="N642" s="47"/>
      <c r="O642" s="47"/>
      <c r="P642" s="47"/>
    </row>
    <row r="643" spans="1:16" x14ac:dyDescent="0.3">
      <c r="A643" s="1">
        <v>642</v>
      </c>
      <c r="G643" s="4"/>
      <c r="H643" s="4"/>
      <c r="I643" s="47"/>
      <c r="J643" s="47" t="str">
        <f t="shared" ref="J643:J706" si="23">+E643&amp;I643</f>
        <v/>
      </c>
      <c r="K643" s="47"/>
      <c r="L643" s="47"/>
      <c r="N643" s="47"/>
      <c r="O643" s="47"/>
      <c r="P643" s="47"/>
    </row>
    <row r="644" spans="1:16" x14ac:dyDescent="0.3">
      <c r="A644" s="1">
        <v>643</v>
      </c>
      <c r="G644" s="4"/>
      <c r="H644" s="4"/>
      <c r="I644" s="47"/>
      <c r="J644" s="47" t="str">
        <f t="shared" si="23"/>
        <v/>
      </c>
      <c r="K644" s="47"/>
      <c r="L644" s="47"/>
      <c r="N644" s="47"/>
      <c r="O644" s="47"/>
      <c r="P644" s="47"/>
    </row>
    <row r="645" spans="1:16" x14ac:dyDescent="0.3">
      <c r="A645" s="1">
        <v>644</v>
      </c>
      <c r="G645" s="4"/>
      <c r="H645" s="4"/>
      <c r="I645" s="47"/>
      <c r="J645" s="47" t="str">
        <f t="shared" si="23"/>
        <v/>
      </c>
      <c r="K645" s="47"/>
      <c r="L645" s="47"/>
      <c r="N645" s="47"/>
      <c r="O645" s="47"/>
      <c r="P645" s="47"/>
    </row>
    <row r="646" spans="1:16" x14ac:dyDescent="0.3">
      <c r="A646" s="1">
        <v>645</v>
      </c>
      <c r="G646" s="4"/>
      <c r="H646" s="4"/>
      <c r="I646" s="47"/>
      <c r="J646" s="47" t="str">
        <f t="shared" si="23"/>
        <v/>
      </c>
      <c r="K646" s="47"/>
      <c r="L646" s="47"/>
      <c r="N646" s="47"/>
      <c r="O646" s="47"/>
      <c r="P646" s="47"/>
    </row>
    <row r="647" spans="1:16" x14ac:dyDescent="0.3">
      <c r="A647" s="1">
        <v>646</v>
      </c>
      <c r="G647" s="4"/>
      <c r="H647" s="4"/>
      <c r="I647" s="47"/>
      <c r="J647" s="47" t="str">
        <f t="shared" si="23"/>
        <v/>
      </c>
      <c r="K647" s="47"/>
      <c r="L647" s="47"/>
      <c r="N647" s="47"/>
      <c r="O647" s="47"/>
      <c r="P647" s="47"/>
    </row>
    <row r="648" spans="1:16" x14ac:dyDescent="0.3">
      <c r="A648" s="1">
        <v>647</v>
      </c>
      <c r="G648" s="4"/>
      <c r="H648" s="4"/>
      <c r="I648" s="47"/>
      <c r="J648" s="47" t="str">
        <f t="shared" si="23"/>
        <v/>
      </c>
      <c r="K648" s="47"/>
      <c r="L648" s="47"/>
      <c r="N648" s="47"/>
      <c r="O648" s="47"/>
      <c r="P648" s="47"/>
    </row>
    <row r="649" spans="1:16" x14ac:dyDescent="0.3">
      <c r="A649" s="1">
        <v>648</v>
      </c>
      <c r="G649" s="4"/>
      <c r="H649" s="4"/>
      <c r="I649" s="47"/>
      <c r="J649" s="47" t="str">
        <f t="shared" si="23"/>
        <v/>
      </c>
      <c r="K649" s="47"/>
      <c r="L649" s="47"/>
      <c r="N649" s="47"/>
      <c r="O649" s="47"/>
      <c r="P649" s="47"/>
    </row>
    <row r="650" spans="1:16" x14ac:dyDescent="0.3">
      <c r="A650" s="1">
        <v>649</v>
      </c>
      <c r="G650" s="4"/>
      <c r="H650" s="4"/>
      <c r="I650" s="47"/>
      <c r="J650" s="47" t="str">
        <f t="shared" si="23"/>
        <v/>
      </c>
      <c r="K650" s="47"/>
      <c r="L650" s="47"/>
      <c r="N650" s="47"/>
      <c r="O650" s="47"/>
      <c r="P650" s="47"/>
    </row>
    <row r="651" spans="1:16" x14ac:dyDescent="0.3">
      <c r="A651" s="1">
        <v>650</v>
      </c>
      <c r="G651" s="4"/>
      <c r="H651" s="4"/>
      <c r="I651" s="47"/>
      <c r="J651" s="47" t="str">
        <f t="shared" si="23"/>
        <v/>
      </c>
      <c r="K651" s="47"/>
      <c r="L651" s="47"/>
      <c r="N651" s="47"/>
      <c r="O651" s="47"/>
      <c r="P651" s="47"/>
    </row>
    <row r="652" spans="1:16" x14ac:dyDescent="0.3">
      <c r="A652" s="1">
        <v>651</v>
      </c>
      <c r="G652" s="4"/>
      <c r="H652" s="4"/>
      <c r="I652" s="47"/>
      <c r="J652" s="47" t="str">
        <f t="shared" si="23"/>
        <v/>
      </c>
      <c r="K652" s="47"/>
      <c r="L652" s="47"/>
      <c r="N652" s="47"/>
      <c r="O652" s="47"/>
      <c r="P652" s="47"/>
    </row>
    <row r="653" spans="1:16" x14ac:dyDescent="0.3">
      <c r="A653" s="1">
        <v>652</v>
      </c>
      <c r="G653" s="4"/>
      <c r="H653" s="4"/>
      <c r="I653" s="47"/>
      <c r="J653" s="47" t="str">
        <f t="shared" si="23"/>
        <v/>
      </c>
      <c r="K653" s="47"/>
      <c r="L653" s="47"/>
      <c r="N653" s="47"/>
      <c r="O653" s="47"/>
      <c r="P653" s="47"/>
    </row>
    <row r="654" spans="1:16" x14ac:dyDescent="0.3">
      <c r="A654" s="1">
        <v>653</v>
      </c>
      <c r="G654" s="4"/>
      <c r="H654" s="4"/>
      <c r="I654" s="47"/>
      <c r="J654" s="47" t="str">
        <f t="shared" si="23"/>
        <v/>
      </c>
      <c r="K654" s="47"/>
      <c r="L654" s="47"/>
      <c r="N654" s="47"/>
      <c r="O654" s="47"/>
      <c r="P654" s="47"/>
    </row>
    <row r="655" spans="1:16" x14ac:dyDescent="0.3">
      <c r="A655" s="1">
        <v>654</v>
      </c>
      <c r="G655" s="4"/>
      <c r="H655" s="4"/>
      <c r="I655" s="47"/>
      <c r="J655" s="47" t="str">
        <f t="shared" si="23"/>
        <v/>
      </c>
      <c r="K655" s="47"/>
      <c r="L655" s="47"/>
      <c r="N655" s="47"/>
      <c r="O655" s="47"/>
      <c r="P655" s="47"/>
    </row>
    <row r="656" spans="1:16" x14ac:dyDescent="0.3">
      <c r="A656" s="1">
        <v>655</v>
      </c>
      <c r="G656" s="4"/>
      <c r="H656" s="4"/>
      <c r="I656" s="47"/>
      <c r="J656" s="47" t="str">
        <f t="shared" si="23"/>
        <v/>
      </c>
      <c r="K656" s="47"/>
      <c r="L656" s="47"/>
      <c r="N656" s="47"/>
      <c r="O656" s="47"/>
      <c r="P656" s="47"/>
    </row>
    <row r="657" spans="1:16" x14ac:dyDescent="0.3">
      <c r="A657" s="1">
        <v>656</v>
      </c>
      <c r="G657" s="4"/>
      <c r="H657" s="4"/>
      <c r="I657" s="47"/>
      <c r="J657" s="47" t="str">
        <f t="shared" si="23"/>
        <v/>
      </c>
      <c r="K657" s="47"/>
      <c r="L657" s="47"/>
      <c r="N657" s="47"/>
      <c r="O657" s="47"/>
      <c r="P657" s="47"/>
    </row>
    <row r="658" spans="1:16" x14ac:dyDescent="0.3">
      <c r="A658" s="1">
        <v>657</v>
      </c>
      <c r="G658" s="4"/>
      <c r="H658" s="4"/>
      <c r="I658" s="47"/>
      <c r="J658" s="47" t="str">
        <f t="shared" si="23"/>
        <v/>
      </c>
      <c r="K658" s="47"/>
      <c r="L658" s="47"/>
      <c r="N658" s="47"/>
      <c r="O658" s="47"/>
      <c r="P658" s="47"/>
    </row>
    <row r="659" spans="1:16" x14ac:dyDescent="0.3">
      <c r="A659" s="1">
        <v>658</v>
      </c>
      <c r="G659" s="4"/>
      <c r="H659" s="4"/>
      <c r="I659" s="47"/>
      <c r="J659" s="47" t="str">
        <f t="shared" si="23"/>
        <v/>
      </c>
      <c r="K659" s="47"/>
      <c r="L659" s="47"/>
      <c r="N659" s="47"/>
      <c r="O659" s="47"/>
      <c r="P659" s="47"/>
    </row>
    <row r="660" spans="1:16" x14ac:dyDescent="0.3">
      <c r="A660" s="1">
        <v>659</v>
      </c>
      <c r="G660" s="4"/>
      <c r="H660" s="4"/>
      <c r="I660" s="47"/>
      <c r="J660" s="47" t="str">
        <f t="shared" si="23"/>
        <v/>
      </c>
      <c r="K660" s="47"/>
      <c r="L660" s="47"/>
      <c r="N660" s="47"/>
      <c r="O660" s="47"/>
      <c r="P660" s="47"/>
    </row>
    <row r="661" spans="1:16" x14ac:dyDescent="0.3">
      <c r="A661" s="1">
        <v>660</v>
      </c>
      <c r="G661" s="4"/>
      <c r="H661" s="4"/>
      <c r="I661" s="47"/>
      <c r="J661" s="47" t="str">
        <f t="shared" si="23"/>
        <v/>
      </c>
      <c r="K661" s="47"/>
      <c r="L661" s="47"/>
      <c r="N661" s="47"/>
      <c r="O661" s="47"/>
      <c r="P661" s="47"/>
    </row>
    <row r="662" spans="1:16" x14ac:dyDescent="0.3">
      <c r="A662" s="1">
        <v>661</v>
      </c>
      <c r="G662" s="4"/>
      <c r="H662" s="4"/>
      <c r="I662" s="47"/>
      <c r="J662" s="47" t="str">
        <f t="shared" si="23"/>
        <v/>
      </c>
      <c r="K662" s="47"/>
      <c r="L662" s="47"/>
      <c r="N662" s="47"/>
      <c r="O662" s="47"/>
      <c r="P662" s="47"/>
    </row>
    <row r="663" spans="1:16" x14ac:dyDescent="0.3">
      <c r="A663" s="1">
        <v>662</v>
      </c>
      <c r="G663" s="4"/>
      <c r="H663" s="4"/>
      <c r="I663" s="47"/>
      <c r="J663" s="47" t="str">
        <f t="shared" si="23"/>
        <v/>
      </c>
      <c r="K663" s="47"/>
      <c r="L663" s="47"/>
      <c r="N663" s="47"/>
      <c r="O663" s="47"/>
      <c r="P663" s="47"/>
    </row>
    <row r="664" spans="1:16" x14ac:dyDescent="0.3">
      <c r="A664" s="1">
        <v>663</v>
      </c>
      <c r="G664" s="4"/>
      <c r="H664" s="4"/>
      <c r="I664" s="47"/>
      <c r="J664" s="47" t="str">
        <f t="shared" si="23"/>
        <v/>
      </c>
      <c r="K664" s="47"/>
      <c r="L664" s="47"/>
      <c r="N664" s="47"/>
      <c r="O664" s="47"/>
      <c r="P664" s="47"/>
    </row>
    <row r="665" spans="1:16" x14ac:dyDescent="0.3">
      <c r="A665" s="1">
        <v>664</v>
      </c>
      <c r="G665" s="4"/>
      <c r="H665" s="4"/>
      <c r="I665" s="47"/>
      <c r="J665" s="47" t="str">
        <f t="shared" si="23"/>
        <v/>
      </c>
      <c r="K665" s="47"/>
      <c r="L665" s="47"/>
      <c r="N665" s="47"/>
      <c r="O665" s="47"/>
      <c r="P665" s="47"/>
    </row>
    <row r="666" spans="1:16" x14ac:dyDescent="0.3">
      <c r="A666" s="1">
        <v>665</v>
      </c>
      <c r="G666" s="4"/>
      <c r="H666" s="4"/>
      <c r="I666" s="47"/>
      <c r="J666" s="47" t="str">
        <f t="shared" si="23"/>
        <v/>
      </c>
      <c r="K666" s="47"/>
      <c r="L666" s="47"/>
      <c r="N666" s="47"/>
      <c r="O666" s="47"/>
      <c r="P666" s="47"/>
    </row>
    <row r="667" spans="1:16" x14ac:dyDescent="0.3">
      <c r="A667" s="1">
        <v>666</v>
      </c>
      <c r="G667" s="4"/>
      <c r="H667" s="4"/>
      <c r="I667" s="47"/>
      <c r="J667" s="47" t="str">
        <f t="shared" si="23"/>
        <v/>
      </c>
      <c r="K667" s="47"/>
      <c r="L667" s="47"/>
      <c r="N667" s="47"/>
      <c r="O667" s="47"/>
      <c r="P667" s="47"/>
    </row>
    <row r="668" spans="1:16" x14ac:dyDescent="0.3">
      <c r="A668" s="1">
        <v>667</v>
      </c>
      <c r="G668" s="4"/>
      <c r="H668" s="4"/>
      <c r="I668" s="47"/>
      <c r="J668" s="47" t="str">
        <f t="shared" si="23"/>
        <v/>
      </c>
      <c r="K668" s="47"/>
      <c r="L668" s="47"/>
      <c r="N668" s="47"/>
      <c r="O668" s="47"/>
      <c r="P668" s="47"/>
    </row>
    <row r="669" spans="1:16" x14ac:dyDescent="0.3">
      <c r="A669" s="1">
        <v>668</v>
      </c>
      <c r="G669" s="4"/>
      <c r="H669" s="4"/>
      <c r="I669" s="47"/>
      <c r="J669" s="47" t="str">
        <f t="shared" si="23"/>
        <v/>
      </c>
      <c r="K669" s="47"/>
      <c r="L669" s="47"/>
      <c r="N669" s="47"/>
      <c r="O669" s="47"/>
      <c r="P669" s="47"/>
    </row>
    <row r="670" spans="1:16" x14ac:dyDescent="0.3">
      <c r="A670" s="1">
        <v>669</v>
      </c>
      <c r="G670" s="4"/>
      <c r="H670" s="4"/>
      <c r="I670" s="47"/>
      <c r="J670" s="47" t="str">
        <f t="shared" si="23"/>
        <v/>
      </c>
      <c r="K670" s="47"/>
      <c r="L670" s="47"/>
      <c r="N670" s="47"/>
      <c r="O670" s="47"/>
      <c r="P670" s="47"/>
    </row>
    <row r="671" spans="1:16" x14ac:dyDescent="0.3">
      <c r="A671" s="1">
        <v>670</v>
      </c>
      <c r="G671" s="4"/>
      <c r="H671" s="4"/>
      <c r="I671" s="47"/>
      <c r="J671" s="47" t="str">
        <f t="shared" si="23"/>
        <v/>
      </c>
      <c r="K671" s="47"/>
      <c r="L671" s="47"/>
      <c r="N671" s="47"/>
      <c r="O671" s="47"/>
      <c r="P671" s="47"/>
    </row>
    <row r="672" spans="1:16" x14ac:dyDescent="0.3">
      <c r="A672" s="1">
        <v>671</v>
      </c>
      <c r="G672" s="4"/>
      <c r="H672" s="4"/>
      <c r="I672" s="47"/>
      <c r="J672" s="47" t="str">
        <f t="shared" si="23"/>
        <v/>
      </c>
      <c r="K672" s="47"/>
      <c r="L672" s="47"/>
      <c r="N672" s="47"/>
      <c r="O672" s="47"/>
      <c r="P672" s="47"/>
    </row>
    <row r="673" spans="1:16" x14ac:dyDescent="0.3">
      <c r="A673" s="1">
        <v>672</v>
      </c>
      <c r="G673" s="4"/>
      <c r="H673" s="4"/>
      <c r="I673" s="47"/>
      <c r="J673" s="47" t="str">
        <f t="shared" si="23"/>
        <v/>
      </c>
      <c r="K673" s="47"/>
      <c r="L673" s="47"/>
      <c r="N673" s="47"/>
      <c r="O673" s="47"/>
      <c r="P673" s="47"/>
    </row>
    <row r="674" spans="1:16" x14ac:dyDescent="0.3">
      <c r="A674" s="1">
        <v>673</v>
      </c>
      <c r="G674" s="4"/>
      <c r="H674" s="4"/>
      <c r="I674" s="47"/>
      <c r="J674" s="47" t="str">
        <f t="shared" si="23"/>
        <v/>
      </c>
      <c r="K674" s="47"/>
      <c r="L674" s="47"/>
      <c r="N674" s="47"/>
      <c r="O674" s="47"/>
      <c r="P674" s="47"/>
    </row>
    <row r="675" spans="1:16" x14ac:dyDescent="0.3">
      <c r="A675" s="1">
        <v>674</v>
      </c>
      <c r="G675" s="4"/>
      <c r="H675" s="4"/>
      <c r="I675" s="47"/>
      <c r="J675" s="47" t="str">
        <f t="shared" si="23"/>
        <v/>
      </c>
      <c r="K675" s="47"/>
      <c r="L675" s="47"/>
      <c r="N675" s="47"/>
      <c r="O675" s="47"/>
      <c r="P675" s="47"/>
    </row>
    <row r="676" spans="1:16" x14ac:dyDescent="0.3">
      <c r="A676" s="1">
        <v>675</v>
      </c>
      <c r="G676" s="4"/>
      <c r="H676" s="4"/>
      <c r="I676" s="47"/>
      <c r="J676" s="47" t="str">
        <f t="shared" si="23"/>
        <v/>
      </c>
      <c r="K676" s="47"/>
      <c r="L676" s="47"/>
      <c r="N676" s="47"/>
      <c r="O676" s="47"/>
      <c r="P676" s="47"/>
    </row>
    <row r="677" spans="1:16" x14ac:dyDescent="0.3">
      <c r="A677" s="1">
        <v>676</v>
      </c>
      <c r="G677" s="4"/>
      <c r="H677" s="4"/>
      <c r="I677" s="47"/>
      <c r="J677" s="47" t="str">
        <f t="shared" si="23"/>
        <v/>
      </c>
      <c r="K677" s="47"/>
      <c r="L677" s="47"/>
      <c r="N677" s="47"/>
      <c r="O677" s="47"/>
      <c r="P677" s="47"/>
    </row>
    <row r="678" spans="1:16" x14ac:dyDescent="0.3">
      <c r="A678" s="1">
        <v>677</v>
      </c>
      <c r="G678" s="4"/>
      <c r="H678" s="4"/>
      <c r="I678" s="47"/>
      <c r="J678" s="47" t="str">
        <f t="shared" si="23"/>
        <v/>
      </c>
      <c r="K678" s="47"/>
      <c r="L678" s="47"/>
      <c r="N678" s="47"/>
      <c r="O678" s="47"/>
      <c r="P678" s="47"/>
    </row>
    <row r="679" spans="1:16" x14ac:dyDescent="0.3">
      <c r="A679" s="1">
        <v>678</v>
      </c>
      <c r="G679" s="4"/>
      <c r="H679" s="4"/>
      <c r="I679" s="47"/>
      <c r="J679" s="47" t="str">
        <f t="shared" si="23"/>
        <v/>
      </c>
      <c r="K679" s="47"/>
      <c r="L679" s="47"/>
      <c r="N679" s="47"/>
      <c r="O679" s="47"/>
      <c r="P679" s="47"/>
    </row>
    <row r="680" spans="1:16" x14ac:dyDescent="0.3">
      <c r="A680" s="1">
        <v>679</v>
      </c>
      <c r="G680" s="4"/>
      <c r="H680" s="4"/>
      <c r="I680" s="47"/>
      <c r="J680" s="47" t="str">
        <f t="shared" si="23"/>
        <v/>
      </c>
      <c r="K680" s="47"/>
      <c r="L680" s="47"/>
      <c r="N680" s="47"/>
      <c r="O680" s="47"/>
      <c r="P680" s="47"/>
    </row>
    <row r="681" spans="1:16" x14ac:dyDescent="0.3">
      <c r="A681" s="1">
        <v>680</v>
      </c>
      <c r="G681" s="4"/>
      <c r="H681" s="4"/>
      <c r="I681" s="47"/>
      <c r="J681" s="47" t="str">
        <f t="shared" si="23"/>
        <v/>
      </c>
      <c r="K681" s="47"/>
      <c r="L681" s="47"/>
      <c r="N681" s="47"/>
      <c r="O681" s="47"/>
      <c r="P681" s="47"/>
    </row>
    <row r="682" spans="1:16" x14ac:dyDescent="0.3">
      <c r="A682" s="1">
        <v>681</v>
      </c>
      <c r="G682" s="4"/>
      <c r="H682" s="4"/>
      <c r="I682" s="47"/>
      <c r="J682" s="47" t="str">
        <f t="shared" si="23"/>
        <v/>
      </c>
      <c r="K682" s="47"/>
      <c r="L682" s="47"/>
      <c r="N682" s="47"/>
      <c r="O682" s="47"/>
      <c r="P682" s="47"/>
    </row>
    <row r="683" spans="1:16" x14ac:dyDescent="0.3">
      <c r="A683" s="1">
        <v>682</v>
      </c>
      <c r="G683" s="4"/>
      <c r="H683" s="4"/>
      <c r="I683" s="47"/>
      <c r="J683" s="47" t="str">
        <f t="shared" si="23"/>
        <v/>
      </c>
      <c r="K683" s="47"/>
      <c r="L683" s="47"/>
      <c r="N683" s="47"/>
      <c r="O683" s="47"/>
      <c r="P683" s="47"/>
    </row>
    <row r="684" spans="1:16" x14ac:dyDescent="0.3">
      <c r="A684" s="1">
        <v>683</v>
      </c>
      <c r="G684" s="4"/>
      <c r="H684" s="4"/>
      <c r="I684" s="47"/>
      <c r="J684" s="47" t="str">
        <f t="shared" si="23"/>
        <v/>
      </c>
      <c r="K684" s="47"/>
      <c r="L684" s="47"/>
      <c r="N684" s="47"/>
      <c r="O684" s="47"/>
      <c r="P684" s="47"/>
    </row>
    <row r="685" spans="1:16" x14ac:dyDescent="0.3">
      <c r="A685" s="1">
        <v>684</v>
      </c>
      <c r="G685" s="4"/>
      <c r="H685" s="4"/>
      <c r="I685" s="47"/>
      <c r="J685" s="47" t="str">
        <f t="shared" si="23"/>
        <v/>
      </c>
      <c r="K685" s="47"/>
      <c r="L685" s="47"/>
      <c r="N685" s="47"/>
      <c r="O685" s="47"/>
      <c r="P685" s="47"/>
    </row>
    <row r="686" spans="1:16" x14ac:dyDescent="0.3">
      <c r="A686" s="1">
        <v>685</v>
      </c>
      <c r="G686" s="4"/>
      <c r="H686" s="4"/>
      <c r="I686" s="47"/>
      <c r="J686" s="47" t="str">
        <f t="shared" si="23"/>
        <v/>
      </c>
      <c r="K686" s="47"/>
      <c r="L686" s="47"/>
      <c r="N686" s="47"/>
      <c r="O686" s="47"/>
      <c r="P686" s="47"/>
    </row>
    <row r="687" spans="1:16" x14ac:dyDescent="0.3">
      <c r="A687" s="1">
        <v>686</v>
      </c>
      <c r="G687" s="4"/>
      <c r="H687" s="4"/>
      <c r="I687" s="47"/>
      <c r="J687" s="47" t="str">
        <f t="shared" si="23"/>
        <v/>
      </c>
      <c r="K687" s="47"/>
      <c r="L687" s="47"/>
      <c r="N687" s="47"/>
      <c r="O687" s="47"/>
      <c r="P687" s="47"/>
    </row>
    <row r="688" spans="1:16" x14ac:dyDescent="0.3">
      <c r="A688" s="1">
        <v>687</v>
      </c>
      <c r="G688" s="4"/>
      <c r="H688" s="4"/>
      <c r="I688" s="47"/>
      <c r="J688" s="47" t="str">
        <f t="shared" si="23"/>
        <v/>
      </c>
      <c r="K688" s="47"/>
      <c r="L688" s="47"/>
      <c r="N688" s="47"/>
      <c r="O688" s="47"/>
      <c r="P688" s="47"/>
    </row>
    <row r="689" spans="1:16" x14ac:dyDescent="0.3">
      <c r="A689" s="1">
        <v>688</v>
      </c>
      <c r="G689" s="4"/>
      <c r="H689" s="4"/>
      <c r="I689" s="47"/>
      <c r="J689" s="47" t="str">
        <f t="shared" si="23"/>
        <v/>
      </c>
      <c r="K689" s="47"/>
      <c r="L689" s="47"/>
      <c r="N689" s="47"/>
      <c r="O689" s="47"/>
      <c r="P689" s="47"/>
    </row>
    <row r="690" spans="1:16" x14ac:dyDescent="0.3">
      <c r="A690" s="1">
        <v>689</v>
      </c>
      <c r="G690" s="4"/>
      <c r="H690" s="4"/>
      <c r="I690" s="47"/>
      <c r="J690" s="47" t="str">
        <f t="shared" si="23"/>
        <v/>
      </c>
      <c r="K690" s="47"/>
      <c r="L690" s="47"/>
      <c r="N690" s="47"/>
      <c r="O690" s="47"/>
      <c r="P690" s="47"/>
    </row>
    <row r="691" spans="1:16" x14ac:dyDescent="0.3">
      <c r="A691" s="1">
        <v>690</v>
      </c>
      <c r="G691" s="4"/>
      <c r="H691" s="4"/>
      <c r="I691" s="47"/>
      <c r="J691" s="47" t="str">
        <f t="shared" si="23"/>
        <v/>
      </c>
      <c r="K691" s="47"/>
      <c r="L691" s="47"/>
      <c r="N691" s="47"/>
      <c r="O691" s="47"/>
      <c r="P691" s="47"/>
    </row>
    <row r="692" spans="1:16" x14ac:dyDescent="0.3">
      <c r="A692" s="1">
        <v>691</v>
      </c>
      <c r="G692" s="4"/>
      <c r="H692" s="4"/>
      <c r="I692" s="47"/>
      <c r="J692" s="47" t="str">
        <f t="shared" si="23"/>
        <v/>
      </c>
      <c r="K692" s="47"/>
      <c r="L692" s="47"/>
      <c r="N692" s="47"/>
      <c r="O692" s="47"/>
      <c r="P692" s="47"/>
    </row>
    <row r="693" spans="1:16" x14ac:dyDescent="0.3">
      <c r="A693" s="1">
        <v>692</v>
      </c>
      <c r="G693" s="4"/>
      <c r="H693" s="4"/>
      <c r="I693" s="47"/>
      <c r="J693" s="47" t="str">
        <f t="shared" si="23"/>
        <v/>
      </c>
      <c r="K693" s="47"/>
      <c r="L693" s="47"/>
      <c r="N693" s="47"/>
      <c r="O693" s="47"/>
      <c r="P693" s="47"/>
    </row>
    <row r="694" spans="1:16" x14ac:dyDescent="0.3">
      <c r="A694" s="1">
        <v>693</v>
      </c>
      <c r="G694" s="4"/>
      <c r="H694" s="4"/>
      <c r="I694" s="47"/>
      <c r="J694" s="47" t="str">
        <f t="shared" si="23"/>
        <v/>
      </c>
      <c r="K694" s="47"/>
      <c r="L694" s="47"/>
      <c r="N694" s="47"/>
      <c r="O694" s="47"/>
      <c r="P694" s="47"/>
    </row>
    <row r="695" spans="1:16" x14ac:dyDescent="0.3">
      <c r="A695" s="1">
        <v>694</v>
      </c>
      <c r="G695" s="4"/>
      <c r="H695" s="4"/>
      <c r="I695" s="47"/>
      <c r="J695" s="47" t="str">
        <f t="shared" si="23"/>
        <v/>
      </c>
      <c r="K695" s="47"/>
      <c r="L695" s="47"/>
      <c r="N695" s="47"/>
      <c r="O695" s="47"/>
      <c r="P695" s="47"/>
    </row>
    <row r="696" spans="1:16" x14ac:dyDescent="0.3">
      <c r="A696" s="1">
        <v>695</v>
      </c>
      <c r="G696" s="4"/>
      <c r="H696" s="4"/>
      <c r="I696" s="47"/>
      <c r="J696" s="47" t="str">
        <f t="shared" si="23"/>
        <v/>
      </c>
      <c r="K696" s="47"/>
      <c r="L696" s="47"/>
      <c r="N696" s="47"/>
      <c r="O696" s="47"/>
      <c r="P696" s="47"/>
    </row>
    <row r="697" spans="1:16" x14ac:dyDescent="0.3">
      <c r="A697" s="1">
        <v>696</v>
      </c>
      <c r="G697" s="4"/>
      <c r="H697" s="4"/>
      <c r="I697" s="47"/>
      <c r="J697" s="47" t="str">
        <f t="shared" si="23"/>
        <v/>
      </c>
      <c r="K697" s="47"/>
      <c r="L697" s="47"/>
      <c r="N697" s="47"/>
      <c r="O697" s="47"/>
      <c r="P697" s="47"/>
    </row>
    <row r="698" spans="1:16" x14ac:dyDescent="0.3">
      <c r="A698" s="1">
        <v>697</v>
      </c>
      <c r="G698" s="4"/>
      <c r="H698" s="4"/>
      <c r="I698" s="47"/>
      <c r="J698" s="47" t="str">
        <f t="shared" si="23"/>
        <v/>
      </c>
      <c r="K698" s="47"/>
      <c r="L698" s="47"/>
      <c r="N698" s="47"/>
      <c r="O698" s="47"/>
      <c r="P698" s="47"/>
    </row>
    <row r="699" spans="1:16" x14ac:dyDescent="0.3">
      <c r="A699" s="1">
        <v>698</v>
      </c>
      <c r="G699" s="4"/>
      <c r="H699" s="4"/>
      <c r="I699" s="47"/>
      <c r="J699" s="47" t="str">
        <f t="shared" si="23"/>
        <v/>
      </c>
      <c r="K699" s="47"/>
      <c r="L699" s="47"/>
      <c r="N699" s="47"/>
      <c r="O699" s="47"/>
      <c r="P699" s="47"/>
    </row>
    <row r="700" spans="1:16" x14ac:dyDescent="0.3">
      <c r="A700" s="1">
        <v>699</v>
      </c>
      <c r="G700" s="4"/>
      <c r="H700" s="4"/>
      <c r="I700" s="47"/>
      <c r="J700" s="47" t="str">
        <f t="shared" si="23"/>
        <v/>
      </c>
      <c r="K700" s="47"/>
      <c r="L700" s="47"/>
      <c r="N700" s="47"/>
      <c r="O700" s="47"/>
      <c r="P700" s="47"/>
    </row>
    <row r="701" spans="1:16" x14ac:dyDescent="0.3">
      <c r="A701" s="1">
        <v>700</v>
      </c>
      <c r="G701" s="4"/>
      <c r="H701" s="4"/>
      <c r="I701" s="47"/>
      <c r="J701" s="47" t="str">
        <f t="shared" si="23"/>
        <v/>
      </c>
      <c r="K701" s="47"/>
      <c r="L701" s="47"/>
      <c r="N701" s="47"/>
      <c r="O701" s="47"/>
      <c r="P701" s="47"/>
    </row>
    <row r="702" spans="1:16" x14ac:dyDescent="0.3">
      <c r="A702" s="1">
        <v>701</v>
      </c>
      <c r="G702" s="4"/>
      <c r="H702" s="4"/>
      <c r="I702" s="47"/>
      <c r="J702" s="47" t="str">
        <f t="shared" si="23"/>
        <v/>
      </c>
      <c r="K702" s="47"/>
      <c r="L702" s="47"/>
      <c r="N702" s="47"/>
      <c r="O702" s="47"/>
      <c r="P702" s="47"/>
    </row>
    <row r="703" spans="1:16" x14ac:dyDescent="0.3">
      <c r="A703" s="1">
        <v>702</v>
      </c>
      <c r="G703" s="4"/>
      <c r="H703" s="4"/>
      <c r="I703" s="47"/>
      <c r="J703" s="47" t="str">
        <f t="shared" si="23"/>
        <v/>
      </c>
      <c r="K703" s="47"/>
      <c r="L703" s="47"/>
      <c r="N703" s="47"/>
      <c r="O703" s="47"/>
      <c r="P703" s="47"/>
    </row>
    <row r="704" spans="1:16" x14ac:dyDescent="0.3">
      <c r="A704" s="1">
        <v>703</v>
      </c>
      <c r="G704" s="4"/>
      <c r="H704" s="4"/>
      <c r="I704" s="47"/>
      <c r="J704" s="47" t="str">
        <f t="shared" si="23"/>
        <v/>
      </c>
      <c r="K704" s="47"/>
      <c r="L704" s="47"/>
      <c r="N704" s="47"/>
      <c r="O704" s="47"/>
      <c r="P704" s="47"/>
    </row>
    <row r="705" spans="1:16" x14ac:dyDescent="0.3">
      <c r="A705" s="1">
        <v>704</v>
      </c>
      <c r="G705" s="4"/>
      <c r="H705" s="4"/>
      <c r="I705" s="47"/>
      <c r="J705" s="47" t="str">
        <f t="shared" si="23"/>
        <v/>
      </c>
      <c r="K705" s="47"/>
      <c r="L705" s="47"/>
      <c r="N705" s="47"/>
      <c r="O705" s="47"/>
      <c r="P705" s="47"/>
    </row>
    <row r="706" spans="1:16" x14ac:dyDescent="0.3">
      <c r="A706" s="1">
        <v>705</v>
      </c>
      <c r="G706" s="4"/>
      <c r="H706" s="4"/>
      <c r="I706" s="47"/>
      <c r="J706" s="47" t="str">
        <f t="shared" si="23"/>
        <v/>
      </c>
      <c r="K706" s="47"/>
      <c r="L706" s="47"/>
      <c r="N706" s="47"/>
      <c r="O706" s="47"/>
      <c r="P706" s="47"/>
    </row>
    <row r="707" spans="1:16" x14ac:dyDescent="0.3">
      <c r="A707" s="1">
        <v>706</v>
      </c>
      <c r="G707" s="4"/>
      <c r="H707" s="4"/>
      <c r="I707" s="47"/>
      <c r="J707" s="47" t="str">
        <f t="shared" ref="J707:J770" si="24">+E707&amp;I707</f>
        <v/>
      </c>
      <c r="K707" s="47"/>
      <c r="L707" s="47"/>
      <c r="N707" s="47"/>
      <c r="O707" s="47"/>
      <c r="P707" s="47"/>
    </row>
    <row r="708" spans="1:16" x14ac:dyDescent="0.3">
      <c r="A708" s="1">
        <v>707</v>
      </c>
      <c r="G708" s="4"/>
      <c r="H708" s="4"/>
      <c r="I708" s="47"/>
      <c r="J708" s="47" t="str">
        <f t="shared" si="24"/>
        <v/>
      </c>
      <c r="K708" s="47"/>
      <c r="L708" s="47"/>
      <c r="N708" s="47"/>
      <c r="O708" s="47"/>
      <c r="P708" s="47"/>
    </row>
    <row r="709" spans="1:16" x14ac:dyDescent="0.3">
      <c r="A709" s="1">
        <v>708</v>
      </c>
      <c r="G709" s="4"/>
      <c r="H709" s="4"/>
      <c r="I709" s="47"/>
      <c r="J709" s="47" t="str">
        <f t="shared" si="24"/>
        <v/>
      </c>
      <c r="K709" s="47"/>
      <c r="L709" s="47"/>
      <c r="N709" s="47"/>
      <c r="O709" s="47"/>
      <c r="P709" s="47"/>
    </row>
    <row r="710" spans="1:16" x14ac:dyDescent="0.3">
      <c r="A710" s="1">
        <v>709</v>
      </c>
      <c r="G710" s="4"/>
      <c r="H710" s="4"/>
      <c r="I710" s="47"/>
      <c r="J710" s="47" t="str">
        <f t="shared" si="24"/>
        <v/>
      </c>
      <c r="K710" s="47"/>
      <c r="L710" s="47"/>
      <c r="N710" s="47"/>
      <c r="O710" s="47"/>
      <c r="P710" s="47"/>
    </row>
    <row r="711" spans="1:16" x14ac:dyDescent="0.3">
      <c r="A711" s="1">
        <v>710</v>
      </c>
      <c r="G711" s="4"/>
      <c r="H711" s="4"/>
      <c r="I711" s="47"/>
      <c r="J711" s="47" t="str">
        <f t="shared" si="24"/>
        <v/>
      </c>
      <c r="K711" s="47"/>
      <c r="L711" s="47"/>
      <c r="N711" s="47"/>
      <c r="O711" s="47"/>
      <c r="P711" s="47"/>
    </row>
    <row r="712" spans="1:16" x14ac:dyDescent="0.3">
      <c r="A712" s="1">
        <v>711</v>
      </c>
      <c r="G712" s="4"/>
      <c r="H712" s="4"/>
      <c r="I712" s="47"/>
      <c r="J712" s="47" t="str">
        <f t="shared" si="24"/>
        <v/>
      </c>
      <c r="K712" s="47"/>
      <c r="L712" s="47"/>
      <c r="N712" s="47"/>
      <c r="O712" s="47"/>
      <c r="P712" s="47"/>
    </row>
    <row r="713" spans="1:16" x14ac:dyDescent="0.3">
      <c r="A713" s="1">
        <v>712</v>
      </c>
      <c r="G713" s="4"/>
      <c r="H713" s="4"/>
      <c r="I713" s="47"/>
      <c r="J713" s="47" t="str">
        <f t="shared" si="24"/>
        <v/>
      </c>
      <c r="K713" s="47"/>
      <c r="L713" s="47"/>
      <c r="N713" s="47"/>
      <c r="O713" s="47"/>
      <c r="P713" s="47"/>
    </row>
    <row r="714" spans="1:16" x14ac:dyDescent="0.3">
      <c r="A714" s="1">
        <v>713</v>
      </c>
      <c r="G714" s="4"/>
      <c r="H714" s="4"/>
      <c r="I714" s="47"/>
      <c r="J714" s="47" t="str">
        <f t="shared" si="24"/>
        <v/>
      </c>
      <c r="K714" s="47"/>
      <c r="L714" s="47"/>
      <c r="N714" s="47"/>
      <c r="O714" s="47"/>
      <c r="P714" s="47"/>
    </row>
    <row r="715" spans="1:16" x14ac:dyDescent="0.3">
      <c r="A715" s="1">
        <v>714</v>
      </c>
      <c r="G715" s="4"/>
      <c r="H715" s="4"/>
      <c r="I715" s="47"/>
      <c r="J715" s="47" t="str">
        <f t="shared" si="24"/>
        <v/>
      </c>
      <c r="K715" s="47"/>
      <c r="L715" s="47"/>
      <c r="N715" s="47"/>
      <c r="O715" s="47"/>
      <c r="P715" s="47"/>
    </row>
    <row r="716" spans="1:16" x14ac:dyDescent="0.3">
      <c r="A716" s="1">
        <v>715</v>
      </c>
      <c r="G716" s="4"/>
      <c r="H716" s="4"/>
      <c r="I716" s="47"/>
      <c r="J716" s="47" t="str">
        <f t="shared" si="24"/>
        <v/>
      </c>
      <c r="K716" s="47"/>
      <c r="L716" s="47"/>
      <c r="N716" s="47"/>
      <c r="O716" s="47"/>
      <c r="P716" s="47"/>
    </row>
    <row r="717" spans="1:16" x14ac:dyDescent="0.3">
      <c r="A717" s="1">
        <v>716</v>
      </c>
      <c r="G717" s="4"/>
      <c r="H717" s="4"/>
      <c r="I717" s="47"/>
      <c r="J717" s="47" t="str">
        <f t="shared" si="24"/>
        <v/>
      </c>
      <c r="K717" s="47"/>
      <c r="L717" s="47"/>
      <c r="N717" s="47"/>
      <c r="O717" s="47"/>
      <c r="P717" s="47"/>
    </row>
    <row r="718" spans="1:16" x14ac:dyDescent="0.3">
      <c r="A718" s="1">
        <v>717</v>
      </c>
      <c r="G718" s="4"/>
      <c r="H718" s="4"/>
      <c r="I718" s="47"/>
      <c r="J718" s="47" t="str">
        <f t="shared" si="24"/>
        <v/>
      </c>
      <c r="K718" s="47"/>
      <c r="L718" s="47"/>
      <c r="N718" s="47"/>
      <c r="O718" s="47"/>
      <c r="P718" s="47"/>
    </row>
    <row r="719" spans="1:16" x14ac:dyDescent="0.3">
      <c r="A719" s="1">
        <v>718</v>
      </c>
      <c r="G719" s="4"/>
      <c r="H719" s="4"/>
      <c r="I719" s="47"/>
      <c r="J719" s="47" t="str">
        <f t="shared" si="24"/>
        <v/>
      </c>
      <c r="K719" s="47"/>
      <c r="L719" s="47"/>
      <c r="N719" s="47"/>
      <c r="O719" s="47"/>
      <c r="P719" s="47"/>
    </row>
    <row r="720" spans="1:16" x14ac:dyDescent="0.3">
      <c r="A720" s="1">
        <v>719</v>
      </c>
      <c r="G720" s="4"/>
      <c r="H720" s="4"/>
      <c r="I720" s="47"/>
      <c r="J720" s="47" t="str">
        <f t="shared" si="24"/>
        <v/>
      </c>
      <c r="K720" s="47"/>
      <c r="L720" s="47"/>
      <c r="N720" s="47"/>
      <c r="O720" s="47"/>
      <c r="P720" s="47"/>
    </row>
    <row r="721" spans="1:16" x14ac:dyDescent="0.3">
      <c r="A721" s="1">
        <v>720</v>
      </c>
      <c r="G721" s="4"/>
      <c r="H721" s="4"/>
      <c r="I721" s="47"/>
      <c r="J721" s="47" t="str">
        <f t="shared" si="24"/>
        <v/>
      </c>
      <c r="K721" s="47"/>
      <c r="L721" s="47"/>
      <c r="N721" s="47"/>
      <c r="O721" s="47"/>
      <c r="P721" s="47"/>
    </row>
    <row r="722" spans="1:16" x14ac:dyDescent="0.3">
      <c r="A722" s="1">
        <v>721</v>
      </c>
      <c r="G722" s="4"/>
      <c r="H722" s="4"/>
      <c r="I722" s="47"/>
      <c r="J722" s="47" t="str">
        <f t="shared" si="24"/>
        <v/>
      </c>
      <c r="K722" s="47"/>
      <c r="L722" s="47"/>
      <c r="N722" s="47"/>
      <c r="O722" s="47"/>
      <c r="P722" s="47"/>
    </row>
    <row r="723" spans="1:16" x14ac:dyDescent="0.3">
      <c r="A723" s="1">
        <v>722</v>
      </c>
      <c r="G723" s="4"/>
      <c r="H723" s="4"/>
      <c r="I723" s="47"/>
      <c r="J723" s="47" t="str">
        <f t="shared" si="24"/>
        <v/>
      </c>
      <c r="K723" s="47"/>
      <c r="L723" s="47"/>
      <c r="N723" s="47"/>
      <c r="O723" s="47"/>
      <c r="P723" s="47"/>
    </row>
    <row r="724" spans="1:16" x14ac:dyDescent="0.3">
      <c r="A724" s="1">
        <v>723</v>
      </c>
      <c r="G724" s="4"/>
      <c r="H724" s="4"/>
      <c r="I724" s="47"/>
      <c r="J724" s="47" t="str">
        <f t="shared" si="24"/>
        <v/>
      </c>
      <c r="K724" s="47"/>
      <c r="L724" s="47"/>
      <c r="N724" s="47"/>
      <c r="O724" s="47"/>
      <c r="P724" s="47"/>
    </row>
    <row r="725" spans="1:16" x14ac:dyDescent="0.3">
      <c r="A725" s="1">
        <v>724</v>
      </c>
      <c r="G725" s="4"/>
      <c r="H725" s="4"/>
      <c r="I725" s="47"/>
      <c r="J725" s="47" t="str">
        <f t="shared" si="24"/>
        <v/>
      </c>
      <c r="K725" s="47"/>
      <c r="L725" s="47"/>
      <c r="N725" s="47"/>
      <c r="O725" s="47"/>
      <c r="P725" s="47"/>
    </row>
    <row r="726" spans="1:16" x14ac:dyDescent="0.3">
      <c r="A726" s="1">
        <v>725</v>
      </c>
      <c r="G726" s="4"/>
      <c r="H726" s="4"/>
      <c r="I726" s="47"/>
      <c r="J726" s="47" t="str">
        <f t="shared" si="24"/>
        <v/>
      </c>
      <c r="K726" s="47"/>
      <c r="L726" s="47"/>
      <c r="N726" s="47"/>
      <c r="O726" s="47"/>
      <c r="P726" s="47"/>
    </row>
    <row r="727" spans="1:16" x14ac:dyDescent="0.3">
      <c r="A727" s="1">
        <v>726</v>
      </c>
      <c r="G727" s="4"/>
      <c r="H727" s="4"/>
      <c r="I727" s="47"/>
      <c r="J727" s="47" t="str">
        <f t="shared" si="24"/>
        <v/>
      </c>
      <c r="K727" s="47"/>
      <c r="L727" s="47"/>
      <c r="N727" s="47"/>
      <c r="O727" s="47"/>
      <c r="P727" s="47"/>
    </row>
    <row r="728" spans="1:16" x14ac:dyDescent="0.3">
      <c r="A728" s="1">
        <v>727</v>
      </c>
      <c r="G728" s="4"/>
      <c r="H728" s="4"/>
      <c r="I728" s="47"/>
      <c r="J728" s="47" t="str">
        <f t="shared" si="24"/>
        <v/>
      </c>
      <c r="K728" s="47"/>
      <c r="L728" s="47"/>
      <c r="N728" s="47"/>
      <c r="O728" s="47"/>
      <c r="P728" s="47"/>
    </row>
    <row r="729" spans="1:16" x14ac:dyDescent="0.3">
      <c r="A729" s="1">
        <v>728</v>
      </c>
      <c r="G729" s="4"/>
      <c r="H729" s="4"/>
      <c r="I729" s="47"/>
      <c r="J729" s="47" t="str">
        <f t="shared" si="24"/>
        <v/>
      </c>
      <c r="K729" s="47"/>
      <c r="L729" s="47"/>
      <c r="N729" s="47"/>
      <c r="O729" s="47"/>
      <c r="P729" s="47"/>
    </row>
    <row r="730" spans="1:16" x14ac:dyDescent="0.3">
      <c r="A730" s="1">
        <v>729</v>
      </c>
      <c r="G730" s="4"/>
      <c r="H730" s="4"/>
      <c r="I730" s="47"/>
      <c r="J730" s="47" t="str">
        <f t="shared" si="24"/>
        <v/>
      </c>
      <c r="K730" s="47"/>
      <c r="L730" s="47"/>
      <c r="N730" s="47"/>
      <c r="O730" s="47"/>
      <c r="P730" s="47"/>
    </row>
    <row r="731" spans="1:16" x14ac:dyDescent="0.3">
      <c r="A731" s="1">
        <v>730</v>
      </c>
      <c r="G731" s="4"/>
      <c r="H731" s="4"/>
      <c r="I731" s="47"/>
      <c r="J731" s="47" t="str">
        <f t="shared" si="24"/>
        <v/>
      </c>
      <c r="K731" s="47"/>
      <c r="L731" s="47"/>
      <c r="N731" s="47"/>
      <c r="O731" s="47"/>
      <c r="P731" s="47"/>
    </row>
    <row r="732" spans="1:16" x14ac:dyDescent="0.3">
      <c r="A732" s="1">
        <v>731</v>
      </c>
      <c r="G732" s="4"/>
      <c r="H732" s="4"/>
      <c r="I732" s="47"/>
      <c r="J732" s="47" t="str">
        <f t="shared" si="24"/>
        <v/>
      </c>
      <c r="K732" s="47"/>
      <c r="L732" s="47"/>
      <c r="N732" s="47"/>
      <c r="O732" s="47"/>
      <c r="P732" s="47"/>
    </row>
    <row r="733" spans="1:16" x14ac:dyDescent="0.3">
      <c r="A733" s="1">
        <v>732</v>
      </c>
      <c r="G733" s="4"/>
      <c r="H733" s="4"/>
      <c r="I733" s="47"/>
      <c r="J733" s="47" t="str">
        <f t="shared" si="24"/>
        <v/>
      </c>
      <c r="K733" s="47"/>
      <c r="L733" s="47"/>
      <c r="N733" s="47"/>
      <c r="O733" s="47"/>
      <c r="P733" s="47"/>
    </row>
    <row r="734" spans="1:16" x14ac:dyDescent="0.3">
      <c r="A734" s="1">
        <v>733</v>
      </c>
      <c r="G734" s="4"/>
      <c r="H734" s="4"/>
      <c r="I734" s="47"/>
      <c r="J734" s="47" t="str">
        <f t="shared" si="24"/>
        <v/>
      </c>
      <c r="K734" s="47"/>
      <c r="L734" s="47"/>
      <c r="N734" s="47"/>
      <c r="O734" s="47"/>
      <c r="P734" s="47"/>
    </row>
    <row r="735" spans="1:16" x14ac:dyDescent="0.3">
      <c r="A735" s="1">
        <v>734</v>
      </c>
      <c r="G735" s="4"/>
      <c r="H735" s="4"/>
      <c r="I735" s="47"/>
      <c r="J735" s="47" t="str">
        <f t="shared" si="24"/>
        <v/>
      </c>
      <c r="K735" s="47"/>
      <c r="L735" s="47"/>
      <c r="N735" s="47"/>
      <c r="O735" s="47"/>
      <c r="P735" s="47"/>
    </row>
    <row r="736" spans="1:16" x14ac:dyDescent="0.3">
      <c r="A736" s="1">
        <v>735</v>
      </c>
      <c r="G736" s="4"/>
      <c r="H736" s="4"/>
      <c r="I736" s="47"/>
      <c r="J736" s="47" t="str">
        <f t="shared" si="24"/>
        <v/>
      </c>
      <c r="K736" s="47"/>
      <c r="L736" s="47"/>
      <c r="N736" s="47"/>
      <c r="O736" s="47"/>
      <c r="P736" s="47"/>
    </row>
    <row r="737" spans="1:16" x14ac:dyDescent="0.3">
      <c r="A737" s="1">
        <v>736</v>
      </c>
      <c r="G737" s="4"/>
      <c r="H737" s="4"/>
      <c r="I737" s="47"/>
      <c r="J737" s="47" t="str">
        <f t="shared" si="24"/>
        <v/>
      </c>
      <c r="K737" s="47"/>
      <c r="L737" s="47"/>
      <c r="N737" s="47"/>
      <c r="O737" s="47"/>
      <c r="P737" s="47"/>
    </row>
    <row r="738" spans="1:16" x14ac:dyDescent="0.3">
      <c r="A738" s="1">
        <v>737</v>
      </c>
      <c r="G738" s="4"/>
      <c r="H738" s="4"/>
      <c r="I738" s="47"/>
      <c r="J738" s="47" t="str">
        <f t="shared" si="24"/>
        <v/>
      </c>
      <c r="K738" s="47"/>
      <c r="L738" s="47"/>
      <c r="N738" s="47"/>
      <c r="O738" s="47"/>
      <c r="P738" s="47"/>
    </row>
    <row r="739" spans="1:16" x14ac:dyDescent="0.3">
      <c r="A739" s="1">
        <v>738</v>
      </c>
      <c r="G739" s="4"/>
      <c r="H739" s="4"/>
      <c r="I739" s="47"/>
      <c r="J739" s="47" t="str">
        <f t="shared" si="24"/>
        <v/>
      </c>
      <c r="K739" s="47"/>
      <c r="L739" s="47"/>
      <c r="N739" s="47"/>
      <c r="O739" s="47"/>
      <c r="P739" s="47"/>
    </row>
    <row r="740" spans="1:16" x14ac:dyDescent="0.3">
      <c r="A740" s="1">
        <v>739</v>
      </c>
      <c r="G740" s="4"/>
      <c r="H740" s="4"/>
      <c r="I740" s="47"/>
      <c r="J740" s="47" t="str">
        <f t="shared" si="24"/>
        <v/>
      </c>
      <c r="K740" s="47"/>
      <c r="L740" s="47"/>
      <c r="N740" s="47"/>
      <c r="O740" s="47"/>
      <c r="P740" s="47"/>
    </row>
    <row r="741" spans="1:16" x14ac:dyDescent="0.3">
      <c r="A741" s="1">
        <v>740</v>
      </c>
      <c r="G741" s="4"/>
      <c r="H741" s="4"/>
      <c r="I741" s="47"/>
      <c r="J741" s="47" t="str">
        <f t="shared" si="24"/>
        <v/>
      </c>
      <c r="K741" s="47"/>
      <c r="L741" s="47"/>
      <c r="N741" s="47"/>
      <c r="O741" s="47"/>
      <c r="P741" s="47"/>
    </row>
    <row r="742" spans="1:16" x14ac:dyDescent="0.3">
      <c r="A742" s="1">
        <v>741</v>
      </c>
      <c r="G742" s="4"/>
      <c r="H742" s="4"/>
      <c r="I742" s="47"/>
      <c r="J742" s="47" t="str">
        <f t="shared" si="24"/>
        <v/>
      </c>
      <c r="K742" s="47"/>
      <c r="L742" s="47"/>
      <c r="N742" s="47"/>
      <c r="O742" s="47"/>
      <c r="P742" s="47"/>
    </row>
    <row r="743" spans="1:16" x14ac:dyDescent="0.3">
      <c r="A743" s="1">
        <v>742</v>
      </c>
      <c r="G743" s="4"/>
      <c r="H743" s="4"/>
      <c r="I743" s="47"/>
      <c r="J743" s="47" t="str">
        <f t="shared" si="24"/>
        <v/>
      </c>
      <c r="K743" s="47"/>
      <c r="L743" s="47"/>
      <c r="N743" s="47"/>
      <c r="O743" s="47"/>
      <c r="P743" s="47"/>
    </row>
    <row r="744" spans="1:16" x14ac:dyDescent="0.3">
      <c r="A744" s="1">
        <v>743</v>
      </c>
      <c r="G744" s="4"/>
      <c r="H744" s="4"/>
      <c r="I744" s="47"/>
      <c r="J744" s="47" t="str">
        <f t="shared" si="24"/>
        <v/>
      </c>
      <c r="K744" s="47"/>
      <c r="L744" s="47"/>
      <c r="N744" s="47"/>
      <c r="O744" s="47"/>
      <c r="P744" s="47"/>
    </row>
    <row r="745" spans="1:16" x14ac:dyDescent="0.3">
      <c r="A745" s="1">
        <v>744</v>
      </c>
      <c r="G745" s="4"/>
      <c r="H745" s="4"/>
      <c r="I745" s="47"/>
      <c r="J745" s="47" t="str">
        <f t="shared" si="24"/>
        <v/>
      </c>
      <c r="K745" s="47"/>
      <c r="L745" s="47"/>
      <c r="N745" s="47"/>
      <c r="O745" s="47"/>
      <c r="P745" s="47"/>
    </row>
    <row r="746" spans="1:16" x14ac:dyDescent="0.3">
      <c r="A746" s="1">
        <v>745</v>
      </c>
      <c r="G746" s="4"/>
      <c r="H746" s="4"/>
      <c r="I746" s="47"/>
      <c r="J746" s="47" t="str">
        <f t="shared" si="24"/>
        <v/>
      </c>
      <c r="K746" s="47"/>
      <c r="L746" s="47"/>
      <c r="N746" s="47"/>
      <c r="O746" s="47"/>
      <c r="P746" s="47"/>
    </row>
    <row r="747" spans="1:16" x14ac:dyDescent="0.3">
      <c r="A747" s="1">
        <v>746</v>
      </c>
      <c r="G747" s="4"/>
      <c r="H747" s="4"/>
      <c r="I747" s="47"/>
      <c r="J747" s="47" t="str">
        <f t="shared" si="24"/>
        <v/>
      </c>
      <c r="K747" s="47"/>
      <c r="L747" s="47"/>
      <c r="N747" s="47"/>
      <c r="O747" s="47"/>
      <c r="P747" s="47"/>
    </row>
    <row r="748" spans="1:16" x14ac:dyDescent="0.3">
      <c r="A748" s="1">
        <v>747</v>
      </c>
      <c r="G748" s="4"/>
      <c r="H748" s="4"/>
      <c r="I748" s="47"/>
      <c r="J748" s="47" t="str">
        <f t="shared" si="24"/>
        <v/>
      </c>
      <c r="K748" s="47"/>
      <c r="L748" s="47"/>
      <c r="N748" s="47"/>
      <c r="O748" s="47"/>
      <c r="P748" s="47"/>
    </row>
    <row r="749" spans="1:16" x14ac:dyDescent="0.3">
      <c r="A749" s="1">
        <v>748</v>
      </c>
      <c r="G749" s="4"/>
      <c r="H749" s="4"/>
      <c r="I749" s="47"/>
      <c r="J749" s="47" t="str">
        <f t="shared" si="24"/>
        <v/>
      </c>
      <c r="K749" s="47"/>
      <c r="L749" s="47"/>
      <c r="N749" s="47"/>
      <c r="O749" s="47"/>
      <c r="P749" s="47"/>
    </row>
    <row r="750" spans="1:16" x14ac:dyDescent="0.3">
      <c r="A750" s="1">
        <v>749</v>
      </c>
      <c r="G750" s="4"/>
      <c r="H750" s="4"/>
      <c r="I750" s="47"/>
      <c r="J750" s="47" t="str">
        <f t="shared" si="24"/>
        <v/>
      </c>
      <c r="K750" s="47"/>
      <c r="L750" s="47"/>
      <c r="N750" s="47"/>
      <c r="O750" s="47"/>
      <c r="P750" s="47"/>
    </row>
    <row r="751" spans="1:16" x14ac:dyDescent="0.3">
      <c r="A751" s="1">
        <v>750</v>
      </c>
      <c r="G751" s="4"/>
      <c r="H751" s="4"/>
      <c r="I751" s="47"/>
      <c r="J751" s="47" t="str">
        <f t="shared" si="24"/>
        <v/>
      </c>
      <c r="K751" s="47"/>
      <c r="L751" s="47"/>
      <c r="N751" s="47"/>
      <c r="O751" s="47"/>
      <c r="P751" s="47"/>
    </row>
    <row r="752" spans="1:16" x14ac:dyDescent="0.3">
      <c r="A752" s="1">
        <v>751</v>
      </c>
      <c r="G752" s="4"/>
      <c r="H752" s="4"/>
      <c r="I752" s="47"/>
      <c r="J752" s="47" t="str">
        <f t="shared" si="24"/>
        <v/>
      </c>
      <c r="K752" s="47"/>
      <c r="L752" s="47"/>
      <c r="N752" s="47"/>
      <c r="O752" s="47"/>
      <c r="P752" s="47"/>
    </row>
    <row r="753" spans="1:16" x14ac:dyDescent="0.3">
      <c r="A753" s="1">
        <v>752</v>
      </c>
      <c r="G753" s="4"/>
      <c r="H753" s="4"/>
      <c r="I753" s="47"/>
      <c r="J753" s="47" t="str">
        <f t="shared" si="24"/>
        <v/>
      </c>
      <c r="K753" s="47"/>
      <c r="L753" s="47"/>
      <c r="N753" s="47"/>
      <c r="O753" s="47"/>
      <c r="P753" s="47"/>
    </row>
    <row r="754" spans="1:16" x14ac:dyDescent="0.3">
      <c r="A754" s="1">
        <v>753</v>
      </c>
      <c r="G754" s="4"/>
      <c r="H754" s="4"/>
      <c r="I754" s="47"/>
      <c r="J754" s="47" t="str">
        <f t="shared" si="24"/>
        <v/>
      </c>
      <c r="K754" s="47"/>
      <c r="L754" s="47"/>
      <c r="N754" s="47"/>
      <c r="O754" s="47"/>
      <c r="P754" s="47"/>
    </row>
    <row r="755" spans="1:16" x14ac:dyDescent="0.3">
      <c r="A755" s="1">
        <v>754</v>
      </c>
      <c r="G755" s="4"/>
      <c r="H755" s="4"/>
      <c r="I755" s="47"/>
      <c r="J755" s="47" t="str">
        <f t="shared" si="24"/>
        <v/>
      </c>
      <c r="K755" s="47"/>
      <c r="L755" s="47"/>
      <c r="N755" s="47"/>
      <c r="O755" s="47"/>
      <c r="P755" s="47"/>
    </row>
    <row r="756" spans="1:16" x14ac:dyDescent="0.3">
      <c r="A756" s="1">
        <v>755</v>
      </c>
      <c r="G756" s="4"/>
      <c r="H756" s="4"/>
      <c r="I756" s="47"/>
      <c r="J756" s="47" t="str">
        <f t="shared" si="24"/>
        <v/>
      </c>
      <c r="K756" s="47"/>
      <c r="L756" s="47"/>
      <c r="N756" s="47"/>
      <c r="O756" s="47"/>
      <c r="P756" s="47"/>
    </row>
    <row r="757" spans="1:16" x14ac:dyDescent="0.3">
      <c r="A757" s="1">
        <v>756</v>
      </c>
      <c r="G757" s="4"/>
      <c r="H757" s="4"/>
      <c r="I757" s="47"/>
      <c r="J757" s="47" t="str">
        <f t="shared" si="24"/>
        <v/>
      </c>
      <c r="K757" s="47"/>
      <c r="L757" s="47"/>
      <c r="N757" s="47"/>
      <c r="O757" s="47"/>
      <c r="P757" s="47"/>
    </row>
    <row r="758" spans="1:16" x14ac:dyDescent="0.3">
      <c r="A758" s="1">
        <v>757</v>
      </c>
      <c r="G758" s="4"/>
      <c r="H758" s="4"/>
      <c r="I758" s="47"/>
      <c r="J758" s="47" t="str">
        <f t="shared" si="24"/>
        <v/>
      </c>
      <c r="K758" s="47"/>
      <c r="L758" s="47"/>
      <c r="N758" s="47"/>
      <c r="O758" s="47"/>
      <c r="P758" s="47"/>
    </row>
    <row r="759" spans="1:16" x14ac:dyDescent="0.3">
      <c r="A759" s="1">
        <v>758</v>
      </c>
      <c r="G759" s="4"/>
      <c r="H759" s="4"/>
      <c r="I759" s="47"/>
      <c r="J759" s="47" t="str">
        <f t="shared" si="24"/>
        <v/>
      </c>
      <c r="K759" s="47"/>
      <c r="L759" s="47"/>
      <c r="N759" s="47"/>
      <c r="O759" s="47"/>
      <c r="P759" s="47"/>
    </row>
    <row r="760" spans="1:16" x14ac:dyDescent="0.3">
      <c r="A760" s="1">
        <v>759</v>
      </c>
      <c r="G760" s="4"/>
      <c r="H760" s="4"/>
      <c r="I760" s="47"/>
      <c r="J760" s="47" t="str">
        <f t="shared" si="24"/>
        <v/>
      </c>
      <c r="K760" s="47"/>
      <c r="L760" s="47"/>
      <c r="N760" s="47"/>
      <c r="O760" s="47"/>
      <c r="P760" s="47"/>
    </row>
    <row r="761" spans="1:16" x14ac:dyDescent="0.3">
      <c r="A761" s="1">
        <v>760</v>
      </c>
      <c r="G761" s="4"/>
      <c r="H761" s="4"/>
      <c r="I761" s="47"/>
      <c r="J761" s="47" t="str">
        <f t="shared" si="24"/>
        <v/>
      </c>
      <c r="K761" s="47"/>
      <c r="L761" s="47"/>
      <c r="N761" s="47"/>
      <c r="O761" s="47"/>
      <c r="P761" s="47"/>
    </row>
    <row r="762" spans="1:16" x14ac:dyDescent="0.3">
      <c r="A762" s="1">
        <v>761</v>
      </c>
      <c r="G762" s="4"/>
      <c r="H762" s="4"/>
      <c r="I762" s="47"/>
      <c r="J762" s="47" t="str">
        <f t="shared" si="24"/>
        <v/>
      </c>
      <c r="K762" s="47"/>
      <c r="L762" s="47"/>
      <c r="N762" s="47"/>
      <c r="O762" s="47"/>
      <c r="P762" s="47"/>
    </row>
    <row r="763" spans="1:16" x14ac:dyDescent="0.3">
      <c r="A763" s="1">
        <v>762</v>
      </c>
      <c r="G763" s="4"/>
      <c r="H763" s="4"/>
      <c r="I763" s="47"/>
      <c r="J763" s="47" t="str">
        <f t="shared" si="24"/>
        <v/>
      </c>
      <c r="K763" s="47"/>
      <c r="L763" s="47"/>
      <c r="N763" s="47"/>
      <c r="O763" s="47"/>
      <c r="P763" s="47"/>
    </row>
    <row r="764" spans="1:16" x14ac:dyDescent="0.3">
      <c r="A764" s="1">
        <v>763</v>
      </c>
      <c r="G764" s="4"/>
      <c r="H764" s="4"/>
      <c r="I764" s="47"/>
      <c r="J764" s="47" t="str">
        <f t="shared" si="24"/>
        <v/>
      </c>
      <c r="K764" s="47"/>
      <c r="L764" s="47"/>
      <c r="N764" s="47"/>
      <c r="O764" s="47"/>
      <c r="P764" s="47"/>
    </row>
    <row r="765" spans="1:16" x14ac:dyDescent="0.3">
      <c r="A765" s="1">
        <v>764</v>
      </c>
      <c r="G765" s="4"/>
      <c r="H765" s="4"/>
      <c r="I765" s="47"/>
      <c r="J765" s="47" t="str">
        <f t="shared" si="24"/>
        <v/>
      </c>
      <c r="K765" s="47"/>
      <c r="L765" s="47"/>
      <c r="N765" s="47"/>
      <c r="O765" s="47"/>
      <c r="P765" s="47"/>
    </row>
    <row r="766" spans="1:16" x14ac:dyDescent="0.3">
      <c r="A766" s="1">
        <v>765</v>
      </c>
      <c r="G766" s="4"/>
      <c r="H766" s="4"/>
      <c r="I766" s="47"/>
      <c r="J766" s="47" t="str">
        <f t="shared" si="24"/>
        <v/>
      </c>
      <c r="K766" s="47"/>
      <c r="L766" s="47"/>
      <c r="N766" s="47"/>
      <c r="O766" s="47"/>
      <c r="P766" s="47"/>
    </row>
    <row r="767" spans="1:16" x14ac:dyDescent="0.3">
      <c r="A767" s="1">
        <v>766</v>
      </c>
      <c r="G767" s="4"/>
      <c r="H767" s="4"/>
      <c r="I767" s="47"/>
      <c r="J767" s="47" t="str">
        <f t="shared" si="24"/>
        <v/>
      </c>
      <c r="K767" s="47"/>
      <c r="L767" s="47"/>
      <c r="N767" s="47"/>
      <c r="O767" s="47"/>
      <c r="P767" s="47"/>
    </row>
    <row r="768" spans="1:16" x14ac:dyDescent="0.3">
      <c r="A768" s="1">
        <v>767</v>
      </c>
      <c r="G768" s="4"/>
      <c r="H768" s="4"/>
      <c r="I768" s="47"/>
      <c r="J768" s="47" t="str">
        <f t="shared" si="24"/>
        <v/>
      </c>
      <c r="K768" s="47"/>
      <c r="L768" s="47"/>
      <c r="N768" s="47"/>
      <c r="O768" s="47"/>
      <c r="P768" s="47"/>
    </row>
    <row r="769" spans="1:16" x14ac:dyDescent="0.3">
      <c r="A769" s="1">
        <v>768</v>
      </c>
      <c r="G769" s="4"/>
      <c r="H769" s="4"/>
      <c r="I769" s="47"/>
      <c r="J769" s="47" t="str">
        <f t="shared" si="24"/>
        <v/>
      </c>
      <c r="K769" s="47"/>
      <c r="L769" s="47"/>
      <c r="N769" s="47"/>
      <c r="O769" s="47"/>
      <c r="P769" s="47"/>
    </row>
    <row r="770" spans="1:16" x14ac:dyDescent="0.3">
      <c r="A770" s="1">
        <v>769</v>
      </c>
      <c r="G770" s="4"/>
      <c r="H770" s="4"/>
      <c r="I770" s="47"/>
      <c r="J770" s="47" t="str">
        <f t="shared" si="24"/>
        <v/>
      </c>
      <c r="K770" s="47"/>
      <c r="L770" s="47"/>
      <c r="N770" s="47"/>
      <c r="O770" s="47"/>
      <c r="P770" s="47"/>
    </row>
    <row r="771" spans="1:16" x14ac:dyDescent="0.3">
      <c r="A771" s="1">
        <v>770</v>
      </c>
      <c r="G771" s="4"/>
      <c r="H771" s="4"/>
      <c r="I771" s="47"/>
      <c r="J771" s="47" t="str">
        <f t="shared" ref="J771:J834" si="25">+E771&amp;I771</f>
        <v/>
      </c>
      <c r="K771" s="47"/>
      <c r="L771" s="47"/>
      <c r="N771" s="47"/>
      <c r="O771" s="47"/>
      <c r="P771" s="47"/>
    </row>
    <row r="772" spans="1:16" x14ac:dyDescent="0.3">
      <c r="A772" s="1">
        <v>771</v>
      </c>
      <c r="G772" s="4"/>
      <c r="H772" s="4"/>
      <c r="I772" s="47"/>
      <c r="J772" s="47" t="str">
        <f t="shared" si="25"/>
        <v/>
      </c>
      <c r="K772" s="47"/>
      <c r="L772" s="47"/>
      <c r="N772" s="47"/>
      <c r="O772" s="47"/>
      <c r="P772" s="47"/>
    </row>
    <row r="773" spans="1:16" x14ac:dyDescent="0.3">
      <c r="A773" s="1">
        <v>772</v>
      </c>
      <c r="G773" s="4"/>
      <c r="H773" s="4"/>
      <c r="I773" s="47"/>
      <c r="J773" s="47" t="str">
        <f t="shared" si="25"/>
        <v/>
      </c>
      <c r="K773" s="47"/>
      <c r="L773" s="47"/>
      <c r="N773" s="47"/>
      <c r="O773" s="47"/>
      <c r="P773" s="47"/>
    </row>
    <row r="774" spans="1:16" x14ac:dyDescent="0.3">
      <c r="A774" s="1">
        <v>773</v>
      </c>
      <c r="G774" s="4"/>
      <c r="H774" s="4"/>
      <c r="I774" s="47"/>
      <c r="J774" s="47" t="str">
        <f t="shared" si="25"/>
        <v/>
      </c>
      <c r="K774" s="47"/>
      <c r="L774" s="47"/>
      <c r="N774" s="47"/>
      <c r="O774" s="47"/>
      <c r="P774" s="47"/>
    </row>
    <row r="775" spans="1:16" x14ac:dyDescent="0.3">
      <c r="A775" s="1">
        <v>774</v>
      </c>
      <c r="G775" s="4"/>
      <c r="H775" s="4"/>
      <c r="I775" s="47"/>
      <c r="J775" s="47" t="str">
        <f t="shared" si="25"/>
        <v/>
      </c>
      <c r="K775" s="47"/>
      <c r="L775" s="47"/>
      <c r="N775" s="47"/>
      <c r="O775" s="47"/>
      <c r="P775" s="47"/>
    </row>
    <row r="776" spans="1:16" x14ac:dyDescent="0.3">
      <c r="A776" s="1">
        <v>775</v>
      </c>
      <c r="G776" s="4"/>
      <c r="H776" s="4"/>
      <c r="I776" s="47"/>
      <c r="J776" s="47" t="str">
        <f t="shared" si="25"/>
        <v/>
      </c>
      <c r="K776" s="47"/>
      <c r="L776" s="47"/>
      <c r="N776" s="47"/>
      <c r="O776" s="47"/>
      <c r="P776" s="47"/>
    </row>
    <row r="777" spans="1:16" x14ac:dyDescent="0.3">
      <c r="A777" s="1">
        <v>776</v>
      </c>
      <c r="G777" s="4"/>
      <c r="H777" s="4"/>
      <c r="I777" s="47"/>
      <c r="J777" s="47" t="str">
        <f t="shared" si="25"/>
        <v/>
      </c>
      <c r="K777" s="47"/>
      <c r="L777" s="47"/>
      <c r="N777" s="47"/>
      <c r="O777" s="47"/>
      <c r="P777" s="47"/>
    </row>
    <row r="778" spans="1:16" x14ac:dyDescent="0.3">
      <c r="A778" s="1">
        <v>777</v>
      </c>
      <c r="G778" s="4"/>
      <c r="H778" s="4"/>
      <c r="I778" s="47"/>
      <c r="J778" s="47" t="str">
        <f t="shared" si="25"/>
        <v/>
      </c>
      <c r="K778" s="47"/>
      <c r="L778" s="47"/>
      <c r="N778" s="47"/>
      <c r="O778" s="47"/>
      <c r="P778" s="47"/>
    </row>
    <row r="779" spans="1:16" x14ac:dyDescent="0.3">
      <c r="A779" s="1">
        <v>778</v>
      </c>
      <c r="G779" s="4"/>
      <c r="H779" s="4"/>
      <c r="I779" s="47"/>
      <c r="J779" s="47" t="str">
        <f t="shared" si="25"/>
        <v/>
      </c>
      <c r="K779" s="47"/>
      <c r="L779" s="47"/>
      <c r="N779" s="47"/>
      <c r="O779" s="47"/>
      <c r="P779" s="47"/>
    </row>
    <row r="780" spans="1:16" x14ac:dyDescent="0.3">
      <c r="A780" s="1">
        <v>779</v>
      </c>
      <c r="G780" s="4"/>
      <c r="H780" s="4"/>
      <c r="I780" s="47"/>
      <c r="J780" s="47" t="str">
        <f t="shared" si="25"/>
        <v/>
      </c>
      <c r="K780" s="47"/>
      <c r="L780" s="47"/>
      <c r="N780" s="47"/>
      <c r="O780" s="47"/>
      <c r="P780" s="47"/>
    </row>
    <row r="781" spans="1:16" x14ac:dyDescent="0.3">
      <c r="A781" s="1">
        <v>780</v>
      </c>
      <c r="G781" s="4"/>
      <c r="H781" s="4"/>
      <c r="I781" s="47"/>
      <c r="J781" s="47" t="str">
        <f t="shared" si="25"/>
        <v/>
      </c>
      <c r="K781" s="47"/>
      <c r="L781" s="47"/>
      <c r="N781" s="47"/>
      <c r="O781" s="47"/>
      <c r="P781" s="47"/>
    </row>
    <row r="782" spans="1:16" x14ac:dyDescent="0.3">
      <c r="A782" s="1">
        <v>781</v>
      </c>
      <c r="G782" s="4"/>
      <c r="H782" s="4"/>
      <c r="I782" s="47"/>
      <c r="J782" s="47" t="str">
        <f t="shared" si="25"/>
        <v/>
      </c>
      <c r="K782" s="47"/>
      <c r="L782" s="47"/>
      <c r="N782" s="47"/>
      <c r="O782" s="47"/>
      <c r="P782" s="47"/>
    </row>
    <row r="783" spans="1:16" x14ac:dyDescent="0.3">
      <c r="A783" s="1">
        <v>782</v>
      </c>
      <c r="G783" s="4"/>
      <c r="H783" s="4"/>
      <c r="I783" s="47"/>
      <c r="J783" s="47" t="str">
        <f t="shared" si="25"/>
        <v/>
      </c>
      <c r="K783" s="47"/>
      <c r="L783" s="47"/>
      <c r="N783" s="47"/>
      <c r="O783" s="47"/>
      <c r="P783" s="47"/>
    </row>
    <row r="784" spans="1:16" x14ac:dyDescent="0.3">
      <c r="A784" s="1">
        <v>783</v>
      </c>
      <c r="G784" s="4"/>
      <c r="H784" s="4"/>
      <c r="I784" s="47"/>
      <c r="J784" s="47" t="str">
        <f t="shared" si="25"/>
        <v/>
      </c>
      <c r="K784" s="47"/>
      <c r="L784" s="47"/>
      <c r="N784" s="47"/>
      <c r="O784" s="47"/>
      <c r="P784" s="47"/>
    </row>
    <row r="785" spans="1:16" x14ac:dyDescent="0.3">
      <c r="A785" s="1">
        <v>784</v>
      </c>
      <c r="G785" s="4"/>
      <c r="H785" s="4"/>
      <c r="I785" s="47"/>
      <c r="J785" s="47" t="str">
        <f t="shared" si="25"/>
        <v/>
      </c>
      <c r="K785" s="47"/>
      <c r="L785" s="47"/>
      <c r="N785" s="47"/>
      <c r="O785" s="47"/>
      <c r="P785" s="47"/>
    </row>
    <row r="786" spans="1:16" x14ac:dyDescent="0.3">
      <c r="A786" s="1">
        <v>785</v>
      </c>
      <c r="G786" s="4"/>
      <c r="H786" s="4"/>
      <c r="I786" s="47"/>
      <c r="J786" s="47" t="str">
        <f t="shared" si="25"/>
        <v/>
      </c>
      <c r="K786" s="47"/>
      <c r="L786" s="47"/>
      <c r="N786" s="47"/>
      <c r="O786" s="47"/>
      <c r="P786" s="47"/>
    </row>
    <row r="787" spans="1:16" x14ac:dyDescent="0.3">
      <c r="A787" s="1">
        <v>786</v>
      </c>
      <c r="G787" s="4"/>
      <c r="H787" s="4"/>
      <c r="I787" s="47"/>
      <c r="J787" s="47" t="str">
        <f t="shared" si="25"/>
        <v/>
      </c>
      <c r="K787" s="47"/>
      <c r="L787" s="47"/>
      <c r="N787" s="47"/>
      <c r="O787" s="47"/>
      <c r="P787" s="47"/>
    </row>
    <row r="788" spans="1:16" x14ac:dyDescent="0.3">
      <c r="A788" s="1">
        <v>787</v>
      </c>
      <c r="G788" s="4"/>
      <c r="H788" s="4"/>
      <c r="I788" s="47"/>
      <c r="J788" s="47" t="str">
        <f t="shared" si="25"/>
        <v/>
      </c>
      <c r="K788" s="47"/>
      <c r="L788" s="47"/>
      <c r="N788" s="47"/>
      <c r="O788" s="47"/>
      <c r="P788" s="47"/>
    </row>
    <row r="789" spans="1:16" x14ac:dyDescent="0.3">
      <c r="A789" s="1">
        <v>788</v>
      </c>
      <c r="G789" s="4"/>
      <c r="H789" s="4"/>
      <c r="I789" s="47"/>
      <c r="J789" s="47" t="str">
        <f t="shared" si="25"/>
        <v/>
      </c>
      <c r="K789" s="47"/>
      <c r="L789" s="47"/>
      <c r="N789" s="47"/>
      <c r="O789" s="47"/>
      <c r="P789" s="47"/>
    </row>
    <row r="790" spans="1:16" x14ac:dyDescent="0.3">
      <c r="A790" s="1">
        <v>789</v>
      </c>
      <c r="G790" s="4"/>
      <c r="H790" s="4"/>
      <c r="I790" s="47"/>
      <c r="J790" s="47" t="str">
        <f t="shared" si="25"/>
        <v/>
      </c>
      <c r="K790" s="47"/>
      <c r="L790" s="47"/>
      <c r="N790" s="47"/>
      <c r="O790" s="47"/>
      <c r="P790" s="47"/>
    </row>
    <row r="791" spans="1:16" x14ac:dyDescent="0.3">
      <c r="A791" s="1">
        <v>790</v>
      </c>
      <c r="G791" s="4"/>
      <c r="H791" s="4"/>
      <c r="I791" s="47"/>
      <c r="J791" s="47" t="str">
        <f t="shared" si="25"/>
        <v/>
      </c>
      <c r="K791" s="47"/>
      <c r="L791" s="47"/>
      <c r="N791" s="47"/>
      <c r="O791" s="47"/>
      <c r="P791" s="47"/>
    </row>
    <row r="792" spans="1:16" x14ac:dyDescent="0.3">
      <c r="A792" s="1">
        <v>791</v>
      </c>
      <c r="G792" s="4"/>
      <c r="H792" s="4"/>
      <c r="I792" s="47"/>
      <c r="J792" s="47" t="str">
        <f t="shared" si="25"/>
        <v/>
      </c>
      <c r="K792" s="47"/>
      <c r="L792" s="47"/>
      <c r="N792" s="47"/>
      <c r="O792" s="47"/>
      <c r="P792" s="47"/>
    </row>
    <row r="793" spans="1:16" x14ac:dyDescent="0.3">
      <c r="A793" s="1">
        <v>792</v>
      </c>
      <c r="G793" s="4"/>
      <c r="H793" s="4"/>
      <c r="I793" s="47"/>
      <c r="J793" s="47" t="str">
        <f t="shared" si="25"/>
        <v/>
      </c>
      <c r="K793" s="47"/>
      <c r="L793" s="47"/>
      <c r="N793" s="47"/>
      <c r="O793" s="47"/>
      <c r="P793" s="47"/>
    </row>
    <row r="794" spans="1:16" x14ac:dyDescent="0.3">
      <c r="A794" s="1">
        <v>793</v>
      </c>
      <c r="G794" s="4"/>
      <c r="H794" s="4"/>
      <c r="I794" s="47"/>
      <c r="J794" s="47" t="str">
        <f t="shared" si="25"/>
        <v/>
      </c>
      <c r="K794" s="47"/>
      <c r="L794" s="47"/>
      <c r="N794" s="47"/>
      <c r="O794" s="47"/>
      <c r="P794" s="47"/>
    </row>
    <row r="795" spans="1:16" x14ac:dyDescent="0.3">
      <c r="A795" s="1">
        <v>794</v>
      </c>
      <c r="G795" s="4"/>
      <c r="H795" s="4"/>
      <c r="I795" s="47"/>
      <c r="J795" s="47" t="str">
        <f t="shared" si="25"/>
        <v/>
      </c>
      <c r="K795" s="47"/>
      <c r="L795" s="47"/>
      <c r="N795" s="47"/>
      <c r="O795" s="47"/>
      <c r="P795" s="47"/>
    </row>
    <row r="796" spans="1:16" x14ac:dyDescent="0.3">
      <c r="A796" s="1">
        <v>795</v>
      </c>
      <c r="G796" s="4"/>
      <c r="H796" s="4"/>
      <c r="I796" s="47"/>
      <c r="J796" s="47" t="str">
        <f t="shared" si="25"/>
        <v/>
      </c>
      <c r="K796" s="47"/>
      <c r="L796" s="47"/>
      <c r="N796" s="47"/>
      <c r="O796" s="47"/>
      <c r="P796" s="47"/>
    </row>
    <row r="797" spans="1:16" x14ac:dyDescent="0.3">
      <c r="A797" s="1">
        <v>796</v>
      </c>
      <c r="G797" s="4"/>
      <c r="H797" s="4"/>
      <c r="I797" s="47"/>
      <c r="J797" s="47" t="str">
        <f t="shared" si="25"/>
        <v/>
      </c>
      <c r="K797" s="47"/>
      <c r="L797" s="47"/>
      <c r="N797" s="47"/>
      <c r="O797" s="47"/>
      <c r="P797" s="47"/>
    </row>
    <row r="798" spans="1:16" x14ac:dyDescent="0.3">
      <c r="A798" s="1">
        <v>797</v>
      </c>
      <c r="G798" s="4"/>
      <c r="H798" s="4"/>
      <c r="I798" s="47"/>
      <c r="J798" s="47" t="str">
        <f t="shared" si="25"/>
        <v/>
      </c>
      <c r="K798" s="47"/>
      <c r="L798" s="47"/>
      <c r="N798" s="47"/>
      <c r="O798" s="47"/>
      <c r="P798" s="47"/>
    </row>
    <row r="799" spans="1:16" x14ac:dyDescent="0.3">
      <c r="A799" s="1">
        <v>798</v>
      </c>
      <c r="G799" s="4"/>
      <c r="H799" s="4"/>
      <c r="I799" s="47"/>
      <c r="J799" s="47" t="str">
        <f t="shared" si="25"/>
        <v/>
      </c>
      <c r="K799" s="47"/>
      <c r="L799" s="47"/>
      <c r="N799" s="47"/>
      <c r="O799" s="47"/>
      <c r="P799" s="47"/>
    </row>
    <row r="800" spans="1:16" x14ac:dyDescent="0.3">
      <c r="A800" s="1">
        <v>799</v>
      </c>
      <c r="G800" s="4"/>
      <c r="H800" s="4"/>
      <c r="I800" s="47"/>
      <c r="J800" s="47" t="str">
        <f t="shared" si="25"/>
        <v/>
      </c>
      <c r="K800" s="47"/>
      <c r="L800" s="47"/>
      <c r="N800" s="47"/>
      <c r="O800" s="47"/>
      <c r="P800" s="47"/>
    </row>
    <row r="801" spans="1:16" x14ac:dyDescent="0.3">
      <c r="A801" s="1">
        <v>800</v>
      </c>
      <c r="G801" s="4"/>
      <c r="H801" s="4"/>
      <c r="I801" s="47"/>
      <c r="J801" s="47" t="str">
        <f t="shared" si="25"/>
        <v/>
      </c>
      <c r="K801" s="47"/>
      <c r="L801" s="47"/>
      <c r="N801" s="47"/>
      <c r="O801" s="47"/>
      <c r="P801" s="47"/>
    </row>
    <row r="802" spans="1:16" x14ac:dyDescent="0.3">
      <c r="A802" s="1">
        <v>801</v>
      </c>
      <c r="G802" s="4"/>
      <c r="H802" s="4"/>
      <c r="I802" s="47"/>
      <c r="J802" s="47" t="str">
        <f t="shared" si="25"/>
        <v/>
      </c>
      <c r="K802" s="47"/>
      <c r="L802" s="47"/>
      <c r="N802" s="47"/>
      <c r="O802" s="47"/>
      <c r="P802" s="47"/>
    </row>
    <row r="803" spans="1:16" x14ac:dyDescent="0.3">
      <c r="A803" s="1">
        <v>802</v>
      </c>
      <c r="G803" s="4"/>
      <c r="H803" s="4"/>
      <c r="I803" s="47"/>
      <c r="J803" s="47" t="str">
        <f t="shared" si="25"/>
        <v/>
      </c>
      <c r="K803" s="47"/>
      <c r="L803" s="47"/>
      <c r="N803" s="47"/>
      <c r="O803" s="47"/>
      <c r="P803" s="47"/>
    </row>
    <row r="804" spans="1:16" x14ac:dyDescent="0.3">
      <c r="A804" s="1">
        <v>803</v>
      </c>
      <c r="G804" s="4"/>
      <c r="H804" s="4"/>
      <c r="I804" s="47"/>
      <c r="J804" s="47" t="str">
        <f t="shared" si="25"/>
        <v/>
      </c>
      <c r="K804" s="47"/>
      <c r="L804" s="47"/>
      <c r="N804" s="47"/>
      <c r="O804" s="47"/>
      <c r="P804" s="47"/>
    </row>
    <row r="805" spans="1:16" x14ac:dyDescent="0.3">
      <c r="A805" s="1">
        <v>804</v>
      </c>
      <c r="G805" s="4"/>
      <c r="H805" s="4"/>
      <c r="I805" s="47"/>
      <c r="J805" s="47" t="str">
        <f t="shared" si="25"/>
        <v/>
      </c>
      <c r="K805" s="47"/>
      <c r="L805" s="47"/>
      <c r="N805" s="47"/>
      <c r="O805" s="47"/>
      <c r="P805" s="47"/>
    </row>
    <row r="806" spans="1:16" x14ac:dyDescent="0.3">
      <c r="A806" s="1">
        <v>805</v>
      </c>
      <c r="G806" s="4"/>
      <c r="H806" s="4"/>
      <c r="I806" s="47"/>
      <c r="J806" s="47" t="str">
        <f t="shared" si="25"/>
        <v/>
      </c>
      <c r="K806" s="47"/>
      <c r="L806" s="47"/>
      <c r="N806" s="47"/>
      <c r="O806" s="47"/>
      <c r="P806" s="47"/>
    </row>
    <row r="807" spans="1:16" x14ac:dyDescent="0.3">
      <c r="A807" s="1">
        <v>806</v>
      </c>
      <c r="G807" s="4"/>
      <c r="H807" s="4"/>
      <c r="I807" s="47"/>
      <c r="J807" s="47" t="str">
        <f t="shared" si="25"/>
        <v/>
      </c>
      <c r="K807" s="47"/>
      <c r="L807" s="47"/>
      <c r="N807" s="47"/>
      <c r="O807" s="47"/>
      <c r="P807" s="47"/>
    </row>
    <row r="808" spans="1:16" x14ac:dyDescent="0.3">
      <c r="A808" s="1">
        <v>807</v>
      </c>
      <c r="G808" s="4"/>
      <c r="H808" s="4"/>
      <c r="I808" s="47"/>
      <c r="J808" s="47" t="str">
        <f t="shared" si="25"/>
        <v/>
      </c>
      <c r="K808" s="47"/>
      <c r="L808" s="47"/>
      <c r="N808" s="47"/>
      <c r="O808" s="47"/>
      <c r="P808" s="47"/>
    </row>
    <row r="809" spans="1:16" x14ac:dyDescent="0.3">
      <c r="A809" s="1">
        <v>808</v>
      </c>
      <c r="G809" s="4"/>
      <c r="H809" s="4"/>
      <c r="I809" s="47"/>
      <c r="J809" s="47" t="str">
        <f t="shared" si="25"/>
        <v/>
      </c>
      <c r="K809" s="47"/>
      <c r="L809" s="47"/>
      <c r="N809" s="47"/>
      <c r="O809" s="47"/>
      <c r="P809" s="47"/>
    </row>
    <row r="810" spans="1:16" x14ac:dyDescent="0.3">
      <c r="A810" s="1">
        <v>809</v>
      </c>
      <c r="G810" s="4"/>
      <c r="H810" s="4"/>
      <c r="I810" s="47"/>
      <c r="J810" s="47" t="str">
        <f t="shared" si="25"/>
        <v/>
      </c>
      <c r="K810" s="47"/>
      <c r="L810" s="47"/>
      <c r="N810" s="47"/>
      <c r="O810" s="47"/>
      <c r="P810" s="47"/>
    </row>
    <row r="811" spans="1:16" x14ac:dyDescent="0.3">
      <c r="A811" s="1">
        <v>810</v>
      </c>
      <c r="G811" s="4"/>
      <c r="H811" s="4"/>
      <c r="I811" s="47"/>
      <c r="J811" s="47" t="str">
        <f t="shared" si="25"/>
        <v/>
      </c>
      <c r="K811" s="47"/>
      <c r="L811" s="47"/>
      <c r="N811" s="47"/>
      <c r="O811" s="47"/>
      <c r="P811" s="47"/>
    </row>
    <row r="812" spans="1:16" x14ac:dyDescent="0.3">
      <c r="A812" s="1">
        <v>811</v>
      </c>
      <c r="G812" s="4"/>
      <c r="H812" s="4"/>
      <c r="I812" s="47"/>
      <c r="J812" s="47" t="str">
        <f t="shared" si="25"/>
        <v/>
      </c>
      <c r="K812" s="47"/>
      <c r="L812" s="47"/>
      <c r="N812" s="47"/>
      <c r="O812" s="47"/>
      <c r="P812" s="47"/>
    </row>
    <row r="813" spans="1:16" x14ac:dyDescent="0.3">
      <c r="A813" s="1">
        <v>812</v>
      </c>
      <c r="G813" s="4"/>
      <c r="H813" s="4"/>
      <c r="I813" s="47"/>
      <c r="J813" s="47" t="str">
        <f t="shared" si="25"/>
        <v/>
      </c>
      <c r="K813" s="47"/>
      <c r="L813" s="47"/>
      <c r="N813" s="47"/>
      <c r="O813" s="47"/>
      <c r="P813" s="47"/>
    </row>
    <row r="814" spans="1:16" x14ac:dyDescent="0.3">
      <c r="A814" s="1">
        <v>813</v>
      </c>
      <c r="G814" s="4"/>
      <c r="H814" s="4"/>
      <c r="I814" s="47"/>
      <c r="J814" s="47" t="str">
        <f t="shared" si="25"/>
        <v/>
      </c>
      <c r="K814" s="47"/>
      <c r="L814" s="47"/>
      <c r="N814" s="47"/>
      <c r="O814" s="47"/>
      <c r="P814" s="47"/>
    </row>
    <row r="815" spans="1:16" x14ac:dyDescent="0.3">
      <c r="A815" s="1">
        <v>814</v>
      </c>
      <c r="G815" s="4"/>
      <c r="H815" s="4"/>
      <c r="I815" s="47"/>
      <c r="J815" s="47" t="str">
        <f t="shared" si="25"/>
        <v/>
      </c>
      <c r="K815" s="47"/>
      <c r="L815" s="47"/>
      <c r="N815" s="47"/>
      <c r="O815" s="47"/>
      <c r="P815" s="47"/>
    </row>
    <row r="816" spans="1:16" x14ac:dyDescent="0.3">
      <c r="A816" s="1">
        <v>815</v>
      </c>
      <c r="G816" s="4"/>
      <c r="H816" s="4"/>
      <c r="I816" s="47"/>
      <c r="J816" s="47" t="str">
        <f t="shared" si="25"/>
        <v/>
      </c>
      <c r="K816" s="47"/>
      <c r="L816" s="47"/>
      <c r="N816" s="47"/>
      <c r="O816" s="47"/>
      <c r="P816" s="47"/>
    </row>
    <row r="817" spans="1:16" x14ac:dyDescent="0.3">
      <c r="A817" s="1">
        <v>816</v>
      </c>
      <c r="G817" s="4"/>
      <c r="H817" s="4"/>
      <c r="I817" s="47"/>
      <c r="J817" s="47" t="str">
        <f t="shared" si="25"/>
        <v/>
      </c>
      <c r="K817" s="47"/>
      <c r="L817" s="47"/>
      <c r="N817" s="47"/>
      <c r="O817" s="47"/>
      <c r="P817" s="47"/>
    </row>
    <row r="818" spans="1:16" x14ac:dyDescent="0.3">
      <c r="A818" s="1">
        <v>817</v>
      </c>
      <c r="G818" s="4"/>
      <c r="H818" s="4"/>
      <c r="I818" s="47"/>
      <c r="J818" s="47" t="str">
        <f t="shared" si="25"/>
        <v/>
      </c>
      <c r="K818" s="47"/>
      <c r="L818" s="47"/>
      <c r="N818" s="47"/>
      <c r="O818" s="47"/>
      <c r="P818" s="47"/>
    </row>
    <row r="819" spans="1:16" x14ac:dyDescent="0.3">
      <c r="A819" s="1">
        <v>818</v>
      </c>
      <c r="G819" s="4"/>
      <c r="H819" s="4"/>
      <c r="I819" s="47"/>
      <c r="J819" s="47" t="str">
        <f t="shared" si="25"/>
        <v/>
      </c>
      <c r="K819" s="47"/>
      <c r="L819" s="47"/>
      <c r="N819" s="47"/>
      <c r="O819" s="47"/>
      <c r="P819" s="47"/>
    </row>
    <row r="820" spans="1:16" x14ac:dyDescent="0.3">
      <c r="A820" s="1">
        <v>819</v>
      </c>
      <c r="G820" s="4"/>
      <c r="H820" s="4"/>
      <c r="I820" s="47"/>
      <c r="J820" s="47" t="str">
        <f t="shared" si="25"/>
        <v/>
      </c>
      <c r="K820" s="47"/>
      <c r="L820" s="47"/>
      <c r="N820" s="47"/>
      <c r="O820" s="47"/>
      <c r="P820" s="47"/>
    </row>
    <row r="821" spans="1:16" x14ac:dyDescent="0.3">
      <c r="A821" s="1">
        <v>820</v>
      </c>
      <c r="G821" s="4"/>
      <c r="H821" s="4"/>
      <c r="I821" s="47"/>
      <c r="J821" s="47" t="str">
        <f t="shared" si="25"/>
        <v/>
      </c>
      <c r="K821" s="47"/>
      <c r="L821" s="47"/>
      <c r="N821" s="47"/>
      <c r="O821" s="47"/>
      <c r="P821" s="47"/>
    </row>
    <row r="822" spans="1:16" x14ac:dyDescent="0.3">
      <c r="A822" s="1">
        <v>821</v>
      </c>
      <c r="G822" s="4"/>
      <c r="H822" s="4"/>
      <c r="I822" s="47"/>
      <c r="J822" s="47" t="str">
        <f t="shared" si="25"/>
        <v/>
      </c>
      <c r="K822" s="47"/>
      <c r="L822" s="47"/>
      <c r="N822" s="47"/>
      <c r="O822" s="47"/>
      <c r="P822" s="47"/>
    </row>
    <row r="823" spans="1:16" x14ac:dyDescent="0.3">
      <c r="A823" s="1">
        <v>822</v>
      </c>
      <c r="G823" s="4"/>
      <c r="H823" s="4"/>
      <c r="I823" s="47"/>
      <c r="J823" s="47" t="str">
        <f t="shared" si="25"/>
        <v/>
      </c>
      <c r="K823" s="47"/>
      <c r="L823" s="47"/>
      <c r="N823" s="47"/>
      <c r="O823" s="47"/>
      <c r="P823" s="47"/>
    </row>
    <row r="824" spans="1:16" x14ac:dyDescent="0.3">
      <c r="A824" s="1">
        <v>823</v>
      </c>
      <c r="G824" s="4"/>
      <c r="H824" s="4"/>
      <c r="I824" s="47"/>
      <c r="J824" s="47" t="str">
        <f t="shared" si="25"/>
        <v/>
      </c>
      <c r="K824" s="47"/>
      <c r="L824" s="47"/>
      <c r="N824" s="47"/>
      <c r="O824" s="47"/>
      <c r="P824" s="47"/>
    </row>
    <row r="825" spans="1:16" x14ac:dyDescent="0.3">
      <c r="A825" s="1">
        <v>824</v>
      </c>
      <c r="G825" s="4"/>
      <c r="H825" s="4"/>
      <c r="I825" s="47"/>
      <c r="J825" s="47" t="str">
        <f t="shared" si="25"/>
        <v/>
      </c>
      <c r="K825" s="47"/>
      <c r="L825" s="47"/>
      <c r="N825" s="47"/>
      <c r="O825" s="47"/>
      <c r="P825" s="47"/>
    </row>
    <row r="826" spans="1:16" x14ac:dyDescent="0.3">
      <c r="A826" s="1">
        <v>825</v>
      </c>
      <c r="G826" s="4"/>
      <c r="H826" s="4"/>
      <c r="I826" s="47"/>
      <c r="J826" s="47" t="str">
        <f t="shared" si="25"/>
        <v/>
      </c>
      <c r="K826" s="47"/>
      <c r="L826" s="47"/>
      <c r="N826" s="47"/>
      <c r="O826" s="47"/>
      <c r="P826" s="47"/>
    </row>
    <row r="827" spans="1:16" x14ac:dyDescent="0.3">
      <c r="A827" s="1">
        <v>826</v>
      </c>
      <c r="G827" s="4"/>
      <c r="H827" s="4"/>
      <c r="I827" s="47"/>
      <c r="J827" s="47" t="str">
        <f t="shared" si="25"/>
        <v/>
      </c>
      <c r="K827" s="47"/>
      <c r="L827" s="47"/>
      <c r="N827" s="47"/>
      <c r="O827" s="47"/>
      <c r="P827" s="47"/>
    </row>
    <row r="828" spans="1:16" x14ac:dyDescent="0.3">
      <c r="A828" s="1">
        <v>827</v>
      </c>
      <c r="G828" s="4"/>
      <c r="H828" s="4"/>
      <c r="I828" s="47"/>
      <c r="J828" s="47" t="str">
        <f t="shared" si="25"/>
        <v/>
      </c>
      <c r="K828" s="47"/>
      <c r="L828" s="47"/>
      <c r="N828" s="47"/>
      <c r="O828" s="47"/>
      <c r="P828" s="47"/>
    </row>
    <row r="829" spans="1:16" x14ac:dyDescent="0.3">
      <c r="A829" s="1">
        <v>828</v>
      </c>
      <c r="G829" s="4"/>
      <c r="H829" s="4"/>
      <c r="I829" s="47"/>
      <c r="J829" s="47" t="str">
        <f t="shared" si="25"/>
        <v/>
      </c>
      <c r="K829" s="47"/>
      <c r="L829" s="47"/>
      <c r="N829" s="47"/>
      <c r="O829" s="47"/>
      <c r="P829" s="47"/>
    </row>
    <row r="830" spans="1:16" x14ac:dyDescent="0.3">
      <c r="A830" s="1">
        <v>829</v>
      </c>
      <c r="G830" s="4"/>
      <c r="H830" s="4"/>
      <c r="I830" s="47"/>
      <c r="J830" s="47" t="str">
        <f t="shared" si="25"/>
        <v/>
      </c>
      <c r="K830" s="47"/>
      <c r="L830" s="47"/>
      <c r="N830" s="47"/>
      <c r="O830" s="47"/>
      <c r="P830" s="47"/>
    </row>
    <row r="831" spans="1:16" x14ac:dyDescent="0.3">
      <c r="A831" s="1">
        <v>830</v>
      </c>
      <c r="G831" s="4"/>
      <c r="H831" s="4"/>
      <c r="I831" s="47"/>
      <c r="J831" s="47" t="str">
        <f t="shared" si="25"/>
        <v/>
      </c>
      <c r="K831" s="47"/>
      <c r="L831" s="47"/>
      <c r="N831" s="47"/>
      <c r="O831" s="47"/>
      <c r="P831" s="47"/>
    </row>
    <row r="832" spans="1:16" x14ac:dyDescent="0.3">
      <c r="A832" s="1">
        <v>831</v>
      </c>
      <c r="G832" s="4"/>
      <c r="H832" s="4"/>
      <c r="I832" s="47"/>
      <c r="J832" s="47" t="str">
        <f t="shared" si="25"/>
        <v/>
      </c>
      <c r="K832" s="47"/>
      <c r="L832" s="47"/>
      <c r="N832" s="47"/>
      <c r="O832" s="47"/>
      <c r="P832" s="47"/>
    </row>
    <row r="833" spans="1:16" x14ac:dyDescent="0.3">
      <c r="A833" s="1">
        <v>832</v>
      </c>
      <c r="G833" s="4"/>
      <c r="H833" s="4"/>
      <c r="I833" s="47"/>
      <c r="J833" s="47" t="str">
        <f t="shared" si="25"/>
        <v/>
      </c>
      <c r="K833" s="47"/>
      <c r="L833" s="47"/>
      <c r="N833" s="47"/>
      <c r="O833" s="47"/>
      <c r="P833" s="47"/>
    </row>
    <row r="834" spans="1:16" x14ac:dyDescent="0.3">
      <c r="A834" s="1">
        <v>833</v>
      </c>
      <c r="G834" s="4"/>
      <c r="H834" s="4"/>
      <c r="I834" s="47"/>
      <c r="J834" s="47" t="str">
        <f t="shared" si="25"/>
        <v/>
      </c>
      <c r="K834" s="47"/>
      <c r="L834" s="47"/>
      <c r="N834" s="47"/>
      <c r="O834" s="47"/>
      <c r="P834" s="47"/>
    </row>
    <row r="835" spans="1:16" x14ac:dyDescent="0.3">
      <c r="A835" s="1">
        <v>834</v>
      </c>
      <c r="G835" s="4"/>
      <c r="H835" s="4"/>
      <c r="I835" s="47"/>
      <c r="J835" s="47" t="str">
        <f t="shared" ref="J835:J898" si="26">+E835&amp;I835</f>
        <v/>
      </c>
      <c r="K835" s="47"/>
      <c r="L835" s="47"/>
      <c r="N835" s="47"/>
      <c r="O835" s="47"/>
      <c r="P835" s="47"/>
    </row>
    <row r="836" spans="1:16" x14ac:dyDescent="0.3">
      <c r="A836" s="1">
        <v>835</v>
      </c>
      <c r="G836" s="4"/>
      <c r="H836" s="4"/>
      <c r="I836" s="47"/>
      <c r="J836" s="47" t="str">
        <f t="shared" si="26"/>
        <v/>
      </c>
      <c r="K836" s="47"/>
      <c r="L836" s="47"/>
      <c r="N836" s="47"/>
      <c r="O836" s="47"/>
      <c r="P836" s="47"/>
    </row>
    <row r="837" spans="1:16" x14ac:dyDescent="0.3">
      <c r="A837" s="1">
        <v>836</v>
      </c>
      <c r="G837" s="4"/>
      <c r="H837" s="4"/>
      <c r="I837" s="47"/>
      <c r="J837" s="47" t="str">
        <f t="shared" si="26"/>
        <v/>
      </c>
      <c r="K837" s="47"/>
      <c r="L837" s="47"/>
      <c r="N837" s="47"/>
      <c r="O837" s="47"/>
      <c r="P837" s="47"/>
    </row>
    <row r="838" spans="1:16" x14ac:dyDescent="0.3">
      <c r="A838" s="1">
        <v>837</v>
      </c>
      <c r="G838" s="4"/>
      <c r="H838" s="4"/>
      <c r="I838" s="47"/>
      <c r="J838" s="47" t="str">
        <f t="shared" si="26"/>
        <v/>
      </c>
      <c r="K838" s="47"/>
      <c r="L838" s="47"/>
      <c r="N838" s="47"/>
      <c r="O838" s="47"/>
      <c r="P838" s="47"/>
    </row>
    <row r="839" spans="1:16" x14ac:dyDescent="0.3">
      <c r="A839" s="1">
        <v>838</v>
      </c>
      <c r="G839" s="4"/>
      <c r="H839" s="4"/>
      <c r="I839" s="47"/>
      <c r="J839" s="47" t="str">
        <f t="shared" si="26"/>
        <v/>
      </c>
      <c r="K839" s="47"/>
      <c r="L839" s="47"/>
      <c r="N839" s="47"/>
      <c r="O839" s="47"/>
      <c r="P839" s="47"/>
    </row>
    <row r="840" spans="1:16" x14ac:dyDescent="0.3">
      <c r="A840" s="1">
        <v>839</v>
      </c>
      <c r="G840" s="4"/>
      <c r="H840" s="4"/>
      <c r="I840" s="47"/>
      <c r="J840" s="47" t="str">
        <f t="shared" si="26"/>
        <v/>
      </c>
      <c r="K840" s="47"/>
      <c r="L840" s="47"/>
      <c r="N840" s="47"/>
      <c r="O840" s="47"/>
      <c r="P840" s="47"/>
    </row>
    <row r="841" spans="1:16" x14ac:dyDescent="0.3">
      <c r="A841" s="1">
        <v>840</v>
      </c>
      <c r="G841" s="4"/>
      <c r="H841" s="4"/>
      <c r="I841" s="47"/>
      <c r="J841" s="47" t="str">
        <f t="shared" si="26"/>
        <v/>
      </c>
      <c r="K841" s="47"/>
      <c r="L841" s="47"/>
      <c r="N841" s="47"/>
      <c r="O841" s="47"/>
      <c r="P841" s="47"/>
    </row>
    <row r="842" spans="1:16" x14ac:dyDescent="0.3">
      <c r="A842" s="1">
        <v>841</v>
      </c>
      <c r="G842" s="4"/>
      <c r="H842" s="4"/>
      <c r="I842" s="47"/>
      <c r="J842" s="47" t="str">
        <f t="shared" si="26"/>
        <v/>
      </c>
      <c r="K842" s="47"/>
      <c r="L842" s="47"/>
      <c r="N842" s="47"/>
      <c r="O842" s="47"/>
      <c r="P842" s="47"/>
    </row>
    <row r="843" spans="1:16" x14ac:dyDescent="0.3">
      <c r="A843" s="1">
        <v>842</v>
      </c>
      <c r="G843" s="4"/>
      <c r="H843" s="4"/>
      <c r="I843" s="47"/>
      <c r="J843" s="47" t="str">
        <f t="shared" si="26"/>
        <v/>
      </c>
      <c r="K843" s="47"/>
      <c r="L843" s="47"/>
      <c r="N843" s="47"/>
      <c r="O843" s="47"/>
      <c r="P843" s="47"/>
    </row>
    <row r="844" spans="1:16" x14ac:dyDescent="0.3">
      <c r="A844" s="1">
        <v>843</v>
      </c>
      <c r="G844" s="4"/>
      <c r="H844" s="4"/>
      <c r="I844" s="47"/>
      <c r="J844" s="47" t="str">
        <f t="shared" si="26"/>
        <v/>
      </c>
      <c r="K844" s="47"/>
      <c r="L844" s="47"/>
      <c r="N844" s="47"/>
      <c r="O844" s="47"/>
      <c r="P844" s="47"/>
    </row>
    <row r="845" spans="1:16" x14ac:dyDescent="0.3">
      <c r="A845" s="1">
        <v>844</v>
      </c>
      <c r="G845" s="4"/>
      <c r="H845" s="4"/>
      <c r="I845" s="47"/>
      <c r="J845" s="47" t="str">
        <f t="shared" si="26"/>
        <v/>
      </c>
      <c r="K845" s="47"/>
      <c r="L845" s="47"/>
      <c r="N845" s="47"/>
      <c r="O845" s="47"/>
      <c r="P845" s="47"/>
    </row>
    <row r="846" spans="1:16" x14ac:dyDescent="0.3">
      <c r="A846" s="1">
        <v>845</v>
      </c>
      <c r="G846" s="4"/>
      <c r="H846" s="4"/>
      <c r="I846" s="47"/>
      <c r="J846" s="47" t="str">
        <f t="shared" si="26"/>
        <v/>
      </c>
      <c r="K846" s="47"/>
      <c r="L846" s="47"/>
      <c r="N846" s="47"/>
      <c r="O846" s="47"/>
      <c r="P846" s="47"/>
    </row>
    <row r="847" spans="1:16" x14ac:dyDescent="0.3">
      <c r="A847" s="1">
        <v>846</v>
      </c>
      <c r="G847" s="4"/>
      <c r="H847" s="4"/>
      <c r="I847" s="47"/>
      <c r="J847" s="47" t="str">
        <f t="shared" si="26"/>
        <v/>
      </c>
      <c r="K847" s="47"/>
      <c r="L847" s="47"/>
      <c r="N847" s="47"/>
      <c r="O847" s="47"/>
      <c r="P847" s="47"/>
    </row>
    <row r="848" spans="1:16" x14ac:dyDescent="0.3">
      <c r="A848" s="1">
        <v>847</v>
      </c>
      <c r="G848" s="4"/>
      <c r="H848" s="4"/>
      <c r="I848" s="47"/>
      <c r="J848" s="47" t="str">
        <f t="shared" si="26"/>
        <v/>
      </c>
      <c r="K848" s="47"/>
      <c r="L848" s="47"/>
      <c r="N848" s="47"/>
      <c r="O848" s="47"/>
      <c r="P848" s="47"/>
    </row>
    <row r="849" spans="1:16" x14ac:dyDescent="0.3">
      <c r="A849" s="1">
        <v>848</v>
      </c>
      <c r="G849" s="4"/>
      <c r="H849" s="4"/>
      <c r="I849" s="47"/>
      <c r="J849" s="47" t="str">
        <f t="shared" si="26"/>
        <v/>
      </c>
      <c r="K849" s="47"/>
      <c r="L849" s="47"/>
      <c r="N849" s="47"/>
      <c r="O849" s="47"/>
      <c r="P849" s="47"/>
    </row>
    <row r="850" spans="1:16" x14ac:dyDescent="0.3">
      <c r="A850" s="1">
        <v>849</v>
      </c>
      <c r="G850" s="4"/>
      <c r="H850" s="4"/>
      <c r="I850" s="47"/>
      <c r="J850" s="47" t="str">
        <f t="shared" si="26"/>
        <v/>
      </c>
      <c r="K850" s="47"/>
      <c r="L850" s="47"/>
      <c r="N850" s="47"/>
      <c r="O850" s="47"/>
      <c r="P850" s="47"/>
    </row>
    <row r="851" spans="1:16" x14ac:dyDescent="0.3">
      <c r="A851" s="1">
        <v>850</v>
      </c>
      <c r="G851" s="4"/>
      <c r="H851" s="4"/>
      <c r="I851" s="47"/>
      <c r="J851" s="47" t="str">
        <f t="shared" si="26"/>
        <v/>
      </c>
      <c r="K851" s="47"/>
      <c r="L851" s="47"/>
      <c r="N851" s="47"/>
      <c r="O851" s="47"/>
      <c r="P851" s="47"/>
    </row>
    <row r="852" spans="1:16" x14ac:dyDescent="0.3">
      <c r="A852" s="1">
        <v>851</v>
      </c>
      <c r="G852" s="4"/>
      <c r="H852" s="4"/>
      <c r="I852" s="47"/>
      <c r="J852" s="47" t="str">
        <f t="shared" si="26"/>
        <v/>
      </c>
      <c r="K852" s="47"/>
      <c r="L852" s="47"/>
      <c r="N852" s="47"/>
      <c r="O852" s="47"/>
      <c r="P852" s="47"/>
    </row>
    <row r="853" spans="1:16" x14ac:dyDescent="0.3">
      <c r="A853" s="1">
        <v>852</v>
      </c>
      <c r="G853" s="4"/>
      <c r="H853" s="4"/>
      <c r="I853" s="47"/>
      <c r="J853" s="47" t="str">
        <f t="shared" si="26"/>
        <v/>
      </c>
      <c r="K853" s="47"/>
      <c r="L853" s="47"/>
      <c r="N853" s="47"/>
      <c r="O853" s="47"/>
      <c r="P853" s="47"/>
    </row>
    <row r="854" spans="1:16" x14ac:dyDescent="0.3">
      <c r="A854" s="1">
        <v>853</v>
      </c>
      <c r="G854" s="4"/>
      <c r="H854" s="4"/>
      <c r="I854" s="47"/>
      <c r="J854" s="47" t="str">
        <f t="shared" si="26"/>
        <v/>
      </c>
      <c r="K854" s="47"/>
      <c r="L854" s="47"/>
      <c r="N854" s="47"/>
      <c r="O854" s="47"/>
      <c r="P854" s="47"/>
    </row>
    <row r="855" spans="1:16" x14ac:dyDescent="0.3">
      <c r="A855" s="1">
        <v>854</v>
      </c>
      <c r="G855" s="4"/>
      <c r="H855" s="4"/>
      <c r="I855" s="47"/>
      <c r="J855" s="47" t="str">
        <f t="shared" si="26"/>
        <v/>
      </c>
      <c r="K855" s="47"/>
      <c r="L855" s="47"/>
      <c r="N855" s="47"/>
      <c r="O855" s="47"/>
      <c r="P855" s="47"/>
    </row>
    <row r="856" spans="1:16" x14ac:dyDescent="0.3">
      <c r="A856" s="1">
        <v>855</v>
      </c>
      <c r="G856" s="4"/>
      <c r="H856" s="4"/>
      <c r="I856" s="47"/>
      <c r="J856" s="47" t="str">
        <f t="shared" si="26"/>
        <v/>
      </c>
      <c r="K856" s="47"/>
      <c r="L856" s="47"/>
      <c r="N856" s="47"/>
      <c r="O856" s="47"/>
      <c r="P856" s="47"/>
    </row>
    <row r="857" spans="1:16" x14ac:dyDescent="0.3">
      <c r="A857" s="1">
        <v>856</v>
      </c>
      <c r="G857" s="4"/>
      <c r="H857" s="4"/>
      <c r="I857" s="47"/>
      <c r="J857" s="47" t="str">
        <f t="shared" si="26"/>
        <v/>
      </c>
      <c r="K857" s="47"/>
      <c r="L857" s="47"/>
      <c r="N857" s="47"/>
      <c r="O857" s="47"/>
      <c r="P857" s="47"/>
    </row>
    <row r="858" spans="1:16" x14ac:dyDescent="0.3">
      <c r="A858" s="1">
        <v>857</v>
      </c>
      <c r="G858" s="4"/>
      <c r="H858" s="4"/>
      <c r="I858" s="47"/>
      <c r="J858" s="47" t="str">
        <f t="shared" si="26"/>
        <v/>
      </c>
      <c r="K858" s="47"/>
      <c r="L858" s="47"/>
      <c r="N858" s="47"/>
      <c r="O858" s="47"/>
      <c r="P858" s="47"/>
    </row>
    <row r="859" spans="1:16" x14ac:dyDescent="0.3">
      <c r="A859" s="1">
        <v>858</v>
      </c>
      <c r="G859" s="4"/>
      <c r="H859" s="4"/>
      <c r="I859" s="47"/>
      <c r="J859" s="47" t="str">
        <f t="shared" si="26"/>
        <v/>
      </c>
      <c r="K859" s="47"/>
      <c r="L859" s="47"/>
      <c r="N859" s="47"/>
      <c r="O859" s="47"/>
      <c r="P859" s="47"/>
    </row>
    <row r="860" spans="1:16" x14ac:dyDescent="0.3">
      <c r="A860" s="1">
        <v>859</v>
      </c>
      <c r="G860" s="4"/>
      <c r="H860" s="4"/>
      <c r="I860" s="47"/>
      <c r="J860" s="47" t="str">
        <f t="shared" si="26"/>
        <v/>
      </c>
      <c r="K860" s="47"/>
      <c r="L860" s="47"/>
      <c r="N860" s="47"/>
      <c r="O860" s="47"/>
      <c r="P860" s="47"/>
    </row>
    <row r="861" spans="1:16" x14ac:dyDescent="0.3">
      <c r="A861" s="1">
        <v>860</v>
      </c>
      <c r="G861" s="4"/>
      <c r="H861" s="4"/>
      <c r="I861" s="47"/>
      <c r="J861" s="47" t="str">
        <f t="shared" si="26"/>
        <v/>
      </c>
      <c r="K861" s="47"/>
      <c r="L861" s="47"/>
      <c r="N861" s="47"/>
      <c r="O861" s="47"/>
      <c r="P861" s="47"/>
    </row>
    <row r="862" spans="1:16" x14ac:dyDescent="0.3">
      <c r="A862" s="1">
        <v>861</v>
      </c>
      <c r="G862" s="4"/>
      <c r="H862" s="4"/>
      <c r="I862" s="47"/>
      <c r="J862" s="47" t="str">
        <f t="shared" si="26"/>
        <v/>
      </c>
      <c r="K862" s="47"/>
      <c r="L862" s="47"/>
      <c r="N862" s="47"/>
      <c r="O862" s="47"/>
      <c r="P862" s="47"/>
    </row>
    <row r="863" spans="1:16" x14ac:dyDescent="0.3">
      <c r="A863" s="1">
        <v>862</v>
      </c>
      <c r="G863" s="4"/>
      <c r="H863" s="4"/>
      <c r="I863" s="47"/>
      <c r="J863" s="47" t="str">
        <f t="shared" si="26"/>
        <v/>
      </c>
      <c r="K863" s="47"/>
      <c r="L863" s="47"/>
      <c r="N863" s="47"/>
      <c r="O863" s="47"/>
      <c r="P863" s="47"/>
    </row>
    <row r="864" spans="1:16" x14ac:dyDescent="0.3">
      <c r="A864" s="1">
        <v>863</v>
      </c>
      <c r="G864" s="4"/>
      <c r="H864" s="4"/>
      <c r="I864" s="47"/>
      <c r="J864" s="47" t="str">
        <f t="shared" si="26"/>
        <v/>
      </c>
      <c r="K864" s="47"/>
      <c r="L864" s="47"/>
      <c r="N864" s="47"/>
      <c r="O864" s="47"/>
      <c r="P864" s="47"/>
    </row>
    <row r="865" spans="1:16" x14ac:dyDescent="0.3">
      <c r="A865" s="1">
        <v>864</v>
      </c>
      <c r="G865" s="4"/>
      <c r="H865" s="4"/>
      <c r="I865" s="47"/>
      <c r="J865" s="47" t="str">
        <f t="shared" si="26"/>
        <v/>
      </c>
      <c r="K865" s="47"/>
      <c r="L865" s="47"/>
      <c r="N865" s="47"/>
      <c r="O865" s="47"/>
      <c r="P865" s="47"/>
    </row>
    <row r="866" spans="1:16" x14ac:dyDescent="0.3">
      <c r="A866" s="1">
        <v>865</v>
      </c>
      <c r="G866" s="4"/>
      <c r="H866" s="4"/>
      <c r="I866" s="47"/>
      <c r="J866" s="47" t="str">
        <f t="shared" si="26"/>
        <v/>
      </c>
      <c r="K866" s="47"/>
      <c r="L866" s="47"/>
      <c r="N866" s="47"/>
      <c r="O866" s="47"/>
      <c r="P866" s="47"/>
    </row>
    <row r="867" spans="1:16" x14ac:dyDescent="0.3">
      <c r="A867" s="1">
        <v>866</v>
      </c>
      <c r="G867" s="4"/>
      <c r="H867" s="4"/>
      <c r="I867" s="47"/>
      <c r="J867" s="47" t="str">
        <f t="shared" si="26"/>
        <v/>
      </c>
      <c r="K867" s="47"/>
      <c r="L867" s="47"/>
      <c r="N867" s="47"/>
      <c r="O867" s="47"/>
      <c r="P867" s="47"/>
    </row>
    <row r="868" spans="1:16" x14ac:dyDescent="0.3">
      <c r="A868" s="1">
        <v>867</v>
      </c>
      <c r="G868" s="4"/>
      <c r="H868" s="4"/>
      <c r="I868" s="47"/>
      <c r="J868" s="47" t="str">
        <f t="shared" si="26"/>
        <v/>
      </c>
      <c r="K868" s="47"/>
      <c r="L868" s="47"/>
      <c r="N868" s="47"/>
      <c r="O868" s="47"/>
      <c r="P868" s="47"/>
    </row>
    <row r="869" spans="1:16" x14ac:dyDescent="0.3">
      <c r="A869" s="1">
        <v>868</v>
      </c>
      <c r="G869" s="4"/>
      <c r="H869" s="4"/>
      <c r="I869" s="47"/>
      <c r="J869" s="47" t="str">
        <f t="shared" si="26"/>
        <v/>
      </c>
      <c r="K869" s="47"/>
      <c r="L869" s="47"/>
      <c r="N869" s="47"/>
      <c r="O869" s="47"/>
      <c r="P869" s="47"/>
    </row>
    <row r="870" spans="1:16" x14ac:dyDescent="0.3">
      <c r="A870" s="1">
        <v>869</v>
      </c>
      <c r="G870" s="4"/>
      <c r="H870" s="4"/>
      <c r="I870" s="47"/>
      <c r="J870" s="47" t="str">
        <f t="shared" si="26"/>
        <v/>
      </c>
      <c r="K870" s="47"/>
      <c r="L870" s="47"/>
      <c r="N870" s="47"/>
      <c r="O870" s="47"/>
      <c r="P870" s="47"/>
    </row>
    <row r="871" spans="1:16" x14ac:dyDescent="0.3">
      <c r="A871" s="1">
        <v>870</v>
      </c>
      <c r="G871" s="4"/>
      <c r="H871" s="4"/>
      <c r="I871" s="47"/>
      <c r="J871" s="47" t="str">
        <f t="shared" si="26"/>
        <v/>
      </c>
      <c r="K871" s="47"/>
      <c r="L871" s="47"/>
      <c r="N871" s="47"/>
      <c r="O871" s="47"/>
      <c r="P871" s="47"/>
    </row>
    <row r="872" spans="1:16" x14ac:dyDescent="0.3">
      <c r="A872" s="1">
        <v>871</v>
      </c>
      <c r="G872" s="4"/>
      <c r="H872" s="4"/>
      <c r="I872" s="47"/>
      <c r="J872" s="47" t="str">
        <f t="shared" si="26"/>
        <v/>
      </c>
      <c r="K872" s="47"/>
      <c r="L872" s="47"/>
      <c r="N872" s="47"/>
      <c r="O872" s="47"/>
      <c r="P872" s="47"/>
    </row>
    <row r="873" spans="1:16" x14ac:dyDescent="0.3">
      <c r="A873" s="1">
        <v>872</v>
      </c>
      <c r="G873" s="4"/>
      <c r="H873" s="4"/>
      <c r="I873" s="47"/>
      <c r="J873" s="47" t="str">
        <f t="shared" si="26"/>
        <v/>
      </c>
      <c r="K873" s="47"/>
      <c r="L873" s="47"/>
      <c r="N873" s="47"/>
      <c r="O873" s="47"/>
      <c r="P873" s="47"/>
    </row>
    <row r="874" spans="1:16" x14ac:dyDescent="0.3">
      <c r="A874" s="1">
        <v>873</v>
      </c>
      <c r="G874" s="4"/>
      <c r="H874" s="4"/>
      <c r="I874" s="47"/>
      <c r="J874" s="47" t="str">
        <f t="shared" si="26"/>
        <v/>
      </c>
      <c r="K874" s="47"/>
      <c r="L874" s="47"/>
      <c r="N874" s="47"/>
      <c r="O874" s="47"/>
      <c r="P874" s="47"/>
    </row>
    <row r="875" spans="1:16" x14ac:dyDescent="0.3">
      <c r="A875" s="1">
        <v>874</v>
      </c>
      <c r="G875" s="4"/>
      <c r="H875" s="4"/>
      <c r="I875" s="47"/>
      <c r="J875" s="47" t="str">
        <f t="shared" si="26"/>
        <v/>
      </c>
      <c r="K875" s="47"/>
      <c r="L875" s="47"/>
      <c r="N875" s="47"/>
      <c r="O875" s="47"/>
      <c r="P875" s="47"/>
    </row>
    <row r="876" spans="1:16" x14ac:dyDescent="0.3">
      <c r="A876" s="1">
        <v>875</v>
      </c>
      <c r="G876" s="4"/>
      <c r="H876" s="4"/>
      <c r="I876" s="47"/>
      <c r="J876" s="47" t="str">
        <f t="shared" si="26"/>
        <v/>
      </c>
      <c r="K876" s="47"/>
      <c r="L876" s="47"/>
      <c r="N876" s="47"/>
      <c r="O876" s="47"/>
      <c r="P876" s="47"/>
    </row>
    <row r="877" spans="1:16" x14ac:dyDescent="0.3">
      <c r="A877" s="1">
        <v>876</v>
      </c>
      <c r="G877" s="4"/>
      <c r="H877" s="4"/>
      <c r="I877" s="47"/>
      <c r="J877" s="47" t="str">
        <f t="shared" si="26"/>
        <v/>
      </c>
      <c r="K877" s="47"/>
      <c r="L877" s="47"/>
      <c r="N877" s="47"/>
      <c r="O877" s="47"/>
      <c r="P877" s="47"/>
    </row>
    <row r="878" spans="1:16" x14ac:dyDescent="0.3">
      <c r="A878" s="1">
        <v>877</v>
      </c>
      <c r="G878" s="4"/>
      <c r="H878" s="4"/>
      <c r="I878" s="47"/>
      <c r="J878" s="47" t="str">
        <f t="shared" si="26"/>
        <v/>
      </c>
      <c r="K878" s="47"/>
      <c r="L878" s="47"/>
      <c r="N878" s="47"/>
      <c r="O878" s="47"/>
      <c r="P878" s="47"/>
    </row>
    <row r="879" spans="1:16" x14ac:dyDescent="0.3">
      <c r="A879" s="1">
        <v>878</v>
      </c>
      <c r="G879" s="4"/>
      <c r="H879" s="4"/>
      <c r="I879" s="47"/>
      <c r="J879" s="47" t="str">
        <f t="shared" si="26"/>
        <v/>
      </c>
      <c r="K879" s="47"/>
      <c r="L879" s="47"/>
      <c r="N879" s="47"/>
      <c r="O879" s="47"/>
      <c r="P879" s="47"/>
    </row>
    <row r="880" spans="1:16" x14ac:dyDescent="0.3">
      <c r="A880" s="1">
        <v>879</v>
      </c>
      <c r="G880" s="4"/>
      <c r="H880" s="4"/>
      <c r="I880" s="47"/>
      <c r="J880" s="47" t="str">
        <f t="shared" si="26"/>
        <v/>
      </c>
      <c r="K880" s="47"/>
      <c r="L880" s="47"/>
      <c r="N880" s="47"/>
      <c r="O880" s="47"/>
      <c r="P880" s="47"/>
    </row>
    <row r="881" spans="1:16" x14ac:dyDescent="0.3">
      <c r="A881" s="1">
        <v>880</v>
      </c>
      <c r="G881" s="4"/>
      <c r="H881" s="4"/>
      <c r="I881" s="47"/>
      <c r="J881" s="47" t="str">
        <f t="shared" si="26"/>
        <v/>
      </c>
      <c r="K881" s="47"/>
      <c r="L881" s="47"/>
      <c r="N881" s="47"/>
      <c r="O881" s="47"/>
      <c r="P881" s="47"/>
    </row>
    <row r="882" spans="1:16" x14ac:dyDescent="0.3">
      <c r="A882" s="1">
        <v>881</v>
      </c>
      <c r="G882" s="4"/>
      <c r="H882" s="4"/>
      <c r="I882" s="47"/>
      <c r="J882" s="47" t="str">
        <f t="shared" si="26"/>
        <v/>
      </c>
      <c r="K882" s="47"/>
      <c r="L882" s="47"/>
      <c r="N882" s="47"/>
      <c r="O882" s="47"/>
      <c r="P882" s="47"/>
    </row>
    <row r="883" spans="1:16" x14ac:dyDescent="0.3">
      <c r="A883" s="1">
        <v>882</v>
      </c>
      <c r="G883" s="4"/>
      <c r="H883" s="4"/>
      <c r="I883" s="47"/>
      <c r="J883" s="47" t="str">
        <f t="shared" si="26"/>
        <v/>
      </c>
      <c r="K883" s="47"/>
      <c r="L883" s="47"/>
      <c r="N883" s="47"/>
      <c r="O883" s="47"/>
      <c r="P883" s="47"/>
    </row>
    <row r="884" spans="1:16" x14ac:dyDescent="0.3">
      <c r="A884" s="1">
        <v>883</v>
      </c>
      <c r="G884" s="4"/>
      <c r="H884" s="4"/>
      <c r="I884" s="47"/>
      <c r="J884" s="47" t="str">
        <f t="shared" si="26"/>
        <v/>
      </c>
      <c r="K884" s="47"/>
      <c r="L884" s="47"/>
      <c r="N884" s="47"/>
      <c r="O884" s="47"/>
      <c r="P884" s="47"/>
    </row>
    <row r="885" spans="1:16" x14ac:dyDescent="0.3">
      <c r="A885" s="1">
        <v>884</v>
      </c>
      <c r="G885" s="4"/>
      <c r="H885" s="4"/>
      <c r="I885" s="47"/>
      <c r="J885" s="47" t="str">
        <f t="shared" si="26"/>
        <v/>
      </c>
      <c r="K885" s="47"/>
      <c r="L885" s="47"/>
      <c r="N885" s="47"/>
      <c r="O885" s="47"/>
      <c r="P885" s="47"/>
    </row>
    <row r="886" spans="1:16" x14ac:dyDescent="0.3">
      <c r="A886" s="1">
        <v>885</v>
      </c>
      <c r="G886" s="4"/>
      <c r="H886" s="4"/>
      <c r="I886" s="47"/>
      <c r="J886" s="47" t="str">
        <f t="shared" si="26"/>
        <v/>
      </c>
      <c r="K886" s="47"/>
      <c r="L886" s="47"/>
      <c r="N886" s="47"/>
      <c r="O886" s="47"/>
      <c r="P886" s="47"/>
    </row>
    <row r="887" spans="1:16" x14ac:dyDescent="0.3">
      <c r="A887" s="1">
        <v>886</v>
      </c>
      <c r="G887" s="4"/>
      <c r="H887" s="4"/>
      <c r="I887" s="47"/>
      <c r="J887" s="47" t="str">
        <f t="shared" si="26"/>
        <v/>
      </c>
      <c r="K887" s="47"/>
      <c r="L887" s="47"/>
      <c r="N887" s="47"/>
      <c r="O887" s="47"/>
      <c r="P887" s="47"/>
    </row>
    <row r="888" spans="1:16" x14ac:dyDescent="0.3">
      <c r="A888" s="1">
        <v>887</v>
      </c>
      <c r="G888" s="4"/>
      <c r="H888" s="4"/>
      <c r="I888" s="47"/>
      <c r="J888" s="47" t="str">
        <f t="shared" si="26"/>
        <v/>
      </c>
      <c r="K888" s="47"/>
      <c r="L888" s="47"/>
      <c r="N888" s="47"/>
      <c r="O888" s="47"/>
      <c r="P888" s="47"/>
    </row>
    <row r="889" spans="1:16" x14ac:dyDescent="0.3">
      <c r="A889" s="1">
        <v>888</v>
      </c>
      <c r="G889" s="4"/>
      <c r="H889" s="4"/>
      <c r="I889" s="47"/>
      <c r="J889" s="47" t="str">
        <f t="shared" si="26"/>
        <v/>
      </c>
      <c r="K889" s="47"/>
      <c r="L889" s="47"/>
      <c r="N889" s="47"/>
      <c r="O889" s="47"/>
      <c r="P889" s="47"/>
    </row>
    <row r="890" spans="1:16" x14ac:dyDescent="0.3">
      <c r="A890" s="1">
        <v>889</v>
      </c>
      <c r="G890" s="4"/>
      <c r="H890" s="4"/>
      <c r="I890" s="47"/>
      <c r="J890" s="47" t="str">
        <f t="shared" si="26"/>
        <v/>
      </c>
      <c r="K890" s="47"/>
      <c r="L890" s="47"/>
      <c r="N890" s="47"/>
      <c r="O890" s="47"/>
      <c r="P890" s="47"/>
    </row>
    <row r="891" spans="1:16" x14ac:dyDescent="0.3">
      <c r="A891" s="1">
        <v>890</v>
      </c>
      <c r="G891" s="4"/>
      <c r="H891" s="4"/>
      <c r="I891" s="47"/>
      <c r="J891" s="47" t="str">
        <f t="shared" si="26"/>
        <v/>
      </c>
      <c r="K891" s="47"/>
      <c r="L891" s="47"/>
      <c r="N891" s="47"/>
      <c r="O891" s="47"/>
      <c r="P891" s="47"/>
    </row>
    <row r="892" spans="1:16" x14ac:dyDescent="0.3">
      <c r="A892" s="1">
        <v>891</v>
      </c>
      <c r="G892" s="4"/>
      <c r="H892" s="4"/>
      <c r="I892" s="47"/>
      <c r="J892" s="47" t="str">
        <f t="shared" si="26"/>
        <v/>
      </c>
      <c r="K892" s="47"/>
      <c r="L892" s="47"/>
      <c r="N892" s="47"/>
      <c r="O892" s="47"/>
      <c r="P892" s="47"/>
    </row>
    <row r="893" spans="1:16" x14ac:dyDescent="0.3">
      <c r="A893" s="1">
        <v>892</v>
      </c>
      <c r="G893" s="4"/>
      <c r="H893" s="4"/>
      <c r="I893" s="47"/>
      <c r="J893" s="47" t="str">
        <f t="shared" si="26"/>
        <v/>
      </c>
      <c r="K893" s="47"/>
      <c r="L893" s="47"/>
      <c r="N893" s="47"/>
      <c r="O893" s="47"/>
      <c r="P893" s="47"/>
    </row>
    <row r="894" spans="1:16" x14ac:dyDescent="0.3">
      <c r="A894" s="1">
        <v>893</v>
      </c>
      <c r="G894" s="4"/>
      <c r="H894" s="4"/>
      <c r="I894" s="47"/>
      <c r="J894" s="47" t="str">
        <f t="shared" si="26"/>
        <v/>
      </c>
      <c r="K894" s="47"/>
      <c r="L894" s="47"/>
      <c r="N894" s="47"/>
      <c r="O894" s="47"/>
      <c r="P894" s="47"/>
    </row>
    <row r="895" spans="1:16" x14ac:dyDescent="0.3">
      <c r="A895" s="1">
        <v>894</v>
      </c>
      <c r="G895" s="4"/>
      <c r="H895" s="4"/>
      <c r="I895" s="47"/>
      <c r="J895" s="47" t="str">
        <f t="shared" si="26"/>
        <v/>
      </c>
      <c r="K895" s="47"/>
      <c r="L895" s="47"/>
      <c r="N895" s="47"/>
      <c r="O895" s="47"/>
      <c r="P895" s="47"/>
    </row>
    <row r="896" spans="1:16" x14ac:dyDescent="0.3">
      <c r="A896" s="1">
        <v>895</v>
      </c>
      <c r="G896" s="4"/>
      <c r="H896" s="4"/>
      <c r="I896" s="47"/>
      <c r="J896" s="47" t="str">
        <f t="shared" si="26"/>
        <v/>
      </c>
      <c r="K896" s="47"/>
      <c r="L896" s="47"/>
      <c r="N896" s="47"/>
      <c r="O896" s="47"/>
      <c r="P896" s="47"/>
    </row>
    <row r="897" spans="1:16" x14ac:dyDescent="0.3">
      <c r="A897" s="1">
        <v>896</v>
      </c>
      <c r="G897" s="4"/>
      <c r="H897" s="4"/>
      <c r="I897" s="47"/>
      <c r="J897" s="47" t="str">
        <f t="shared" si="26"/>
        <v/>
      </c>
      <c r="K897" s="47"/>
      <c r="L897" s="47"/>
      <c r="N897" s="47"/>
      <c r="O897" s="47"/>
      <c r="P897" s="47"/>
    </row>
    <row r="898" spans="1:16" x14ac:dyDescent="0.3">
      <c r="A898" s="1">
        <v>897</v>
      </c>
      <c r="G898" s="4"/>
      <c r="H898" s="4"/>
      <c r="I898" s="47"/>
      <c r="J898" s="47" t="str">
        <f t="shared" si="26"/>
        <v/>
      </c>
      <c r="K898" s="47"/>
      <c r="L898" s="47"/>
      <c r="N898" s="47"/>
      <c r="O898" s="47"/>
      <c r="P898" s="47"/>
    </row>
    <row r="899" spans="1:16" x14ac:dyDescent="0.3">
      <c r="A899" s="1">
        <v>898</v>
      </c>
      <c r="G899" s="4"/>
      <c r="H899" s="4"/>
      <c r="I899" s="47"/>
      <c r="J899" s="47" t="str">
        <f t="shared" ref="J899:J962" si="27">+E899&amp;I899</f>
        <v/>
      </c>
      <c r="K899" s="47"/>
      <c r="L899" s="47"/>
      <c r="N899" s="47"/>
      <c r="O899" s="47"/>
      <c r="P899" s="47"/>
    </row>
    <row r="900" spans="1:16" x14ac:dyDescent="0.3">
      <c r="A900" s="1">
        <v>899</v>
      </c>
      <c r="G900" s="4"/>
      <c r="H900" s="4"/>
      <c r="I900" s="47"/>
      <c r="J900" s="47" t="str">
        <f t="shared" si="27"/>
        <v/>
      </c>
      <c r="K900" s="47"/>
      <c r="L900" s="47"/>
      <c r="N900" s="47"/>
      <c r="O900" s="47"/>
      <c r="P900" s="47"/>
    </row>
    <row r="901" spans="1:16" x14ac:dyDescent="0.3">
      <c r="A901" s="1">
        <v>900</v>
      </c>
      <c r="G901" s="4"/>
      <c r="H901" s="4"/>
      <c r="I901" s="47"/>
      <c r="J901" s="47" t="str">
        <f t="shared" si="27"/>
        <v/>
      </c>
      <c r="K901" s="47"/>
      <c r="L901" s="47"/>
      <c r="N901" s="47"/>
      <c r="O901" s="47"/>
      <c r="P901" s="47"/>
    </row>
    <row r="902" spans="1:16" x14ac:dyDescent="0.3">
      <c r="A902" s="1">
        <v>901</v>
      </c>
      <c r="G902" s="4"/>
      <c r="H902" s="4"/>
      <c r="I902" s="47"/>
      <c r="J902" s="47" t="str">
        <f t="shared" si="27"/>
        <v/>
      </c>
      <c r="K902" s="47"/>
      <c r="L902" s="47"/>
      <c r="N902" s="47"/>
      <c r="O902" s="47"/>
      <c r="P902" s="47"/>
    </row>
    <row r="903" spans="1:16" x14ac:dyDescent="0.3">
      <c r="A903" s="1">
        <v>902</v>
      </c>
      <c r="G903" s="4"/>
      <c r="H903" s="4"/>
      <c r="I903" s="47"/>
      <c r="J903" s="47" t="str">
        <f t="shared" si="27"/>
        <v/>
      </c>
      <c r="K903" s="47"/>
      <c r="L903" s="47"/>
      <c r="N903" s="47"/>
      <c r="O903" s="47"/>
      <c r="P903" s="47"/>
    </row>
    <row r="904" spans="1:16" x14ac:dyDescent="0.3">
      <c r="A904" s="1">
        <v>903</v>
      </c>
      <c r="G904" s="4"/>
      <c r="H904" s="4"/>
      <c r="I904" s="47"/>
      <c r="J904" s="47" t="str">
        <f t="shared" si="27"/>
        <v/>
      </c>
      <c r="K904" s="47"/>
      <c r="L904" s="47"/>
      <c r="N904" s="47"/>
      <c r="O904" s="47"/>
      <c r="P904" s="47"/>
    </row>
    <row r="905" spans="1:16" x14ac:dyDescent="0.3">
      <c r="A905" s="1">
        <v>904</v>
      </c>
      <c r="G905" s="4"/>
      <c r="H905" s="4"/>
      <c r="I905" s="47"/>
      <c r="J905" s="47" t="str">
        <f t="shared" si="27"/>
        <v/>
      </c>
      <c r="K905" s="47"/>
      <c r="L905" s="47"/>
      <c r="N905" s="47"/>
      <c r="O905" s="47"/>
      <c r="P905" s="47"/>
    </row>
    <row r="906" spans="1:16" x14ac:dyDescent="0.3">
      <c r="A906" s="1">
        <v>905</v>
      </c>
      <c r="G906" s="4"/>
      <c r="H906" s="4"/>
      <c r="I906" s="47"/>
      <c r="J906" s="47" t="str">
        <f t="shared" si="27"/>
        <v/>
      </c>
      <c r="K906" s="47"/>
      <c r="L906" s="47"/>
      <c r="N906" s="47"/>
      <c r="O906" s="47"/>
      <c r="P906" s="47"/>
    </row>
    <row r="907" spans="1:16" x14ac:dyDescent="0.3">
      <c r="A907" s="1">
        <v>906</v>
      </c>
      <c r="G907" s="4"/>
      <c r="H907" s="4"/>
      <c r="I907" s="47"/>
      <c r="J907" s="47" t="str">
        <f t="shared" si="27"/>
        <v/>
      </c>
      <c r="K907" s="47"/>
      <c r="L907" s="47"/>
      <c r="N907" s="47"/>
      <c r="O907" s="47"/>
      <c r="P907" s="47"/>
    </row>
    <row r="908" spans="1:16" x14ac:dyDescent="0.3">
      <c r="A908" s="1">
        <v>907</v>
      </c>
      <c r="G908" s="4"/>
      <c r="H908" s="4"/>
      <c r="I908" s="47"/>
      <c r="J908" s="47" t="str">
        <f t="shared" si="27"/>
        <v/>
      </c>
      <c r="K908" s="47"/>
      <c r="L908" s="47"/>
      <c r="N908" s="47"/>
      <c r="O908" s="47"/>
      <c r="P908" s="47"/>
    </row>
    <row r="909" spans="1:16" x14ac:dyDescent="0.3">
      <c r="A909" s="1">
        <v>908</v>
      </c>
      <c r="G909" s="4"/>
      <c r="H909" s="4"/>
      <c r="I909" s="47"/>
      <c r="J909" s="47" t="str">
        <f t="shared" si="27"/>
        <v/>
      </c>
      <c r="K909" s="47"/>
      <c r="L909" s="47"/>
      <c r="N909" s="47"/>
      <c r="O909" s="47"/>
      <c r="P909" s="47"/>
    </row>
    <row r="910" spans="1:16" x14ac:dyDescent="0.3">
      <c r="A910" s="1">
        <v>909</v>
      </c>
      <c r="G910" s="4"/>
      <c r="H910" s="4"/>
      <c r="I910" s="47"/>
      <c r="J910" s="47" t="str">
        <f t="shared" si="27"/>
        <v/>
      </c>
      <c r="K910" s="47"/>
      <c r="L910" s="47"/>
      <c r="N910" s="47"/>
      <c r="O910" s="47"/>
      <c r="P910" s="47"/>
    </row>
    <row r="911" spans="1:16" x14ac:dyDescent="0.3">
      <c r="A911" s="1">
        <v>910</v>
      </c>
      <c r="G911" s="4"/>
      <c r="H911" s="4"/>
      <c r="I911" s="47"/>
      <c r="J911" s="47" t="str">
        <f t="shared" si="27"/>
        <v/>
      </c>
      <c r="K911" s="47"/>
      <c r="L911" s="47"/>
      <c r="N911" s="47"/>
      <c r="O911" s="47"/>
      <c r="P911" s="47"/>
    </row>
    <row r="912" spans="1:16" x14ac:dyDescent="0.3">
      <c r="A912" s="1">
        <v>911</v>
      </c>
      <c r="G912" s="4"/>
      <c r="H912" s="4"/>
      <c r="I912" s="47"/>
      <c r="J912" s="47" t="str">
        <f t="shared" si="27"/>
        <v/>
      </c>
      <c r="K912" s="47"/>
      <c r="L912" s="47"/>
      <c r="N912" s="47"/>
      <c r="O912" s="47"/>
      <c r="P912" s="47"/>
    </row>
    <row r="913" spans="1:16" x14ac:dyDescent="0.3">
      <c r="A913" s="1">
        <v>912</v>
      </c>
      <c r="G913" s="4"/>
      <c r="H913" s="4"/>
      <c r="I913" s="47"/>
      <c r="J913" s="47" t="str">
        <f t="shared" si="27"/>
        <v/>
      </c>
      <c r="K913" s="47"/>
      <c r="L913" s="47"/>
      <c r="N913" s="47"/>
      <c r="O913" s="47"/>
      <c r="P913" s="47"/>
    </row>
    <row r="914" spans="1:16" x14ac:dyDescent="0.3">
      <c r="A914" s="1">
        <v>913</v>
      </c>
      <c r="G914" s="4"/>
      <c r="H914" s="4"/>
      <c r="I914" s="47"/>
      <c r="J914" s="47" t="str">
        <f t="shared" si="27"/>
        <v/>
      </c>
      <c r="K914" s="47"/>
      <c r="L914" s="47"/>
      <c r="N914" s="47"/>
      <c r="O914" s="47"/>
      <c r="P914" s="47"/>
    </row>
    <row r="915" spans="1:16" x14ac:dyDescent="0.3">
      <c r="A915" s="1">
        <v>914</v>
      </c>
      <c r="G915" s="4"/>
      <c r="H915" s="4"/>
      <c r="I915" s="47"/>
      <c r="J915" s="47" t="str">
        <f t="shared" si="27"/>
        <v/>
      </c>
      <c r="K915" s="47"/>
      <c r="L915" s="47"/>
      <c r="N915" s="47"/>
      <c r="O915" s="47"/>
      <c r="P915" s="47"/>
    </row>
    <row r="916" spans="1:16" x14ac:dyDescent="0.3">
      <c r="A916" s="1">
        <v>915</v>
      </c>
      <c r="G916" s="4"/>
      <c r="H916" s="4"/>
      <c r="I916" s="47"/>
      <c r="J916" s="47" t="str">
        <f t="shared" si="27"/>
        <v/>
      </c>
      <c r="K916" s="47"/>
      <c r="L916" s="47"/>
      <c r="N916" s="47"/>
      <c r="O916" s="47"/>
      <c r="P916" s="47"/>
    </row>
    <row r="917" spans="1:16" x14ac:dyDescent="0.3">
      <c r="A917" s="1">
        <v>916</v>
      </c>
      <c r="G917" s="4"/>
      <c r="H917" s="4"/>
      <c r="I917" s="47"/>
      <c r="J917" s="47" t="str">
        <f t="shared" si="27"/>
        <v/>
      </c>
      <c r="K917" s="47"/>
      <c r="L917" s="47"/>
      <c r="N917" s="47"/>
      <c r="O917" s="47"/>
      <c r="P917" s="47"/>
    </row>
    <row r="918" spans="1:16" x14ac:dyDescent="0.3">
      <c r="A918" s="1">
        <v>917</v>
      </c>
      <c r="G918" s="4"/>
      <c r="H918" s="4"/>
      <c r="I918" s="47"/>
      <c r="J918" s="47" t="str">
        <f t="shared" si="27"/>
        <v/>
      </c>
      <c r="K918" s="47"/>
      <c r="L918" s="47"/>
      <c r="N918" s="47"/>
      <c r="O918" s="47"/>
      <c r="P918" s="47"/>
    </row>
    <row r="919" spans="1:16" x14ac:dyDescent="0.3">
      <c r="A919" s="1">
        <v>918</v>
      </c>
      <c r="G919" s="4"/>
      <c r="H919" s="4"/>
      <c r="I919" s="47"/>
      <c r="J919" s="47" t="str">
        <f t="shared" si="27"/>
        <v/>
      </c>
      <c r="K919" s="47"/>
      <c r="L919" s="47"/>
      <c r="N919" s="47"/>
      <c r="O919" s="47"/>
      <c r="P919" s="47"/>
    </row>
    <row r="920" spans="1:16" x14ac:dyDescent="0.3">
      <c r="A920" s="1">
        <v>919</v>
      </c>
      <c r="G920" s="4"/>
      <c r="H920" s="4"/>
      <c r="I920" s="47"/>
      <c r="J920" s="47" t="str">
        <f t="shared" si="27"/>
        <v/>
      </c>
      <c r="K920" s="47"/>
      <c r="L920" s="47"/>
      <c r="N920" s="47"/>
      <c r="O920" s="47"/>
      <c r="P920" s="47"/>
    </row>
    <row r="921" spans="1:16" x14ac:dyDescent="0.3">
      <c r="A921" s="1">
        <v>920</v>
      </c>
      <c r="G921" s="4"/>
      <c r="H921" s="4"/>
      <c r="I921" s="47"/>
      <c r="J921" s="47" t="str">
        <f t="shared" si="27"/>
        <v/>
      </c>
      <c r="K921" s="47"/>
      <c r="L921" s="47"/>
      <c r="N921" s="47"/>
      <c r="O921" s="47"/>
      <c r="P921" s="47"/>
    </row>
    <row r="922" spans="1:16" x14ac:dyDescent="0.3">
      <c r="A922" s="1">
        <v>921</v>
      </c>
      <c r="G922" s="4"/>
      <c r="H922" s="4"/>
      <c r="I922" s="47"/>
      <c r="J922" s="47" t="str">
        <f t="shared" si="27"/>
        <v/>
      </c>
      <c r="K922" s="47"/>
      <c r="L922" s="47"/>
      <c r="N922" s="47"/>
      <c r="O922" s="47"/>
      <c r="P922" s="47"/>
    </row>
    <row r="923" spans="1:16" x14ac:dyDescent="0.3">
      <c r="A923" s="1">
        <v>922</v>
      </c>
      <c r="G923" s="4"/>
      <c r="H923" s="4"/>
      <c r="I923" s="47"/>
      <c r="J923" s="47" t="str">
        <f t="shared" si="27"/>
        <v/>
      </c>
      <c r="K923" s="47"/>
      <c r="L923" s="47"/>
      <c r="N923" s="47"/>
      <c r="O923" s="47"/>
      <c r="P923" s="47"/>
    </row>
    <row r="924" spans="1:16" x14ac:dyDescent="0.3">
      <c r="A924" s="1">
        <v>923</v>
      </c>
      <c r="G924" s="4"/>
      <c r="H924" s="4"/>
      <c r="I924" s="47"/>
      <c r="J924" s="47" t="str">
        <f t="shared" si="27"/>
        <v/>
      </c>
      <c r="K924" s="47"/>
      <c r="L924" s="47"/>
      <c r="N924" s="47"/>
      <c r="O924" s="47"/>
      <c r="P924" s="47"/>
    </row>
    <row r="925" spans="1:16" x14ac:dyDescent="0.3">
      <c r="A925" s="1">
        <v>924</v>
      </c>
      <c r="G925" s="4"/>
      <c r="H925" s="4"/>
      <c r="I925" s="47"/>
      <c r="J925" s="47" t="str">
        <f t="shared" si="27"/>
        <v/>
      </c>
      <c r="K925" s="47"/>
      <c r="L925" s="47"/>
      <c r="N925" s="47"/>
      <c r="O925" s="47"/>
      <c r="P925" s="47"/>
    </row>
    <row r="926" spans="1:16" x14ac:dyDescent="0.3">
      <c r="A926" s="1">
        <v>925</v>
      </c>
      <c r="G926" s="4"/>
      <c r="H926" s="4"/>
      <c r="I926" s="47"/>
      <c r="J926" s="47" t="str">
        <f t="shared" si="27"/>
        <v/>
      </c>
      <c r="K926" s="47"/>
      <c r="L926" s="47"/>
      <c r="N926" s="47"/>
      <c r="O926" s="47"/>
      <c r="P926" s="47"/>
    </row>
    <row r="927" spans="1:16" x14ac:dyDescent="0.3">
      <c r="A927" s="1">
        <v>926</v>
      </c>
      <c r="G927" s="4"/>
      <c r="H927" s="4"/>
      <c r="I927" s="47"/>
      <c r="J927" s="47" t="str">
        <f t="shared" si="27"/>
        <v/>
      </c>
      <c r="K927" s="47"/>
      <c r="L927" s="47"/>
      <c r="N927" s="47"/>
      <c r="O927" s="47"/>
      <c r="P927" s="47"/>
    </row>
    <row r="928" spans="1:16" x14ac:dyDescent="0.3">
      <c r="A928" s="1">
        <v>927</v>
      </c>
      <c r="G928" s="4"/>
      <c r="H928" s="4"/>
      <c r="I928" s="47"/>
      <c r="J928" s="47" t="str">
        <f t="shared" si="27"/>
        <v/>
      </c>
      <c r="K928" s="47"/>
      <c r="L928" s="47"/>
      <c r="N928" s="47"/>
      <c r="O928" s="47"/>
      <c r="P928" s="47"/>
    </row>
    <row r="929" spans="1:16" x14ac:dyDescent="0.3">
      <c r="A929" s="1">
        <v>928</v>
      </c>
      <c r="G929" s="4"/>
      <c r="H929" s="4"/>
      <c r="I929" s="47"/>
      <c r="J929" s="47" t="str">
        <f t="shared" si="27"/>
        <v/>
      </c>
      <c r="K929" s="47"/>
      <c r="L929" s="47"/>
      <c r="N929" s="47"/>
      <c r="O929" s="47"/>
      <c r="P929" s="47"/>
    </row>
    <row r="930" spans="1:16" x14ac:dyDescent="0.3">
      <c r="A930" s="1">
        <v>929</v>
      </c>
      <c r="G930" s="4"/>
      <c r="H930" s="4"/>
      <c r="I930" s="47"/>
      <c r="J930" s="47" t="str">
        <f t="shared" si="27"/>
        <v/>
      </c>
      <c r="K930" s="47"/>
      <c r="L930" s="47"/>
      <c r="N930" s="47"/>
      <c r="O930" s="47"/>
      <c r="P930" s="47"/>
    </row>
    <row r="931" spans="1:16" x14ac:dyDescent="0.3">
      <c r="A931" s="1">
        <v>930</v>
      </c>
      <c r="G931" s="4"/>
      <c r="H931" s="4"/>
      <c r="I931" s="47"/>
      <c r="J931" s="47" t="str">
        <f t="shared" si="27"/>
        <v/>
      </c>
      <c r="K931" s="47"/>
      <c r="L931" s="47"/>
      <c r="N931" s="47"/>
      <c r="O931" s="47"/>
      <c r="P931" s="47"/>
    </row>
    <row r="932" spans="1:16" x14ac:dyDescent="0.3">
      <c r="A932" s="1">
        <v>931</v>
      </c>
      <c r="G932" s="4"/>
      <c r="H932" s="4"/>
      <c r="I932" s="47"/>
      <c r="J932" s="47" t="str">
        <f t="shared" si="27"/>
        <v/>
      </c>
      <c r="K932" s="47"/>
      <c r="L932" s="47"/>
      <c r="N932" s="47"/>
      <c r="O932" s="47"/>
      <c r="P932" s="47"/>
    </row>
    <row r="933" spans="1:16" x14ac:dyDescent="0.3">
      <c r="A933" s="1">
        <v>932</v>
      </c>
      <c r="G933" s="4"/>
      <c r="H933" s="4"/>
      <c r="I933" s="47"/>
      <c r="J933" s="47" t="str">
        <f t="shared" si="27"/>
        <v/>
      </c>
      <c r="K933" s="47"/>
      <c r="L933" s="47"/>
      <c r="N933" s="47"/>
      <c r="O933" s="47"/>
      <c r="P933" s="47"/>
    </row>
    <row r="934" spans="1:16" x14ac:dyDescent="0.3">
      <c r="A934" s="1">
        <v>933</v>
      </c>
      <c r="G934" s="4"/>
      <c r="H934" s="4"/>
      <c r="I934" s="47"/>
      <c r="J934" s="47" t="str">
        <f t="shared" si="27"/>
        <v/>
      </c>
      <c r="K934" s="47"/>
      <c r="L934" s="47"/>
      <c r="N934" s="47"/>
      <c r="O934" s="47"/>
      <c r="P934" s="47"/>
    </row>
    <row r="935" spans="1:16" x14ac:dyDescent="0.3">
      <c r="A935" s="1">
        <v>934</v>
      </c>
      <c r="G935" s="4"/>
      <c r="H935" s="4"/>
      <c r="I935" s="47"/>
      <c r="J935" s="47" t="str">
        <f t="shared" si="27"/>
        <v/>
      </c>
      <c r="K935" s="47"/>
      <c r="L935" s="47"/>
      <c r="N935" s="47"/>
      <c r="O935" s="47"/>
      <c r="P935" s="47"/>
    </row>
    <row r="936" spans="1:16" x14ac:dyDescent="0.3">
      <c r="A936" s="1">
        <v>935</v>
      </c>
      <c r="G936" s="4"/>
      <c r="H936" s="4"/>
      <c r="I936" s="47"/>
      <c r="J936" s="47" t="str">
        <f t="shared" si="27"/>
        <v/>
      </c>
      <c r="K936" s="47"/>
      <c r="L936" s="47"/>
      <c r="N936" s="47"/>
      <c r="O936" s="47"/>
      <c r="P936" s="47"/>
    </row>
    <row r="937" spans="1:16" x14ac:dyDescent="0.3">
      <c r="A937" s="1">
        <v>936</v>
      </c>
      <c r="G937" s="4"/>
      <c r="H937" s="4"/>
      <c r="I937" s="47"/>
      <c r="J937" s="47" t="str">
        <f t="shared" si="27"/>
        <v/>
      </c>
      <c r="K937" s="47"/>
      <c r="L937" s="47"/>
      <c r="N937" s="47"/>
      <c r="O937" s="47"/>
      <c r="P937" s="47"/>
    </row>
    <row r="938" spans="1:16" x14ac:dyDescent="0.3">
      <c r="A938" s="1">
        <v>937</v>
      </c>
      <c r="G938" s="4"/>
      <c r="H938" s="4"/>
      <c r="I938" s="47"/>
      <c r="J938" s="47" t="str">
        <f t="shared" si="27"/>
        <v/>
      </c>
      <c r="K938" s="47"/>
      <c r="L938" s="47"/>
      <c r="N938" s="47"/>
      <c r="O938" s="47"/>
      <c r="P938" s="47"/>
    </row>
    <row r="939" spans="1:16" x14ac:dyDescent="0.3">
      <c r="A939" s="1">
        <v>938</v>
      </c>
      <c r="G939" s="4"/>
      <c r="H939" s="4"/>
      <c r="I939" s="47"/>
      <c r="J939" s="47" t="str">
        <f t="shared" si="27"/>
        <v/>
      </c>
      <c r="K939" s="47"/>
      <c r="L939" s="47"/>
      <c r="N939" s="47"/>
      <c r="O939" s="47"/>
      <c r="P939" s="47"/>
    </row>
    <row r="940" spans="1:16" x14ac:dyDescent="0.3">
      <c r="A940" s="1">
        <v>939</v>
      </c>
      <c r="G940" s="4"/>
      <c r="H940" s="4"/>
      <c r="I940" s="47"/>
      <c r="J940" s="47" t="str">
        <f t="shared" si="27"/>
        <v/>
      </c>
      <c r="K940" s="47"/>
      <c r="L940" s="47"/>
      <c r="N940" s="47"/>
      <c r="O940" s="47"/>
      <c r="P940" s="47"/>
    </row>
    <row r="941" spans="1:16" x14ac:dyDescent="0.3">
      <c r="A941" s="1">
        <v>940</v>
      </c>
      <c r="G941" s="4"/>
      <c r="H941" s="4"/>
      <c r="I941" s="47"/>
      <c r="J941" s="47" t="str">
        <f t="shared" si="27"/>
        <v/>
      </c>
      <c r="K941" s="47"/>
      <c r="L941" s="47"/>
      <c r="N941" s="47"/>
      <c r="O941" s="47"/>
      <c r="P941" s="47"/>
    </row>
    <row r="942" spans="1:16" x14ac:dyDescent="0.3">
      <c r="A942" s="1">
        <v>941</v>
      </c>
      <c r="G942" s="4"/>
      <c r="H942" s="4"/>
      <c r="I942" s="47"/>
      <c r="J942" s="47" t="str">
        <f t="shared" si="27"/>
        <v/>
      </c>
      <c r="K942" s="47"/>
      <c r="L942" s="47"/>
      <c r="N942" s="47"/>
      <c r="O942" s="47"/>
      <c r="P942" s="47"/>
    </row>
    <row r="943" spans="1:16" x14ac:dyDescent="0.3">
      <c r="A943" s="1">
        <v>942</v>
      </c>
      <c r="G943" s="4"/>
      <c r="H943" s="4"/>
      <c r="I943" s="47"/>
      <c r="J943" s="47" t="str">
        <f t="shared" si="27"/>
        <v/>
      </c>
      <c r="K943" s="47"/>
      <c r="L943" s="47"/>
      <c r="N943" s="47"/>
      <c r="O943" s="47"/>
      <c r="P943" s="47"/>
    </row>
    <row r="944" spans="1:16" x14ac:dyDescent="0.3">
      <c r="A944" s="1">
        <v>943</v>
      </c>
      <c r="G944" s="4"/>
      <c r="H944" s="4"/>
      <c r="I944" s="47"/>
      <c r="J944" s="47" t="str">
        <f t="shared" si="27"/>
        <v/>
      </c>
      <c r="K944" s="47"/>
      <c r="L944" s="47"/>
      <c r="N944" s="47"/>
      <c r="O944" s="47"/>
      <c r="P944" s="47"/>
    </row>
    <row r="945" spans="1:16" x14ac:dyDescent="0.3">
      <c r="A945" s="1">
        <v>944</v>
      </c>
      <c r="G945" s="4"/>
      <c r="H945" s="4"/>
      <c r="I945" s="47"/>
      <c r="J945" s="47" t="str">
        <f t="shared" si="27"/>
        <v/>
      </c>
      <c r="K945" s="47"/>
      <c r="L945" s="47"/>
      <c r="N945" s="47"/>
      <c r="O945" s="47"/>
      <c r="P945" s="47"/>
    </row>
    <row r="946" spans="1:16" x14ac:dyDescent="0.3">
      <c r="A946" s="1">
        <v>945</v>
      </c>
      <c r="G946" s="4"/>
      <c r="H946" s="4"/>
      <c r="I946" s="47"/>
      <c r="J946" s="47" t="str">
        <f t="shared" si="27"/>
        <v/>
      </c>
      <c r="K946" s="47"/>
      <c r="L946" s="47"/>
      <c r="N946" s="47"/>
      <c r="O946" s="47"/>
      <c r="P946" s="47"/>
    </row>
    <row r="947" spans="1:16" x14ac:dyDescent="0.3">
      <c r="A947" s="1">
        <v>946</v>
      </c>
      <c r="G947" s="4"/>
      <c r="H947" s="4"/>
      <c r="I947" s="47"/>
      <c r="J947" s="47" t="str">
        <f t="shared" si="27"/>
        <v/>
      </c>
      <c r="K947" s="47"/>
      <c r="L947" s="47"/>
      <c r="N947" s="47"/>
      <c r="O947" s="47"/>
      <c r="P947" s="47"/>
    </row>
    <row r="948" spans="1:16" x14ac:dyDescent="0.3">
      <c r="A948" s="1">
        <v>947</v>
      </c>
      <c r="G948" s="4"/>
      <c r="H948" s="4"/>
      <c r="I948" s="47"/>
      <c r="J948" s="47" t="str">
        <f t="shared" si="27"/>
        <v/>
      </c>
      <c r="K948" s="47"/>
      <c r="L948" s="47"/>
      <c r="N948" s="47"/>
      <c r="O948" s="47"/>
      <c r="P948" s="47"/>
    </row>
    <row r="949" spans="1:16" x14ac:dyDescent="0.3">
      <c r="A949" s="1">
        <v>948</v>
      </c>
      <c r="G949" s="4"/>
      <c r="H949" s="4"/>
      <c r="I949" s="47"/>
      <c r="J949" s="47" t="str">
        <f t="shared" si="27"/>
        <v/>
      </c>
      <c r="K949" s="47"/>
      <c r="L949" s="47"/>
      <c r="N949" s="47"/>
      <c r="O949" s="47"/>
      <c r="P949" s="47"/>
    </row>
    <row r="950" spans="1:16" x14ac:dyDescent="0.3">
      <c r="A950" s="1">
        <v>949</v>
      </c>
      <c r="G950" s="4"/>
      <c r="H950" s="4"/>
      <c r="I950" s="47"/>
      <c r="J950" s="47" t="str">
        <f t="shared" si="27"/>
        <v/>
      </c>
      <c r="K950" s="47"/>
      <c r="L950" s="47"/>
      <c r="N950" s="47"/>
      <c r="O950" s="47"/>
      <c r="P950" s="47"/>
    </row>
    <row r="951" spans="1:16" x14ac:dyDescent="0.3">
      <c r="A951" s="1">
        <v>950</v>
      </c>
      <c r="G951" s="4"/>
      <c r="H951" s="4"/>
      <c r="I951" s="47"/>
      <c r="J951" s="47" t="str">
        <f t="shared" si="27"/>
        <v/>
      </c>
      <c r="K951" s="47"/>
      <c r="L951" s="47"/>
      <c r="N951" s="47"/>
      <c r="O951" s="47"/>
      <c r="P951" s="47"/>
    </row>
    <row r="952" spans="1:16" x14ac:dyDescent="0.3">
      <c r="A952" s="1">
        <v>951</v>
      </c>
      <c r="G952" s="4"/>
      <c r="H952" s="4"/>
      <c r="I952" s="47"/>
      <c r="J952" s="47" t="str">
        <f t="shared" si="27"/>
        <v/>
      </c>
      <c r="K952" s="47"/>
      <c r="L952" s="47"/>
      <c r="N952" s="47"/>
      <c r="O952" s="47"/>
      <c r="P952" s="47"/>
    </row>
    <row r="953" spans="1:16" x14ac:dyDescent="0.3">
      <c r="A953" s="1">
        <v>952</v>
      </c>
      <c r="G953" s="4"/>
      <c r="H953" s="4"/>
      <c r="I953" s="47"/>
      <c r="J953" s="47" t="str">
        <f t="shared" si="27"/>
        <v/>
      </c>
      <c r="K953" s="47"/>
      <c r="L953" s="47"/>
      <c r="N953" s="47"/>
      <c r="O953" s="47"/>
      <c r="P953" s="47"/>
    </row>
    <row r="954" spans="1:16" x14ac:dyDescent="0.3">
      <c r="A954" s="1">
        <v>953</v>
      </c>
      <c r="G954" s="4"/>
      <c r="H954" s="4"/>
      <c r="I954" s="47"/>
      <c r="J954" s="47" t="str">
        <f t="shared" si="27"/>
        <v/>
      </c>
      <c r="K954" s="47"/>
      <c r="L954" s="47"/>
      <c r="N954" s="47"/>
      <c r="O954" s="47"/>
      <c r="P954" s="47"/>
    </row>
    <row r="955" spans="1:16" x14ac:dyDescent="0.3">
      <c r="A955" s="1">
        <v>954</v>
      </c>
      <c r="G955" s="4"/>
      <c r="H955" s="4"/>
      <c r="I955" s="47"/>
      <c r="J955" s="47" t="str">
        <f t="shared" si="27"/>
        <v/>
      </c>
      <c r="K955" s="47"/>
      <c r="L955" s="47"/>
      <c r="N955" s="47"/>
      <c r="O955" s="47"/>
      <c r="P955" s="47"/>
    </row>
    <row r="956" spans="1:16" x14ac:dyDescent="0.3">
      <c r="A956" s="1">
        <v>955</v>
      </c>
      <c r="G956" s="4"/>
      <c r="H956" s="4"/>
      <c r="I956" s="47"/>
      <c r="J956" s="47" t="str">
        <f t="shared" si="27"/>
        <v/>
      </c>
      <c r="K956" s="47"/>
      <c r="L956" s="47"/>
      <c r="N956" s="47"/>
      <c r="O956" s="47"/>
      <c r="P956" s="47"/>
    </row>
    <row r="957" spans="1:16" x14ac:dyDescent="0.3">
      <c r="A957" s="1">
        <v>956</v>
      </c>
      <c r="G957" s="4"/>
      <c r="H957" s="4"/>
      <c r="I957" s="47"/>
      <c r="J957" s="47" t="str">
        <f t="shared" si="27"/>
        <v/>
      </c>
      <c r="K957" s="47"/>
      <c r="L957" s="47"/>
      <c r="N957" s="47"/>
      <c r="O957" s="47"/>
      <c r="P957" s="47"/>
    </row>
    <row r="958" spans="1:16" x14ac:dyDescent="0.3">
      <c r="A958" s="1">
        <v>957</v>
      </c>
      <c r="G958" s="4"/>
      <c r="H958" s="4"/>
      <c r="I958" s="47"/>
      <c r="J958" s="47" t="str">
        <f t="shared" si="27"/>
        <v/>
      </c>
      <c r="K958" s="47"/>
      <c r="L958" s="47"/>
      <c r="N958" s="47"/>
      <c r="O958" s="47"/>
      <c r="P958" s="47"/>
    </row>
    <row r="959" spans="1:16" x14ac:dyDescent="0.3">
      <c r="A959" s="1">
        <v>958</v>
      </c>
      <c r="G959" s="4"/>
      <c r="H959" s="4"/>
      <c r="I959" s="47"/>
      <c r="J959" s="47" t="str">
        <f t="shared" si="27"/>
        <v/>
      </c>
      <c r="K959" s="47"/>
      <c r="L959" s="47"/>
      <c r="N959" s="47"/>
      <c r="O959" s="47"/>
      <c r="P959" s="47"/>
    </row>
    <row r="960" spans="1:16" x14ac:dyDescent="0.3">
      <c r="A960" s="1">
        <v>959</v>
      </c>
      <c r="G960" s="4"/>
      <c r="H960" s="4"/>
      <c r="I960" s="47"/>
      <c r="J960" s="47" t="str">
        <f t="shared" si="27"/>
        <v/>
      </c>
      <c r="K960" s="47"/>
      <c r="L960" s="47"/>
      <c r="N960" s="47"/>
      <c r="O960" s="47"/>
      <c r="P960" s="47"/>
    </row>
    <row r="961" spans="1:16" x14ac:dyDescent="0.3">
      <c r="A961" s="1">
        <v>960</v>
      </c>
      <c r="G961" s="4"/>
      <c r="H961" s="4"/>
      <c r="I961" s="47"/>
      <c r="J961" s="47" t="str">
        <f t="shared" si="27"/>
        <v/>
      </c>
      <c r="K961" s="47"/>
      <c r="L961" s="47"/>
      <c r="N961" s="47"/>
      <c r="O961" s="47"/>
      <c r="P961" s="47"/>
    </row>
    <row r="962" spans="1:16" x14ac:dyDescent="0.3">
      <c r="A962" s="1">
        <v>961</v>
      </c>
      <c r="G962" s="4"/>
      <c r="H962" s="4"/>
      <c r="I962" s="47"/>
      <c r="J962" s="47" t="str">
        <f t="shared" si="27"/>
        <v/>
      </c>
      <c r="K962" s="47"/>
      <c r="L962" s="47"/>
      <c r="N962" s="47"/>
      <c r="O962" s="47"/>
      <c r="P962" s="47"/>
    </row>
    <row r="963" spans="1:16" x14ac:dyDescent="0.3">
      <c r="A963" s="1">
        <v>962</v>
      </c>
      <c r="G963" s="4"/>
      <c r="H963" s="4"/>
      <c r="I963" s="47"/>
      <c r="J963" s="47" t="str">
        <f t="shared" ref="J963:J1026" si="28">+E963&amp;I963</f>
        <v/>
      </c>
      <c r="K963" s="47"/>
      <c r="L963" s="47"/>
      <c r="N963" s="47"/>
      <c r="O963" s="47"/>
      <c r="P963" s="47"/>
    </row>
    <row r="964" spans="1:16" x14ac:dyDescent="0.3">
      <c r="A964" s="1">
        <v>963</v>
      </c>
      <c r="G964" s="4"/>
      <c r="H964" s="4"/>
      <c r="I964" s="47"/>
      <c r="J964" s="47" t="str">
        <f t="shared" si="28"/>
        <v/>
      </c>
      <c r="K964" s="47"/>
      <c r="L964" s="47"/>
      <c r="N964" s="47"/>
      <c r="O964" s="47"/>
      <c r="P964" s="47"/>
    </row>
    <row r="965" spans="1:16" x14ac:dyDescent="0.3">
      <c r="A965" s="1">
        <v>964</v>
      </c>
      <c r="G965" s="4"/>
      <c r="H965" s="4"/>
      <c r="I965" s="47"/>
      <c r="J965" s="47" t="str">
        <f t="shared" si="28"/>
        <v/>
      </c>
      <c r="K965" s="47"/>
      <c r="L965" s="47"/>
      <c r="N965" s="47"/>
      <c r="O965" s="47"/>
      <c r="P965" s="47"/>
    </row>
    <row r="966" spans="1:16" x14ac:dyDescent="0.3">
      <c r="A966" s="1">
        <v>965</v>
      </c>
      <c r="G966" s="4"/>
      <c r="H966" s="4"/>
      <c r="I966" s="47"/>
      <c r="J966" s="47" t="str">
        <f t="shared" si="28"/>
        <v/>
      </c>
      <c r="K966" s="47"/>
      <c r="L966" s="47"/>
      <c r="N966" s="47"/>
      <c r="O966" s="47"/>
      <c r="P966" s="47"/>
    </row>
    <row r="967" spans="1:16" x14ac:dyDescent="0.3">
      <c r="A967" s="1">
        <v>966</v>
      </c>
      <c r="G967" s="4"/>
      <c r="H967" s="4"/>
      <c r="I967" s="47"/>
      <c r="J967" s="47" t="str">
        <f t="shared" si="28"/>
        <v/>
      </c>
      <c r="K967" s="47"/>
      <c r="L967" s="47"/>
      <c r="N967" s="47"/>
      <c r="O967" s="47"/>
      <c r="P967" s="47"/>
    </row>
    <row r="968" spans="1:16" x14ac:dyDescent="0.3">
      <c r="A968" s="1">
        <v>967</v>
      </c>
      <c r="G968" s="4"/>
      <c r="H968" s="4"/>
      <c r="I968" s="47"/>
      <c r="J968" s="47" t="str">
        <f t="shared" si="28"/>
        <v/>
      </c>
      <c r="K968" s="47"/>
      <c r="L968" s="47"/>
      <c r="N968" s="47"/>
      <c r="O968" s="47"/>
      <c r="P968" s="47"/>
    </row>
    <row r="969" spans="1:16" x14ac:dyDescent="0.3">
      <c r="A969" s="1">
        <v>968</v>
      </c>
      <c r="G969" s="4"/>
      <c r="H969" s="4"/>
      <c r="I969" s="47"/>
      <c r="J969" s="47" t="str">
        <f t="shared" si="28"/>
        <v/>
      </c>
      <c r="K969" s="47"/>
      <c r="L969" s="47"/>
      <c r="N969" s="47"/>
      <c r="O969" s="47"/>
      <c r="P969" s="47"/>
    </row>
    <row r="970" spans="1:16" x14ac:dyDescent="0.3">
      <c r="A970" s="1">
        <v>969</v>
      </c>
      <c r="G970" s="4"/>
      <c r="H970" s="4"/>
      <c r="I970" s="47"/>
      <c r="J970" s="47" t="str">
        <f t="shared" si="28"/>
        <v/>
      </c>
      <c r="K970" s="47"/>
      <c r="L970" s="47"/>
      <c r="N970" s="47"/>
      <c r="O970" s="47"/>
      <c r="P970" s="47"/>
    </row>
    <row r="971" spans="1:16" x14ac:dyDescent="0.3">
      <c r="A971" s="1">
        <v>970</v>
      </c>
      <c r="G971" s="4"/>
      <c r="H971" s="4"/>
      <c r="I971" s="47"/>
      <c r="J971" s="47" t="str">
        <f t="shared" si="28"/>
        <v/>
      </c>
      <c r="K971" s="47"/>
      <c r="L971" s="47"/>
      <c r="N971" s="47"/>
      <c r="O971" s="47"/>
      <c r="P971" s="47"/>
    </row>
    <row r="972" spans="1:16" x14ac:dyDescent="0.3">
      <c r="A972" s="1">
        <v>971</v>
      </c>
      <c r="G972" s="4"/>
      <c r="H972" s="4"/>
      <c r="I972" s="47"/>
      <c r="J972" s="47" t="str">
        <f t="shared" si="28"/>
        <v/>
      </c>
      <c r="K972" s="47"/>
      <c r="L972" s="47"/>
      <c r="N972" s="47"/>
      <c r="O972" s="47"/>
      <c r="P972" s="47"/>
    </row>
    <row r="973" spans="1:16" x14ac:dyDescent="0.3">
      <c r="A973" s="1">
        <v>972</v>
      </c>
      <c r="G973" s="4"/>
      <c r="H973" s="4"/>
      <c r="I973" s="47"/>
      <c r="J973" s="47" t="str">
        <f t="shared" si="28"/>
        <v/>
      </c>
      <c r="K973" s="47"/>
      <c r="L973" s="47"/>
      <c r="N973" s="47"/>
      <c r="O973" s="47"/>
      <c r="P973" s="47"/>
    </row>
    <row r="974" spans="1:16" x14ac:dyDescent="0.3">
      <c r="A974" s="1">
        <v>973</v>
      </c>
      <c r="G974" s="4"/>
      <c r="H974" s="4"/>
      <c r="I974" s="47"/>
      <c r="J974" s="47" t="str">
        <f t="shared" si="28"/>
        <v/>
      </c>
      <c r="K974" s="47"/>
      <c r="L974" s="47"/>
      <c r="N974" s="47"/>
      <c r="O974" s="47"/>
      <c r="P974" s="47"/>
    </row>
    <row r="975" spans="1:16" x14ac:dyDescent="0.3">
      <c r="A975" s="1">
        <v>974</v>
      </c>
      <c r="G975" s="4"/>
      <c r="H975" s="4"/>
      <c r="I975" s="47"/>
      <c r="J975" s="47" t="str">
        <f t="shared" si="28"/>
        <v/>
      </c>
      <c r="K975" s="47"/>
      <c r="L975" s="47"/>
      <c r="N975" s="47"/>
      <c r="O975" s="47"/>
      <c r="P975" s="47"/>
    </row>
    <row r="976" spans="1:16" x14ac:dyDescent="0.3">
      <c r="A976" s="1">
        <v>975</v>
      </c>
      <c r="G976" s="4"/>
      <c r="H976" s="4"/>
      <c r="I976" s="47"/>
      <c r="J976" s="47" t="str">
        <f t="shared" si="28"/>
        <v/>
      </c>
      <c r="K976" s="47"/>
      <c r="L976" s="47"/>
      <c r="N976" s="47"/>
      <c r="O976" s="47"/>
      <c r="P976" s="47"/>
    </row>
    <row r="977" spans="1:16" x14ac:dyDescent="0.3">
      <c r="A977" s="1">
        <v>976</v>
      </c>
      <c r="G977" s="4"/>
      <c r="H977" s="4"/>
      <c r="I977" s="47"/>
      <c r="J977" s="47" t="str">
        <f t="shared" si="28"/>
        <v/>
      </c>
      <c r="K977" s="47"/>
      <c r="L977" s="47"/>
      <c r="N977" s="47"/>
      <c r="O977" s="47"/>
      <c r="P977" s="47"/>
    </row>
    <row r="978" spans="1:16" x14ac:dyDescent="0.3">
      <c r="A978" s="1">
        <v>977</v>
      </c>
      <c r="G978" s="4"/>
      <c r="H978" s="4"/>
      <c r="I978" s="47"/>
      <c r="J978" s="47" t="str">
        <f t="shared" si="28"/>
        <v/>
      </c>
      <c r="K978" s="47"/>
      <c r="L978" s="47"/>
      <c r="N978" s="47"/>
      <c r="O978" s="47"/>
      <c r="P978" s="47"/>
    </row>
    <row r="979" spans="1:16" x14ac:dyDescent="0.3">
      <c r="A979" s="1">
        <v>978</v>
      </c>
      <c r="G979" s="4"/>
      <c r="H979" s="4"/>
      <c r="I979" s="47"/>
      <c r="J979" s="47" t="str">
        <f t="shared" si="28"/>
        <v/>
      </c>
      <c r="K979" s="47"/>
      <c r="L979" s="47"/>
      <c r="N979" s="47"/>
      <c r="O979" s="47"/>
      <c r="P979" s="47"/>
    </row>
    <row r="980" spans="1:16" x14ac:dyDescent="0.3">
      <c r="A980" s="1">
        <v>979</v>
      </c>
      <c r="G980" s="4"/>
      <c r="H980" s="4"/>
      <c r="I980" s="47"/>
      <c r="J980" s="47" t="str">
        <f t="shared" si="28"/>
        <v/>
      </c>
      <c r="K980" s="47"/>
      <c r="L980" s="47"/>
      <c r="N980" s="47"/>
      <c r="O980" s="47"/>
      <c r="P980" s="47"/>
    </row>
    <row r="981" spans="1:16" x14ac:dyDescent="0.3">
      <c r="A981" s="1">
        <v>980</v>
      </c>
      <c r="G981" s="4"/>
      <c r="H981" s="4"/>
      <c r="I981" s="47"/>
      <c r="J981" s="47" t="str">
        <f t="shared" si="28"/>
        <v/>
      </c>
      <c r="K981" s="47"/>
      <c r="L981" s="47"/>
      <c r="N981" s="47"/>
      <c r="O981" s="47"/>
      <c r="P981" s="47"/>
    </row>
    <row r="982" spans="1:16" x14ac:dyDescent="0.3">
      <c r="A982" s="1">
        <v>981</v>
      </c>
      <c r="G982" s="4"/>
      <c r="H982" s="4"/>
      <c r="I982" s="47"/>
      <c r="J982" s="47" t="str">
        <f t="shared" si="28"/>
        <v/>
      </c>
      <c r="K982" s="47"/>
      <c r="L982" s="47"/>
      <c r="N982" s="47"/>
      <c r="O982" s="47"/>
      <c r="P982" s="47"/>
    </row>
    <row r="983" spans="1:16" x14ac:dyDescent="0.3">
      <c r="A983" s="1">
        <v>982</v>
      </c>
      <c r="G983" s="4"/>
      <c r="H983" s="4"/>
      <c r="I983" s="47"/>
      <c r="J983" s="47" t="str">
        <f t="shared" si="28"/>
        <v/>
      </c>
      <c r="K983" s="47"/>
      <c r="L983" s="47"/>
      <c r="N983" s="47"/>
      <c r="O983" s="47"/>
      <c r="P983" s="47"/>
    </row>
    <row r="984" spans="1:16" x14ac:dyDescent="0.3">
      <c r="A984" s="1">
        <v>983</v>
      </c>
      <c r="G984" s="4"/>
      <c r="H984" s="4"/>
      <c r="I984" s="47"/>
      <c r="J984" s="47" t="str">
        <f t="shared" si="28"/>
        <v/>
      </c>
      <c r="K984" s="47"/>
      <c r="L984" s="47"/>
      <c r="N984" s="47"/>
      <c r="O984" s="47"/>
      <c r="P984" s="47"/>
    </row>
    <row r="985" spans="1:16" x14ac:dyDescent="0.3">
      <c r="A985" s="1">
        <v>984</v>
      </c>
      <c r="G985" s="4"/>
      <c r="H985" s="4"/>
      <c r="I985" s="47"/>
      <c r="J985" s="47" t="str">
        <f t="shared" si="28"/>
        <v/>
      </c>
      <c r="K985" s="47"/>
      <c r="L985" s="47"/>
      <c r="N985" s="47"/>
      <c r="O985" s="47"/>
      <c r="P985" s="47"/>
    </row>
    <row r="986" spans="1:16" x14ac:dyDescent="0.3">
      <c r="A986" s="1">
        <v>985</v>
      </c>
      <c r="G986" s="4"/>
      <c r="H986" s="4"/>
      <c r="I986" s="47"/>
      <c r="J986" s="47" t="str">
        <f t="shared" si="28"/>
        <v/>
      </c>
      <c r="K986" s="47"/>
      <c r="L986" s="47"/>
      <c r="N986" s="47"/>
      <c r="O986" s="47"/>
      <c r="P986" s="47"/>
    </row>
    <row r="987" spans="1:16" x14ac:dyDescent="0.3">
      <c r="A987" s="1">
        <v>986</v>
      </c>
      <c r="G987" s="4"/>
      <c r="H987" s="4"/>
      <c r="I987" s="47"/>
      <c r="J987" s="47" t="str">
        <f t="shared" si="28"/>
        <v/>
      </c>
      <c r="K987" s="47"/>
      <c r="L987" s="47"/>
      <c r="N987" s="47"/>
      <c r="O987" s="47"/>
      <c r="P987" s="47"/>
    </row>
    <row r="988" spans="1:16" x14ac:dyDescent="0.3">
      <c r="A988" s="1">
        <v>987</v>
      </c>
      <c r="G988" s="4"/>
      <c r="H988" s="4"/>
      <c r="I988" s="47"/>
      <c r="J988" s="47" t="str">
        <f t="shared" si="28"/>
        <v/>
      </c>
      <c r="K988" s="47"/>
      <c r="L988" s="47"/>
      <c r="N988" s="47"/>
      <c r="O988" s="47"/>
      <c r="P988" s="47"/>
    </row>
    <row r="989" spans="1:16" x14ac:dyDescent="0.3">
      <c r="A989" s="1">
        <v>988</v>
      </c>
      <c r="G989" s="4"/>
      <c r="H989" s="4"/>
      <c r="I989" s="47"/>
      <c r="J989" s="47" t="str">
        <f t="shared" si="28"/>
        <v/>
      </c>
      <c r="K989" s="47"/>
      <c r="L989" s="47"/>
      <c r="N989" s="47"/>
      <c r="O989" s="47"/>
      <c r="P989" s="47"/>
    </row>
    <row r="990" spans="1:16" x14ac:dyDescent="0.3">
      <c r="A990" s="1">
        <v>989</v>
      </c>
      <c r="G990" s="4"/>
      <c r="H990" s="4"/>
      <c r="I990" s="47"/>
      <c r="J990" s="47" t="str">
        <f t="shared" si="28"/>
        <v/>
      </c>
      <c r="K990" s="47"/>
      <c r="L990" s="47"/>
      <c r="N990" s="47"/>
      <c r="O990" s="47"/>
      <c r="P990" s="47"/>
    </row>
    <row r="991" spans="1:16" x14ac:dyDescent="0.3">
      <c r="A991" s="1">
        <v>990</v>
      </c>
      <c r="G991" s="4"/>
      <c r="H991" s="4"/>
      <c r="I991" s="47"/>
      <c r="J991" s="47" t="str">
        <f t="shared" si="28"/>
        <v/>
      </c>
      <c r="K991" s="47"/>
      <c r="L991" s="47"/>
      <c r="N991" s="47"/>
      <c r="O991" s="47"/>
      <c r="P991" s="47"/>
    </row>
    <row r="992" spans="1:16" x14ac:dyDescent="0.3">
      <c r="A992" s="1">
        <v>991</v>
      </c>
      <c r="G992" s="4"/>
      <c r="H992" s="4"/>
      <c r="I992" s="47"/>
      <c r="J992" s="47" t="str">
        <f t="shared" si="28"/>
        <v/>
      </c>
      <c r="K992" s="47"/>
      <c r="L992" s="47"/>
      <c r="N992" s="47"/>
      <c r="O992" s="47"/>
      <c r="P992" s="47"/>
    </row>
    <row r="993" spans="1:16" x14ac:dyDescent="0.3">
      <c r="A993" s="1">
        <v>992</v>
      </c>
      <c r="G993" s="4"/>
      <c r="H993" s="4"/>
      <c r="I993" s="47"/>
      <c r="J993" s="47" t="str">
        <f t="shared" si="28"/>
        <v/>
      </c>
      <c r="K993" s="47"/>
      <c r="L993" s="47"/>
      <c r="N993" s="47"/>
      <c r="O993" s="47"/>
      <c r="P993" s="47"/>
    </row>
    <row r="994" spans="1:16" x14ac:dyDescent="0.3">
      <c r="A994" s="1">
        <v>993</v>
      </c>
      <c r="G994" s="4"/>
      <c r="H994" s="4"/>
      <c r="I994" s="47"/>
      <c r="J994" s="47" t="str">
        <f t="shared" si="28"/>
        <v/>
      </c>
      <c r="K994" s="47"/>
      <c r="L994" s="47"/>
      <c r="N994" s="47"/>
      <c r="O994" s="47"/>
      <c r="P994" s="47"/>
    </row>
    <row r="995" spans="1:16" x14ac:dyDescent="0.3">
      <c r="A995" s="1">
        <v>994</v>
      </c>
      <c r="G995" s="4"/>
      <c r="H995" s="4"/>
      <c r="I995" s="47"/>
      <c r="J995" s="47" t="str">
        <f t="shared" si="28"/>
        <v/>
      </c>
      <c r="K995" s="47"/>
      <c r="L995" s="47"/>
      <c r="N995" s="47"/>
      <c r="O995" s="47"/>
      <c r="P995" s="47"/>
    </row>
    <row r="996" spans="1:16" x14ac:dyDescent="0.3">
      <c r="A996" s="1">
        <v>995</v>
      </c>
      <c r="G996" s="4"/>
      <c r="H996" s="4"/>
      <c r="I996" s="47"/>
      <c r="J996" s="47" t="str">
        <f t="shared" si="28"/>
        <v/>
      </c>
      <c r="K996" s="47"/>
      <c r="L996" s="47"/>
      <c r="N996" s="47"/>
      <c r="O996" s="47"/>
      <c r="P996" s="47"/>
    </row>
    <row r="997" spans="1:16" x14ac:dyDescent="0.3">
      <c r="A997" s="1">
        <v>996</v>
      </c>
      <c r="G997" s="4"/>
      <c r="H997" s="4"/>
      <c r="I997" s="47"/>
      <c r="J997" s="47" t="str">
        <f t="shared" si="28"/>
        <v/>
      </c>
      <c r="K997" s="47"/>
      <c r="L997" s="47"/>
      <c r="N997" s="47"/>
      <c r="O997" s="47"/>
      <c r="P997" s="47"/>
    </row>
    <row r="998" spans="1:16" x14ac:dyDescent="0.3">
      <c r="A998" s="1">
        <v>997</v>
      </c>
      <c r="G998" s="4"/>
      <c r="H998" s="4"/>
      <c r="I998" s="47"/>
      <c r="J998" s="47" t="str">
        <f t="shared" si="28"/>
        <v/>
      </c>
      <c r="K998" s="47"/>
      <c r="L998" s="47"/>
      <c r="N998" s="47"/>
      <c r="O998" s="47"/>
      <c r="P998" s="47"/>
    </row>
    <row r="999" spans="1:16" x14ac:dyDescent="0.3">
      <c r="A999" s="1">
        <v>998</v>
      </c>
      <c r="G999" s="4"/>
      <c r="H999" s="4"/>
      <c r="I999" s="47"/>
      <c r="J999" s="47" t="str">
        <f t="shared" si="28"/>
        <v/>
      </c>
      <c r="K999" s="47"/>
      <c r="L999" s="47"/>
      <c r="N999" s="47"/>
      <c r="O999" s="47"/>
      <c r="P999" s="47"/>
    </row>
    <row r="1000" spans="1:16" x14ac:dyDescent="0.3">
      <c r="A1000" s="1">
        <v>999</v>
      </c>
      <c r="G1000" s="4"/>
      <c r="H1000" s="4"/>
      <c r="I1000" s="47"/>
      <c r="J1000" s="47" t="str">
        <f t="shared" si="28"/>
        <v/>
      </c>
      <c r="K1000" s="47"/>
      <c r="L1000" s="47"/>
      <c r="N1000" s="47"/>
      <c r="O1000" s="47"/>
      <c r="P1000" s="47"/>
    </row>
    <row r="1001" spans="1:16" x14ac:dyDescent="0.3">
      <c r="A1001" s="1">
        <v>1000</v>
      </c>
      <c r="G1001" s="4"/>
      <c r="H1001" s="4"/>
      <c r="I1001" s="47"/>
      <c r="J1001" s="47" t="str">
        <f t="shared" si="28"/>
        <v/>
      </c>
      <c r="K1001" s="47"/>
      <c r="L1001" s="47"/>
      <c r="N1001" s="47"/>
      <c r="O1001" s="47"/>
      <c r="P1001" s="47"/>
    </row>
    <row r="1002" spans="1:16" x14ac:dyDescent="0.3">
      <c r="A1002" s="1">
        <v>1001</v>
      </c>
      <c r="G1002" s="4"/>
      <c r="H1002" s="4"/>
      <c r="I1002" s="47"/>
      <c r="J1002" s="47" t="str">
        <f t="shared" si="28"/>
        <v/>
      </c>
      <c r="K1002" s="47"/>
      <c r="L1002" s="47"/>
      <c r="N1002" s="47"/>
      <c r="O1002" s="47"/>
      <c r="P1002" s="47"/>
    </row>
    <row r="1003" spans="1:16" x14ac:dyDescent="0.3">
      <c r="A1003" s="1">
        <v>1002</v>
      </c>
      <c r="G1003" s="4"/>
      <c r="H1003" s="4"/>
      <c r="I1003" s="47"/>
      <c r="J1003" s="47" t="str">
        <f t="shared" si="28"/>
        <v/>
      </c>
      <c r="K1003" s="47"/>
      <c r="L1003" s="47"/>
      <c r="N1003" s="47"/>
      <c r="O1003" s="47"/>
      <c r="P1003" s="47"/>
    </row>
    <row r="1004" spans="1:16" x14ac:dyDescent="0.3">
      <c r="A1004" s="1">
        <v>1003</v>
      </c>
      <c r="G1004" s="4"/>
      <c r="H1004" s="4"/>
      <c r="I1004" s="47"/>
      <c r="J1004" s="47" t="str">
        <f t="shared" si="28"/>
        <v/>
      </c>
      <c r="K1004" s="47"/>
      <c r="L1004" s="47"/>
      <c r="N1004" s="47"/>
      <c r="O1004" s="47"/>
      <c r="P1004" s="47"/>
    </row>
    <row r="1005" spans="1:16" x14ac:dyDescent="0.3">
      <c r="A1005" s="1">
        <v>1004</v>
      </c>
      <c r="G1005" s="4"/>
      <c r="H1005" s="4"/>
      <c r="I1005" s="47"/>
      <c r="J1005" s="47" t="str">
        <f t="shared" si="28"/>
        <v/>
      </c>
      <c r="K1005" s="47"/>
      <c r="L1005" s="47"/>
      <c r="N1005" s="47"/>
      <c r="O1005" s="47"/>
      <c r="P1005" s="47"/>
    </row>
    <row r="1006" spans="1:16" x14ac:dyDescent="0.3">
      <c r="A1006" s="1">
        <v>1005</v>
      </c>
      <c r="G1006" s="4"/>
      <c r="H1006" s="4"/>
      <c r="I1006" s="47"/>
      <c r="J1006" s="47" t="str">
        <f t="shared" si="28"/>
        <v/>
      </c>
      <c r="K1006" s="47"/>
      <c r="L1006" s="47"/>
      <c r="N1006" s="47"/>
      <c r="O1006" s="47"/>
      <c r="P1006" s="47"/>
    </row>
    <row r="1007" spans="1:16" x14ac:dyDescent="0.3">
      <c r="A1007" s="1">
        <v>1006</v>
      </c>
      <c r="G1007" s="4"/>
      <c r="H1007" s="4"/>
      <c r="I1007" s="47"/>
      <c r="J1007" s="47" t="str">
        <f t="shared" si="28"/>
        <v/>
      </c>
      <c r="K1007" s="47"/>
      <c r="L1007" s="47"/>
      <c r="N1007" s="47"/>
      <c r="O1007" s="47"/>
      <c r="P1007" s="47"/>
    </row>
    <row r="1008" spans="1:16" x14ac:dyDescent="0.3">
      <c r="A1008" s="1">
        <v>1007</v>
      </c>
      <c r="G1008" s="4"/>
      <c r="H1008" s="4"/>
      <c r="I1008" s="47"/>
      <c r="J1008" s="47" t="str">
        <f t="shared" si="28"/>
        <v/>
      </c>
      <c r="K1008" s="47"/>
      <c r="L1008" s="47"/>
      <c r="N1008" s="47"/>
      <c r="O1008" s="47"/>
      <c r="P1008" s="47"/>
    </row>
    <row r="1009" spans="1:16" x14ac:dyDescent="0.3">
      <c r="A1009" s="1">
        <v>1008</v>
      </c>
      <c r="G1009" s="4"/>
      <c r="H1009" s="4"/>
      <c r="I1009" s="47"/>
      <c r="J1009" s="47" t="str">
        <f t="shared" si="28"/>
        <v/>
      </c>
      <c r="K1009" s="47"/>
      <c r="L1009" s="47"/>
      <c r="N1009" s="47"/>
      <c r="O1009" s="47"/>
      <c r="P1009" s="47"/>
    </row>
    <row r="1010" spans="1:16" x14ac:dyDescent="0.3">
      <c r="A1010" s="1">
        <v>1009</v>
      </c>
      <c r="G1010" s="4"/>
      <c r="H1010" s="4"/>
      <c r="I1010" s="47"/>
      <c r="J1010" s="47" t="str">
        <f t="shared" si="28"/>
        <v/>
      </c>
      <c r="K1010" s="47"/>
      <c r="L1010" s="47"/>
      <c r="N1010" s="47"/>
      <c r="O1010" s="47"/>
      <c r="P1010" s="47"/>
    </row>
    <row r="1011" spans="1:16" x14ac:dyDescent="0.3">
      <c r="A1011" s="1">
        <v>1010</v>
      </c>
      <c r="G1011" s="4"/>
      <c r="H1011" s="4"/>
      <c r="I1011" s="47"/>
      <c r="J1011" s="47" t="str">
        <f t="shared" si="28"/>
        <v/>
      </c>
      <c r="K1011" s="47"/>
      <c r="L1011" s="47"/>
      <c r="N1011" s="47"/>
      <c r="O1011" s="47"/>
      <c r="P1011" s="47"/>
    </row>
    <row r="1012" spans="1:16" x14ac:dyDescent="0.3">
      <c r="A1012" s="1">
        <v>1011</v>
      </c>
      <c r="G1012" s="4"/>
      <c r="H1012" s="4"/>
      <c r="I1012" s="47"/>
      <c r="J1012" s="47" t="str">
        <f t="shared" si="28"/>
        <v/>
      </c>
      <c r="K1012" s="47"/>
      <c r="L1012" s="47"/>
      <c r="N1012" s="47"/>
      <c r="O1012" s="47"/>
      <c r="P1012" s="47"/>
    </row>
    <row r="1013" spans="1:16" x14ac:dyDescent="0.3">
      <c r="A1013" s="1">
        <v>1012</v>
      </c>
      <c r="G1013" s="4"/>
      <c r="H1013" s="4"/>
      <c r="I1013" s="47"/>
      <c r="J1013" s="47" t="str">
        <f t="shared" si="28"/>
        <v/>
      </c>
      <c r="K1013" s="47"/>
      <c r="L1013" s="47"/>
      <c r="N1013" s="47"/>
      <c r="O1013" s="47"/>
      <c r="P1013" s="47"/>
    </row>
    <row r="1014" spans="1:16" x14ac:dyDescent="0.3">
      <c r="A1014" s="1">
        <v>1013</v>
      </c>
      <c r="G1014" s="4"/>
      <c r="H1014" s="4"/>
      <c r="I1014" s="47"/>
      <c r="J1014" s="47" t="str">
        <f t="shared" si="28"/>
        <v/>
      </c>
      <c r="K1014" s="47"/>
      <c r="L1014" s="47"/>
      <c r="N1014" s="47"/>
      <c r="O1014" s="47"/>
      <c r="P1014" s="47"/>
    </row>
    <row r="1015" spans="1:16" x14ac:dyDescent="0.3">
      <c r="A1015" s="1">
        <v>1014</v>
      </c>
      <c r="G1015" s="4"/>
      <c r="H1015" s="4"/>
      <c r="I1015" s="47"/>
      <c r="J1015" s="47" t="str">
        <f t="shared" si="28"/>
        <v/>
      </c>
      <c r="K1015" s="47"/>
      <c r="L1015" s="47"/>
      <c r="N1015" s="47"/>
      <c r="O1015" s="47"/>
      <c r="P1015" s="47"/>
    </row>
    <row r="1016" spans="1:16" x14ac:dyDescent="0.3">
      <c r="A1016" s="1">
        <v>1015</v>
      </c>
      <c r="G1016" s="4"/>
      <c r="H1016" s="4"/>
      <c r="I1016" s="47"/>
      <c r="J1016" s="47" t="str">
        <f t="shared" si="28"/>
        <v/>
      </c>
      <c r="K1016" s="47"/>
      <c r="L1016" s="47"/>
      <c r="N1016" s="47"/>
      <c r="O1016" s="47"/>
      <c r="P1016" s="47"/>
    </row>
    <row r="1017" spans="1:16" x14ac:dyDescent="0.3">
      <c r="A1017" s="1">
        <v>1016</v>
      </c>
      <c r="G1017" s="4"/>
      <c r="H1017" s="4"/>
      <c r="I1017" s="47"/>
      <c r="J1017" s="47" t="str">
        <f t="shared" si="28"/>
        <v/>
      </c>
      <c r="K1017" s="47"/>
      <c r="L1017" s="47"/>
      <c r="N1017" s="47"/>
      <c r="O1017" s="47"/>
      <c r="P1017" s="47"/>
    </row>
    <row r="1018" spans="1:16" x14ac:dyDescent="0.3">
      <c r="A1018" s="1">
        <v>1017</v>
      </c>
      <c r="G1018" s="4"/>
      <c r="H1018" s="4"/>
      <c r="I1018" s="47"/>
      <c r="J1018" s="47" t="str">
        <f t="shared" si="28"/>
        <v/>
      </c>
      <c r="K1018" s="47"/>
      <c r="L1018" s="47"/>
      <c r="N1018" s="47"/>
      <c r="O1018" s="47"/>
      <c r="P1018" s="47"/>
    </row>
    <row r="1019" spans="1:16" x14ac:dyDescent="0.3">
      <c r="A1019" s="1">
        <v>1018</v>
      </c>
      <c r="G1019" s="4"/>
      <c r="H1019" s="4"/>
      <c r="I1019" s="47"/>
      <c r="J1019" s="47" t="str">
        <f t="shared" si="28"/>
        <v/>
      </c>
      <c r="K1019" s="47"/>
      <c r="L1019" s="47"/>
      <c r="N1019" s="47"/>
      <c r="O1019" s="47"/>
      <c r="P1019" s="47"/>
    </row>
    <row r="1020" spans="1:16" x14ac:dyDescent="0.3">
      <c r="A1020" s="1">
        <v>1019</v>
      </c>
      <c r="G1020" s="4"/>
      <c r="H1020" s="4"/>
      <c r="I1020" s="47"/>
      <c r="J1020" s="47" t="str">
        <f t="shared" si="28"/>
        <v/>
      </c>
      <c r="K1020" s="47"/>
      <c r="L1020" s="47"/>
      <c r="N1020" s="47"/>
      <c r="O1020" s="47"/>
      <c r="P1020" s="47"/>
    </row>
    <row r="1021" spans="1:16" x14ac:dyDescent="0.3">
      <c r="A1021" s="1">
        <v>1020</v>
      </c>
      <c r="G1021" s="4"/>
      <c r="H1021" s="4"/>
      <c r="I1021" s="47"/>
      <c r="J1021" s="47" t="str">
        <f t="shared" si="28"/>
        <v/>
      </c>
      <c r="K1021" s="47"/>
      <c r="L1021" s="47"/>
      <c r="N1021" s="47"/>
      <c r="O1021" s="47"/>
      <c r="P1021" s="47"/>
    </row>
    <row r="1022" spans="1:16" x14ac:dyDescent="0.3">
      <c r="A1022" s="1">
        <v>1021</v>
      </c>
      <c r="G1022" s="4"/>
      <c r="H1022" s="4"/>
      <c r="I1022" s="47"/>
      <c r="J1022" s="47" t="str">
        <f t="shared" si="28"/>
        <v/>
      </c>
      <c r="K1022" s="47"/>
      <c r="L1022" s="47"/>
      <c r="N1022" s="47"/>
      <c r="O1022" s="47"/>
      <c r="P1022" s="47"/>
    </row>
    <row r="1023" spans="1:16" x14ac:dyDescent="0.3">
      <c r="A1023" s="1">
        <v>1022</v>
      </c>
      <c r="G1023" s="4"/>
      <c r="H1023" s="4"/>
      <c r="I1023" s="47"/>
      <c r="J1023" s="47" t="str">
        <f t="shared" si="28"/>
        <v/>
      </c>
      <c r="K1023" s="47"/>
      <c r="L1023" s="47"/>
      <c r="N1023" s="47"/>
      <c r="O1023" s="47"/>
      <c r="P1023" s="47"/>
    </row>
    <row r="1024" spans="1:16" x14ac:dyDescent="0.3">
      <c r="A1024" s="1">
        <v>1023</v>
      </c>
      <c r="G1024" s="4"/>
      <c r="H1024" s="4"/>
      <c r="I1024" s="47"/>
      <c r="J1024" s="47" t="str">
        <f t="shared" si="28"/>
        <v/>
      </c>
      <c r="K1024" s="47"/>
      <c r="L1024" s="47"/>
      <c r="N1024" s="47"/>
      <c r="O1024" s="47"/>
      <c r="P1024" s="47"/>
    </row>
    <row r="1025" spans="1:16" x14ac:dyDescent="0.3">
      <c r="A1025" s="1">
        <v>1024</v>
      </c>
      <c r="G1025" s="4"/>
      <c r="H1025" s="4"/>
      <c r="I1025" s="47"/>
      <c r="J1025" s="47" t="str">
        <f t="shared" si="28"/>
        <v/>
      </c>
      <c r="K1025" s="47"/>
      <c r="L1025" s="47"/>
      <c r="N1025" s="47"/>
      <c r="O1025" s="47"/>
      <c r="P1025" s="47"/>
    </row>
    <row r="1026" spans="1:16" x14ac:dyDescent="0.3">
      <c r="A1026" s="1">
        <v>1025</v>
      </c>
      <c r="G1026" s="4"/>
      <c r="H1026" s="4"/>
      <c r="I1026" s="47"/>
      <c r="J1026" s="47" t="str">
        <f t="shared" si="28"/>
        <v/>
      </c>
      <c r="K1026" s="47"/>
      <c r="L1026" s="47"/>
      <c r="N1026" s="47"/>
      <c r="O1026" s="47"/>
      <c r="P1026" s="47"/>
    </row>
    <row r="1027" spans="1:16" x14ac:dyDescent="0.3">
      <c r="A1027" s="1">
        <v>1026</v>
      </c>
      <c r="G1027" s="4"/>
      <c r="H1027" s="4"/>
      <c r="I1027" s="47"/>
      <c r="J1027" s="47" t="str">
        <f t="shared" ref="J1027:J1090" si="29">+E1027&amp;I1027</f>
        <v/>
      </c>
      <c r="K1027" s="47"/>
      <c r="L1027" s="47"/>
      <c r="N1027" s="47"/>
      <c r="O1027" s="47"/>
      <c r="P1027" s="47"/>
    </row>
    <row r="1028" spans="1:16" x14ac:dyDescent="0.3">
      <c r="A1028" s="1">
        <v>1027</v>
      </c>
      <c r="G1028" s="4"/>
      <c r="H1028" s="4"/>
      <c r="I1028" s="47"/>
      <c r="J1028" s="47" t="str">
        <f t="shared" si="29"/>
        <v/>
      </c>
      <c r="K1028" s="47"/>
      <c r="L1028" s="47"/>
      <c r="N1028" s="47"/>
      <c r="O1028" s="47"/>
      <c r="P1028" s="47"/>
    </row>
    <row r="1029" spans="1:16" x14ac:dyDescent="0.3">
      <c r="A1029" s="1">
        <v>1028</v>
      </c>
      <c r="G1029" s="4"/>
      <c r="H1029" s="4"/>
      <c r="I1029" s="47"/>
      <c r="J1029" s="47" t="str">
        <f t="shared" si="29"/>
        <v/>
      </c>
      <c r="K1029" s="47"/>
      <c r="L1029" s="47"/>
      <c r="N1029" s="47"/>
      <c r="O1029" s="47"/>
      <c r="P1029" s="47"/>
    </row>
    <row r="1030" spans="1:16" x14ac:dyDescent="0.3">
      <c r="A1030" s="1">
        <v>1029</v>
      </c>
      <c r="G1030" s="4"/>
      <c r="H1030" s="4"/>
      <c r="I1030" s="47"/>
      <c r="J1030" s="47" t="str">
        <f t="shared" si="29"/>
        <v/>
      </c>
      <c r="K1030" s="47"/>
      <c r="L1030" s="47"/>
      <c r="N1030" s="47"/>
      <c r="O1030" s="47"/>
      <c r="P1030" s="47"/>
    </row>
    <row r="1031" spans="1:16" x14ac:dyDescent="0.3">
      <c r="A1031" s="1">
        <v>1030</v>
      </c>
      <c r="G1031" s="4"/>
      <c r="H1031" s="4"/>
      <c r="I1031" s="47"/>
      <c r="J1031" s="47" t="str">
        <f t="shared" si="29"/>
        <v/>
      </c>
      <c r="K1031" s="47"/>
      <c r="L1031" s="47"/>
      <c r="N1031" s="47"/>
      <c r="O1031" s="47"/>
      <c r="P1031" s="47"/>
    </row>
    <row r="1032" spans="1:16" x14ac:dyDescent="0.3">
      <c r="A1032" s="1">
        <v>1031</v>
      </c>
      <c r="G1032" s="4"/>
      <c r="H1032" s="4"/>
      <c r="I1032" s="47"/>
      <c r="J1032" s="47" t="str">
        <f t="shared" si="29"/>
        <v/>
      </c>
      <c r="K1032" s="47"/>
      <c r="L1032" s="47"/>
      <c r="N1032" s="47"/>
      <c r="O1032" s="47"/>
      <c r="P1032" s="47"/>
    </row>
    <row r="1033" spans="1:16" x14ac:dyDescent="0.3">
      <c r="A1033" s="1">
        <v>1032</v>
      </c>
      <c r="G1033" s="4"/>
      <c r="H1033" s="4"/>
      <c r="I1033" s="47"/>
      <c r="J1033" s="47" t="str">
        <f t="shared" si="29"/>
        <v/>
      </c>
      <c r="K1033" s="47"/>
      <c r="L1033" s="47"/>
      <c r="N1033" s="47"/>
      <c r="O1033" s="47"/>
      <c r="P1033" s="47"/>
    </row>
    <row r="1034" spans="1:16" x14ac:dyDescent="0.3">
      <c r="A1034" s="1">
        <v>1033</v>
      </c>
      <c r="G1034" s="4"/>
      <c r="H1034" s="4"/>
      <c r="I1034" s="47"/>
      <c r="J1034" s="47" t="str">
        <f t="shared" si="29"/>
        <v/>
      </c>
      <c r="K1034" s="47"/>
      <c r="L1034" s="47"/>
      <c r="N1034" s="47"/>
      <c r="O1034" s="47"/>
      <c r="P1034" s="47"/>
    </row>
    <row r="1035" spans="1:16" x14ac:dyDescent="0.3">
      <c r="A1035" s="1">
        <v>1034</v>
      </c>
      <c r="G1035" s="4"/>
      <c r="H1035" s="4"/>
      <c r="I1035" s="47"/>
      <c r="J1035" s="47" t="str">
        <f t="shared" si="29"/>
        <v/>
      </c>
      <c r="K1035" s="47"/>
      <c r="L1035" s="47"/>
      <c r="N1035" s="47"/>
      <c r="O1035" s="47"/>
      <c r="P1035" s="47"/>
    </row>
    <row r="1036" spans="1:16" x14ac:dyDescent="0.3">
      <c r="A1036" s="1">
        <v>1035</v>
      </c>
      <c r="G1036" s="4"/>
      <c r="H1036" s="4"/>
      <c r="I1036" s="47"/>
      <c r="J1036" s="47" t="str">
        <f t="shared" si="29"/>
        <v/>
      </c>
      <c r="K1036" s="47"/>
      <c r="L1036" s="47"/>
      <c r="N1036" s="47"/>
      <c r="O1036" s="47"/>
      <c r="P1036" s="47"/>
    </row>
    <row r="1037" spans="1:16" x14ac:dyDescent="0.3">
      <c r="A1037" s="1">
        <v>1036</v>
      </c>
      <c r="G1037" s="4"/>
      <c r="H1037" s="4"/>
      <c r="I1037" s="47"/>
      <c r="J1037" s="47" t="str">
        <f t="shared" si="29"/>
        <v/>
      </c>
      <c r="K1037" s="47"/>
      <c r="L1037" s="47"/>
      <c r="N1037" s="47"/>
      <c r="O1037" s="47"/>
      <c r="P1037" s="47"/>
    </row>
    <row r="1038" spans="1:16" x14ac:dyDescent="0.3">
      <c r="A1038" s="1">
        <v>1037</v>
      </c>
      <c r="G1038" s="4"/>
      <c r="H1038" s="4"/>
      <c r="I1038" s="47"/>
      <c r="J1038" s="47" t="str">
        <f t="shared" si="29"/>
        <v/>
      </c>
      <c r="K1038" s="47"/>
      <c r="L1038" s="47"/>
      <c r="N1038" s="47"/>
      <c r="O1038" s="47"/>
      <c r="P1038" s="47"/>
    </row>
    <row r="1039" spans="1:16" x14ac:dyDescent="0.3">
      <c r="A1039" s="1">
        <v>1038</v>
      </c>
      <c r="G1039" s="4"/>
      <c r="H1039" s="4"/>
      <c r="I1039" s="47"/>
      <c r="J1039" s="47" t="str">
        <f t="shared" si="29"/>
        <v/>
      </c>
      <c r="K1039" s="47"/>
      <c r="L1039" s="47"/>
      <c r="N1039" s="47"/>
      <c r="O1039" s="47"/>
      <c r="P1039" s="47"/>
    </row>
    <row r="1040" spans="1:16" x14ac:dyDescent="0.3">
      <c r="A1040" s="1">
        <v>1039</v>
      </c>
      <c r="G1040" s="4"/>
      <c r="H1040" s="4"/>
      <c r="I1040" s="47"/>
      <c r="J1040" s="47" t="str">
        <f t="shared" si="29"/>
        <v/>
      </c>
      <c r="K1040" s="47"/>
      <c r="L1040" s="47"/>
      <c r="N1040" s="47"/>
      <c r="O1040" s="47"/>
      <c r="P1040" s="47"/>
    </row>
    <row r="1041" spans="1:16" x14ac:dyDescent="0.3">
      <c r="A1041" s="1">
        <v>1040</v>
      </c>
      <c r="G1041" s="4"/>
      <c r="H1041" s="4"/>
      <c r="I1041" s="47"/>
      <c r="J1041" s="47" t="str">
        <f t="shared" si="29"/>
        <v/>
      </c>
      <c r="K1041" s="47"/>
      <c r="L1041" s="47"/>
      <c r="N1041" s="47"/>
      <c r="O1041" s="47"/>
      <c r="P1041" s="47"/>
    </row>
    <row r="1042" spans="1:16" x14ac:dyDescent="0.3">
      <c r="A1042" s="1">
        <v>1041</v>
      </c>
      <c r="G1042" s="4"/>
      <c r="H1042" s="4"/>
      <c r="I1042" s="47"/>
      <c r="J1042" s="47" t="str">
        <f t="shared" si="29"/>
        <v/>
      </c>
      <c r="K1042" s="47"/>
      <c r="L1042" s="47"/>
      <c r="N1042" s="47"/>
      <c r="O1042" s="47"/>
      <c r="P1042" s="47"/>
    </row>
    <row r="1043" spans="1:16" x14ac:dyDescent="0.3">
      <c r="A1043" s="1">
        <v>1042</v>
      </c>
      <c r="G1043" s="4"/>
      <c r="H1043" s="4"/>
      <c r="I1043" s="47"/>
      <c r="J1043" s="47" t="str">
        <f t="shared" si="29"/>
        <v/>
      </c>
      <c r="K1043" s="47"/>
      <c r="L1043" s="47"/>
      <c r="N1043" s="47"/>
      <c r="O1043" s="47"/>
      <c r="P1043" s="47"/>
    </row>
    <row r="1044" spans="1:16" x14ac:dyDescent="0.3">
      <c r="A1044" s="1">
        <v>1043</v>
      </c>
      <c r="G1044" s="4"/>
      <c r="H1044" s="4"/>
      <c r="I1044" s="47"/>
      <c r="J1044" s="47" t="str">
        <f t="shared" si="29"/>
        <v/>
      </c>
      <c r="K1044" s="47"/>
      <c r="L1044" s="47"/>
      <c r="N1044" s="47"/>
      <c r="O1044" s="47"/>
      <c r="P1044" s="47"/>
    </row>
    <row r="1045" spans="1:16" x14ac:dyDescent="0.3">
      <c r="A1045" s="1">
        <v>1044</v>
      </c>
      <c r="G1045" s="4"/>
      <c r="H1045" s="4"/>
      <c r="I1045" s="47"/>
      <c r="J1045" s="47" t="str">
        <f t="shared" si="29"/>
        <v/>
      </c>
      <c r="K1045" s="47"/>
      <c r="L1045" s="47"/>
      <c r="N1045" s="47"/>
      <c r="O1045" s="47"/>
      <c r="P1045" s="47"/>
    </row>
    <row r="1046" spans="1:16" x14ac:dyDescent="0.3">
      <c r="A1046" s="1">
        <v>1045</v>
      </c>
      <c r="G1046" s="4"/>
      <c r="H1046" s="4"/>
      <c r="I1046" s="47"/>
      <c r="J1046" s="47" t="str">
        <f t="shared" si="29"/>
        <v/>
      </c>
      <c r="K1046" s="47"/>
      <c r="L1046" s="47"/>
      <c r="N1046" s="47"/>
      <c r="O1046" s="47"/>
      <c r="P1046" s="47"/>
    </row>
    <row r="1047" spans="1:16" x14ac:dyDescent="0.3">
      <c r="A1047" s="1">
        <v>1046</v>
      </c>
      <c r="G1047" s="4"/>
      <c r="H1047" s="4"/>
      <c r="I1047" s="47"/>
      <c r="J1047" s="47" t="str">
        <f t="shared" si="29"/>
        <v/>
      </c>
      <c r="K1047" s="47"/>
      <c r="L1047" s="47"/>
      <c r="N1047" s="47"/>
      <c r="O1047" s="47"/>
      <c r="P1047" s="47"/>
    </row>
    <row r="1048" spans="1:16" x14ac:dyDescent="0.3">
      <c r="A1048" s="1">
        <v>1047</v>
      </c>
      <c r="G1048" s="4"/>
      <c r="H1048" s="4"/>
      <c r="I1048" s="47"/>
      <c r="J1048" s="47" t="str">
        <f t="shared" si="29"/>
        <v/>
      </c>
      <c r="K1048" s="47"/>
      <c r="L1048" s="47"/>
      <c r="N1048" s="47"/>
      <c r="O1048" s="47"/>
      <c r="P1048" s="47"/>
    </row>
    <row r="1049" spans="1:16" x14ac:dyDescent="0.3">
      <c r="A1049" s="1">
        <v>1048</v>
      </c>
      <c r="G1049" s="4"/>
      <c r="H1049" s="4"/>
      <c r="I1049" s="47"/>
      <c r="J1049" s="47" t="str">
        <f t="shared" si="29"/>
        <v/>
      </c>
      <c r="K1049" s="47"/>
      <c r="L1049" s="47"/>
      <c r="N1049" s="47"/>
      <c r="O1049" s="47"/>
      <c r="P1049" s="47"/>
    </row>
    <row r="1050" spans="1:16" x14ac:dyDescent="0.3">
      <c r="A1050" s="1">
        <v>1049</v>
      </c>
      <c r="G1050" s="4"/>
      <c r="H1050" s="4"/>
      <c r="I1050" s="47"/>
      <c r="J1050" s="47" t="str">
        <f t="shared" si="29"/>
        <v/>
      </c>
      <c r="K1050" s="47"/>
      <c r="L1050" s="47"/>
      <c r="N1050" s="47"/>
      <c r="O1050" s="47"/>
      <c r="P1050" s="47"/>
    </row>
    <row r="1051" spans="1:16" x14ac:dyDescent="0.3">
      <c r="A1051" s="1">
        <v>1050</v>
      </c>
      <c r="G1051" s="4"/>
      <c r="H1051" s="4"/>
      <c r="I1051" s="47"/>
      <c r="J1051" s="47" t="str">
        <f t="shared" si="29"/>
        <v/>
      </c>
      <c r="K1051" s="47"/>
      <c r="L1051" s="47"/>
      <c r="N1051" s="47"/>
      <c r="O1051" s="47"/>
      <c r="P1051" s="47"/>
    </row>
    <row r="1052" spans="1:16" x14ac:dyDescent="0.3">
      <c r="A1052" s="1">
        <v>1051</v>
      </c>
      <c r="G1052" s="4"/>
      <c r="H1052" s="4"/>
      <c r="I1052" s="47"/>
      <c r="J1052" s="47" t="str">
        <f t="shared" si="29"/>
        <v/>
      </c>
      <c r="K1052" s="47"/>
      <c r="L1052" s="47"/>
      <c r="N1052" s="47"/>
      <c r="O1052" s="47"/>
      <c r="P1052" s="47"/>
    </row>
    <row r="1053" spans="1:16" x14ac:dyDescent="0.3">
      <c r="A1053" s="1">
        <v>1052</v>
      </c>
      <c r="G1053" s="4"/>
      <c r="H1053" s="4"/>
      <c r="I1053" s="47"/>
      <c r="J1053" s="47" t="str">
        <f t="shared" si="29"/>
        <v/>
      </c>
      <c r="K1053" s="47"/>
      <c r="L1053" s="47"/>
      <c r="N1053" s="47"/>
      <c r="O1053" s="47"/>
      <c r="P1053" s="47"/>
    </row>
    <row r="1054" spans="1:16" x14ac:dyDescent="0.3">
      <c r="A1054" s="1">
        <v>1053</v>
      </c>
      <c r="G1054" s="4"/>
      <c r="H1054" s="4"/>
      <c r="I1054" s="47"/>
      <c r="J1054" s="47" t="str">
        <f t="shared" si="29"/>
        <v/>
      </c>
      <c r="K1054" s="47"/>
      <c r="L1054" s="47"/>
      <c r="N1054" s="47"/>
      <c r="O1054" s="47"/>
      <c r="P1054" s="47"/>
    </row>
    <row r="1055" spans="1:16" x14ac:dyDescent="0.3">
      <c r="A1055" s="1">
        <v>1054</v>
      </c>
      <c r="G1055" s="4"/>
      <c r="H1055" s="4"/>
      <c r="I1055" s="47"/>
      <c r="J1055" s="47" t="str">
        <f t="shared" si="29"/>
        <v/>
      </c>
      <c r="K1055" s="47"/>
      <c r="L1055" s="47"/>
      <c r="N1055" s="47"/>
      <c r="O1055" s="47"/>
      <c r="P1055" s="47"/>
    </row>
    <row r="1056" spans="1:16" x14ac:dyDescent="0.3">
      <c r="A1056" s="1">
        <v>1055</v>
      </c>
      <c r="G1056" s="4"/>
      <c r="H1056" s="4"/>
      <c r="I1056" s="47"/>
      <c r="J1056" s="47" t="str">
        <f t="shared" si="29"/>
        <v/>
      </c>
      <c r="K1056" s="47"/>
      <c r="L1056" s="47"/>
      <c r="N1056" s="47"/>
      <c r="O1056" s="47"/>
      <c r="P1056" s="47"/>
    </row>
    <row r="1057" spans="1:16" x14ac:dyDescent="0.3">
      <c r="A1057" s="1">
        <v>1056</v>
      </c>
      <c r="G1057" s="4"/>
      <c r="H1057" s="4"/>
      <c r="I1057" s="47"/>
      <c r="J1057" s="47" t="str">
        <f t="shared" si="29"/>
        <v/>
      </c>
      <c r="K1057" s="47"/>
      <c r="L1057" s="47"/>
      <c r="N1057" s="47"/>
      <c r="O1057" s="47"/>
      <c r="P1057" s="47"/>
    </row>
    <row r="1058" spans="1:16" x14ac:dyDescent="0.3">
      <c r="A1058" s="1">
        <v>1057</v>
      </c>
      <c r="G1058" s="4"/>
      <c r="H1058" s="4"/>
      <c r="I1058" s="47"/>
      <c r="J1058" s="47" t="str">
        <f t="shared" si="29"/>
        <v/>
      </c>
      <c r="K1058" s="47"/>
      <c r="L1058" s="47"/>
      <c r="N1058" s="47"/>
      <c r="O1058" s="47"/>
      <c r="P1058" s="47"/>
    </row>
    <row r="1059" spans="1:16" x14ac:dyDescent="0.3">
      <c r="A1059" s="1">
        <v>1058</v>
      </c>
      <c r="G1059" s="4"/>
      <c r="H1059" s="4"/>
      <c r="I1059" s="47"/>
      <c r="J1059" s="47" t="str">
        <f t="shared" si="29"/>
        <v/>
      </c>
      <c r="K1059" s="47"/>
      <c r="L1059" s="47"/>
      <c r="N1059" s="47"/>
      <c r="O1059" s="47"/>
      <c r="P1059" s="47"/>
    </row>
    <row r="1060" spans="1:16" x14ac:dyDescent="0.3">
      <c r="A1060" s="1">
        <v>1059</v>
      </c>
      <c r="G1060" s="4"/>
      <c r="H1060" s="4"/>
      <c r="I1060" s="47"/>
      <c r="J1060" s="47" t="str">
        <f t="shared" si="29"/>
        <v/>
      </c>
      <c r="K1060" s="47"/>
      <c r="L1060" s="47"/>
      <c r="N1060" s="47"/>
      <c r="O1060" s="47"/>
      <c r="P1060" s="47"/>
    </row>
    <row r="1061" spans="1:16" x14ac:dyDescent="0.3">
      <c r="A1061" s="1">
        <v>1060</v>
      </c>
      <c r="G1061" s="4"/>
      <c r="H1061" s="4"/>
      <c r="I1061" s="47"/>
      <c r="J1061" s="47" t="str">
        <f t="shared" si="29"/>
        <v/>
      </c>
      <c r="K1061" s="47"/>
      <c r="L1061" s="47"/>
      <c r="N1061" s="47"/>
      <c r="O1061" s="47"/>
      <c r="P1061" s="47"/>
    </row>
    <row r="1062" spans="1:16" x14ac:dyDescent="0.3">
      <c r="A1062" s="1">
        <v>1061</v>
      </c>
      <c r="G1062" s="4"/>
      <c r="H1062" s="4"/>
      <c r="I1062" s="47"/>
      <c r="J1062" s="47" t="str">
        <f t="shared" si="29"/>
        <v/>
      </c>
      <c r="K1062" s="47"/>
      <c r="L1062" s="47"/>
      <c r="N1062" s="47"/>
      <c r="O1062" s="47"/>
      <c r="P1062" s="47"/>
    </row>
    <row r="1063" spans="1:16" x14ac:dyDescent="0.3">
      <c r="A1063" s="1">
        <v>1062</v>
      </c>
      <c r="G1063" s="4"/>
      <c r="H1063" s="4"/>
      <c r="I1063" s="47"/>
      <c r="J1063" s="47" t="str">
        <f t="shared" si="29"/>
        <v/>
      </c>
      <c r="K1063" s="47"/>
      <c r="L1063" s="47"/>
      <c r="N1063" s="47"/>
      <c r="O1063" s="47"/>
      <c r="P1063" s="47"/>
    </row>
    <row r="1064" spans="1:16" x14ac:dyDescent="0.3">
      <c r="A1064" s="1">
        <v>1063</v>
      </c>
      <c r="G1064" s="4"/>
      <c r="H1064" s="4"/>
      <c r="I1064" s="47"/>
      <c r="J1064" s="47" t="str">
        <f t="shared" si="29"/>
        <v/>
      </c>
      <c r="K1064" s="47"/>
      <c r="L1064" s="47"/>
      <c r="N1064" s="47"/>
      <c r="O1064" s="47"/>
      <c r="P1064" s="47"/>
    </row>
    <row r="1065" spans="1:16" x14ac:dyDescent="0.3">
      <c r="A1065" s="1">
        <v>1064</v>
      </c>
      <c r="G1065" s="4"/>
      <c r="H1065" s="4"/>
      <c r="I1065" s="47"/>
      <c r="J1065" s="47" t="str">
        <f t="shared" si="29"/>
        <v/>
      </c>
      <c r="K1065" s="47"/>
      <c r="L1065" s="47"/>
      <c r="N1065" s="47"/>
      <c r="O1065" s="47"/>
      <c r="P1065" s="47"/>
    </row>
    <row r="1066" spans="1:16" x14ac:dyDescent="0.3">
      <c r="A1066" s="1">
        <v>1065</v>
      </c>
      <c r="G1066" s="4"/>
      <c r="H1066" s="4"/>
      <c r="I1066" s="47"/>
      <c r="J1066" s="47" t="str">
        <f t="shared" si="29"/>
        <v/>
      </c>
      <c r="K1066" s="47"/>
      <c r="L1066" s="47"/>
      <c r="N1066" s="47"/>
      <c r="O1066" s="47"/>
      <c r="P1066" s="47"/>
    </row>
    <row r="1067" spans="1:16" x14ac:dyDescent="0.3">
      <c r="A1067" s="1">
        <v>1066</v>
      </c>
      <c r="G1067" s="4"/>
      <c r="H1067" s="4"/>
      <c r="I1067" s="47"/>
      <c r="J1067" s="47" t="str">
        <f t="shared" si="29"/>
        <v/>
      </c>
      <c r="K1067" s="47"/>
      <c r="L1067" s="47"/>
      <c r="N1067" s="47"/>
      <c r="O1067" s="47"/>
      <c r="P1067" s="47"/>
    </row>
    <row r="1068" spans="1:16" x14ac:dyDescent="0.3">
      <c r="A1068" s="1">
        <v>1067</v>
      </c>
      <c r="G1068" s="4"/>
      <c r="H1068" s="4"/>
      <c r="I1068" s="47"/>
      <c r="J1068" s="47" t="str">
        <f t="shared" si="29"/>
        <v/>
      </c>
      <c r="K1068" s="47"/>
      <c r="L1068" s="47"/>
      <c r="N1068" s="47"/>
      <c r="O1068" s="47"/>
      <c r="P1068" s="47"/>
    </row>
    <row r="1069" spans="1:16" x14ac:dyDescent="0.3">
      <c r="A1069" s="1">
        <v>1068</v>
      </c>
      <c r="G1069" s="4"/>
      <c r="H1069" s="4"/>
      <c r="I1069" s="47"/>
      <c r="J1069" s="47" t="str">
        <f t="shared" si="29"/>
        <v/>
      </c>
      <c r="K1069" s="47"/>
      <c r="L1069" s="47"/>
      <c r="N1069" s="47"/>
      <c r="O1069" s="47"/>
      <c r="P1069" s="47"/>
    </row>
    <row r="1070" spans="1:16" x14ac:dyDescent="0.3">
      <c r="A1070" s="1">
        <v>1069</v>
      </c>
      <c r="G1070" s="4"/>
      <c r="H1070" s="4"/>
      <c r="I1070" s="47"/>
      <c r="J1070" s="47" t="str">
        <f t="shared" si="29"/>
        <v/>
      </c>
      <c r="K1070" s="47"/>
      <c r="L1070" s="47"/>
      <c r="N1070" s="47"/>
      <c r="O1070" s="47"/>
      <c r="P1070" s="47"/>
    </row>
    <row r="1071" spans="1:16" x14ac:dyDescent="0.3">
      <c r="A1071" s="1">
        <v>1070</v>
      </c>
      <c r="G1071" s="4"/>
      <c r="H1071" s="4"/>
      <c r="I1071" s="47"/>
      <c r="J1071" s="47" t="str">
        <f t="shared" si="29"/>
        <v/>
      </c>
      <c r="K1071" s="47"/>
      <c r="L1071" s="47"/>
      <c r="N1071" s="47"/>
      <c r="O1071" s="47"/>
      <c r="P1071" s="47"/>
    </row>
    <row r="1072" spans="1:16" x14ac:dyDescent="0.3">
      <c r="A1072" s="1">
        <v>1071</v>
      </c>
      <c r="G1072" s="4"/>
      <c r="H1072" s="4"/>
      <c r="I1072" s="47"/>
      <c r="J1072" s="47" t="str">
        <f t="shared" si="29"/>
        <v/>
      </c>
      <c r="K1072" s="47"/>
      <c r="L1072" s="47"/>
      <c r="N1072" s="47"/>
      <c r="O1072" s="47"/>
      <c r="P1072" s="47"/>
    </row>
    <row r="1073" spans="1:16" x14ac:dyDescent="0.3">
      <c r="A1073" s="1">
        <v>1072</v>
      </c>
      <c r="G1073" s="4"/>
      <c r="H1073" s="4"/>
      <c r="I1073" s="47"/>
      <c r="J1073" s="47" t="str">
        <f t="shared" si="29"/>
        <v/>
      </c>
      <c r="K1073" s="47"/>
      <c r="L1073" s="47"/>
      <c r="N1073" s="47"/>
      <c r="O1073" s="47"/>
      <c r="P1073" s="47"/>
    </row>
    <row r="1074" spans="1:16" x14ac:dyDescent="0.3">
      <c r="A1074" s="1">
        <v>1073</v>
      </c>
      <c r="G1074" s="4"/>
      <c r="H1074" s="4"/>
      <c r="I1074" s="47"/>
      <c r="J1074" s="47" t="str">
        <f t="shared" si="29"/>
        <v/>
      </c>
      <c r="K1074" s="47"/>
      <c r="L1074" s="47"/>
      <c r="N1074" s="47"/>
      <c r="O1074" s="47"/>
      <c r="P1074" s="47"/>
    </row>
    <row r="1075" spans="1:16" x14ac:dyDescent="0.3">
      <c r="A1075" s="1">
        <v>1074</v>
      </c>
      <c r="G1075" s="4"/>
      <c r="H1075" s="4"/>
      <c r="I1075" s="47"/>
      <c r="J1075" s="47" t="str">
        <f t="shared" si="29"/>
        <v/>
      </c>
      <c r="K1075" s="47"/>
      <c r="L1075" s="47"/>
      <c r="N1075" s="47"/>
      <c r="O1075" s="47"/>
      <c r="P1075" s="47"/>
    </row>
    <row r="1076" spans="1:16" x14ac:dyDescent="0.3">
      <c r="A1076" s="1">
        <v>1075</v>
      </c>
      <c r="G1076" s="4"/>
      <c r="H1076" s="4"/>
      <c r="I1076" s="47"/>
      <c r="J1076" s="47" t="str">
        <f t="shared" si="29"/>
        <v/>
      </c>
      <c r="K1076" s="47"/>
      <c r="L1076" s="47"/>
      <c r="N1076" s="47"/>
      <c r="O1076" s="47"/>
      <c r="P1076" s="47"/>
    </row>
    <row r="1077" spans="1:16" x14ac:dyDescent="0.3">
      <c r="A1077" s="1">
        <v>1076</v>
      </c>
      <c r="G1077" s="4"/>
      <c r="H1077" s="4"/>
      <c r="I1077" s="47"/>
      <c r="J1077" s="47" t="str">
        <f t="shared" si="29"/>
        <v/>
      </c>
      <c r="K1077" s="47"/>
      <c r="L1077" s="47"/>
      <c r="N1077" s="47"/>
      <c r="O1077" s="47"/>
      <c r="P1077" s="47"/>
    </row>
    <row r="1078" spans="1:16" x14ac:dyDescent="0.3">
      <c r="A1078" s="1">
        <v>1077</v>
      </c>
      <c r="G1078" s="4"/>
      <c r="H1078" s="4"/>
      <c r="I1078" s="47"/>
      <c r="J1078" s="47" t="str">
        <f t="shared" si="29"/>
        <v/>
      </c>
      <c r="K1078" s="47"/>
      <c r="L1078" s="47"/>
      <c r="N1078" s="47"/>
      <c r="O1078" s="47"/>
      <c r="P1078" s="47"/>
    </row>
    <row r="1079" spans="1:16" x14ac:dyDescent="0.3">
      <c r="A1079" s="1">
        <v>1078</v>
      </c>
      <c r="G1079" s="4"/>
      <c r="H1079" s="4"/>
      <c r="I1079" s="47"/>
      <c r="J1079" s="47" t="str">
        <f t="shared" si="29"/>
        <v/>
      </c>
      <c r="K1079" s="47"/>
      <c r="L1079" s="47"/>
      <c r="N1079" s="47"/>
      <c r="O1079" s="47"/>
      <c r="P1079" s="47"/>
    </row>
    <row r="1080" spans="1:16" x14ac:dyDescent="0.3">
      <c r="A1080" s="1">
        <v>1079</v>
      </c>
      <c r="G1080" s="4"/>
      <c r="H1080" s="4"/>
      <c r="I1080" s="47"/>
      <c r="J1080" s="47" t="str">
        <f t="shared" si="29"/>
        <v/>
      </c>
      <c r="K1080" s="47"/>
      <c r="L1080" s="47"/>
      <c r="N1080" s="47"/>
      <c r="O1080" s="47"/>
      <c r="P1080" s="47"/>
    </row>
    <row r="1081" spans="1:16" x14ac:dyDescent="0.3">
      <c r="A1081" s="1">
        <v>1080</v>
      </c>
      <c r="G1081" s="4"/>
      <c r="H1081" s="4"/>
      <c r="I1081" s="47"/>
      <c r="J1081" s="47" t="str">
        <f t="shared" si="29"/>
        <v/>
      </c>
      <c r="K1081" s="47"/>
      <c r="L1081" s="47"/>
      <c r="N1081" s="47"/>
      <c r="O1081" s="47"/>
      <c r="P1081" s="47"/>
    </row>
    <row r="1082" spans="1:16" x14ac:dyDescent="0.3">
      <c r="A1082" s="1">
        <v>1081</v>
      </c>
      <c r="G1082" s="4"/>
      <c r="H1082" s="4"/>
      <c r="I1082" s="47"/>
      <c r="J1082" s="47" t="str">
        <f t="shared" si="29"/>
        <v/>
      </c>
      <c r="K1082" s="47"/>
      <c r="L1082" s="47"/>
      <c r="N1082" s="47"/>
      <c r="O1082" s="47"/>
      <c r="P1082" s="47"/>
    </row>
    <row r="1083" spans="1:16" x14ac:dyDescent="0.3">
      <c r="A1083" s="1">
        <v>1082</v>
      </c>
      <c r="G1083" s="4"/>
      <c r="H1083" s="4"/>
      <c r="I1083" s="47"/>
      <c r="J1083" s="47" t="str">
        <f t="shared" si="29"/>
        <v/>
      </c>
      <c r="K1083" s="47"/>
      <c r="L1083" s="47"/>
      <c r="N1083" s="47"/>
      <c r="O1083" s="47"/>
      <c r="P1083" s="47"/>
    </row>
    <row r="1084" spans="1:16" x14ac:dyDescent="0.3">
      <c r="A1084" s="1">
        <v>1083</v>
      </c>
      <c r="G1084" s="4"/>
      <c r="H1084" s="4"/>
      <c r="I1084" s="47"/>
      <c r="J1084" s="47" t="str">
        <f t="shared" si="29"/>
        <v/>
      </c>
      <c r="K1084" s="47"/>
      <c r="L1084" s="47"/>
      <c r="N1084" s="47"/>
      <c r="O1084" s="47"/>
      <c r="P1084" s="47"/>
    </row>
    <row r="1085" spans="1:16" x14ac:dyDescent="0.3">
      <c r="A1085" s="1">
        <v>1084</v>
      </c>
      <c r="G1085" s="4"/>
      <c r="H1085" s="4"/>
      <c r="I1085" s="47"/>
      <c r="J1085" s="47" t="str">
        <f t="shared" si="29"/>
        <v/>
      </c>
      <c r="K1085" s="47"/>
      <c r="L1085" s="47"/>
      <c r="N1085" s="47"/>
      <c r="O1085" s="47"/>
      <c r="P1085" s="47"/>
    </row>
    <row r="1086" spans="1:16" x14ac:dyDescent="0.3">
      <c r="A1086" s="1">
        <v>1085</v>
      </c>
      <c r="G1086" s="4"/>
      <c r="H1086" s="4"/>
      <c r="I1086" s="47"/>
      <c r="J1086" s="47" t="str">
        <f t="shared" si="29"/>
        <v/>
      </c>
      <c r="K1086" s="47"/>
      <c r="L1086" s="47"/>
      <c r="N1086" s="47"/>
      <c r="O1086" s="47"/>
      <c r="P1086" s="47"/>
    </row>
    <row r="1087" spans="1:16" x14ac:dyDescent="0.3">
      <c r="A1087" s="1">
        <v>1086</v>
      </c>
      <c r="G1087" s="4"/>
      <c r="H1087" s="4"/>
      <c r="I1087" s="47"/>
      <c r="J1087" s="47" t="str">
        <f t="shared" si="29"/>
        <v/>
      </c>
      <c r="K1087" s="47"/>
      <c r="L1087" s="47"/>
      <c r="N1087" s="47"/>
      <c r="O1087" s="47"/>
      <c r="P1087" s="47"/>
    </row>
    <row r="1088" spans="1:16" x14ac:dyDescent="0.3">
      <c r="A1088" s="1">
        <v>1087</v>
      </c>
      <c r="G1088" s="4"/>
      <c r="H1088" s="4"/>
      <c r="I1088" s="47"/>
      <c r="J1088" s="47" t="str">
        <f t="shared" si="29"/>
        <v/>
      </c>
      <c r="K1088" s="47"/>
      <c r="L1088" s="47"/>
      <c r="N1088" s="47"/>
      <c r="O1088" s="47"/>
      <c r="P1088" s="47"/>
    </row>
    <row r="1089" spans="1:16" x14ac:dyDescent="0.3">
      <c r="A1089" s="1">
        <v>1088</v>
      </c>
      <c r="G1089" s="4"/>
      <c r="H1089" s="4"/>
      <c r="I1089" s="47"/>
      <c r="J1089" s="47" t="str">
        <f t="shared" si="29"/>
        <v/>
      </c>
      <c r="K1089" s="47"/>
      <c r="L1089" s="47"/>
      <c r="N1089" s="47"/>
      <c r="O1089" s="47"/>
      <c r="P1089" s="47"/>
    </row>
    <row r="1090" spans="1:16" x14ac:dyDescent="0.3">
      <c r="A1090" s="1">
        <v>1089</v>
      </c>
      <c r="G1090" s="4"/>
      <c r="H1090" s="4"/>
      <c r="I1090" s="47"/>
      <c r="J1090" s="47" t="str">
        <f t="shared" si="29"/>
        <v/>
      </c>
      <c r="K1090" s="47"/>
      <c r="L1090" s="47"/>
      <c r="N1090" s="47"/>
      <c r="O1090" s="47"/>
      <c r="P1090" s="47"/>
    </row>
    <row r="1091" spans="1:16" x14ac:dyDescent="0.3">
      <c r="A1091" s="1">
        <v>1090</v>
      </c>
      <c r="G1091" s="4"/>
      <c r="H1091" s="4"/>
      <c r="I1091" s="47"/>
      <c r="J1091" s="47" t="str">
        <f t="shared" ref="J1091:J1154" si="30">+E1091&amp;I1091</f>
        <v/>
      </c>
      <c r="K1091" s="47"/>
      <c r="L1091" s="47"/>
      <c r="N1091" s="47"/>
      <c r="O1091" s="47"/>
      <c r="P1091" s="47"/>
    </row>
    <row r="1092" spans="1:16" x14ac:dyDescent="0.3">
      <c r="A1092" s="1">
        <v>1091</v>
      </c>
      <c r="G1092" s="4"/>
      <c r="H1092" s="4"/>
      <c r="I1092" s="47"/>
      <c r="J1092" s="47" t="str">
        <f t="shared" si="30"/>
        <v/>
      </c>
      <c r="K1092" s="47"/>
      <c r="L1092" s="47"/>
      <c r="N1092" s="47"/>
      <c r="O1092" s="47"/>
      <c r="P1092" s="47"/>
    </row>
    <row r="1093" spans="1:16" x14ac:dyDescent="0.3">
      <c r="A1093" s="1">
        <v>1092</v>
      </c>
      <c r="G1093" s="4"/>
      <c r="H1093" s="4"/>
      <c r="I1093" s="47"/>
      <c r="J1093" s="47" t="str">
        <f t="shared" si="30"/>
        <v/>
      </c>
      <c r="K1093" s="47"/>
      <c r="L1093" s="47"/>
      <c r="N1093" s="47"/>
      <c r="O1093" s="47"/>
      <c r="P1093" s="47"/>
    </row>
    <row r="1094" spans="1:16" x14ac:dyDescent="0.3">
      <c r="A1094" s="1">
        <v>1093</v>
      </c>
      <c r="G1094" s="4"/>
      <c r="H1094" s="4"/>
      <c r="I1094" s="47"/>
      <c r="J1094" s="47" t="str">
        <f t="shared" si="30"/>
        <v/>
      </c>
      <c r="K1094" s="47"/>
      <c r="L1094" s="47"/>
      <c r="N1094" s="47"/>
      <c r="O1094" s="47"/>
      <c r="P1094" s="47"/>
    </row>
    <row r="1095" spans="1:16" x14ac:dyDescent="0.3">
      <c r="A1095" s="1">
        <v>1094</v>
      </c>
      <c r="G1095" s="4"/>
      <c r="H1095" s="4"/>
      <c r="I1095" s="47"/>
      <c r="J1095" s="47" t="str">
        <f t="shared" si="30"/>
        <v/>
      </c>
      <c r="K1095" s="47"/>
      <c r="L1095" s="47"/>
      <c r="N1095" s="47"/>
      <c r="O1095" s="47"/>
      <c r="P1095" s="47"/>
    </row>
    <row r="1096" spans="1:16" x14ac:dyDescent="0.3">
      <c r="A1096" s="1">
        <v>1095</v>
      </c>
      <c r="G1096" s="4"/>
      <c r="H1096" s="4"/>
      <c r="I1096" s="47"/>
      <c r="J1096" s="47" t="str">
        <f t="shared" si="30"/>
        <v/>
      </c>
      <c r="K1096" s="47"/>
      <c r="L1096" s="47"/>
      <c r="N1096" s="47"/>
      <c r="O1096" s="47"/>
      <c r="P1096" s="47"/>
    </row>
    <row r="1097" spans="1:16" x14ac:dyDescent="0.3">
      <c r="A1097" s="1">
        <v>1096</v>
      </c>
      <c r="G1097" s="4"/>
      <c r="H1097" s="4"/>
      <c r="I1097" s="47"/>
      <c r="J1097" s="47" t="str">
        <f t="shared" si="30"/>
        <v/>
      </c>
      <c r="K1097" s="47"/>
      <c r="L1097" s="47"/>
      <c r="N1097" s="47"/>
      <c r="O1097" s="47"/>
      <c r="P1097" s="47"/>
    </row>
    <row r="1098" spans="1:16" x14ac:dyDescent="0.3">
      <c r="A1098" s="1">
        <v>1097</v>
      </c>
      <c r="G1098" s="4"/>
      <c r="H1098" s="4"/>
      <c r="I1098" s="47"/>
      <c r="J1098" s="47" t="str">
        <f t="shared" si="30"/>
        <v/>
      </c>
      <c r="K1098" s="47"/>
      <c r="L1098" s="47"/>
      <c r="N1098" s="47"/>
      <c r="O1098" s="47"/>
      <c r="P1098" s="47"/>
    </row>
    <row r="1099" spans="1:16" x14ac:dyDescent="0.3">
      <c r="A1099" s="1">
        <v>1098</v>
      </c>
      <c r="G1099" s="4"/>
      <c r="H1099" s="4"/>
      <c r="I1099" s="47"/>
      <c r="J1099" s="47" t="str">
        <f t="shared" si="30"/>
        <v/>
      </c>
      <c r="K1099" s="47"/>
      <c r="L1099" s="47"/>
      <c r="N1099" s="47"/>
      <c r="O1099" s="47"/>
      <c r="P1099" s="47"/>
    </row>
    <row r="1100" spans="1:16" x14ac:dyDescent="0.3">
      <c r="A1100" s="1">
        <v>1099</v>
      </c>
      <c r="G1100" s="4"/>
      <c r="H1100" s="4"/>
      <c r="I1100" s="47"/>
      <c r="J1100" s="47" t="str">
        <f t="shared" si="30"/>
        <v/>
      </c>
      <c r="K1100" s="47"/>
      <c r="L1100" s="47"/>
      <c r="N1100" s="47"/>
      <c r="O1100" s="47"/>
      <c r="P1100" s="47"/>
    </row>
    <row r="1101" spans="1:16" x14ac:dyDescent="0.3">
      <c r="A1101" s="1">
        <v>1100</v>
      </c>
      <c r="G1101" s="4"/>
      <c r="H1101" s="4"/>
      <c r="I1101" s="47"/>
      <c r="J1101" s="47" t="str">
        <f t="shared" si="30"/>
        <v/>
      </c>
      <c r="K1101" s="47"/>
      <c r="L1101" s="47"/>
      <c r="N1101" s="47"/>
      <c r="O1101" s="47"/>
      <c r="P1101" s="47"/>
    </row>
    <row r="1102" spans="1:16" x14ac:dyDescent="0.3">
      <c r="A1102" s="1">
        <v>1101</v>
      </c>
      <c r="G1102" s="4"/>
      <c r="H1102" s="4"/>
      <c r="I1102" s="47"/>
      <c r="J1102" s="47" t="str">
        <f t="shared" si="30"/>
        <v/>
      </c>
      <c r="K1102" s="47"/>
      <c r="L1102" s="47"/>
      <c r="N1102" s="47"/>
      <c r="O1102" s="47"/>
      <c r="P1102" s="47"/>
    </row>
    <row r="1103" spans="1:16" x14ac:dyDescent="0.3">
      <c r="A1103" s="1">
        <v>1102</v>
      </c>
      <c r="G1103" s="4"/>
      <c r="H1103" s="4"/>
      <c r="I1103" s="47"/>
      <c r="J1103" s="47" t="str">
        <f t="shared" si="30"/>
        <v/>
      </c>
      <c r="K1103" s="47"/>
      <c r="L1103" s="47"/>
      <c r="N1103" s="47"/>
      <c r="O1103" s="47"/>
      <c r="P1103" s="47"/>
    </row>
    <row r="1104" spans="1:16" x14ac:dyDescent="0.3">
      <c r="A1104" s="1">
        <v>1103</v>
      </c>
      <c r="G1104" s="4"/>
      <c r="H1104" s="4"/>
      <c r="I1104" s="47"/>
      <c r="J1104" s="47" t="str">
        <f t="shared" si="30"/>
        <v/>
      </c>
      <c r="K1104" s="47"/>
      <c r="L1104" s="47"/>
      <c r="N1104" s="47"/>
      <c r="O1104" s="47"/>
      <c r="P1104" s="47"/>
    </row>
    <row r="1105" spans="1:16" x14ac:dyDescent="0.3">
      <c r="A1105" s="1">
        <v>1104</v>
      </c>
      <c r="G1105" s="4"/>
      <c r="H1105" s="4"/>
      <c r="I1105" s="47"/>
      <c r="J1105" s="47" t="str">
        <f t="shared" si="30"/>
        <v/>
      </c>
      <c r="K1105" s="47"/>
      <c r="L1105" s="47"/>
      <c r="N1105" s="47"/>
      <c r="O1105" s="47"/>
      <c r="P1105" s="47"/>
    </row>
    <row r="1106" spans="1:16" x14ac:dyDescent="0.3">
      <c r="A1106" s="1">
        <v>1105</v>
      </c>
      <c r="G1106" s="4"/>
      <c r="H1106" s="4"/>
      <c r="I1106" s="47"/>
      <c r="J1106" s="47" t="str">
        <f t="shared" si="30"/>
        <v/>
      </c>
      <c r="K1106" s="47"/>
      <c r="L1106" s="47"/>
      <c r="N1106" s="47"/>
      <c r="O1106" s="47"/>
      <c r="P1106" s="47"/>
    </row>
    <row r="1107" spans="1:16" x14ac:dyDescent="0.3">
      <c r="A1107" s="1">
        <v>1106</v>
      </c>
      <c r="G1107" s="4"/>
      <c r="H1107" s="4"/>
      <c r="I1107" s="47"/>
      <c r="J1107" s="47" t="str">
        <f t="shared" si="30"/>
        <v/>
      </c>
      <c r="K1107" s="47"/>
      <c r="L1107" s="47"/>
      <c r="N1107" s="47"/>
      <c r="O1107" s="47"/>
      <c r="P1107" s="47"/>
    </row>
    <row r="1108" spans="1:16" x14ac:dyDescent="0.3">
      <c r="A1108" s="1">
        <v>1107</v>
      </c>
      <c r="G1108" s="4"/>
      <c r="H1108" s="4"/>
      <c r="I1108" s="47"/>
      <c r="J1108" s="47" t="str">
        <f t="shared" si="30"/>
        <v/>
      </c>
      <c r="K1108" s="47"/>
      <c r="L1108" s="47"/>
      <c r="N1108" s="47"/>
      <c r="O1108" s="47"/>
      <c r="P1108" s="47"/>
    </row>
    <row r="1109" spans="1:16" x14ac:dyDescent="0.3">
      <c r="A1109" s="1">
        <v>1108</v>
      </c>
      <c r="G1109" s="4"/>
      <c r="H1109" s="4"/>
      <c r="I1109" s="47"/>
      <c r="J1109" s="47" t="str">
        <f t="shared" si="30"/>
        <v/>
      </c>
      <c r="K1109" s="47"/>
      <c r="L1109" s="47"/>
      <c r="N1109" s="47"/>
      <c r="O1109" s="47"/>
      <c r="P1109" s="47"/>
    </row>
    <row r="1110" spans="1:16" x14ac:dyDescent="0.3">
      <c r="A1110" s="1">
        <v>1109</v>
      </c>
      <c r="G1110" s="4"/>
      <c r="H1110" s="4"/>
      <c r="I1110" s="47"/>
      <c r="J1110" s="47" t="str">
        <f t="shared" si="30"/>
        <v/>
      </c>
      <c r="K1110" s="47"/>
      <c r="L1110" s="47"/>
      <c r="N1110" s="47"/>
      <c r="O1110" s="47"/>
      <c r="P1110" s="47"/>
    </row>
    <row r="1111" spans="1:16" x14ac:dyDescent="0.3">
      <c r="A1111" s="1">
        <v>1110</v>
      </c>
      <c r="G1111" s="4"/>
      <c r="H1111" s="4"/>
      <c r="I1111" s="47"/>
      <c r="J1111" s="47" t="str">
        <f t="shared" si="30"/>
        <v/>
      </c>
      <c r="K1111" s="47"/>
      <c r="L1111" s="47"/>
      <c r="N1111" s="47"/>
      <c r="O1111" s="47"/>
      <c r="P1111" s="47"/>
    </row>
    <row r="1112" spans="1:16" x14ac:dyDescent="0.3">
      <c r="A1112" s="1">
        <v>1111</v>
      </c>
      <c r="G1112" s="4"/>
      <c r="H1112" s="4"/>
      <c r="I1112" s="47"/>
      <c r="J1112" s="47" t="str">
        <f t="shared" si="30"/>
        <v/>
      </c>
      <c r="K1112" s="47"/>
      <c r="L1112" s="47"/>
      <c r="N1112" s="47"/>
      <c r="O1112" s="47"/>
      <c r="P1112" s="47"/>
    </row>
    <row r="1113" spans="1:16" x14ac:dyDescent="0.3">
      <c r="A1113" s="1">
        <v>1112</v>
      </c>
      <c r="G1113" s="4"/>
      <c r="H1113" s="4"/>
      <c r="I1113" s="47"/>
      <c r="J1113" s="47" t="str">
        <f t="shared" si="30"/>
        <v/>
      </c>
      <c r="K1113" s="47"/>
      <c r="L1113" s="47"/>
      <c r="N1113" s="47"/>
      <c r="O1113" s="47"/>
      <c r="P1113" s="47"/>
    </row>
    <row r="1114" spans="1:16" x14ac:dyDescent="0.3">
      <c r="A1114" s="1">
        <v>1113</v>
      </c>
      <c r="G1114" s="4"/>
      <c r="H1114" s="4"/>
      <c r="I1114" s="47"/>
      <c r="J1114" s="47" t="str">
        <f t="shared" si="30"/>
        <v/>
      </c>
      <c r="K1114" s="47"/>
      <c r="L1114" s="47"/>
      <c r="N1114" s="47"/>
      <c r="O1114" s="47"/>
      <c r="P1114" s="47"/>
    </row>
    <row r="1115" spans="1:16" x14ac:dyDescent="0.3">
      <c r="A1115" s="1">
        <v>1114</v>
      </c>
      <c r="G1115" s="4"/>
      <c r="H1115" s="4"/>
      <c r="I1115" s="47"/>
      <c r="J1115" s="47" t="str">
        <f t="shared" si="30"/>
        <v/>
      </c>
      <c r="K1115" s="47"/>
      <c r="L1115" s="47"/>
      <c r="N1115" s="47"/>
      <c r="O1115" s="47"/>
      <c r="P1115" s="47"/>
    </row>
    <row r="1116" spans="1:16" x14ac:dyDescent="0.3">
      <c r="A1116" s="1">
        <v>1115</v>
      </c>
      <c r="G1116" s="4"/>
      <c r="H1116" s="4"/>
      <c r="I1116" s="47"/>
      <c r="J1116" s="47" t="str">
        <f t="shared" si="30"/>
        <v/>
      </c>
      <c r="K1116" s="47"/>
      <c r="L1116" s="47"/>
      <c r="N1116" s="47"/>
      <c r="O1116" s="47"/>
      <c r="P1116" s="47"/>
    </row>
    <row r="1117" spans="1:16" x14ac:dyDescent="0.3">
      <c r="A1117" s="1">
        <v>1116</v>
      </c>
      <c r="G1117" s="4"/>
      <c r="H1117" s="4"/>
      <c r="I1117" s="47"/>
      <c r="J1117" s="47" t="str">
        <f t="shared" si="30"/>
        <v/>
      </c>
      <c r="K1117" s="47"/>
      <c r="L1117" s="47"/>
      <c r="N1117" s="47"/>
      <c r="O1117" s="47"/>
      <c r="P1117" s="47"/>
    </row>
    <row r="1118" spans="1:16" x14ac:dyDescent="0.3">
      <c r="A1118" s="1">
        <v>1117</v>
      </c>
      <c r="G1118" s="4"/>
      <c r="H1118" s="4"/>
      <c r="I1118" s="47"/>
      <c r="J1118" s="47" t="str">
        <f t="shared" si="30"/>
        <v/>
      </c>
      <c r="K1118" s="47"/>
      <c r="L1118" s="47"/>
      <c r="N1118" s="47"/>
      <c r="O1118" s="47"/>
      <c r="P1118" s="47"/>
    </row>
    <row r="1119" spans="1:16" x14ac:dyDescent="0.3">
      <c r="A1119" s="1">
        <v>1118</v>
      </c>
      <c r="G1119" s="4"/>
      <c r="H1119" s="4"/>
      <c r="I1119" s="47"/>
      <c r="J1119" s="47" t="str">
        <f t="shared" si="30"/>
        <v/>
      </c>
      <c r="K1119" s="47"/>
      <c r="L1119" s="47"/>
      <c r="N1119" s="47"/>
      <c r="O1119" s="47"/>
      <c r="P1119" s="47"/>
    </row>
    <row r="1120" spans="1:16" x14ac:dyDescent="0.3">
      <c r="A1120" s="1">
        <v>1119</v>
      </c>
      <c r="G1120" s="4"/>
      <c r="H1120" s="4"/>
      <c r="I1120" s="47"/>
      <c r="J1120" s="47" t="str">
        <f t="shared" si="30"/>
        <v/>
      </c>
      <c r="K1120" s="47"/>
      <c r="L1120" s="47"/>
      <c r="N1120" s="47"/>
      <c r="O1120" s="47"/>
      <c r="P1120" s="47"/>
    </row>
    <row r="1121" spans="1:16" x14ac:dyDescent="0.3">
      <c r="A1121" s="1">
        <v>1120</v>
      </c>
      <c r="G1121" s="4"/>
      <c r="H1121" s="4"/>
      <c r="I1121" s="47"/>
      <c r="J1121" s="47" t="str">
        <f t="shared" si="30"/>
        <v/>
      </c>
      <c r="K1121" s="47"/>
      <c r="L1121" s="47"/>
      <c r="N1121" s="47"/>
      <c r="O1121" s="47"/>
      <c r="P1121" s="47"/>
    </row>
    <row r="1122" spans="1:16" x14ac:dyDescent="0.3">
      <c r="A1122" s="1">
        <v>1121</v>
      </c>
      <c r="G1122" s="4"/>
      <c r="H1122" s="4"/>
      <c r="I1122" s="47"/>
      <c r="J1122" s="47" t="str">
        <f t="shared" si="30"/>
        <v/>
      </c>
      <c r="K1122" s="47"/>
      <c r="L1122" s="47"/>
      <c r="N1122" s="47"/>
      <c r="O1122" s="47"/>
      <c r="P1122" s="47"/>
    </row>
    <row r="1123" spans="1:16" x14ac:dyDescent="0.3">
      <c r="A1123" s="1">
        <v>1122</v>
      </c>
      <c r="G1123" s="4"/>
      <c r="H1123" s="4"/>
      <c r="I1123" s="47"/>
      <c r="J1123" s="47" t="str">
        <f t="shared" si="30"/>
        <v/>
      </c>
      <c r="K1123" s="47"/>
      <c r="L1123" s="47"/>
      <c r="N1123" s="47"/>
      <c r="O1123" s="47"/>
      <c r="P1123" s="47"/>
    </row>
    <row r="1124" spans="1:16" x14ac:dyDescent="0.3">
      <c r="A1124" s="1">
        <v>1123</v>
      </c>
      <c r="G1124" s="4"/>
      <c r="H1124" s="4"/>
      <c r="I1124" s="47"/>
      <c r="J1124" s="47" t="str">
        <f t="shared" si="30"/>
        <v/>
      </c>
      <c r="K1124" s="47"/>
      <c r="L1124" s="47"/>
      <c r="N1124" s="47"/>
      <c r="O1124" s="47"/>
      <c r="P1124" s="47"/>
    </row>
    <row r="1125" spans="1:16" x14ac:dyDescent="0.3">
      <c r="A1125" s="1">
        <v>1124</v>
      </c>
      <c r="G1125" s="4"/>
      <c r="H1125" s="4"/>
      <c r="I1125" s="47"/>
      <c r="J1125" s="47" t="str">
        <f t="shared" si="30"/>
        <v/>
      </c>
      <c r="K1125" s="47"/>
      <c r="L1125" s="47"/>
      <c r="N1125" s="47"/>
      <c r="O1125" s="47"/>
      <c r="P1125" s="47"/>
    </row>
    <row r="1126" spans="1:16" x14ac:dyDescent="0.3">
      <c r="A1126" s="1">
        <v>1125</v>
      </c>
      <c r="G1126" s="4"/>
      <c r="H1126" s="4"/>
      <c r="I1126" s="47"/>
      <c r="J1126" s="47" t="str">
        <f t="shared" si="30"/>
        <v/>
      </c>
      <c r="K1126" s="47"/>
      <c r="L1126" s="47"/>
      <c r="N1126" s="47"/>
      <c r="O1126" s="47"/>
      <c r="P1126" s="47"/>
    </row>
    <row r="1127" spans="1:16" x14ac:dyDescent="0.3">
      <c r="A1127" s="1">
        <v>1126</v>
      </c>
      <c r="G1127" s="4"/>
      <c r="H1127" s="4"/>
      <c r="I1127" s="47"/>
      <c r="J1127" s="47" t="str">
        <f t="shared" si="30"/>
        <v/>
      </c>
      <c r="K1127" s="47"/>
      <c r="L1127" s="47"/>
      <c r="N1127" s="47"/>
      <c r="O1127" s="47"/>
      <c r="P1127" s="47"/>
    </row>
    <row r="1128" spans="1:16" x14ac:dyDescent="0.3">
      <c r="A1128" s="1">
        <v>1127</v>
      </c>
      <c r="G1128" s="4"/>
      <c r="H1128" s="4"/>
      <c r="I1128" s="47"/>
      <c r="J1128" s="47" t="str">
        <f t="shared" si="30"/>
        <v/>
      </c>
      <c r="K1128" s="47"/>
      <c r="L1128" s="47"/>
      <c r="N1128" s="47"/>
      <c r="O1128" s="47"/>
      <c r="P1128" s="47"/>
    </row>
    <row r="1129" spans="1:16" x14ac:dyDescent="0.3">
      <c r="A1129" s="1">
        <v>1128</v>
      </c>
      <c r="G1129" s="4"/>
      <c r="H1129" s="4"/>
      <c r="I1129" s="47"/>
      <c r="J1129" s="47" t="str">
        <f t="shared" si="30"/>
        <v/>
      </c>
      <c r="K1129" s="47"/>
      <c r="L1129" s="47"/>
      <c r="N1129" s="47"/>
      <c r="O1129" s="47"/>
      <c r="P1129" s="47"/>
    </row>
    <row r="1130" spans="1:16" x14ac:dyDescent="0.3">
      <c r="A1130" s="1">
        <v>1129</v>
      </c>
      <c r="G1130" s="4"/>
      <c r="H1130" s="4"/>
      <c r="I1130" s="47"/>
      <c r="J1130" s="47" t="str">
        <f t="shared" si="30"/>
        <v/>
      </c>
      <c r="K1130" s="47"/>
      <c r="L1130" s="47"/>
      <c r="N1130" s="47"/>
      <c r="O1130" s="47"/>
      <c r="P1130" s="47"/>
    </row>
    <row r="1131" spans="1:16" x14ac:dyDescent="0.3">
      <c r="A1131" s="1">
        <v>1130</v>
      </c>
      <c r="G1131" s="4"/>
      <c r="H1131" s="4"/>
      <c r="I1131" s="47"/>
      <c r="J1131" s="47" t="str">
        <f t="shared" si="30"/>
        <v/>
      </c>
      <c r="K1131" s="47"/>
      <c r="L1131" s="47"/>
      <c r="N1131" s="47"/>
      <c r="O1131" s="47"/>
      <c r="P1131" s="47"/>
    </row>
    <row r="1132" spans="1:16" x14ac:dyDescent="0.3">
      <c r="A1132" s="1">
        <v>1131</v>
      </c>
      <c r="G1132" s="4"/>
      <c r="H1132" s="4"/>
      <c r="I1132" s="47"/>
      <c r="J1132" s="47" t="str">
        <f t="shared" si="30"/>
        <v/>
      </c>
      <c r="K1132" s="47"/>
      <c r="L1132" s="47"/>
      <c r="N1132" s="47"/>
      <c r="O1132" s="47"/>
      <c r="P1132" s="47"/>
    </row>
    <row r="1133" spans="1:16" x14ac:dyDescent="0.3">
      <c r="A1133" s="1">
        <v>1132</v>
      </c>
      <c r="G1133" s="4"/>
      <c r="H1133" s="4"/>
      <c r="I1133" s="47"/>
      <c r="J1133" s="47" t="str">
        <f t="shared" si="30"/>
        <v/>
      </c>
      <c r="K1133" s="47"/>
      <c r="L1133" s="47"/>
      <c r="N1133" s="47"/>
      <c r="O1133" s="47"/>
      <c r="P1133" s="47"/>
    </row>
    <row r="1134" spans="1:16" x14ac:dyDescent="0.3">
      <c r="A1134" s="1">
        <v>1133</v>
      </c>
      <c r="G1134" s="4"/>
      <c r="H1134" s="4"/>
      <c r="I1134" s="47"/>
      <c r="J1134" s="47" t="str">
        <f t="shared" si="30"/>
        <v/>
      </c>
      <c r="K1134" s="47"/>
      <c r="L1134" s="47"/>
      <c r="N1134" s="47"/>
      <c r="O1134" s="47"/>
      <c r="P1134" s="47"/>
    </row>
    <row r="1135" spans="1:16" x14ac:dyDescent="0.3">
      <c r="A1135" s="1">
        <v>1134</v>
      </c>
      <c r="G1135" s="4"/>
      <c r="H1135" s="4"/>
      <c r="I1135" s="47"/>
      <c r="J1135" s="47" t="str">
        <f t="shared" si="30"/>
        <v/>
      </c>
      <c r="K1135" s="47"/>
      <c r="L1135" s="47"/>
      <c r="N1135" s="47"/>
      <c r="O1135" s="47"/>
      <c r="P1135" s="47"/>
    </row>
    <row r="1136" spans="1:16" x14ac:dyDescent="0.3">
      <c r="A1136" s="1">
        <v>1135</v>
      </c>
      <c r="G1136" s="4"/>
      <c r="H1136" s="4"/>
      <c r="I1136" s="47"/>
      <c r="J1136" s="47" t="str">
        <f t="shared" si="30"/>
        <v/>
      </c>
      <c r="K1136" s="47"/>
      <c r="L1136" s="47"/>
      <c r="N1136" s="47"/>
      <c r="O1136" s="47"/>
      <c r="P1136" s="47"/>
    </row>
    <row r="1137" spans="1:16" x14ac:dyDescent="0.3">
      <c r="A1137" s="1">
        <v>1136</v>
      </c>
      <c r="G1137" s="4"/>
      <c r="H1137" s="4"/>
      <c r="I1137" s="47"/>
      <c r="J1137" s="47" t="str">
        <f t="shared" si="30"/>
        <v/>
      </c>
      <c r="K1137" s="47"/>
      <c r="L1137" s="47"/>
      <c r="N1137" s="47"/>
      <c r="O1137" s="47"/>
      <c r="P1137" s="47"/>
    </row>
    <row r="1138" spans="1:16" x14ac:dyDescent="0.3">
      <c r="A1138" s="1">
        <v>1137</v>
      </c>
      <c r="G1138" s="4"/>
      <c r="H1138" s="4"/>
      <c r="I1138" s="47"/>
      <c r="J1138" s="47" t="str">
        <f t="shared" si="30"/>
        <v/>
      </c>
      <c r="K1138" s="47"/>
      <c r="L1138" s="47"/>
      <c r="N1138" s="47"/>
      <c r="O1138" s="47"/>
      <c r="P1138" s="47"/>
    </row>
    <row r="1139" spans="1:16" x14ac:dyDescent="0.3">
      <c r="A1139" s="1">
        <v>1138</v>
      </c>
      <c r="G1139" s="4"/>
      <c r="H1139" s="4"/>
      <c r="I1139" s="47"/>
      <c r="J1139" s="47" t="str">
        <f t="shared" si="30"/>
        <v/>
      </c>
      <c r="K1139" s="47"/>
      <c r="L1139" s="47"/>
      <c r="N1139" s="47"/>
      <c r="O1139" s="47"/>
      <c r="P1139" s="47"/>
    </row>
    <row r="1140" spans="1:16" x14ac:dyDescent="0.3">
      <c r="A1140" s="1">
        <v>1139</v>
      </c>
      <c r="G1140" s="4"/>
      <c r="H1140" s="4"/>
      <c r="I1140" s="47"/>
      <c r="J1140" s="47" t="str">
        <f t="shared" si="30"/>
        <v/>
      </c>
      <c r="K1140" s="47"/>
      <c r="L1140" s="47"/>
      <c r="N1140" s="47"/>
      <c r="O1140" s="47"/>
      <c r="P1140" s="47"/>
    </row>
    <row r="1141" spans="1:16" x14ac:dyDescent="0.3">
      <c r="A1141" s="1">
        <v>1140</v>
      </c>
      <c r="G1141" s="4"/>
      <c r="H1141" s="4"/>
      <c r="I1141" s="47"/>
      <c r="J1141" s="47" t="str">
        <f t="shared" si="30"/>
        <v/>
      </c>
      <c r="K1141" s="47"/>
      <c r="L1141" s="47"/>
      <c r="N1141" s="47"/>
      <c r="O1141" s="47"/>
      <c r="P1141" s="47"/>
    </row>
    <row r="1142" spans="1:16" x14ac:dyDescent="0.3">
      <c r="A1142" s="1">
        <v>1141</v>
      </c>
      <c r="G1142" s="4"/>
      <c r="H1142" s="4"/>
      <c r="I1142" s="47"/>
      <c r="J1142" s="47" t="str">
        <f t="shared" si="30"/>
        <v/>
      </c>
      <c r="K1142" s="47"/>
      <c r="L1142" s="47"/>
      <c r="N1142" s="47"/>
      <c r="O1142" s="47"/>
      <c r="P1142" s="47"/>
    </row>
    <row r="1143" spans="1:16" x14ac:dyDescent="0.3">
      <c r="A1143" s="1">
        <v>1142</v>
      </c>
      <c r="G1143" s="4"/>
      <c r="H1143" s="4"/>
      <c r="I1143" s="47"/>
      <c r="J1143" s="47" t="str">
        <f t="shared" si="30"/>
        <v/>
      </c>
      <c r="K1143" s="47"/>
      <c r="L1143" s="47"/>
      <c r="N1143" s="47"/>
      <c r="O1143" s="47"/>
      <c r="P1143" s="47"/>
    </row>
    <row r="1144" spans="1:16" x14ac:dyDescent="0.3">
      <c r="A1144" s="1">
        <v>1143</v>
      </c>
      <c r="G1144" s="4"/>
      <c r="H1144" s="4"/>
      <c r="I1144" s="47"/>
      <c r="J1144" s="47" t="str">
        <f t="shared" si="30"/>
        <v/>
      </c>
      <c r="K1144" s="47"/>
      <c r="L1144" s="47"/>
      <c r="N1144" s="47"/>
      <c r="O1144" s="47"/>
      <c r="P1144" s="47"/>
    </row>
    <row r="1145" spans="1:16" x14ac:dyDescent="0.3">
      <c r="A1145" s="1">
        <v>1144</v>
      </c>
      <c r="G1145" s="4"/>
      <c r="H1145" s="4"/>
      <c r="I1145" s="47"/>
      <c r="J1145" s="47" t="str">
        <f t="shared" si="30"/>
        <v/>
      </c>
      <c r="K1145" s="47"/>
      <c r="L1145" s="47"/>
      <c r="N1145" s="47"/>
      <c r="O1145" s="47"/>
      <c r="P1145" s="47"/>
    </row>
    <row r="1146" spans="1:16" x14ac:dyDescent="0.3">
      <c r="A1146" s="1">
        <v>1145</v>
      </c>
      <c r="G1146" s="4"/>
      <c r="H1146" s="4"/>
      <c r="I1146" s="47"/>
      <c r="J1146" s="47" t="str">
        <f t="shared" si="30"/>
        <v/>
      </c>
      <c r="K1146" s="47"/>
      <c r="L1146" s="47"/>
      <c r="N1146" s="47"/>
      <c r="O1146" s="47"/>
      <c r="P1146" s="47"/>
    </row>
    <row r="1147" spans="1:16" x14ac:dyDescent="0.3">
      <c r="A1147" s="1">
        <v>1146</v>
      </c>
      <c r="G1147" s="4"/>
      <c r="H1147" s="4"/>
      <c r="I1147" s="47"/>
      <c r="J1147" s="47" t="str">
        <f t="shared" si="30"/>
        <v/>
      </c>
      <c r="K1147" s="47"/>
      <c r="L1147" s="47"/>
      <c r="N1147" s="47"/>
      <c r="O1147" s="47"/>
      <c r="P1147" s="47"/>
    </row>
    <row r="1148" spans="1:16" x14ac:dyDescent="0.3">
      <c r="A1148" s="1">
        <v>1147</v>
      </c>
      <c r="G1148" s="4"/>
      <c r="H1148" s="4"/>
      <c r="I1148" s="47"/>
      <c r="J1148" s="47" t="str">
        <f t="shared" si="30"/>
        <v/>
      </c>
      <c r="K1148" s="47"/>
      <c r="L1148" s="47"/>
      <c r="N1148" s="47"/>
      <c r="O1148" s="47"/>
      <c r="P1148" s="47"/>
    </row>
    <row r="1149" spans="1:16" x14ac:dyDescent="0.3">
      <c r="A1149" s="1">
        <v>1148</v>
      </c>
      <c r="G1149" s="4"/>
      <c r="H1149" s="4"/>
      <c r="I1149" s="47"/>
      <c r="J1149" s="47" t="str">
        <f t="shared" si="30"/>
        <v/>
      </c>
      <c r="K1149" s="47"/>
      <c r="L1149" s="47"/>
      <c r="N1149" s="47"/>
      <c r="O1149" s="47"/>
      <c r="P1149" s="47"/>
    </row>
    <row r="1150" spans="1:16" x14ac:dyDescent="0.3">
      <c r="A1150" s="1">
        <v>1149</v>
      </c>
      <c r="G1150" s="4"/>
      <c r="H1150" s="4"/>
      <c r="I1150" s="47"/>
      <c r="J1150" s="47" t="str">
        <f t="shared" si="30"/>
        <v/>
      </c>
      <c r="K1150" s="47"/>
      <c r="L1150" s="47"/>
      <c r="N1150" s="47"/>
      <c r="O1150" s="47"/>
      <c r="P1150" s="47"/>
    </row>
    <row r="1151" spans="1:16" x14ac:dyDescent="0.3">
      <c r="A1151" s="1">
        <v>1150</v>
      </c>
      <c r="G1151" s="4"/>
      <c r="H1151" s="4"/>
      <c r="I1151" s="47"/>
      <c r="J1151" s="47" t="str">
        <f t="shared" si="30"/>
        <v/>
      </c>
      <c r="K1151" s="47"/>
      <c r="L1151" s="47"/>
      <c r="N1151" s="47"/>
      <c r="O1151" s="47"/>
      <c r="P1151" s="47"/>
    </row>
    <row r="1152" spans="1:16" x14ac:dyDescent="0.3">
      <c r="A1152" s="1">
        <v>1151</v>
      </c>
      <c r="G1152" s="4"/>
      <c r="H1152" s="4"/>
      <c r="I1152" s="47"/>
      <c r="J1152" s="47" t="str">
        <f t="shared" si="30"/>
        <v/>
      </c>
      <c r="K1152" s="47"/>
      <c r="L1152" s="47"/>
      <c r="N1152" s="47"/>
      <c r="O1152" s="47"/>
      <c r="P1152" s="47"/>
    </row>
    <row r="1153" spans="1:16" x14ac:dyDescent="0.3">
      <c r="A1153" s="1">
        <v>1152</v>
      </c>
      <c r="G1153" s="4"/>
      <c r="H1153" s="4"/>
      <c r="I1153" s="47"/>
      <c r="J1153" s="47" t="str">
        <f t="shared" si="30"/>
        <v/>
      </c>
      <c r="K1153" s="47"/>
      <c r="L1153" s="47"/>
      <c r="N1153" s="47"/>
      <c r="O1153" s="47"/>
      <c r="P1153" s="47"/>
    </row>
    <row r="1154" spans="1:16" x14ac:dyDescent="0.3">
      <c r="A1154" s="1">
        <v>1153</v>
      </c>
      <c r="G1154" s="4"/>
      <c r="H1154" s="4"/>
      <c r="I1154" s="47"/>
      <c r="J1154" s="47" t="str">
        <f t="shared" si="30"/>
        <v/>
      </c>
      <c r="K1154" s="47"/>
      <c r="L1154" s="47"/>
      <c r="N1154" s="47"/>
      <c r="O1154" s="47"/>
      <c r="P1154" s="47"/>
    </row>
    <row r="1155" spans="1:16" x14ac:dyDescent="0.3">
      <c r="A1155" s="1">
        <v>1154</v>
      </c>
      <c r="G1155" s="4"/>
      <c r="H1155" s="4"/>
      <c r="I1155" s="47"/>
      <c r="J1155" s="47" t="str">
        <f t="shared" ref="J1155:J1218" si="31">+E1155&amp;I1155</f>
        <v/>
      </c>
      <c r="K1155" s="47"/>
      <c r="L1155" s="47"/>
      <c r="N1155" s="47"/>
      <c r="O1155" s="47"/>
      <c r="P1155" s="47"/>
    </row>
    <row r="1156" spans="1:16" x14ac:dyDescent="0.3">
      <c r="A1156" s="1">
        <v>1155</v>
      </c>
      <c r="G1156" s="4"/>
      <c r="H1156" s="4"/>
      <c r="I1156" s="47"/>
      <c r="J1156" s="47" t="str">
        <f t="shared" si="31"/>
        <v/>
      </c>
      <c r="K1156" s="47"/>
      <c r="L1156" s="47"/>
      <c r="N1156" s="47"/>
      <c r="O1156" s="47"/>
      <c r="P1156" s="47"/>
    </row>
    <row r="1157" spans="1:16" x14ac:dyDescent="0.3">
      <c r="A1157" s="1">
        <v>1156</v>
      </c>
      <c r="G1157" s="4"/>
      <c r="H1157" s="4"/>
      <c r="I1157" s="47"/>
      <c r="J1157" s="47" t="str">
        <f t="shared" si="31"/>
        <v/>
      </c>
      <c r="K1157" s="47"/>
      <c r="L1157" s="47"/>
      <c r="N1157" s="47"/>
      <c r="O1157" s="47"/>
      <c r="P1157" s="47"/>
    </row>
    <row r="1158" spans="1:16" x14ac:dyDescent="0.3">
      <c r="A1158" s="1">
        <v>1157</v>
      </c>
      <c r="G1158" s="4"/>
      <c r="H1158" s="4"/>
      <c r="I1158" s="47"/>
      <c r="J1158" s="47" t="str">
        <f t="shared" si="31"/>
        <v/>
      </c>
      <c r="K1158" s="47"/>
      <c r="L1158" s="47"/>
      <c r="N1158" s="47"/>
      <c r="O1158" s="47"/>
      <c r="P1158" s="47"/>
    </row>
    <row r="1159" spans="1:16" x14ac:dyDescent="0.3">
      <c r="A1159" s="1">
        <v>1158</v>
      </c>
      <c r="G1159" s="4"/>
      <c r="H1159" s="4"/>
      <c r="I1159" s="47"/>
      <c r="J1159" s="47" t="str">
        <f t="shared" si="31"/>
        <v/>
      </c>
      <c r="K1159" s="47"/>
      <c r="L1159" s="47"/>
      <c r="N1159" s="47"/>
      <c r="O1159" s="47"/>
      <c r="P1159" s="47"/>
    </row>
    <row r="1160" spans="1:16" x14ac:dyDescent="0.3">
      <c r="A1160" s="1">
        <v>1159</v>
      </c>
      <c r="G1160" s="4"/>
      <c r="H1160" s="4"/>
      <c r="I1160" s="47"/>
      <c r="J1160" s="47" t="str">
        <f t="shared" si="31"/>
        <v/>
      </c>
      <c r="K1160" s="47"/>
      <c r="L1160" s="47"/>
      <c r="N1160" s="47"/>
      <c r="O1160" s="47"/>
      <c r="P1160" s="47"/>
    </row>
    <row r="1161" spans="1:16" x14ac:dyDescent="0.3">
      <c r="A1161" s="1">
        <v>1160</v>
      </c>
      <c r="G1161" s="4"/>
      <c r="H1161" s="4"/>
      <c r="I1161" s="47"/>
      <c r="J1161" s="47" t="str">
        <f t="shared" si="31"/>
        <v/>
      </c>
      <c r="K1161" s="47"/>
      <c r="L1161" s="47"/>
      <c r="N1161" s="47"/>
      <c r="O1161" s="47"/>
      <c r="P1161" s="47"/>
    </row>
    <row r="1162" spans="1:16" x14ac:dyDescent="0.3">
      <c r="A1162" s="1">
        <v>1161</v>
      </c>
      <c r="G1162" s="4"/>
      <c r="H1162" s="4"/>
      <c r="I1162" s="47"/>
      <c r="J1162" s="47" t="str">
        <f t="shared" si="31"/>
        <v/>
      </c>
      <c r="K1162" s="47"/>
      <c r="L1162" s="47"/>
      <c r="N1162" s="47"/>
      <c r="O1162" s="47"/>
      <c r="P1162" s="47"/>
    </row>
    <row r="1163" spans="1:16" x14ac:dyDescent="0.3">
      <c r="A1163" s="1">
        <v>1162</v>
      </c>
      <c r="G1163" s="4"/>
      <c r="H1163" s="4"/>
      <c r="I1163" s="47"/>
      <c r="J1163" s="47" t="str">
        <f t="shared" si="31"/>
        <v/>
      </c>
      <c r="K1163" s="47"/>
      <c r="L1163" s="47"/>
      <c r="N1163" s="47"/>
      <c r="O1163" s="47"/>
      <c r="P1163" s="47"/>
    </row>
    <row r="1164" spans="1:16" x14ac:dyDescent="0.3">
      <c r="A1164" s="1">
        <v>1163</v>
      </c>
      <c r="G1164" s="4"/>
      <c r="H1164" s="4"/>
      <c r="I1164" s="47"/>
      <c r="J1164" s="47" t="str">
        <f t="shared" si="31"/>
        <v/>
      </c>
      <c r="K1164" s="47"/>
      <c r="L1164" s="47"/>
      <c r="N1164" s="47"/>
      <c r="O1164" s="47"/>
      <c r="P1164" s="47"/>
    </row>
    <row r="1165" spans="1:16" x14ac:dyDescent="0.3">
      <c r="A1165" s="1">
        <v>1164</v>
      </c>
      <c r="G1165" s="4"/>
      <c r="H1165" s="4"/>
      <c r="I1165" s="47"/>
      <c r="J1165" s="47" t="str">
        <f t="shared" si="31"/>
        <v/>
      </c>
      <c r="K1165" s="47"/>
      <c r="L1165" s="47"/>
      <c r="N1165" s="47"/>
      <c r="O1165" s="47"/>
      <c r="P1165" s="47"/>
    </row>
    <row r="1166" spans="1:16" x14ac:dyDescent="0.3">
      <c r="A1166" s="1">
        <v>1165</v>
      </c>
      <c r="G1166" s="4"/>
      <c r="H1166" s="4"/>
      <c r="I1166" s="47"/>
      <c r="J1166" s="47" t="str">
        <f t="shared" si="31"/>
        <v/>
      </c>
      <c r="K1166" s="47"/>
      <c r="L1166" s="47"/>
      <c r="N1166" s="47"/>
      <c r="O1166" s="47"/>
      <c r="P1166" s="47"/>
    </row>
    <row r="1167" spans="1:16" x14ac:dyDescent="0.3">
      <c r="A1167" s="1">
        <v>1166</v>
      </c>
      <c r="G1167" s="4"/>
      <c r="H1167" s="4"/>
      <c r="I1167" s="47"/>
      <c r="J1167" s="47" t="str">
        <f t="shared" si="31"/>
        <v/>
      </c>
      <c r="K1167" s="47"/>
      <c r="L1167" s="47"/>
      <c r="N1167" s="47"/>
      <c r="O1167" s="47"/>
      <c r="P1167" s="47"/>
    </row>
    <row r="1168" spans="1:16" x14ac:dyDescent="0.3">
      <c r="A1168" s="1">
        <v>1167</v>
      </c>
      <c r="G1168" s="4"/>
      <c r="H1168" s="4"/>
      <c r="I1168" s="47"/>
      <c r="J1168" s="47" t="str">
        <f t="shared" si="31"/>
        <v/>
      </c>
      <c r="K1168" s="47"/>
      <c r="L1168" s="47"/>
      <c r="N1168" s="47"/>
      <c r="O1168" s="47"/>
      <c r="P1168" s="47"/>
    </row>
    <row r="1169" spans="1:16" x14ac:dyDescent="0.3">
      <c r="A1169" s="1">
        <v>1168</v>
      </c>
      <c r="G1169" s="4"/>
      <c r="H1169" s="4"/>
      <c r="I1169" s="47"/>
      <c r="J1169" s="47" t="str">
        <f t="shared" si="31"/>
        <v/>
      </c>
      <c r="K1169" s="47"/>
      <c r="L1169" s="47"/>
      <c r="N1169" s="47"/>
      <c r="O1169" s="47"/>
      <c r="P1169" s="47"/>
    </row>
    <row r="1170" spans="1:16" x14ac:dyDescent="0.3">
      <c r="A1170" s="1">
        <v>1169</v>
      </c>
      <c r="G1170" s="4"/>
      <c r="H1170" s="4"/>
      <c r="I1170" s="47"/>
      <c r="J1170" s="47" t="str">
        <f t="shared" si="31"/>
        <v/>
      </c>
      <c r="K1170" s="47"/>
      <c r="L1170" s="47"/>
      <c r="N1170" s="47"/>
      <c r="O1170" s="47"/>
      <c r="P1170" s="47"/>
    </row>
    <row r="1171" spans="1:16" x14ac:dyDescent="0.3">
      <c r="A1171" s="1">
        <v>1170</v>
      </c>
      <c r="G1171" s="4"/>
      <c r="H1171" s="4"/>
      <c r="I1171" s="47"/>
      <c r="J1171" s="47" t="str">
        <f t="shared" si="31"/>
        <v/>
      </c>
      <c r="K1171" s="47"/>
      <c r="L1171" s="47"/>
      <c r="N1171" s="47"/>
      <c r="O1171" s="47"/>
      <c r="P1171" s="47"/>
    </row>
    <row r="1172" spans="1:16" x14ac:dyDescent="0.3">
      <c r="A1172" s="1">
        <v>1171</v>
      </c>
      <c r="G1172" s="4"/>
      <c r="H1172" s="4"/>
      <c r="I1172" s="47"/>
      <c r="J1172" s="47" t="str">
        <f t="shared" si="31"/>
        <v/>
      </c>
      <c r="K1172" s="47"/>
      <c r="L1172" s="47"/>
      <c r="N1172" s="47"/>
      <c r="O1172" s="47"/>
      <c r="P1172" s="47"/>
    </row>
    <row r="1173" spans="1:16" x14ac:dyDescent="0.3">
      <c r="A1173" s="1">
        <v>1172</v>
      </c>
      <c r="G1173" s="4"/>
      <c r="H1173" s="4"/>
      <c r="I1173" s="47"/>
      <c r="J1173" s="47" t="str">
        <f t="shared" si="31"/>
        <v/>
      </c>
      <c r="K1173" s="47"/>
      <c r="L1173" s="47"/>
      <c r="N1173" s="47"/>
      <c r="O1173" s="47"/>
      <c r="P1173" s="47"/>
    </row>
    <row r="1174" spans="1:16" x14ac:dyDescent="0.3">
      <c r="A1174" s="1">
        <v>1173</v>
      </c>
      <c r="G1174" s="4"/>
      <c r="H1174" s="4"/>
      <c r="I1174" s="47"/>
      <c r="J1174" s="47" t="str">
        <f t="shared" si="31"/>
        <v/>
      </c>
      <c r="K1174" s="47"/>
      <c r="L1174" s="47"/>
      <c r="N1174" s="47"/>
      <c r="O1174" s="47"/>
      <c r="P1174" s="47"/>
    </row>
    <row r="1175" spans="1:16" x14ac:dyDescent="0.3">
      <c r="A1175" s="1">
        <v>1174</v>
      </c>
      <c r="G1175" s="4"/>
      <c r="H1175" s="4"/>
      <c r="I1175" s="47"/>
      <c r="J1175" s="47" t="str">
        <f t="shared" si="31"/>
        <v/>
      </c>
      <c r="K1175" s="47"/>
      <c r="L1175" s="47"/>
      <c r="N1175" s="47"/>
      <c r="O1175" s="47"/>
      <c r="P1175" s="47"/>
    </row>
    <row r="1176" spans="1:16" x14ac:dyDescent="0.3">
      <c r="A1176" s="1">
        <v>1175</v>
      </c>
      <c r="G1176" s="4"/>
      <c r="H1176" s="4"/>
      <c r="I1176" s="47"/>
      <c r="J1176" s="47" t="str">
        <f t="shared" si="31"/>
        <v/>
      </c>
      <c r="K1176" s="47"/>
      <c r="L1176" s="47"/>
      <c r="N1176" s="47"/>
      <c r="O1176" s="47"/>
      <c r="P1176" s="47"/>
    </row>
    <row r="1177" spans="1:16" x14ac:dyDescent="0.3">
      <c r="A1177" s="1">
        <v>1176</v>
      </c>
      <c r="G1177" s="4"/>
      <c r="H1177" s="4"/>
      <c r="I1177" s="47"/>
      <c r="J1177" s="47" t="str">
        <f t="shared" si="31"/>
        <v/>
      </c>
      <c r="K1177" s="47"/>
      <c r="L1177" s="47"/>
      <c r="N1177" s="47"/>
      <c r="O1177" s="47"/>
      <c r="P1177" s="47"/>
    </row>
    <row r="1178" spans="1:16" x14ac:dyDescent="0.3">
      <c r="A1178" s="1">
        <v>1177</v>
      </c>
      <c r="G1178" s="4"/>
      <c r="H1178" s="4"/>
      <c r="I1178" s="47"/>
      <c r="J1178" s="47" t="str">
        <f t="shared" si="31"/>
        <v/>
      </c>
      <c r="K1178" s="47"/>
      <c r="L1178" s="47"/>
      <c r="N1178" s="47"/>
      <c r="O1178" s="47"/>
      <c r="P1178" s="47"/>
    </row>
    <row r="1179" spans="1:16" x14ac:dyDescent="0.3">
      <c r="A1179" s="1">
        <v>1178</v>
      </c>
      <c r="G1179" s="4"/>
      <c r="H1179" s="4"/>
      <c r="I1179" s="47"/>
      <c r="J1179" s="47" t="str">
        <f t="shared" si="31"/>
        <v/>
      </c>
      <c r="K1179" s="47"/>
      <c r="L1179" s="47"/>
      <c r="N1179" s="47"/>
      <c r="O1179" s="47"/>
      <c r="P1179" s="47"/>
    </row>
    <row r="1180" spans="1:16" x14ac:dyDescent="0.3">
      <c r="A1180" s="1">
        <v>1179</v>
      </c>
      <c r="G1180" s="4"/>
      <c r="H1180" s="4"/>
      <c r="I1180" s="47"/>
      <c r="J1180" s="47" t="str">
        <f t="shared" si="31"/>
        <v/>
      </c>
      <c r="K1180" s="47"/>
      <c r="L1180" s="47"/>
      <c r="N1180" s="47"/>
      <c r="O1180" s="47"/>
      <c r="P1180" s="47"/>
    </row>
    <row r="1181" spans="1:16" x14ac:dyDescent="0.3">
      <c r="A1181" s="1">
        <v>1180</v>
      </c>
      <c r="G1181" s="4"/>
      <c r="H1181" s="4"/>
      <c r="I1181" s="47"/>
      <c r="J1181" s="47" t="str">
        <f t="shared" si="31"/>
        <v/>
      </c>
      <c r="K1181" s="47"/>
      <c r="L1181" s="47"/>
      <c r="N1181" s="47"/>
      <c r="O1181" s="47"/>
      <c r="P1181" s="47"/>
    </row>
    <row r="1182" spans="1:16" x14ac:dyDescent="0.3">
      <c r="A1182" s="1">
        <v>1181</v>
      </c>
      <c r="G1182" s="4"/>
      <c r="H1182" s="4"/>
      <c r="I1182" s="47"/>
      <c r="J1182" s="47" t="str">
        <f t="shared" si="31"/>
        <v/>
      </c>
      <c r="K1182" s="47"/>
      <c r="L1182" s="47"/>
      <c r="N1182" s="47"/>
      <c r="O1182" s="47"/>
      <c r="P1182" s="47"/>
    </row>
    <row r="1183" spans="1:16" x14ac:dyDescent="0.3">
      <c r="A1183" s="1">
        <v>1182</v>
      </c>
      <c r="G1183" s="4"/>
      <c r="H1183" s="4"/>
      <c r="I1183" s="47"/>
      <c r="J1183" s="47" t="str">
        <f t="shared" si="31"/>
        <v/>
      </c>
      <c r="K1183" s="47"/>
      <c r="L1183" s="47"/>
      <c r="N1183" s="47"/>
      <c r="O1183" s="47"/>
      <c r="P1183" s="47"/>
    </row>
    <row r="1184" spans="1:16" x14ac:dyDescent="0.3">
      <c r="A1184" s="1">
        <v>1183</v>
      </c>
      <c r="G1184" s="4"/>
      <c r="H1184" s="4"/>
      <c r="I1184" s="47"/>
      <c r="J1184" s="47" t="str">
        <f t="shared" si="31"/>
        <v/>
      </c>
      <c r="K1184" s="47"/>
      <c r="L1184" s="47"/>
      <c r="N1184" s="47"/>
      <c r="O1184" s="47"/>
      <c r="P1184" s="47"/>
    </row>
    <row r="1185" spans="1:16" x14ac:dyDescent="0.3">
      <c r="A1185" s="1">
        <v>1184</v>
      </c>
      <c r="G1185" s="4"/>
      <c r="H1185" s="4"/>
      <c r="I1185" s="47"/>
      <c r="J1185" s="47" t="str">
        <f t="shared" si="31"/>
        <v/>
      </c>
      <c r="K1185" s="47"/>
      <c r="L1185" s="47"/>
      <c r="N1185" s="47"/>
      <c r="O1185" s="47"/>
      <c r="P1185" s="47"/>
    </row>
    <row r="1186" spans="1:16" x14ac:dyDescent="0.3">
      <c r="A1186" s="1">
        <v>1185</v>
      </c>
      <c r="G1186" s="4"/>
      <c r="H1186" s="4"/>
      <c r="I1186" s="47"/>
      <c r="J1186" s="47" t="str">
        <f t="shared" si="31"/>
        <v/>
      </c>
      <c r="K1186" s="47"/>
      <c r="L1186" s="47"/>
      <c r="N1186" s="47"/>
      <c r="O1186" s="47"/>
      <c r="P1186" s="47"/>
    </row>
    <row r="1187" spans="1:16" x14ac:dyDescent="0.3">
      <c r="A1187" s="1">
        <v>1186</v>
      </c>
      <c r="G1187" s="4"/>
      <c r="H1187" s="4"/>
      <c r="I1187" s="47"/>
      <c r="J1187" s="47" t="str">
        <f t="shared" si="31"/>
        <v/>
      </c>
      <c r="K1187" s="47"/>
      <c r="L1187" s="47"/>
      <c r="N1187" s="47"/>
      <c r="O1187" s="47"/>
      <c r="P1187" s="47"/>
    </row>
    <row r="1188" spans="1:16" x14ac:dyDescent="0.3">
      <c r="A1188" s="1">
        <v>1187</v>
      </c>
      <c r="G1188" s="4"/>
      <c r="H1188" s="4"/>
      <c r="I1188" s="47"/>
      <c r="J1188" s="47" t="str">
        <f t="shared" si="31"/>
        <v/>
      </c>
      <c r="K1188" s="47"/>
      <c r="L1188" s="47"/>
      <c r="N1188" s="47"/>
      <c r="O1188" s="47"/>
      <c r="P1188" s="47"/>
    </row>
    <row r="1189" spans="1:16" x14ac:dyDescent="0.3">
      <c r="A1189" s="1">
        <v>1188</v>
      </c>
      <c r="G1189" s="4"/>
      <c r="H1189" s="4"/>
      <c r="I1189" s="47"/>
      <c r="J1189" s="47" t="str">
        <f t="shared" si="31"/>
        <v/>
      </c>
      <c r="K1189" s="47"/>
      <c r="L1189" s="47"/>
      <c r="N1189" s="47"/>
      <c r="O1189" s="47"/>
      <c r="P1189" s="47"/>
    </row>
    <row r="1190" spans="1:16" x14ac:dyDescent="0.3">
      <c r="A1190" s="1">
        <v>1189</v>
      </c>
      <c r="G1190" s="4"/>
      <c r="H1190" s="4"/>
      <c r="I1190" s="47"/>
      <c r="J1190" s="47" t="str">
        <f t="shared" si="31"/>
        <v/>
      </c>
      <c r="K1190" s="47"/>
      <c r="L1190" s="47"/>
      <c r="N1190" s="47"/>
      <c r="O1190" s="47"/>
      <c r="P1190" s="47"/>
    </row>
    <row r="1191" spans="1:16" x14ac:dyDescent="0.3">
      <c r="A1191" s="1">
        <v>1190</v>
      </c>
      <c r="G1191" s="4"/>
      <c r="H1191" s="4"/>
      <c r="I1191" s="47"/>
      <c r="J1191" s="47" t="str">
        <f t="shared" si="31"/>
        <v/>
      </c>
      <c r="K1191" s="47"/>
      <c r="L1191" s="47"/>
      <c r="N1191" s="47"/>
      <c r="O1191" s="47"/>
      <c r="P1191" s="47"/>
    </row>
    <row r="1192" spans="1:16" x14ac:dyDescent="0.3">
      <c r="A1192" s="1">
        <v>1191</v>
      </c>
      <c r="G1192" s="4"/>
      <c r="H1192" s="4"/>
      <c r="I1192" s="47"/>
      <c r="J1192" s="47" t="str">
        <f t="shared" si="31"/>
        <v/>
      </c>
      <c r="K1192" s="47"/>
      <c r="L1192" s="47"/>
      <c r="N1192" s="47"/>
      <c r="O1192" s="47"/>
      <c r="P1192" s="47"/>
    </row>
    <row r="1193" spans="1:16" x14ac:dyDescent="0.3">
      <c r="A1193" s="1">
        <v>1192</v>
      </c>
      <c r="G1193" s="4"/>
      <c r="H1193" s="4"/>
      <c r="I1193" s="47"/>
      <c r="J1193" s="47" t="str">
        <f t="shared" si="31"/>
        <v/>
      </c>
      <c r="K1193" s="47"/>
      <c r="L1193" s="47"/>
      <c r="N1193" s="47"/>
      <c r="O1193" s="47"/>
      <c r="P1193" s="47"/>
    </row>
    <row r="1194" spans="1:16" x14ac:dyDescent="0.3">
      <c r="A1194" s="1">
        <v>1193</v>
      </c>
      <c r="G1194" s="4"/>
      <c r="H1194" s="4"/>
      <c r="I1194" s="47"/>
      <c r="J1194" s="47" t="str">
        <f t="shared" si="31"/>
        <v/>
      </c>
      <c r="K1194" s="47"/>
      <c r="L1194" s="47"/>
      <c r="N1194" s="47"/>
      <c r="O1194" s="47"/>
      <c r="P1194" s="47"/>
    </row>
    <row r="1195" spans="1:16" x14ac:dyDescent="0.3">
      <c r="A1195" s="1">
        <v>1194</v>
      </c>
      <c r="G1195" s="4"/>
      <c r="H1195" s="4"/>
      <c r="I1195" s="47"/>
      <c r="J1195" s="47" t="str">
        <f t="shared" si="31"/>
        <v/>
      </c>
      <c r="K1195" s="47"/>
      <c r="L1195" s="47"/>
      <c r="N1195" s="47"/>
      <c r="O1195" s="47"/>
      <c r="P1195" s="47"/>
    </row>
    <row r="1196" spans="1:16" x14ac:dyDescent="0.3">
      <c r="A1196" s="1">
        <v>1195</v>
      </c>
      <c r="G1196" s="4"/>
      <c r="H1196" s="4"/>
      <c r="I1196" s="47"/>
      <c r="J1196" s="47" t="str">
        <f t="shared" si="31"/>
        <v/>
      </c>
      <c r="K1196" s="47"/>
      <c r="L1196" s="47"/>
      <c r="N1196" s="47"/>
      <c r="O1196" s="47"/>
      <c r="P1196" s="47"/>
    </row>
    <row r="1197" spans="1:16" x14ac:dyDescent="0.3">
      <c r="A1197" s="1">
        <v>1196</v>
      </c>
      <c r="G1197" s="4"/>
      <c r="H1197" s="4"/>
      <c r="I1197" s="47"/>
      <c r="J1197" s="47" t="str">
        <f t="shared" si="31"/>
        <v/>
      </c>
      <c r="K1197" s="47"/>
      <c r="L1197" s="47"/>
      <c r="N1197" s="47"/>
      <c r="O1197" s="47"/>
      <c r="P1197" s="47"/>
    </row>
    <row r="1198" spans="1:16" x14ac:dyDescent="0.3">
      <c r="A1198" s="1">
        <v>1197</v>
      </c>
      <c r="G1198" s="4"/>
      <c r="H1198" s="4"/>
      <c r="I1198" s="47"/>
      <c r="J1198" s="47" t="str">
        <f t="shared" si="31"/>
        <v/>
      </c>
      <c r="K1198" s="47"/>
      <c r="L1198" s="47"/>
      <c r="N1198" s="47"/>
      <c r="O1198" s="47"/>
      <c r="P1198" s="47"/>
    </row>
    <row r="1199" spans="1:16" x14ac:dyDescent="0.3">
      <c r="A1199" s="1">
        <v>1198</v>
      </c>
      <c r="G1199" s="4"/>
      <c r="H1199" s="4"/>
      <c r="I1199" s="47"/>
      <c r="J1199" s="47" t="str">
        <f t="shared" si="31"/>
        <v/>
      </c>
      <c r="K1199" s="47"/>
      <c r="L1199" s="47"/>
      <c r="N1199" s="47"/>
      <c r="O1199" s="47"/>
      <c r="P1199" s="47"/>
    </row>
    <row r="1200" spans="1:16" x14ac:dyDescent="0.3">
      <c r="A1200" s="1">
        <v>1199</v>
      </c>
      <c r="G1200" s="4"/>
      <c r="H1200" s="4"/>
      <c r="I1200" s="47"/>
      <c r="J1200" s="47" t="str">
        <f t="shared" si="31"/>
        <v/>
      </c>
      <c r="K1200" s="47"/>
      <c r="L1200" s="47"/>
      <c r="N1200" s="47"/>
      <c r="O1200" s="47"/>
      <c r="P1200" s="47"/>
    </row>
    <row r="1201" spans="1:16" x14ac:dyDescent="0.3">
      <c r="A1201" s="1">
        <v>1200</v>
      </c>
      <c r="G1201" s="4"/>
      <c r="H1201" s="4"/>
      <c r="I1201" s="47"/>
      <c r="J1201" s="47" t="str">
        <f t="shared" si="31"/>
        <v/>
      </c>
      <c r="K1201" s="47"/>
      <c r="L1201" s="47"/>
      <c r="N1201" s="47"/>
      <c r="O1201" s="47"/>
      <c r="P1201" s="47"/>
    </row>
    <row r="1202" spans="1:16" x14ac:dyDescent="0.3">
      <c r="A1202" s="1">
        <v>1201</v>
      </c>
      <c r="G1202" s="4"/>
      <c r="H1202" s="4"/>
      <c r="I1202" s="47"/>
      <c r="J1202" s="47" t="str">
        <f t="shared" si="31"/>
        <v/>
      </c>
      <c r="K1202" s="47"/>
      <c r="L1202" s="47"/>
      <c r="N1202" s="47"/>
      <c r="O1202" s="47"/>
      <c r="P1202" s="47"/>
    </row>
    <row r="1203" spans="1:16" x14ac:dyDescent="0.3">
      <c r="A1203" s="1">
        <v>1202</v>
      </c>
      <c r="G1203" s="4"/>
      <c r="H1203" s="4"/>
      <c r="I1203" s="47"/>
      <c r="J1203" s="47" t="str">
        <f t="shared" si="31"/>
        <v/>
      </c>
      <c r="K1203" s="47"/>
      <c r="L1203" s="47"/>
      <c r="N1203" s="47"/>
      <c r="O1203" s="47"/>
      <c r="P1203" s="47"/>
    </row>
    <row r="1204" spans="1:16" x14ac:dyDescent="0.3">
      <c r="A1204" s="1">
        <v>1203</v>
      </c>
      <c r="G1204" s="4"/>
      <c r="H1204" s="4"/>
      <c r="I1204" s="47"/>
      <c r="J1204" s="47" t="str">
        <f t="shared" si="31"/>
        <v/>
      </c>
      <c r="K1204" s="47"/>
      <c r="L1204" s="47"/>
      <c r="N1204" s="47"/>
      <c r="O1204" s="47"/>
      <c r="P1204" s="47"/>
    </row>
    <row r="1205" spans="1:16" x14ac:dyDescent="0.3">
      <c r="A1205" s="1">
        <v>1204</v>
      </c>
      <c r="G1205" s="4"/>
      <c r="H1205" s="4"/>
      <c r="I1205" s="47"/>
      <c r="J1205" s="47" t="str">
        <f t="shared" si="31"/>
        <v/>
      </c>
      <c r="K1205" s="47"/>
      <c r="L1205" s="47"/>
      <c r="N1205" s="47"/>
      <c r="O1205" s="47"/>
      <c r="P1205" s="47"/>
    </row>
    <row r="1206" spans="1:16" x14ac:dyDescent="0.3">
      <c r="A1206" s="1">
        <v>1205</v>
      </c>
      <c r="G1206" s="4"/>
      <c r="H1206" s="4"/>
      <c r="I1206" s="47"/>
      <c r="J1206" s="47" t="str">
        <f t="shared" si="31"/>
        <v/>
      </c>
      <c r="K1206" s="47"/>
      <c r="L1206" s="47"/>
      <c r="N1206" s="47"/>
      <c r="O1206" s="47"/>
      <c r="P1206" s="47"/>
    </row>
    <row r="1207" spans="1:16" x14ac:dyDescent="0.3">
      <c r="A1207" s="1">
        <v>1206</v>
      </c>
      <c r="G1207" s="4"/>
      <c r="H1207" s="4"/>
      <c r="I1207" s="47"/>
      <c r="J1207" s="47" t="str">
        <f t="shared" si="31"/>
        <v/>
      </c>
      <c r="K1207" s="47"/>
      <c r="L1207" s="47"/>
      <c r="N1207" s="47"/>
      <c r="O1207" s="47"/>
      <c r="P1207" s="47"/>
    </row>
    <row r="1208" spans="1:16" x14ac:dyDescent="0.3">
      <c r="A1208" s="1">
        <v>1207</v>
      </c>
      <c r="G1208" s="4"/>
      <c r="H1208" s="4"/>
      <c r="I1208" s="47"/>
      <c r="J1208" s="47" t="str">
        <f t="shared" si="31"/>
        <v/>
      </c>
      <c r="K1208" s="47"/>
      <c r="L1208" s="47"/>
      <c r="N1208" s="47"/>
      <c r="O1208" s="47"/>
      <c r="P1208" s="47"/>
    </row>
    <row r="1209" spans="1:16" x14ac:dyDescent="0.3">
      <c r="A1209" s="1">
        <v>1208</v>
      </c>
      <c r="G1209" s="4"/>
      <c r="H1209" s="4"/>
      <c r="I1209" s="47"/>
      <c r="J1209" s="47" t="str">
        <f t="shared" si="31"/>
        <v/>
      </c>
      <c r="K1209" s="47"/>
      <c r="L1209" s="47"/>
      <c r="N1209" s="47"/>
      <c r="O1209" s="47"/>
      <c r="P1209" s="47"/>
    </row>
    <row r="1210" spans="1:16" x14ac:dyDescent="0.3">
      <c r="A1210" s="1">
        <v>1209</v>
      </c>
      <c r="G1210" s="4"/>
      <c r="H1210" s="4"/>
      <c r="I1210" s="47"/>
      <c r="J1210" s="47" t="str">
        <f t="shared" si="31"/>
        <v/>
      </c>
      <c r="K1210" s="47"/>
      <c r="L1210" s="47"/>
      <c r="N1210" s="47"/>
      <c r="O1210" s="47"/>
      <c r="P1210" s="47"/>
    </row>
    <row r="1211" spans="1:16" x14ac:dyDescent="0.3">
      <c r="A1211" s="1">
        <v>1210</v>
      </c>
      <c r="G1211" s="4"/>
      <c r="H1211" s="4"/>
      <c r="I1211" s="47"/>
      <c r="J1211" s="47" t="str">
        <f t="shared" si="31"/>
        <v/>
      </c>
      <c r="K1211" s="47"/>
      <c r="L1211" s="47"/>
      <c r="N1211" s="47"/>
      <c r="O1211" s="47"/>
      <c r="P1211" s="47"/>
    </row>
    <row r="1212" spans="1:16" x14ac:dyDescent="0.3">
      <c r="A1212" s="1">
        <v>1211</v>
      </c>
      <c r="G1212" s="4"/>
      <c r="H1212" s="4"/>
      <c r="I1212" s="47"/>
      <c r="J1212" s="47" t="str">
        <f t="shared" si="31"/>
        <v/>
      </c>
      <c r="K1212" s="47"/>
      <c r="L1212" s="47"/>
      <c r="N1212" s="47"/>
      <c r="O1212" s="47"/>
      <c r="P1212" s="47"/>
    </row>
    <row r="1213" spans="1:16" x14ac:dyDescent="0.3">
      <c r="A1213" s="1">
        <v>1212</v>
      </c>
      <c r="G1213" s="4"/>
      <c r="H1213" s="4"/>
      <c r="I1213" s="47"/>
      <c r="J1213" s="47" t="str">
        <f t="shared" si="31"/>
        <v/>
      </c>
      <c r="K1213" s="47"/>
      <c r="L1213" s="47"/>
      <c r="N1213" s="47"/>
      <c r="O1213" s="47"/>
      <c r="P1213" s="47"/>
    </row>
    <row r="1214" spans="1:16" x14ac:dyDescent="0.3">
      <c r="A1214" s="1">
        <v>1213</v>
      </c>
      <c r="G1214" s="4"/>
      <c r="H1214" s="4"/>
      <c r="I1214" s="47"/>
      <c r="J1214" s="47" t="str">
        <f t="shared" si="31"/>
        <v/>
      </c>
      <c r="K1214" s="47"/>
      <c r="L1214" s="47"/>
      <c r="N1214" s="47"/>
      <c r="O1214" s="47"/>
      <c r="P1214" s="47"/>
    </row>
    <row r="1215" spans="1:16" x14ac:dyDescent="0.3">
      <c r="A1215" s="1">
        <v>1214</v>
      </c>
      <c r="G1215" s="4"/>
      <c r="H1215" s="4"/>
      <c r="I1215" s="47"/>
      <c r="J1215" s="47" t="str">
        <f t="shared" si="31"/>
        <v/>
      </c>
      <c r="K1215" s="47"/>
      <c r="L1215" s="47"/>
      <c r="N1215" s="47"/>
      <c r="O1215" s="47"/>
      <c r="P1215" s="47"/>
    </row>
    <row r="1216" spans="1:16" x14ac:dyDescent="0.3">
      <c r="A1216" s="1">
        <v>1215</v>
      </c>
      <c r="G1216" s="4"/>
      <c r="H1216" s="4"/>
      <c r="I1216" s="47"/>
      <c r="J1216" s="47" t="str">
        <f t="shared" si="31"/>
        <v/>
      </c>
      <c r="K1216" s="47"/>
      <c r="L1216" s="47"/>
      <c r="N1216" s="47"/>
      <c r="O1216" s="47"/>
      <c r="P1216" s="47"/>
    </row>
    <row r="1217" spans="1:16" x14ac:dyDescent="0.3">
      <c r="A1217" s="1">
        <v>1216</v>
      </c>
      <c r="G1217" s="4"/>
      <c r="H1217" s="4"/>
      <c r="I1217" s="47"/>
      <c r="J1217" s="47" t="str">
        <f t="shared" si="31"/>
        <v/>
      </c>
      <c r="K1217" s="47"/>
      <c r="L1217" s="47"/>
      <c r="N1217" s="47"/>
      <c r="O1217" s="47"/>
      <c r="P1217" s="47"/>
    </row>
    <row r="1218" spans="1:16" x14ac:dyDescent="0.3">
      <c r="A1218" s="1">
        <v>1217</v>
      </c>
      <c r="G1218" s="4"/>
      <c r="H1218" s="4"/>
      <c r="I1218" s="47"/>
      <c r="J1218" s="47" t="str">
        <f t="shared" si="31"/>
        <v/>
      </c>
      <c r="K1218" s="47"/>
      <c r="L1218" s="47"/>
      <c r="N1218" s="47"/>
      <c r="O1218" s="47"/>
      <c r="P1218" s="47"/>
    </row>
    <row r="1219" spans="1:16" x14ac:dyDescent="0.3">
      <c r="A1219" s="1">
        <v>1218</v>
      </c>
      <c r="G1219" s="4"/>
      <c r="H1219" s="4"/>
      <c r="I1219" s="47"/>
      <c r="J1219" s="47" t="str">
        <f t="shared" ref="J1219:J1282" si="32">+E1219&amp;I1219</f>
        <v/>
      </c>
      <c r="K1219" s="47"/>
      <c r="L1219" s="47"/>
      <c r="N1219" s="47"/>
      <c r="O1219" s="47"/>
      <c r="P1219" s="47"/>
    </row>
    <row r="1220" spans="1:16" x14ac:dyDescent="0.3">
      <c r="A1220" s="1">
        <v>1219</v>
      </c>
      <c r="G1220" s="4"/>
      <c r="H1220" s="4"/>
      <c r="I1220" s="47"/>
      <c r="J1220" s="47" t="str">
        <f t="shared" si="32"/>
        <v/>
      </c>
      <c r="K1220" s="47"/>
      <c r="L1220" s="47"/>
      <c r="N1220" s="47"/>
      <c r="O1220" s="47"/>
      <c r="P1220" s="47"/>
    </row>
    <row r="1221" spans="1:16" x14ac:dyDescent="0.3">
      <c r="A1221" s="1">
        <v>1220</v>
      </c>
      <c r="G1221" s="4"/>
      <c r="H1221" s="4"/>
      <c r="I1221" s="47"/>
      <c r="J1221" s="47" t="str">
        <f t="shared" si="32"/>
        <v/>
      </c>
      <c r="K1221" s="47"/>
      <c r="L1221" s="47"/>
      <c r="N1221" s="47"/>
      <c r="O1221" s="47"/>
      <c r="P1221" s="47"/>
    </row>
    <row r="1222" spans="1:16" x14ac:dyDescent="0.3">
      <c r="A1222" s="1">
        <v>1221</v>
      </c>
      <c r="G1222" s="4"/>
      <c r="H1222" s="4"/>
      <c r="I1222" s="47"/>
      <c r="J1222" s="47" t="str">
        <f t="shared" si="32"/>
        <v/>
      </c>
      <c r="K1222" s="47"/>
      <c r="L1222" s="47"/>
      <c r="N1222" s="47"/>
      <c r="O1222" s="47"/>
      <c r="P1222" s="47"/>
    </row>
    <row r="1223" spans="1:16" x14ac:dyDescent="0.3">
      <c r="A1223" s="1">
        <v>1222</v>
      </c>
      <c r="G1223" s="4"/>
      <c r="H1223" s="4"/>
      <c r="I1223" s="47"/>
      <c r="J1223" s="47" t="str">
        <f t="shared" si="32"/>
        <v/>
      </c>
      <c r="K1223" s="47"/>
      <c r="L1223" s="47"/>
      <c r="N1223" s="47"/>
      <c r="O1223" s="47"/>
      <c r="P1223" s="47"/>
    </row>
    <row r="1224" spans="1:16" x14ac:dyDescent="0.3">
      <c r="A1224" s="1">
        <v>1223</v>
      </c>
      <c r="G1224" s="4"/>
      <c r="H1224" s="4"/>
      <c r="I1224" s="47"/>
      <c r="J1224" s="47" t="str">
        <f t="shared" si="32"/>
        <v/>
      </c>
      <c r="K1224" s="47"/>
      <c r="L1224" s="47"/>
      <c r="N1224" s="47"/>
      <c r="O1224" s="47"/>
      <c r="P1224" s="47"/>
    </row>
    <row r="1225" spans="1:16" x14ac:dyDescent="0.3">
      <c r="A1225" s="1">
        <v>1224</v>
      </c>
      <c r="G1225" s="4"/>
      <c r="H1225" s="4"/>
      <c r="I1225" s="47"/>
      <c r="J1225" s="47" t="str">
        <f t="shared" si="32"/>
        <v/>
      </c>
      <c r="K1225" s="47"/>
      <c r="L1225" s="47"/>
      <c r="N1225" s="47"/>
      <c r="O1225" s="47"/>
      <c r="P1225" s="47"/>
    </row>
    <row r="1226" spans="1:16" x14ac:dyDescent="0.3">
      <c r="A1226" s="1">
        <v>1225</v>
      </c>
      <c r="G1226" s="4"/>
      <c r="H1226" s="4"/>
      <c r="I1226" s="47"/>
      <c r="J1226" s="47" t="str">
        <f t="shared" si="32"/>
        <v/>
      </c>
      <c r="K1226" s="47"/>
      <c r="L1226" s="47"/>
      <c r="N1226" s="47"/>
      <c r="O1226" s="47"/>
      <c r="P1226" s="47"/>
    </row>
    <row r="1227" spans="1:16" x14ac:dyDescent="0.3">
      <c r="A1227" s="1">
        <v>1226</v>
      </c>
      <c r="G1227" s="4"/>
      <c r="H1227" s="4"/>
      <c r="I1227" s="47"/>
      <c r="J1227" s="47" t="str">
        <f t="shared" si="32"/>
        <v/>
      </c>
      <c r="K1227" s="47"/>
      <c r="L1227" s="47"/>
      <c r="N1227" s="47"/>
      <c r="O1227" s="47"/>
      <c r="P1227" s="47"/>
    </row>
    <row r="1228" spans="1:16" x14ac:dyDescent="0.3">
      <c r="A1228" s="1">
        <v>1227</v>
      </c>
      <c r="G1228" s="4"/>
      <c r="H1228" s="4"/>
      <c r="I1228" s="47"/>
      <c r="J1228" s="47" t="str">
        <f t="shared" si="32"/>
        <v/>
      </c>
      <c r="K1228" s="47"/>
      <c r="L1228" s="47"/>
      <c r="N1228" s="47"/>
      <c r="O1228" s="47"/>
      <c r="P1228" s="47"/>
    </row>
    <row r="1229" spans="1:16" x14ac:dyDescent="0.3">
      <c r="A1229" s="1">
        <v>1228</v>
      </c>
      <c r="G1229" s="4"/>
      <c r="H1229" s="4"/>
      <c r="I1229" s="47"/>
      <c r="J1229" s="47" t="str">
        <f t="shared" si="32"/>
        <v/>
      </c>
      <c r="K1229" s="47"/>
      <c r="L1229" s="47"/>
      <c r="N1229" s="47"/>
      <c r="O1229" s="47"/>
      <c r="P1229" s="47"/>
    </row>
    <row r="1230" spans="1:16" x14ac:dyDescent="0.3">
      <c r="A1230" s="1">
        <v>1229</v>
      </c>
      <c r="G1230" s="4"/>
      <c r="H1230" s="4"/>
      <c r="I1230" s="47"/>
      <c r="J1230" s="47" t="str">
        <f t="shared" si="32"/>
        <v/>
      </c>
      <c r="K1230" s="47"/>
      <c r="L1230" s="47"/>
      <c r="N1230" s="47"/>
      <c r="O1230" s="47"/>
      <c r="P1230" s="47"/>
    </row>
    <row r="1231" spans="1:16" x14ac:dyDescent="0.3">
      <c r="A1231" s="1">
        <v>1230</v>
      </c>
      <c r="G1231" s="4"/>
      <c r="H1231" s="4"/>
      <c r="I1231" s="47"/>
      <c r="J1231" s="47" t="str">
        <f t="shared" si="32"/>
        <v/>
      </c>
      <c r="K1231" s="47"/>
      <c r="L1231" s="47"/>
      <c r="N1231" s="47"/>
      <c r="O1231" s="47"/>
      <c r="P1231" s="47"/>
    </row>
    <row r="1232" spans="1:16" x14ac:dyDescent="0.3">
      <c r="A1232" s="1">
        <v>1231</v>
      </c>
      <c r="G1232" s="4"/>
      <c r="H1232" s="4"/>
      <c r="I1232" s="47"/>
      <c r="J1232" s="47" t="str">
        <f t="shared" si="32"/>
        <v/>
      </c>
      <c r="K1232" s="47"/>
      <c r="L1232" s="47"/>
      <c r="N1232" s="47"/>
      <c r="O1232" s="47"/>
      <c r="P1232" s="47"/>
    </row>
    <row r="1233" spans="1:16" x14ac:dyDescent="0.3">
      <c r="A1233" s="1">
        <v>1232</v>
      </c>
      <c r="G1233" s="4"/>
      <c r="H1233" s="4"/>
      <c r="I1233" s="47"/>
      <c r="J1233" s="47" t="str">
        <f t="shared" si="32"/>
        <v/>
      </c>
      <c r="K1233" s="47"/>
      <c r="L1233" s="47"/>
      <c r="N1233" s="47"/>
      <c r="O1233" s="47"/>
      <c r="P1233" s="47"/>
    </row>
    <row r="1234" spans="1:16" x14ac:dyDescent="0.3">
      <c r="A1234" s="1">
        <v>1233</v>
      </c>
      <c r="G1234" s="4"/>
      <c r="H1234" s="4"/>
      <c r="I1234" s="47"/>
      <c r="J1234" s="47" t="str">
        <f t="shared" si="32"/>
        <v/>
      </c>
      <c r="K1234" s="47"/>
      <c r="L1234" s="47"/>
      <c r="N1234" s="47"/>
      <c r="O1234" s="47"/>
      <c r="P1234" s="47"/>
    </row>
    <row r="1235" spans="1:16" x14ac:dyDescent="0.3">
      <c r="A1235" s="1">
        <v>1234</v>
      </c>
      <c r="G1235" s="4"/>
      <c r="H1235" s="4"/>
      <c r="I1235" s="47"/>
      <c r="J1235" s="47" t="str">
        <f t="shared" si="32"/>
        <v/>
      </c>
      <c r="K1235" s="47"/>
      <c r="L1235" s="47"/>
      <c r="N1235" s="47"/>
      <c r="O1235" s="47"/>
      <c r="P1235" s="47"/>
    </row>
    <row r="1236" spans="1:16" x14ac:dyDescent="0.3">
      <c r="A1236" s="1">
        <v>1235</v>
      </c>
      <c r="G1236" s="4"/>
      <c r="H1236" s="4"/>
      <c r="I1236" s="47"/>
      <c r="J1236" s="47" t="str">
        <f t="shared" si="32"/>
        <v/>
      </c>
      <c r="K1236" s="47"/>
      <c r="L1236" s="47"/>
      <c r="N1236" s="47"/>
      <c r="O1236" s="47"/>
      <c r="P1236" s="47"/>
    </row>
    <row r="1237" spans="1:16" x14ac:dyDescent="0.3">
      <c r="A1237" s="1">
        <v>1236</v>
      </c>
      <c r="G1237" s="4"/>
      <c r="H1237" s="4"/>
      <c r="I1237" s="47"/>
      <c r="J1237" s="47" t="str">
        <f t="shared" si="32"/>
        <v/>
      </c>
      <c r="K1237" s="47"/>
      <c r="L1237" s="47"/>
      <c r="N1237" s="47"/>
      <c r="O1237" s="47"/>
      <c r="P1237" s="47"/>
    </row>
    <row r="1238" spans="1:16" x14ac:dyDescent="0.3">
      <c r="A1238" s="1">
        <v>1237</v>
      </c>
      <c r="G1238" s="4"/>
      <c r="H1238" s="4"/>
      <c r="I1238" s="47"/>
      <c r="J1238" s="47" t="str">
        <f t="shared" si="32"/>
        <v/>
      </c>
      <c r="K1238" s="47"/>
      <c r="L1238" s="47"/>
      <c r="N1238" s="47"/>
      <c r="O1238" s="47"/>
      <c r="P1238" s="47"/>
    </row>
    <row r="1239" spans="1:16" x14ac:dyDescent="0.3">
      <c r="A1239" s="1">
        <v>1238</v>
      </c>
      <c r="G1239" s="4"/>
      <c r="H1239" s="4"/>
      <c r="I1239" s="47"/>
      <c r="J1239" s="47" t="str">
        <f t="shared" si="32"/>
        <v/>
      </c>
      <c r="K1239" s="47"/>
      <c r="L1239" s="47"/>
      <c r="N1239" s="47"/>
      <c r="O1239" s="47"/>
      <c r="P1239" s="47"/>
    </row>
    <row r="1240" spans="1:16" x14ac:dyDescent="0.3">
      <c r="A1240" s="1">
        <v>1239</v>
      </c>
      <c r="G1240" s="4"/>
      <c r="H1240" s="4"/>
      <c r="I1240" s="47"/>
      <c r="J1240" s="47" t="str">
        <f t="shared" si="32"/>
        <v/>
      </c>
      <c r="K1240" s="47"/>
      <c r="L1240" s="47"/>
      <c r="N1240" s="47"/>
      <c r="O1240" s="47"/>
      <c r="P1240" s="47"/>
    </row>
    <row r="1241" spans="1:16" x14ac:dyDescent="0.3">
      <c r="A1241" s="1">
        <v>1240</v>
      </c>
      <c r="G1241" s="4"/>
      <c r="H1241" s="4"/>
      <c r="I1241" s="47"/>
      <c r="J1241" s="47" t="str">
        <f t="shared" si="32"/>
        <v/>
      </c>
      <c r="K1241" s="47"/>
      <c r="L1241" s="47"/>
      <c r="N1241" s="47"/>
      <c r="O1241" s="47"/>
      <c r="P1241" s="47"/>
    </row>
    <row r="1242" spans="1:16" x14ac:dyDescent="0.3">
      <c r="A1242" s="1">
        <v>1241</v>
      </c>
      <c r="G1242" s="4"/>
      <c r="H1242" s="4"/>
      <c r="I1242" s="47"/>
      <c r="J1242" s="47" t="str">
        <f t="shared" si="32"/>
        <v/>
      </c>
      <c r="K1242" s="47"/>
      <c r="L1242" s="47"/>
      <c r="N1242" s="47"/>
      <c r="O1242" s="47"/>
      <c r="P1242" s="47"/>
    </row>
    <row r="1243" spans="1:16" x14ac:dyDescent="0.3">
      <c r="A1243" s="1">
        <v>1242</v>
      </c>
      <c r="G1243" s="4"/>
      <c r="H1243" s="4"/>
      <c r="I1243" s="47"/>
      <c r="J1243" s="47" t="str">
        <f t="shared" si="32"/>
        <v/>
      </c>
      <c r="K1243" s="47"/>
      <c r="L1243" s="47"/>
      <c r="N1243" s="47"/>
      <c r="O1243" s="47"/>
      <c r="P1243" s="47"/>
    </row>
    <row r="1244" spans="1:16" x14ac:dyDescent="0.3">
      <c r="A1244" s="1">
        <v>1243</v>
      </c>
      <c r="G1244" s="4"/>
      <c r="H1244" s="4"/>
      <c r="I1244" s="47"/>
      <c r="J1244" s="47" t="str">
        <f t="shared" si="32"/>
        <v/>
      </c>
      <c r="K1244" s="47"/>
      <c r="L1244" s="47"/>
      <c r="N1244" s="47"/>
      <c r="O1244" s="47"/>
      <c r="P1244" s="47"/>
    </row>
    <row r="1245" spans="1:16" x14ac:dyDescent="0.3">
      <c r="A1245" s="1">
        <v>1244</v>
      </c>
      <c r="G1245" s="4"/>
      <c r="H1245" s="4"/>
      <c r="I1245" s="47"/>
      <c r="J1245" s="47" t="str">
        <f t="shared" si="32"/>
        <v/>
      </c>
      <c r="K1245" s="47"/>
      <c r="L1245" s="47"/>
      <c r="N1245" s="47"/>
      <c r="O1245" s="47"/>
      <c r="P1245" s="47"/>
    </row>
    <row r="1246" spans="1:16" x14ac:dyDescent="0.3">
      <c r="A1246" s="1">
        <v>1245</v>
      </c>
      <c r="G1246" s="4"/>
      <c r="H1246" s="4"/>
      <c r="I1246" s="47"/>
      <c r="J1246" s="47" t="str">
        <f t="shared" si="32"/>
        <v/>
      </c>
      <c r="K1246" s="47"/>
      <c r="L1246" s="47"/>
      <c r="N1246" s="47"/>
      <c r="O1246" s="47"/>
      <c r="P1246" s="47"/>
    </row>
    <row r="1247" spans="1:16" x14ac:dyDescent="0.3">
      <c r="A1247" s="1">
        <v>1246</v>
      </c>
      <c r="G1247" s="4"/>
      <c r="H1247" s="4"/>
      <c r="I1247" s="47"/>
      <c r="J1247" s="47" t="str">
        <f t="shared" si="32"/>
        <v/>
      </c>
      <c r="K1247" s="47"/>
      <c r="L1247" s="47"/>
      <c r="N1247" s="47"/>
      <c r="O1247" s="47"/>
      <c r="P1247" s="47"/>
    </row>
    <row r="1248" spans="1:16" x14ac:dyDescent="0.3">
      <c r="A1248" s="1">
        <v>1247</v>
      </c>
      <c r="G1248" s="4"/>
      <c r="H1248" s="4"/>
      <c r="I1248" s="47"/>
      <c r="J1248" s="47" t="str">
        <f t="shared" si="32"/>
        <v/>
      </c>
      <c r="K1248" s="47"/>
      <c r="L1248" s="47"/>
      <c r="N1248" s="47"/>
      <c r="O1248" s="47"/>
      <c r="P1248" s="47"/>
    </row>
    <row r="1249" spans="1:16" x14ac:dyDescent="0.3">
      <c r="A1249" s="1">
        <v>1248</v>
      </c>
      <c r="G1249" s="4"/>
      <c r="H1249" s="4"/>
      <c r="I1249" s="47"/>
      <c r="J1249" s="47" t="str">
        <f t="shared" si="32"/>
        <v/>
      </c>
      <c r="K1249" s="47"/>
      <c r="L1249" s="47"/>
      <c r="N1249" s="47"/>
      <c r="O1249" s="47"/>
      <c r="P1249" s="47"/>
    </row>
    <row r="1250" spans="1:16" x14ac:dyDescent="0.3">
      <c r="A1250" s="1">
        <v>1249</v>
      </c>
      <c r="G1250" s="4"/>
      <c r="H1250" s="4"/>
      <c r="I1250" s="47"/>
      <c r="J1250" s="47" t="str">
        <f t="shared" si="32"/>
        <v/>
      </c>
      <c r="K1250" s="47"/>
      <c r="L1250" s="47"/>
      <c r="N1250" s="47"/>
      <c r="O1250" s="47"/>
      <c r="P1250" s="47"/>
    </row>
    <row r="1251" spans="1:16" x14ac:dyDescent="0.3">
      <c r="A1251" s="1">
        <v>1250</v>
      </c>
      <c r="G1251" s="4"/>
      <c r="H1251" s="4"/>
      <c r="I1251" s="47"/>
      <c r="J1251" s="47" t="str">
        <f t="shared" si="32"/>
        <v/>
      </c>
      <c r="K1251" s="47"/>
      <c r="L1251" s="47"/>
      <c r="N1251" s="47"/>
      <c r="O1251" s="47"/>
      <c r="P1251" s="47"/>
    </row>
    <row r="1252" spans="1:16" x14ac:dyDescent="0.3">
      <c r="A1252" s="1">
        <v>1251</v>
      </c>
      <c r="G1252" s="4"/>
      <c r="H1252" s="4"/>
      <c r="I1252" s="47"/>
      <c r="J1252" s="47" t="str">
        <f t="shared" si="32"/>
        <v/>
      </c>
      <c r="K1252" s="47"/>
      <c r="L1252" s="47"/>
      <c r="N1252" s="47"/>
      <c r="O1252" s="47"/>
      <c r="P1252" s="47"/>
    </row>
    <row r="1253" spans="1:16" x14ac:dyDescent="0.3">
      <c r="A1253" s="1">
        <v>1252</v>
      </c>
      <c r="G1253" s="4"/>
      <c r="H1253" s="4"/>
      <c r="I1253" s="47"/>
      <c r="J1253" s="47" t="str">
        <f t="shared" si="32"/>
        <v/>
      </c>
      <c r="K1253" s="47"/>
      <c r="L1253" s="47"/>
      <c r="N1253" s="47"/>
      <c r="O1253" s="47"/>
      <c r="P1253" s="47"/>
    </row>
    <row r="1254" spans="1:16" x14ac:dyDescent="0.3">
      <c r="A1254" s="1">
        <v>1253</v>
      </c>
      <c r="G1254" s="4"/>
      <c r="H1254" s="4"/>
      <c r="I1254" s="47"/>
      <c r="J1254" s="47" t="str">
        <f t="shared" si="32"/>
        <v/>
      </c>
      <c r="K1254" s="47"/>
      <c r="L1254" s="47"/>
      <c r="N1254" s="47"/>
      <c r="O1254" s="47"/>
      <c r="P1254" s="47"/>
    </row>
    <row r="1255" spans="1:16" x14ac:dyDescent="0.3">
      <c r="A1255" s="1">
        <v>1254</v>
      </c>
      <c r="G1255" s="4"/>
      <c r="H1255" s="4"/>
      <c r="I1255" s="47"/>
      <c r="J1255" s="47" t="str">
        <f t="shared" si="32"/>
        <v/>
      </c>
      <c r="K1255" s="47"/>
      <c r="L1255" s="47"/>
      <c r="N1255" s="47"/>
      <c r="O1255" s="47"/>
      <c r="P1255" s="47"/>
    </row>
    <row r="1256" spans="1:16" x14ac:dyDescent="0.3">
      <c r="A1256" s="1">
        <v>1255</v>
      </c>
      <c r="G1256" s="4"/>
      <c r="H1256" s="4"/>
      <c r="I1256" s="47"/>
      <c r="J1256" s="47" t="str">
        <f t="shared" si="32"/>
        <v/>
      </c>
      <c r="K1256" s="47"/>
      <c r="L1256" s="47"/>
      <c r="N1256" s="47"/>
      <c r="O1256" s="47"/>
      <c r="P1256" s="47"/>
    </row>
    <row r="1257" spans="1:16" x14ac:dyDescent="0.3">
      <c r="A1257" s="1">
        <v>1256</v>
      </c>
      <c r="G1257" s="4"/>
      <c r="H1257" s="4"/>
      <c r="I1257" s="47"/>
      <c r="J1257" s="47" t="str">
        <f t="shared" si="32"/>
        <v/>
      </c>
      <c r="K1257" s="47"/>
      <c r="L1257" s="47"/>
      <c r="N1257" s="47"/>
      <c r="O1257" s="47"/>
      <c r="P1257" s="47"/>
    </row>
    <row r="1258" spans="1:16" x14ac:dyDescent="0.3">
      <c r="A1258" s="1">
        <v>1257</v>
      </c>
      <c r="G1258" s="4"/>
      <c r="H1258" s="4"/>
      <c r="I1258" s="47"/>
      <c r="J1258" s="47" t="str">
        <f t="shared" si="32"/>
        <v/>
      </c>
      <c r="K1258" s="47"/>
      <c r="L1258" s="47"/>
      <c r="N1258" s="47"/>
      <c r="O1258" s="47"/>
      <c r="P1258" s="47"/>
    </row>
    <row r="1259" spans="1:16" x14ac:dyDescent="0.3">
      <c r="A1259" s="1">
        <v>1258</v>
      </c>
      <c r="G1259" s="4"/>
      <c r="H1259" s="4"/>
      <c r="I1259" s="47"/>
      <c r="J1259" s="47" t="str">
        <f t="shared" si="32"/>
        <v/>
      </c>
      <c r="K1259" s="47"/>
      <c r="L1259" s="47"/>
      <c r="N1259" s="47"/>
      <c r="O1259" s="47"/>
      <c r="P1259" s="47"/>
    </row>
    <row r="1260" spans="1:16" x14ac:dyDescent="0.3">
      <c r="A1260" s="1">
        <v>1259</v>
      </c>
      <c r="G1260" s="4"/>
      <c r="H1260" s="4"/>
      <c r="I1260" s="47"/>
      <c r="J1260" s="47" t="str">
        <f t="shared" si="32"/>
        <v/>
      </c>
      <c r="K1260" s="47"/>
      <c r="L1260" s="47"/>
      <c r="N1260" s="47"/>
      <c r="O1260" s="47"/>
      <c r="P1260" s="47"/>
    </row>
    <row r="1261" spans="1:16" x14ac:dyDescent="0.3">
      <c r="A1261" s="1">
        <v>1260</v>
      </c>
      <c r="G1261" s="4"/>
      <c r="H1261" s="4"/>
      <c r="I1261" s="47"/>
      <c r="J1261" s="47" t="str">
        <f t="shared" si="32"/>
        <v/>
      </c>
      <c r="K1261" s="47"/>
      <c r="L1261" s="47"/>
      <c r="N1261" s="47"/>
      <c r="O1261" s="47"/>
      <c r="P1261" s="47"/>
    </row>
    <row r="1262" spans="1:16" x14ac:dyDescent="0.3">
      <c r="A1262" s="1">
        <v>1261</v>
      </c>
      <c r="G1262" s="4"/>
      <c r="H1262" s="4"/>
      <c r="I1262" s="47"/>
      <c r="J1262" s="47" t="str">
        <f t="shared" si="32"/>
        <v/>
      </c>
      <c r="K1262" s="47"/>
      <c r="L1262" s="47"/>
      <c r="N1262" s="47"/>
      <c r="O1262" s="47"/>
      <c r="P1262" s="47"/>
    </row>
    <row r="1263" spans="1:16" x14ac:dyDescent="0.3">
      <c r="A1263" s="1">
        <v>1262</v>
      </c>
      <c r="G1263" s="4"/>
      <c r="H1263" s="4"/>
      <c r="I1263" s="47"/>
      <c r="J1263" s="47" t="str">
        <f t="shared" si="32"/>
        <v/>
      </c>
      <c r="K1263" s="47"/>
      <c r="L1263" s="47"/>
      <c r="N1263" s="47"/>
      <c r="O1263" s="47"/>
      <c r="P1263" s="47"/>
    </row>
    <row r="1264" spans="1:16" x14ac:dyDescent="0.3">
      <c r="A1264" s="1">
        <v>1263</v>
      </c>
      <c r="G1264" s="4"/>
      <c r="H1264" s="4"/>
      <c r="I1264" s="47"/>
      <c r="J1264" s="47" t="str">
        <f t="shared" si="32"/>
        <v/>
      </c>
      <c r="K1264" s="47"/>
      <c r="L1264" s="47"/>
      <c r="N1264" s="47"/>
      <c r="O1264" s="47"/>
      <c r="P1264" s="47"/>
    </row>
    <row r="1265" spans="1:16" x14ac:dyDescent="0.3">
      <c r="A1265" s="1">
        <v>1264</v>
      </c>
      <c r="G1265" s="4"/>
      <c r="H1265" s="4"/>
      <c r="I1265" s="47"/>
      <c r="J1265" s="47" t="str">
        <f t="shared" si="32"/>
        <v/>
      </c>
      <c r="K1265" s="47"/>
      <c r="L1265" s="47"/>
      <c r="N1265" s="47"/>
      <c r="O1265" s="47"/>
      <c r="P1265" s="47"/>
    </row>
    <row r="1266" spans="1:16" x14ac:dyDescent="0.3">
      <c r="A1266" s="1">
        <v>1265</v>
      </c>
      <c r="G1266" s="4"/>
      <c r="H1266" s="4"/>
      <c r="I1266" s="47"/>
      <c r="J1266" s="47" t="str">
        <f t="shared" si="32"/>
        <v/>
      </c>
      <c r="K1266" s="47"/>
      <c r="L1266" s="47"/>
      <c r="N1266" s="47"/>
      <c r="O1266" s="47"/>
      <c r="P1266" s="47"/>
    </row>
    <row r="1267" spans="1:16" x14ac:dyDescent="0.3">
      <c r="A1267" s="1">
        <v>1266</v>
      </c>
      <c r="G1267" s="4"/>
      <c r="H1267" s="4"/>
      <c r="I1267" s="47"/>
      <c r="J1267" s="47" t="str">
        <f t="shared" si="32"/>
        <v/>
      </c>
      <c r="K1267" s="47"/>
      <c r="L1267" s="47"/>
      <c r="N1267" s="47"/>
      <c r="O1267" s="47"/>
      <c r="P1267" s="47"/>
    </row>
    <row r="1268" spans="1:16" x14ac:dyDescent="0.3">
      <c r="A1268" s="1">
        <v>1267</v>
      </c>
      <c r="G1268" s="4"/>
      <c r="H1268" s="4"/>
      <c r="I1268" s="47"/>
      <c r="J1268" s="47" t="str">
        <f t="shared" si="32"/>
        <v/>
      </c>
      <c r="K1268" s="47"/>
      <c r="L1268" s="47"/>
      <c r="N1268" s="47"/>
      <c r="O1268" s="47"/>
      <c r="P1268" s="47"/>
    </row>
    <row r="1269" spans="1:16" x14ac:dyDescent="0.3">
      <c r="A1269" s="1">
        <v>1268</v>
      </c>
      <c r="G1269" s="4"/>
      <c r="H1269" s="4"/>
      <c r="I1269" s="47"/>
      <c r="J1269" s="47" t="str">
        <f t="shared" si="32"/>
        <v/>
      </c>
      <c r="K1269" s="47"/>
      <c r="L1269" s="47"/>
      <c r="N1269" s="47"/>
      <c r="O1269" s="47"/>
      <c r="P1269" s="47"/>
    </row>
    <row r="1270" spans="1:16" x14ac:dyDescent="0.3">
      <c r="A1270" s="1">
        <v>1269</v>
      </c>
      <c r="G1270" s="4"/>
      <c r="H1270" s="4"/>
      <c r="I1270" s="47"/>
      <c r="J1270" s="47" t="str">
        <f t="shared" si="32"/>
        <v/>
      </c>
      <c r="K1270" s="47"/>
      <c r="L1270" s="47"/>
      <c r="N1270" s="47"/>
      <c r="O1270" s="47"/>
      <c r="P1270" s="47"/>
    </row>
    <row r="1271" spans="1:16" x14ac:dyDescent="0.3">
      <c r="A1271" s="1">
        <v>1270</v>
      </c>
      <c r="G1271" s="4"/>
      <c r="H1271" s="4"/>
      <c r="I1271" s="47"/>
      <c r="J1271" s="47" t="str">
        <f t="shared" si="32"/>
        <v/>
      </c>
      <c r="K1271" s="47"/>
      <c r="L1271" s="47"/>
      <c r="N1271" s="47"/>
      <c r="O1271" s="47"/>
      <c r="P1271" s="47"/>
    </row>
    <row r="1272" spans="1:16" x14ac:dyDescent="0.3">
      <c r="A1272" s="1">
        <v>1271</v>
      </c>
      <c r="G1272" s="4"/>
      <c r="H1272" s="4"/>
      <c r="I1272" s="47"/>
      <c r="J1272" s="47" t="str">
        <f t="shared" si="32"/>
        <v/>
      </c>
      <c r="K1272" s="47"/>
      <c r="L1272" s="47"/>
      <c r="N1272" s="47"/>
      <c r="O1272" s="47"/>
      <c r="P1272" s="47"/>
    </row>
    <row r="1273" spans="1:16" x14ac:dyDescent="0.3">
      <c r="A1273" s="1">
        <v>1272</v>
      </c>
      <c r="G1273" s="4"/>
      <c r="H1273" s="4"/>
      <c r="I1273" s="47"/>
      <c r="J1273" s="47" t="str">
        <f t="shared" si="32"/>
        <v/>
      </c>
      <c r="K1273" s="47"/>
      <c r="L1273" s="47"/>
      <c r="N1273" s="47"/>
      <c r="O1273" s="47"/>
      <c r="P1273" s="47"/>
    </row>
    <row r="1274" spans="1:16" x14ac:dyDescent="0.3">
      <c r="A1274" s="1">
        <v>1273</v>
      </c>
      <c r="G1274" s="4"/>
      <c r="H1274" s="4"/>
      <c r="I1274" s="47"/>
      <c r="J1274" s="47" t="str">
        <f t="shared" si="32"/>
        <v/>
      </c>
      <c r="K1274" s="47"/>
      <c r="L1274" s="47"/>
      <c r="N1274" s="47"/>
      <c r="O1274" s="47"/>
      <c r="P1274" s="47"/>
    </row>
    <row r="1275" spans="1:16" x14ac:dyDescent="0.3">
      <c r="A1275" s="1">
        <v>1274</v>
      </c>
      <c r="G1275" s="4"/>
      <c r="H1275" s="4"/>
      <c r="I1275" s="47"/>
      <c r="J1275" s="47" t="str">
        <f t="shared" si="32"/>
        <v/>
      </c>
      <c r="K1275" s="47"/>
      <c r="L1275" s="47"/>
      <c r="N1275" s="47"/>
      <c r="O1275" s="47"/>
      <c r="P1275" s="47"/>
    </row>
    <row r="1276" spans="1:16" x14ac:dyDescent="0.3">
      <c r="A1276" s="1">
        <v>1275</v>
      </c>
      <c r="G1276" s="4"/>
      <c r="H1276" s="4"/>
      <c r="I1276" s="47"/>
      <c r="J1276" s="47" t="str">
        <f t="shared" si="32"/>
        <v/>
      </c>
      <c r="K1276" s="47"/>
      <c r="L1276" s="47"/>
      <c r="N1276" s="47"/>
      <c r="O1276" s="47"/>
      <c r="P1276" s="47"/>
    </row>
    <row r="1277" spans="1:16" x14ac:dyDescent="0.3">
      <c r="A1277" s="1">
        <v>1276</v>
      </c>
      <c r="G1277" s="4"/>
      <c r="H1277" s="4"/>
      <c r="I1277" s="47"/>
      <c r="J1277" s="47" t="str">
        <f t="shared" si="32"/>
        <v/>
      </c>
      <c r="K1277" s="47"/>
      <c r="L1277" s="47"/>
      <c r="N1277" s="47"/>
      <c r="O1277" s="47"/>
      <c r="P1277" s="47"/>
    </row>
    <row r="1278" spans="1:16" x14ac:dyDescent="0.3">
      <c r="A1278" s="1">
        <v>1277</v>
      </c>
      <c r="G1278" s="4"/>
      <c r="H1278" s="4"/>
      <c r="I1278" s="47"/>
      <c r="J1278" s="47" t="str">
        <f t="shared" si="32"/>
        <v/>
      </c>
      <c r="K1278" s="47"/>
      <c r="L1278" s="47"/>
      <c r="N1278" s="47"/>
      <c r="O1278" s="47"/>
      <c r="P1278" s="47"/>
    </row>
    <row r="1279" spans="1:16" x14ac:dyDescent="0.3">
      <c r="A1279" s="1">
        <v>1278</v>
      </c>
      <c r="G1279" s="4"/>
      <c r="H1279" s="4"/>
      <c r="I1279" s="47"/>
      <c r="J1279" s="47" t="str">
        <f t="shared" si="32"/>
        <v/>
      </c>
      <c r="K1279" s="47"/>
      <c r="L1279" s="47"/>
      <c r="N1279" s="47"/>
      <c r="O1279" s="47"/>
      <c r="P1279" s="47"/>
    </row>
    <row r="1280" spans="1:16" x14ac:dyDescent="0.3">
      <c r="A1280" s="1">
        <v>1279</v>
      </c>
      <c r="G1280" s="4"/>
      <c r="H1280" s="4"/>
      <c r="I1280" s="47"/>
      <c r="J1280" s="47" t="str">
        <f t="shared" si="32"/>
        <v/>
      </c>
      <c r="K1280" s="47"/>
      <c r="L1280" s="47"/>
      <c r="N1280" s="47"/>
      <c r="O1280" s="47"/>
      <c r="P1280" s="47"/>
    </row>
    <row r="1281" spans="1:16" x14ac:dyDescent="0.3">
      <c r="A1281" s="1">
        <v>1280</v>
      </c>
      <c r="G1281" s="4"/>
      <c r="H1281" s="4"/>
      <c r="I1281" s="47"/>
      <c r="J1281" s="47" t="str">
        <f t="shared" si="32"/>
        <v/>
      </c>
      <c r="K1281" s="47"/>
      <c r="L1281" s="47"/>
      <c r="N1281" s="47"/>
      <c r="O1281" s="47"/>
      <c r="P1281" s="47"/>
    </row>
    <row r="1282" spans="1:16" x14ac:dyDescent="0.3">
      <c r="A1282" s="1">
        <v>1281</v>
      </c>
      <c r="G1282" s="4"/>
      <c r="H1282" s="4"/>
      <c r="I1282" s="47"/>
      <c r="J1282" s="47" t="str">
        <f t="shared" si="32"/>
        <v/>
      </c>
      <c r="K1282" s="47"/>
      <c r="L1282" s="47"/>
      <c r="N1282" s="47"/>
      <c r="O1282" s="47"/>
      <c r="P1282" s="47"/>
    </row>
    <row r="1283" spans="1:16" x14ac:dyDescent="0.3">
      <c r="A1283" s="1">
        <v>1282</v>
      </c>
      <c r="G1283" s="4"/>
      <c r="H1283" s="4"/>
      <c r="I1283" s="47"/>
      <c r="J1283" s="47" t="str">
        <f t="shared" ref="J1283:J1346" si="33">+E1283&amp;I1283</f>
        <v/>
      </c>
      <c r="K1283" s="47"/>
      <c r="L1283" s="47"/>
      <c r="N1283" s="47"/>
      <c r="O1283" s="47"/>
      <c r="P1283" s="47"/>
    </row>
    <row r="1284" spans="1:16" x14ac:dyDescent="0.3">
      <c r="A1284" s="1">
        <v>1283</v>
      </c>
      <c r="G1284" s="4"/>
      <c r="H1284" s="4"/>
      <c r="I1284" s="47"/>
      <c r="J1284" s="47" t="str">
        <f t="shared" si="33"/>
        <v/>
      </c>
      <c r="K1284" s="47"/>
      <c r="L1284" s="47"/>
      <c r="N1284" s="47"/>
      <c r="O1284" s="47"/>
      <c r="P1284" s="47"/>
    </row>
    <row r="1285" spans="1:16" x14ac:dyDescent="0.3">
      <c r="A1285" s="1">
        <v>1284</v>
      </c>
      <c r="G1285" s="4"/>
      <c r="H1285" s="4"/>
      <c r="I1285" s="47"/>
      <c r="J1285" s="47" t="str">
        <f t="shared" si="33"/>
        <v/>
      </c>
      <c r="K1285" s="47"/>
      <c r="L1285" s="47"/>
      <c r="N1285" s="47"/>
      <c r="O1285" s="47"/>
      <c r="P1285" s="47"/>
    </row>
    <row r="1286" spans="1:16" x14ac:dyDescent="0.3">
      <c r="A1286" s="1">
        <v>1285</v>
      </c>
      <c r="G1286" s="4"/>
      <c r="H1286" s="4"/>
      <c r="I1286" s="47"/>
      <c r="J1286" s="47" t="str">
        <f t="shared" si="33"/>
        <v/>
      </c>
      <c r="K1286" s="47"/>
      <c r="L1286" s="47"/>
      <c r="N1286" s="47"/>
      <c r="O1286" s="47"/>
      <c r="P1286" s="47"/>
    </row>
    <row r="1287" spans="1:16" x14ac:dyDescent="0.3">
      <c r="A1287" s="1">
        <v>1286</v>
      </c>
      <c r="G1287" s="4"/>
      <c r="H1287" s="4"/>
      <c r="I1287" s="47"/>
      <c r="J1287" s="47" t="str">
        <f t="shared" si="33"/>
        <v/>
      </c>
      <c r="K1287" s="47"/>
      <c r="L1287" s="47"/>
      <c r="N1287" s="47"/>
      <c r="O1287" s="47"/>
      <c r="P1287" s="47"/>
    </row>
    <row r="1288" spans="1:16" x14ac:dyDescent="0.3">
      <c r="A1288" s="1">
        <v>1287</v>
      </c>
      <c r="G1288" s="4"/>
      <c r="H1288" s="4"/>
      <c r="I1288" s="47"/>
      <c r="J1288" s="47" t="str">
        <f t="shared" si="33"/>
        <v/>
      </c>
      <c r="K1288" s="47"/>
      <c r="L1288" s="47"/>
      <c r="N1288" s="47"/>
      <c r="O1288" s="47"/>
      <c r="P1288" s="47"/>
    </row>
    <row r="1289" spans="1:16" x14ac:dyDescent="0.3">
      <c r="A1289" s="1">
        <v>1288</v>
      </c>
      <c r="G1289" s="4"/>
      <c r="H1289" s="4"/>
      <c r="I1289" s="47"/>
      <c r="J1289" s="47" t="str">
        <f t="shared" si="33"/>
        <v/>
      </c>
      <c r="K1289" s="47"/>
      <c r="L1289" s="47"/>
      <c r="N1289" s="47"/>
      <c r="O1289" s="47"/>
      <c r="P1289" s="47"/>
    </row>
    <row r="1290" spans="1:16" x14ac:dyDescent="0.3">
      <c r="A1290" s="1">
        <v>1289</v>
      </c>
      <c r="G1290" s="4"/>
      <c r="H1290" s="4"/>
      <c r="I1290" s="47"/>
      <c r="J1290" s="47" t="str">
        <f t="shared" si="33"/>
        <v/>
      </c>
      <c r="K1290" s="47"/>
      <c r="L1290" s="47"/>
      <c r="N1290" s="47"/>
      <c r="O1290" s="47"/>
      <c r="P1290" s="47"/>
    </row>
    <row r="1291" spans="1:16" x14ac:dyDescent="0.3">
      <c r="A1291" s="1">
        <v>1290</v>
      </c>
      <c r="G1291" s="4"/>
      <c r="H1291" s="4"/>
      <c r="I1291" s="47"/>
      <c r="J1291" s="47" t="str">
        <f t="shared" si="33"/>
        <v/>
      </c>
      <c r="K1291" s="47"/>
      <c r="L1291" s="47"/>
      <c r="N1291" s="47"/>
      <c r="O1291" s="47"/>
      <c r="P1291" s="47"/>
    </row>
    <row r="1292" spans="1:16" x14ac:dyDescent="0.3">
      <c r="A1292" s="1">
        <v>1291</v>
      </c>
      <c r="G1292" s="4"/>
      <c r="H1292" s="4"/>
      <c r="I1292" s="47"/>
      <c r="J1292" s="47" t="str">
        <f t="shared" si="33"/>
        <v/>
      </c>
      <c r="K1292" s="47"/>
      <c r="L1292" s="47"/>
      <c r="N1292" s="47"/>
      <c r="O1292" s="47"/>
      <c r="P1292" s="47"/>
    </row>
    <row r="1293" spans="1:16" x14ac:dyDescent="0.3">
      <c r="A1293" s="1">
        <v>1292</v>
      </c>
      <c r="G1293" s="4"/>
      <c r="H1293" s="4"/>
      <c r="I1293" s="47"/>
      <c r="J1293" s="47" t="str">
        <f t="shared" si="33"/>
        <v/>
      </c>
      <c r="K1293" s="47"/>
      <c r="L1293" s="47"/>
      <c r="N1293" s="47"/>
      <c r="O1293" s="47"/>
      <c r="P1293" s="47"/>
    </row>
    <row r="1294" spans="1:16" x14ac:dyDescent="0.3">
      <c r="A1294" s="1">
        <v>1293</v>
      </c>
      <c r="G1294" s="4"/>
      <c r="H1294" s="4"/>
      <c r="I1294" s="47"/>
      <c r="J1294" s="47" t="str">
        <f t="shared" si="33"/>
        <v/>
      </c>
      <c r="K1294" s="47"/>
      <c r="L1294" s="47"/>
      <c r="N1294" s="47"/>
      <c r="O1294" s="47"/>
      <c r="P1294" s="47"/>
    </row>
    <row r="1295" spans="1:16" x14ac:dyDescent="0.3">
      <c r="A1295" s="1">
        <v>1294</v>
      </c>
      <c r="G1295" s="4"/>
      <c r="H1295" s="4"/>
      <c r="I1295" s="47"/>
      <c r="J1295" s="47" t="str">
        <f t="shared" si="33"/>
        <v/>
      </c>
      <c r="K1295" s="47"/>
      <c r="L1295" s="47"/>
      <c r="N1295" s="47"/>
      <c r="O1295" s="47"/>
      <c r="P1295" s="47"/>
    </row>
    <row r="1296" spans="1:16" x14ac:dyDescent="0.3">
      <c r="A1296" s="1">
        <v>1295</v>
      </c>
      <c r="G1296" s="4"/>
      <c r="H1296" s="4"/>
      <c r="I1296" s="47"/>
      <c r="J1296" s="47" t="str">
        <f t="shared" si="33"/>
        <v/>
      </c>
      <c r="K1296" s="47"/>
      <c r="L1296" s="47"/>
      <c r="N1296" s="47"/>
      <c r="O1296" s="47"/>
      <c r="P1296" s="47"/>
    </row>
    <row r="1297" spans="1:16" x14ac:dyDescent="0.3">
      <c r="A1297" s="1">
        <v>1296</v>
      </c>
      <c r="G1297" s="4"/>
      <c r="H1297" s="4"/>
      <c r="I1297" s="47"/>
      <c r="J1297" s="47" t="str">
        <f t="shared" si="33"/>
        <v/>
      </c>
      <c r="K1297" s="47"/>
      <c r="L1297" s="47"/>
      <c r="N1297" s="47"/>
      <c r="O1297" s="47"/>
      <c r="P1297" s="47"/>
    </row>
    <row r="1298" spans="1:16" x14ac:dyDescent="0.3">
      <c r="A1298" s="1">
        <v>1297</v>
      </c>
      <c r="G1298" s="4"/>
      <c r="H1298" s="4"/>
      <c r="I1298" s="47"/>
      <c r="J1298" s="47" t="str">
        <f t="shared" si="33"/>
        <v/>
      </c>
      <c r="K1298" s="47"/>
      <c r="L1298" s="47"/>
      <c r="N1298" s="47"/>
      <c r="O1298" s="47"/>
      <c r="P1298" s="47"/>
    </row>
    <row r="1299" spans="1:16" x14ac:dyDescent="0.3">
      <c r="A1299" s="1">
        <v>1298</v>
      </c>
      <c r="G1299" s="4"/>
      <c r="H1299" s="4"/>
      <c r="I1299" s="47"/>
      <c r="J1299" s="47" t="str">
        <f t="shared" si="33"/>
        <v/>
      </c>
      <c r="K1299" s="47"/>
      <c r="L1299" s="47"/>
      <c r="N1299" s="47"/>
      <c r="O1299" s="47"/>
      <c r="P1299" s="47"/>
    </row>
    <row r="1300" spans="1:16" x14ac:dyDescent="0.3">
      <c r="A1300" s="1">
        <v>1299</v>
      </c>
      <c r="G1300" s="4"/>
      <c r="H1300" s="4"/>
      <c r="I1300" s="47"/>
      <c r="J1300" s="47" t="str">
        <f t="shared" si="33"/>
        <v/>
      </c>
      <c r="K1300" s="47"/>
      <c r="L1300" s="47"/>
      <c r="N1300" s="47"/>
      <c r="O1300" s="47"/>
      <c r="P1300" s="47"/>
    </row>
    <row r="1301" spans="1:16" x14ac:dyDescent="0.3">
      <c r="A1301" s="1">
        <v>1300</v>
      </c>
      <c r="G1301" s="4"/>
      <c r="H1301" s="4"/>
      <c r="I1301" s="47"/>
      <c r="J1301" s="47" t="str">
        <f t="shared" si="33"/>
        <v/>
      </c>
      <c r="K1301" s="47"/>
      <c r="L1301" s="47"/>
      <c r="N1301" s="47"/>
      <c r="O1301" s="47"/>
      <c r="P1301" s="47"/>
    </row>
    <row r="1302" spans="1:16" x14ac:dyDescent="0.3">
      <c r="A1302" s="1">
        <v>1301</v>
      </c>
      <c r="G1302" s="4"/>
      <c r="H1302" s="4"/>
      <c r="I1302" s="47"/>
      <c r="J1302" s="47" t="str">
        <f t="shared" si="33"/>
        <v/>
      </c>
      <c r="K1302" s="47"/>
      <c r="L1302" s="47"/>
      <c r="N1302" s="47"/>
      <c r="O1302" s="47"/>
      <c r="P1302" s="47"/>
    </row>
    <row r="1303" spans="1:16" x14ac:dyDescent="0.3">
      <c r="A1303" s="1">
        <v>1302</v>
      </c>
      <c r="G1303" s="4"/>
      <c r="H1303" s="4"/>
      <c r="I1303" s="47"/>
      <c r="J1303" s="47" t="str">
        <f t="shared" si="33"/>
        <v/>
      </c>
      <c r="K1303" s="47"/>
      <c r="L1303" s="47"/>
      <c r="N1303" s="47"/>
      <c r="O1303" s="47"/>
      <c r="P1303" s="47"/>
    </row>
    <row r="1304" spans="1:16" x14ac:dyDescent="0.3">
      <c r="A1304" s="1">
        <v>1303</v>
      </c>
      <c r="G1304" s="4"/>
      <c r="H1304" s="4"/>
      <c r="I1304" s="47"/>
      <c r="J1304" s="47" t="str">
        <f t="shared" si="33"/>
        <v/>
      </c>
      <c r="K1304" s="47"/>
      <c r="L1304" s="47"/>
      <c r="N1304" s="47"/>
      <c r="O1304" s="47"/>
      <c r="P1304" s="47"/>
    </row>
    <row r="1305" spans="1:16" x14ac:dyDescent="0.3">
      <c r="A1305" s="1">
        <v>1304</v>
      </c>
      <c r="G1305" s="4"/>
      <c r="H1305" s="4"/>
      <c r="I1305" s="47"/>
      <c r="J1305" s="47" t="str">
        <f t="shared" si="33"/>
        <v/>
      </c>
      <c r="K1305" s="47"/>
      <c r="L1305" s="47"/>
      <c r="N1305" s="47"/>
      <c r="O1305" s="47"/>
      <c r="P1305" s="47"/>
    </row>
    <row r="1306" spans="1:16" x14ac:dyDescent="0.3">
      <c r="A1306" s="1">
        <v>1305</v>
      </c>
      <c r="G1306" s="4"/>
      <c r="H1306" s="4"/>
      <c r="I1306" s="47"/>
      <c r="J1306" s="47" t="str">
        <f t="shared" si="33"/>
        <v/>
      </c>
      <c r="K1306" s="47"/>
      <c r="L1306" s="47"/>
      <c r="N1306" s="47"/>
      <c r="O1306" s="47"/>
      <c r="P1306" s="47"/>
    </row>
    <row r="1307" spans="1:16" x14ac:dyDescent="0.3">
      <c r="A1307" s="1">
        <v>1306</v>
      </c>
      <c r="G1307" s="4"/>
      <c r="H1307" s="4"/>
      <c r="I1307" s="47"/>
      <c r="J1307" s="47" t="str">
        <f t="shared" si="33"/>
        <v/>
      </c>
      <c r="K1307" s="47"/>
      <c r="L1307" s="47"/>
      <c r="N1307" s="47"/>
      <c r="O1307" s="47"/>
      <c r="P1307" s="47"/>
    </row>
    <row r="1308" spans="1:16" x14ac:dyDescent="0.3">
      <c r="A1308" s="1">
        <v>1307</v>
      </c>
      <c r="G1308" s="4"/>
      <c r="H1308" s="4"/>
      <c r="I1308" s="47"/>
      <c r="J1308" s="47" t="str">
        <f t="shared" si="33"/>
        <v/>
      </c>
      <c r="K1308" s="47"/>
      <c r="L1308" s="47"/>
      <c r="N1308" s="47"/>
      <c r="O1308" s="47"/>
      <c r="P1308" s="47"/>
    </row>
    <row r="1309" spans="1:16" x14ac:dyDescent="0.3">
      <c r="A1309" s="1">
        <v>1308</v>
      </c>
      <c r="G1309" s="4"/>
      <c r="H1309" s="4"/>
      <c r="I1309" s="47"/>
      <c r="J1309" s="47" t="str">
        <f t="shared" si="33"/>
        <v/>
      </c>
      <c r="K1309" s="47"/>
      <c r="L1309" s="47"/>
      <c r="N1309" s="47"/>
      <c r="O1309" s="47"/>
      <c r="P1309" s="47"/>
    </row>
    <row r="1310" spans="1:16" x14ac:dyDescent="0.3">
      <c r="A1310" s="1">
        <v>1309</v>
      </c>
      <c r="G1310" s="4"/>
      <c r="H1310" s="4"/>
      <c r="I1310" s="47"/>
      <c r="J1310" s="47" t="str">
        <f t="shared" si="33"/>
        <v/>
      </c>
      <c r="K1310" s="47"/>
      <c r="L1310" s="47"/>
      <c r="N1310" s="47"/>
      <c r="O1310" s="47"/>
      <c r="P1310" s="47"/>
    </row>
    <row r="1311" spans="1:16" x14ac:dyDescent="0.3">
      <c r="A1311" s="1">
        <v>1310</v>
      </c>
      <c r="G1311" s="4"/>
      <c r="H1311" s="4"/>
      <c r="I1311" s="47"/>
      <c r="J1311" s="47" t="str">
        <f t="shared" si="33"/>
        <v/>
      </c>
      <c r="K1311" s="47"/>
      <c r="L1311" s="47"/>
      <c r="N1311" s="47"/>
      <c r="O1311" s="47"/>
      <c r="P1311" s="47"/>
    </row>
    <row r="1312" spans="1:16" x14ac:dyDescent="0.3">
      <c r="A1312" s="1">
        <v>1311</v>
      </c>
      <c r="G1312" s="4"/>
      <c r="H1312" s="4"/>
      <c r="I1312" s="47"/>
      <c r="J1312" s="47" t="str">
        <f t="shared" si="33"/>
        <v/>
      </c>
      <c r="K1312" s="47"/>
      <c r="L1312" s="47"/>
      <c r="N1312" s="47"/>
      <c r="O1312" s="47"/>
      <c r="P1312" s="47"/>
    </row>
    <row r="1313" spans="1:16" x14ac:dyDescent="0.3">
      <c r="A1313" s="1">
        <v>1312</v>
      </c>
      <c r="G1313" s="4"/>
      <c r="H1313" s="4"/>
      <c r="I1313" s="47"/>
      <c r="J1313" s="47" t="str">
        <f t="shared" si="33"/>
        <v/>
      </c>
      <c r="K1313" s="47"/>
      <c r="L1313" s="47"/>
      <c r="N1313" s="47"/>
      <c r="O1313" s="47"/>
      <c r="P1313" s="47"/>
    </row>
    <row r="1314" spans="1:16" x14ac:dyDescent="0.3">
      <c r="A1314" s="1">
        <v>1313</v>
      </c>
      <c r="G1314" s="4"/>
      <c r="H1314" s="4"/>
      <c r="I1314" s="47"/>
      <c r="J1314" s="47" t="str">
        <f t="shared" si="33"/>
        <v/>
      </c>
      <c r="K1314" s="47"/>
      <c r="L1314" s="47"/>
      <c r="N1314" s="47"/>
      <c r="O1314" s="47"/>
      <c r="P1314" s="47"/>
    </row>
    <row r="1315" spans="1:16" x14ac:dyDescent="0.3">
      <c r="A1315" s="1">
        <v>1314</v>
      </c>
      <c r="G1315" s="4"/>
      <c r="H1315" s="4"/>
      <c r="I1315" s="47"/>
      <c r="J1315" s="47" t="str">
        <f t="shared" si="33"/>
        <v/>
      </c>
      <c r="K1315" s="47"/>
      <c r="L1315" s="47"/>
      <c r="N1315" s="47"/>
      <c r="O1315" s="47"/>
      <c r="P1315" s="47"/>
    </row>
    <row r="1316" spans="1:16" x14ac:dyDescent="0.3">
      <c r="A1316" s="1">
        <v>1315</v>
      </c>
      <c r="G1316" s="4"/>
      <c r="H1316" s="4"/>
      <c r="I1316" s="47"/>
      <c r="J1316" s="47" t="str">
        <f t="shared" si="33"/>
        <v/>
      </c>
      <c r="K1316" s="47"/>
      <c r="L1316" s="47"/>
      <c r="N1316" s="47"/>
      <c r="O1316" s="47"/>
      <c r="P1316" s="47"/>
    </row>
    <row r="1317" spans="1:16" x14ac:dyDescent="0.3">
      <c r="A1317" s="1">
        <v>1316</v>
      </c>
      <c r="G1317" s="4"/>
      <c r="H1317" s="4"/>
      <c r="I1317" s="47"/>
      <c r="J1317" s="47" t="str">
        <f t="shared" si="33"/>
        <v/>
      </c>
      <c r="K1317" s="47"/>
      <c r="L1317" s="47"/>
      <c r="N1317" s="47"/>
      <c r="O1317" s="47"/>
      <c r="P1317" s="47"/>
    </row>
    <row r="1318" spans="1:16" x14ac:dyDescent="0.3">
      <c r="A1318" s="1">
        <v>1317</v>
      </c>
      <c r="G1318" s="4"/>
      <c r="H1318" s="4"/>
      <c r="I1318" s="47"/>
      <c r="J1318" s="47" t="str">
        <f t="shared" si="33"/>
        <v/>
      </c>
      <c r="K1318" s="47"/>
      <c r="L1318" s="47"/>
      <c r="N1318" s="47"/>
      <c r="O1318" s="47"/>
      <c r="P1318" s="47"/>
    </row>
    <row r="1319" spans="1:16" x14ac:dyDescent="0.3">
      <c r="A1319" s="1">
        <v>1318</v>
      </c>
      <c r="G1319" s="4"/>
      <c r="H1319" s="4"/>
      <c r="I1319" s="47"/>
      <c r="J1319" s="47" t="str">
        <f t="shared" si="33"/>
        <v/>
      </c>
      <c r="K1319" s="47"/>
      <c r="L1319" s="47"/>
      <c r="N1319" s="47"/>
      <c r="O1319" s="47"/>
      <c r="P1319" s="47"/>
    </row>
    <row r="1320" spans="1:16" x14ac:dyDescent="0.3">
      <c r="A1320" s="1">
        <v>1319</v>
      </c>
      <c r="G1320" s="4"/>
      <c r="H1320" s="4"/>
      <c r="I1320" s="47"/>
      <c r="J1320" s="47" t="str">
        <f t="shared" si="33"/>
        <v/>
      </c>
      <c r="K1320" s="47"/>
      <c r="L1320" s="47"/>
      <c r="N1320" s="47"/>
      <c r="O1320" s="47"/>
      <c r="P1320" s="47"/>
    </row>
    <row r="1321" spans="1:16" x14ac:dyDescent="0.3">
      <c r="A1321" s="1">
        <v>1320</v>
      </c>
      <c r="G1321" s="4"/>
      <c r="H1321" s="4"/>
      <c r="I1321" s="47"/>
      <c r="J1321" s="47" t="str">
        <f t="shared" si="33"/>
        <v/>
      </c>
      <c r="K1321" s="47"/>
      <c r="L1321" s="47"/>
      <c r="N1321" s="47"/>
      <c r="O1321" s="47"/>
      <c r="P1321" s="47"/>
    </row>
    <row r="1322" spans="1:16" x14ac:dyDescent="0.3">
      <c r="A1322" s="1">
        <v>1321</v>
      </c>
      <c r="G1322" s="4"/>
      <c r="H1322" s="4"/>
      <c r="I1322" s="47"/>
      <c r="J1322" s="47" t="str">
        <f t="shared" si="33"/>
        <v/>
      </c>
      <c r="K1322" s="47"/>
      <c r="L1322" s="47"/>
      <c r="N1322" s="47"/>
      <c r="O1322" s="47"/>
      <c r="P1322" s="47"/>
    </row>
    <row r="1323" spans="1:16" x14ac:dyDescent="0.3">
      <c r="A1323" s="1">
        <v>1322</v>
      </c>
      <c r="G1323" s="4"/>
      <c r="H1323" s="4"/>
      <c r="I1323" s="47"/>
      <c r="J1323" s="47" t="str">
        <f t="shared" si="33"/>
        <v/>
      </c>
      <c r="K1323" s="47"/>
      <c r="L1323" s="47"/>
      <c r="N1323" s="47"/>
      <c r="O1323" s="47"/>
      <c r="P1323" s="47"/>
    </row>
    <row r="1324" spans="1:16" x14ac:dyDescent="0.3">
      <c r="A1324" s="1">
        <v>1323</v>
      </c>
      <c r="G1324" s="4"/>
      <c r="H1324" s="4"/>
      <c r="I1324" s="47"/>
      <c r="J1324" s="47" t="str">
        <f t="shared" si="33"/>
        <v/>
      </c>
      <c r="K1324" s="47"/>
      <c r="L1324" s="47"/>
      <c r="N1324" s="47"/>
      <c r="O1324" s="47"/>
      <c r="P1324" s="47"/>
    </row>
    <row r="1325" spans="1:16" x14ac:dyDescent="0.3">
      <c r="A1325" s="1">
        <v>1324</v>
      </c>
      <c r="G1325" s="4"/>
      <c r="H1325" s="4"/>
      <c r="I1325" s="47"/>
      <c r="J1325" s="47" t="str">
        <f t="shared" si="33"/>
        <v/>
      </c>
      <c r="K1325" s="47"/>
      <c r="L1325" s="47"/>
      <c r="N1325" s="47"/>
      <c r="O1325" s="47"/>
      <c r="P1325" s="47"/>
    </row>
    <row r="1326" spans="1:16" x14ac:dyDescent="0.3">
      <c r="A1326" s="1">
        <v>1325</v>
      </c>
      <c r="G1326" s="4"/>
      <c r="H1326" s="4"/>
      <c r="I1326" s="47"/>
      <c r="J1326" s="47" t="str">
        <f t="shared" si="33"/>
        <v/>
      </c>
      <c r="K1326" s="47"/>
      <c r="L1326" s="47"/>
      <c r="N1326" s="47"/>
      <c r="O1326" s="47"/>
      <c r="P1326" s="47"/>
    </row>
    <row r="1327" spans="1:16" x14ac:dyDescent="0.3">
      <c r="A1327" s="1">
        <v>1326</v>
      </c>
      <c r="G1327" s="4"/>
      <c r="H1327" s="4"/>
      <c r="I1327" s="47"/>
      <c r="J1327" s="47" t="str">
        <f t="shared" si="33"/>
        <v/>
      </c>
      <c r="K1327" s="47"/>
      <c r="L1327" s="47"/>
      <c r="N1327" s="47"/>
      <c r="O1327" s="47"/>
      <c r="P1327" s="47"/>
    </row>
    <row r="1328" spans="1:16" x14ac:dyDescent="0.3">
      <c r="A1328" s="1">
        <v>1327</v>
      </c>
      <c r="G1328" s="4"/>
      <c r="H1328" s="4"/>
      <c r="I1328" s="47"/>
      <c r="J1328" s="47" t="str">
        <f t="shared" si="33"/>
        <v/>
      </c>
      <c r="K1328" s="47"/>
      <c r="L1328" s="47"/>
      <c r="N1328" s="47"/>
      <c r="O1328" s="47"/>
      <c r="P1328" s="47"/>
    </row>
    <row r="1329" spans="1:16" x14ac:dyDescent="0.3">
      <c r="A1329" s="1">
        <v>1328</v>
      </c>
      <c r="G1329" s="4"/>
      <c r="H1329" s="4"/>
      <c r="I1329" s="47"/>
      <c r="J1329" s="47" t="str">
        <f t="shared" si="33"/>
        <v/>
      </c>
      <c r="K1329" s="47"/>
      <c r="L1329" s="47"/>
      <c r="N1329" s="47"/>
      <c r="O1329" s="47"/>
      <c r="P1329" s="47"/>
    </row>
    <row r="1330" spans="1:16" x14ac:dyDescent="0.3">
      <c r="A1330" s="1">
        <v>1329</v>
      </c>
      <c r="G1330" s="4"/>
      <c r="H1330" s="4"/>
      <c r="I1330" s="47"/>
      <c r="J1330" s="47" t="str">
        <f t="shared" si="33"/>
        <v/>
      </c>
      <c r="K1330" s="47"/>
      <c r="L1330" s="47"/>
      <c r="N1330" s="47"/>
      <c r="O1330" s="47"/>
      <c r="P1330" s="47"/>
    </row>
    <row r="1331" spans="1:16" x14ac:dyDescent="0.3">
      <c r="A1331" s="1">
        <v>1330</v>
      </c>
      <c r="G1331" s="4"/>
      <c r="H1331" s="4"/>
      <c r="I1331" s="47"/>
      <c r="J1331" s="47" t="str">
        <f t="shared" si="33"/>
        <v/>
      </c>
      <c r="K1331" s="47"/>
      <c r="L1331" s="47"/>
      <c r="N1331" s="47"/>
      <c r="O1331" s="47"/>
      <c r="P1331" s="47"/>
    </row>
    <row r="1332" spans="1:16" x14ac:dyDescent="0.3">
      <c r="A1332" s="1">
        <v>1331</v>
      </c>
      <c r="G1332" s="4"/>
      <c r="H1332" s="4"/>
      <c r="I1332" s="47"/>
      <c r="J1332" s="47" t="str">
        <f t="shared" si="33"/>
        <v/>
      </c>
      <c r="K1332" s="47"/>
      <c r="L1332" s="47"/>
      <c r="N1332" s="47"/>
      <c r="O1332" s="47"/>
      <c r="P1332" s="47"/>
    </row>
    <row r="1333" spans="1:16" x14ac:dyDescent="0.3">
      <c r="A1333" s="1">
        <v>1332</v>
      </c>
      <c r="G1333" s="4"/>
      <c r="H1333" s="4"/>
      <c r="I1333" s="47"/>
      <c r="J1333" s="47" t="str">
        <f t="shared" si="33"/>
        <v/>
      </c>
      <c r="K1333" s="47"/>
      <c r="L1333" s="47"/>
      <c r="N1333" s="47"/>
      <c r="O1333" s="47"/>
      <c r="P1333" s="47"/>
    </row>
    <row r="1334" spans="1:16" x14ac:dyDescent="0.3">
      <c r="A1334" s="1">
        <v>1333</v>
      </c>
      <c r="G1334" s="4"/>
      <c r="H1334" s="4"/>
      <c r="I1334" s="47"/>
      <c r="J1334" s="47" t="str">
        <f t="shared" si="33"/>
        <v/>
      </c>
      <c r="K1334" s="47"/>
      <c r="L1334" s="47"/>
      <c r="N1334" s="47"/>
      <c r="O1334" s="47"/>
      <c r="P1334" s="47"/>
    </row>
    <row r="1335" spans="1:16" x14ac:dyDescent="0.3">
      <c r="A1335" s="1">
        <v>1334</v>
      </c>
      <c r="G1335" s="4"/>
      <c r="H1335" s="4"/>
      <c r="I1335" s="47"/>
      <c r="J1335" s="47" t="str">
        <f t="shared" si="33"/>
        <v/>
      </c>
      <c r="K1335" s="47"/>
      <c r="L1335" s="47"/>
      <c r="N1335" s="47"/>
      <c r="O1335" s="47"/>
      <c r="P1335" s="47"/>
    </row>
    <row r="1336" spans="1:16" x14ac:dyDescent="0.3">
      <c r="A1336" s="1">
        <v>1335</v>
      </c>
      <c r="G1336" s="4"/>
      <c r="H1336" s="4"/>
      <c r="I1336" s="47"/>
      <c r="J1336" s="47" t="str">
        <f t="shared" si="33"/>
        <v/>
      </c>
      <c r="K1336" s="47"/>
      <c r="L1336" s="47"/>
      <c r="N1336" s="47"/>
      <c r="O1336" s="47"/>
      <c r="P1336" s="47"/>
    </row>
    <row r="1337" spans="1:16" x14ac:dyDescent="0.3">
      <c r="A1337" s="1">
        <v>1336</v>
      </c>
      <c r="G1337" s="4"/>
      <c r="H1337" s="4"/>
      <c r="I1337" s="47"/>
      <c r="J1337" s="47" t="str">
        <f t="shared" si="33"/>
        <v/>
      </c>
      <c r="K1337" s="47"/>
      <c r="L1337" s="47"/>
      <c r="N1337" s="47"/>
      <c r="O1337" s="47"/>
      <c r="P1337" s="47"/>
    </row>
    <row r="1338" spans="1:16" x14ac:dyDescent="0.3">
      <c r="A1338" s="1">
        <v>1337</v>
      </c>
      <c r="G1338" s="4"/>
      <c r="H1338" s="4"/>
      <c r="I1338" s="47"/>
      <c r="J1338" s="47" t="str">
        <f t="shared" si="33"/>
        <v/>
      </c>
      <c r="K1338" s="47"/>
      <c r="L1338" s="47"/>
      <c r="N1338" s="47"/>
      <c r="O1338" s="47"/>
      <c r="P1338" s="47"/>
    </row>
    <row r="1339" spans="1:16" x14ac:dyDescent="0.3">
      <c r="A1339" s="1">
        <v>1338</v>
      </c>
      <c r="G1339" s="4"/>
      <c r="H1339" s="4"/>
      <c r="I1339" s="47"/>
      <c r="J1339" s="47" t="str">
        <f t="shared" si="33"/>
        <v/>
      </c>
      <c r="K1339" s="47"/>
      <c r="L1339" s="47"/>
      <c r="N1339" s="47"/>
      <c r="O1339" s="47"/>
      <c r="P1339" s="47"/>
    </row>
    <row r="1340" spans="1:16" x14ac:dyDescent="0.3">
      <c r="A1340" s="1">
        <v>1339</v>
      </c>
      <c r="G1340" s="4"/>
      <c r="H1340" s="4"/>
      <c r="I1340" s="47"/>
      <c r="J1340" s="47" t="str">
        <f t="shared" si="33"/>
        <v/>
      </c>
      <c r="K1340" s="47"/>
      <c r="L1340" s="47"/>
      <c r="N1340" s="47"/>
      <c r="O1340" s="47"/>
      <c r="P1340" s="47"/>
    </row>
    <row r="1341" spans="1:16" x14ac:dyDescent="0.3">
      <c r="A1341" s="1">
        <v>1340</v>
      </c>
      <c r="G1341" s="4"/>
      <c r="H1341" s="4"/>
      <c r="I1341" s="47"/>
      <c r="J1341" s="47" t="str">
        <f t="shared" si="33"/>
        <v/>
      </c>
      <c r="K1341" s="47"/>
      <c r="L1341" s="47"/>
      <c r="N1341" s="47"/>
      <c r="O1341" s="47"/>
      <c r="P1341" s="47"/>
    </row>
    <row r="1342" spans="1:16" x14ac:dyDescent="0.3">
      <c r="A1342" s="1">
        <v>1341</v>
      </c>
      <c r="G1342" s="4"/>
      <c r="H1342" s="4"/>
      <c r="I1342" s="47"/>
      <c r="J1342" s="47" t="str">
        <f t="shared" si="33"/>
        <v/>
      </c>
      <c r="K1342" s="47"/>
      <c r="L1342" s="47"/>
      <c r="N1342" s="47"/>
      <c r="O1342" s="47"/>
      <c r="P1342" s="47"/>
    </row>
    <row r="1343" spans="1:16" x14ac:dyDescent="0.3">
      <c r="A1343" s="1">
        <v>1342</v>
      </c>
      <c r="G1343" s="4"/>
      <c r="H1343" s="4"/>
      <c r="I1343" s="47"/>
      <c r="J1343" s="47" t="str">
        <f t="shared" si="33"/>
        <v/>
      </c>
      <c r="K1343" s="47"/>
      <c r="L1343" s="47"/>
      <c r="N1343" s="47"/>
      <c r="O1343" s="47"/>
      <c r="P1343" s="47"/>
    </row>
    <row r="1344" spans="1:16" x14ac:dyDescent="0.3">
      <c r="A1344" s="1">
        <v>1343</v>
      </c>
      <c r="G1344" s="4"/>
      <c r="H1344" s="4"/>
      <c r="I1344" s="47"/>
      <c r="J1344" s="47" t="str">
        <f t="shared" si="33"/>
        <v/>
      </c>
      <c r="K1344" s="47"/>
      <c r="L1344" s="47"/>
      <c r="N1344" s="47"/>
      <c r="O1344" s="47"/>
      <c r="P1344" s="47"/>
    </row>
    <row r="1345" spans="1:16" x14ac:dyDescent="0.3">
      <c r="A1345" s="1">
        <v>1344</v>
      </c>
      <c r="G1345" s="4"/>
      <c r="H1345" s="4"/>
      <c r="I1345" s="47"/>
      <c r="J1345" s="47" t="str">
        <f t="shared" si="33"/>
        <v/>
      </c>
      <c r="K1345" s="47"/>
      <c r="L1345" s="47"/>
      <c r="N1345" s="47"/>
      <c r="O1345" s="47"/>
      <c r="P1345" s="47"/>
    </row>
    <row r="1346" spans="1:16" x14ac:dyDescent="0.3">
      <c r="A1346" s="1">
        <v>1345</v>
      </c>
      <c r="G1346" s="4"/>
      <c r="H1346" s="4"/>
      <c r="I1346" s="47"/>
      <c r="J1346" s="47" t="str">
        <f t="shared" si="33"/>
        <v/>
      </c>
      <c r="K1346" s="47"/>
      <c r="L1346" s="47"/>
      <c r="N1346" s="47"/>
      <c r="O1346" s="47"/>
      <c r="P1346" s="47"/>
    </row>
    <row r="1347" spans="1:16" x14ac:dyDescent="0.3">
      <c r="A1347" s="1">
        <v>1346</v>
      </c>
      <c r="G1347" s="4"/>
      <c r="H1347" s="4"/>
      <c r="I1347" s="47"/>
      <c r="J1347" s="47" t="str">
        <f t="shared" ref="J1347:J1410" si="34">+E1347&amp;I1347</f>
        <v/>
      </c>
      <c r="K1347" s="47"/>
      <c r="L1347" s="47"/>
      <c r="N1347" s="47"/>
      <c r="O1347" s="47"/>
      <c r="P1347" s="47"/>
    </row>
    <row r="1348" spans="1:16" x14ac:dyDescent="0.3">
      <c r="A1348" s="1">
        <v>1347</v>
      </c>
      <c r="G1348" s="4"/>
      <c r="H1348" s="4"/>
      <c r="I1348" s="47"/>
      <c r="J1348" s="47" t="str">
        <f t="shared" si="34"/>
        <v/>
      </c>
      <c r="K1348" s="47"/>
      <c r="L1348" s="47"/>
      <c r="N1348" s="47"/>
      <c r="O1348" s="47"/>
      <c r="P1348" s="47"/>
    </row>
    <row r="1349" spans="1:16" x14ac:dyDescent="0.3">
      <c r="A1349" s="1">
        <v>1348</v>
      </c>
      <c r="G1349" s="4"/>
      <c r="H1349" s="4"/>
      <c r="I1349" s="47"/>
      <c r="J1349" s="47" t="str">
        <f t="shared" si="34"/>
        <v/>
      </c>
      <c r="K1349" s="47"/>
      <c r="L1349" s="47"/>
      <c r="N1349" s="47"/>
      <c r="O1349" s="47"/>
      <c r="P1349" s="47"/>
    </row>
    <row r="1350" spans="1:16" x14ac:dyDescent="0.3">
      <c r="A1350" s="1">
        <v>1349</v>
      </c>
      <c r="G1350" s="4"/>
      <c r="H1350" s="4"/>
      <c r="I1350" s="47"/>
      <c r="J1350" s="47" t="str">
        <f t="shared" si="34"/>
        <v/>
      </c>
      <c r="K1350" s="47"/>
      <c r="L1350" s="47"/>
      <c r="N1350" s="47"/>
      <c r="O1350" s="47"/>
      <c r="P1350" s="47"/>
    </row>
    <row r="1351" spans="1:16" x14ac:dyDescent="0.3">
      <c r="A1351" s="1">
        <v>1350</v>
      </c>
      <c r="G1351" s="4"/>
      <c r="H1351" s="4"/>
      <c r="I1351" s="47"/>
      <c r="J1351" s="47" t="str">
        <f t="shared" si="34"/>
        <v/>
      </c>
      <c r="K1351" s="47"/>
      <c r="L1351" s="47"/>
      <c r="N1351" s="47"/>
      <c r="O1351" s="47"/>
      <c r="P1351" s="47"/>
    </row>
    <row r="1352" spans="1:16" x14ac:dyDescent="0.3">
      <c r="A1352" s="1">
        <v>1351</v>
      </c>
      <c r="G1352" s="4"/>
      <c r="H1352" s="4"/>
      <c r="I1352" s="47"/>
      <c r="J1352" s="47" t="str">
        <f t="shared" si="34"/>
        <v/>
      </c>
      <c r="K1352" s="47"/>
      <c r="L1352" s="47"/>
      <c r="N1352" s="47"/>
      <c r="O1352" s="47"/>
      <c r="P1352" s="47"/>
    </row>
    <row r="1353" spans="1:16" x14ac:dyDescent="0.3">
      <c r="A1353" s="1">
        <v>1352</v>
      </c>
      <c r="G1353" s="4"/>
      <c r="H1353" s="4"/>
      <c r="I1353" s="47"/>
      <c r="J1353" s="47" t="str">
        <f t="shared" si="34"/>
        <v/>
      </c>
      <c r="K1353" s="47"/>
      <c r="L1353" s="47"/>
      <c r="N1353" s="47"/>
      <c r="O1353" s="47"/>
      <c r="P1353" s="47"/>
    </row>
    <row r="1354" spans="1:16" x14ac:dyDescent="0.3">
      <c r="A1354" s="1">
        <v>1353</v>
      </c>
      <c r="G1354" s="4"/>
      <c r="H1354" s="4"/>
      <c r="I1354" s="47"/>
      <c r="J1354" s="47" t="str">
        <f t="shared" si="34"/>
        <v/>
      </c>
      <c r="K1354" s="47"/>
      <c r="L1354" s="47"/>
      <c r="N1354" s="47"/>
      <c r="O1354" s="47"/>
      <c r="P1354" s="47"/>
    </row>
    <row r="1355" spans="1:16" x14ac:dyDescent="0.3">
      <c r="A1355" s="1">
        <v>1354</v>
      </c>
      <c r="G1355" s="4"/>
      <c r="H1355" s="4"/>
      <c r="I1355" s="47"/>
      <c r="J1355" s="47" t="str">
        <f t="shared" si="34"/>
        <v/>
      </c>
      <c r="K1355" s="47"/>
      <c r="L1355" s="47"/>
      <c r="N1355" s="47"/>
      <c r="O1355" s="47"/>
      <c r="P1355" s="47"/>
    </row>
    <row r="1356" spans="1:16" x14ac:dyDescent="0.3">
      <c r="A1356" s="1">
        <v>1355</v>
      </c>
      <c r="G1356" s="4"/>
      <c r="H1356" s="4"/>
      <c r="I1356" s="47"/>
      <c r="J1356" s="47" t="str">
        <f t="shared" si="34"/>
        <v/>
      </c>
      <c r="K1356" s="47"/>
      <c r="L1356" s="47"/>
      <c r="N1356" s="47"/>
      <c r="O1356" s="47"/>
      <c r="P1356" s="47"/>
    </row>
    <row r="1357" spans="1:16" x14ac:dyDescent="0.3">
      <c r="A1357" s="1">
        <v>1356</v>
      </c>
      <c r="G1357" s="4"/>
      <c r="H1357" s="4"/>
      <c r="I1357" s="47"/>
      <c r="J1357" s="47" t="str">
        <f t="shared" si="34"/>
        <v/>
      </c>
      <c r="K1357" s="47"/>
      <c r="L1357" s="47"/>
      <c r="N1357" s="47"/>
      <c r="O1357" s="47"/>
      <c r="P1357" s="47"/>
    </row>
    <row r="1358" spans="1:16" x14ac:dyDescent="0.3">
      <c r="A1358" s="1">
        <v>1357</v>
      </c>
      <c r="G1358" s="4"/>
      <c r="H1358" s="4"/>
      <c r="I1358" s="47"/>
      <c r="J1358" s="47" t="str">
        <f t="shared" si="34"/>
        <v/>
      </c>
      <c r="K1358" s="47"/>
      <c r="L1358" s="47"/>
      <c r="N1358" s="47"/>
      <c r="O1358" s="47"/>
      <c r="P1358" s="47"/>
    </row>
    <row r="1359" spans="1:16" x14ac:dyDescent="0.3">
      <c r="A1359" s="1">
        <v>1358</v>
      </c>
      <c r="G1359" s="4"/>
      <c r="H1359" s="4"/>
      <c r="I1359" s="47"/>
      <c r="J1359" s="47" t="str">
        <f t="shared" si="34"/>
        <v/>
      </c>
      <c r="K1359" s="47"/>
      <c r="L1359" s="47"/>
      <c r="N1359" s="47"/>
      <c r="O1359" s="47"/>
      <c r="P1359" s="47"/>
    </row>
    <row r="1360" spans="1:16" x14ac:dyDescent="0.3">
      <c r="A1360" s="1">
        <v>1359</v>
      </c>
      <c r="G1360" s="4"/>
      <c r="H1360" s="4"/>
      <c r="I1360" s="47"/>
      <c r="J1360" s="47" t="str">
        <f t="shared" si="34"/>
        <v/>
      </c>
      <c r="K1360" s="47"/>
      <c r="L1360" s="47"/>
      <c r="N1360" s="47"/>
      <c r="O1360" s="47"/>
      <c r="P1360" s="47"/>
    </row>
    <row r="1361" spans="1:16" x14ac:dyDescent="0.3">
      <c r="A1361" s="1">
        <v>1360</v>
      </c>
      <c r="G1361" s="4"/>
      <c r="H1361" s="4"/>
      <c r="I1361" s="47"/>
      <c r="J1361" s="47" t="str">
        <f t="shared" si="34"/>
        <v/>
      </c>
      <c r="K1361" s="47"/>
      <c r="L1361" s="47"/>
      <c r="N1361" s="47"/>
      <c r="O1361" s="47"/>
      <c r="P1361" s="47"/>
    </row>
    <row r="1362" spans="1:16" x14ac:dyDescent="0.3">
      <c r="A1362" s="1">
        <v>1361</v>
      </c>
      <c r="G1362" s="4"/>
      <c r="H1362" s="4"/>
      <c r="I1362" s="47"/>
      <c r="J1362" s="47" t="str">
        <f t="shared" si="34"/>
        <v/>
      </c>
      <c r="K1362" s="47"/>
      <c r="L1362" s="47"/>
      <c r="N1362" s="47"/>
      <c r="O1362" s="47"/>
      <c r="P1362" s="47"/>
    </row>
    <row r="1363" spans="1:16" x14ac:dyDescent="0.3">
      <c r="A1363" s="1">
        <v>1362</v>
      </c>
      <c r="G1363" s="4"/>
      <c r="H1363" s="4"/>
      <c r="I1363" s="47"/>
      <c r="J1363" s="47" t="str">
        <f t="shared" si="34"/>
        <v/>
      </c>
      <c r="K1363" s="47"/>
      <c r="L1363" s="47"/>
      <c r="N1363" s="47"/>
      <c r="O1363" s="47"/>
      <c r="P1363" s="47"/>
    </row>
    <row r="1364" spans="1:16" x14ac:dyDescent="0.3">
      <c r="A1364" s="1">
        <v>1363</v>
      </c>
      <c r="G1364" s="4"/>
      <c r="H1364" s="4"/>
      <c r="I1364" s="47"/>
      <c r="J1364" s="47" t="str">
        <f t="shared" si="34"/>
        <v/>
      </c>
      <c r="K1364" s="47"/>
      <c r="L1364" s="47"/>
      <c r="N1364" s="47"/>
      <c r="O1364" s="47"/>
      <c r="P1364" s="47"/>
    </row>
    <row r="1365" spans="1:16" x14ac:dyDescent="0.3">
      <c r="A1365" s="1">
        <v>1364</v>
      </c>
      <c r="G1365" s="4"/>
      <c r="H1365" s="4"/>
      <c r="I1365" s="47"/>
      <c r="J1365" s="47" t="str">
        <f t="shared" si="34"/>
        <v/>
      </c>
      <c r="K1365" s="47"/>
      <c r="L1365" s="47"/>
      <c r="N1365" s="47"/>
      <c r="O1365" s="47"/>
      <c r="P1365" s="47"/>
    </row>
    <row r="1366" spans="1:16" x14ac:dyDescent="0.3">
      <c r="A1366" s="1">
        <v>1365</v>
      </c>
      <c r="G1366" s="4"/>
      <c r="H1366" s="4"/>
      <c r="I1366" s="47"/>
      <c r="J1366" s="47" t="str">
        <f t="shared" si="34"/>
        <v/>
      </c>
      <c r="K1366" s="47"/>
      <c r="L1366" s="47"/>
      <c r="N1366" s="47"/>
      <c r="O1366" s="47"/>
      <c r="P1366" s="47"/>
    </row>
    <row r="1367" spans="1:16" x14ac:dyDescent="0.3">
      <c r="A1367" s="1">
        <v>1366</v>
      </c>
      <c r="G1367" s="4"/>
      <c r="H1367" s="4"/>
      <c r="I1367" s="47"/>
      <c r="J1367" s="47" t="str">
        <f t="shared" si="34"/>
        <v/>
      </c>
      <c r="K1367" s="47"/>
      <c r="L1367" s="47"/>
      <c r="N1367" s="47"/>
      <c r="O1367" s="47"/>
      <c r="P1367" s="47"/>
    </row>
    <row r="1368" spans="1:16" x14ac:dyDescent="0.3">
      <c r="A1368" s="1">
        <v>1367</v>
      </c>
      <c r="G1368" s="4"/>
      <c r="H1368" s="4"/>
      <c r="I1368" s="47"/>
      <c r="J1368" s="47" t="str">
        <f t="shared" si="34"/>
        <v/>
      </c>
      <c r="K1368" s="47"/>
      <c r="L1368" s="47"/>
      <c r="N1368" s="47"/>
      <c r="O1368" s="47"/>
      <c r="P1368" s="47"/>
    </row>
    <row r="1369" spans="1:16" x14ac:dyDescent="0.3">
      <c r="A1369" s="1">
        <v>1368</v>
      </c>
      <c r="G1369" s="4"/>
      <c r="H1369" s="4"/>
      <c r="I1369" s="47"/>
      <c r="J1369" s="47" t="str">
        <f t="shared" si="34"/>
        <v/>
      </c>
      <c r="K1369" s="47"/>
      <c r="L1369" s="47"/>
      <c r="N1369" s="47"/>
      <c r="O1369" s="47"/>
      <c r="P1369" s="47"/>
    </row>
    <row r="1370" spans="1:16" x14ac:dyDescent="0.3">
      <c r="A1370" s="1">
        <v>1369</v>
      </c>
      <c r="G1370" s="4"/>
      <c r="H1370" s="4"/>
      <c r="I1370" s="47"/>
      <c r="J1370" s="47" t="str">
        <f t="shared" si="34"/>
        <v/>
      </c>
      <c r="K1370" s="47"/>
      <c r="L1370" s="47"/>
      <c r="N1370" s="47"/>
      <c r="O1370" s="47"/>
      <c r="P1370" s="47"/>
    </row>
    <row r="1371" spans="1:16" x14ac:dyDescent="0.3">
      <c r="A1371" s="1">
        <v>1370</v>
      </c>
      <c r="G1371" s="4"/>
      <c r="H1371" s="4"/>
      <c r="I1371" s="47"/>
      <c r="J1371" s="47" t="str">
        <f t="shared" si="34"/>
        <v/>
      </c>
      <c r="K1371" s="47"/>
      <c r="L1371" s="47"/>
      <c r="N1371" s="47"/>
      <c r="O1371" s="47"/>
      <c r="P1371" s="47"/>
    </row>
    <row r="1372" spans="1:16" x14ac:dyDescent="0.3">
      <c r="A1372" s="1">
        <v>1371</v>
      </c>
      <c r="G1372" s="4"/>
      <c r="H1372" s="4"/>
      <c r="I1372" s="47"/>
      <c r="J1372" s="47" t="str">
        <f t="shared" si="34"/>
        <v/>
      </c>
      <c r="K1372" s="47"/>
      <c r="L1372" s="47"/>
      <c r="N1372" s="47"/>
      <c r="O1372" s="47"/>
      <c r="P1372" s="47"/>
    </row>
    <row r="1373" spans="1:16" x14ac:dyDescent="0.3">
      <c r="A1373" s="1">
        <v>1372</v>
      </c>
      <c r="G1373" s="4"/>
      <c r="H1373" s="4"/>
      <c r="I1373" s="47"/>
      <c r="J1373" s="47" t="str">
        <f t="shared" si="34"/>
        <v/>
      </c>
      <c r="K1373" s="47"/>
      <c r="L1373" s="47"/>
      <c r="N1373" s="47"/>
      <c r="O1373" s="47"/>
      <c r="P1373" s="47"/>
    </row>
    <row r="1374" spans="1:16" x14ac:dyDescent="0.3">
      <c r="A1374" s="1">
        <v>1373</v>
      </c>
      <c r="G1374" s="4"/>
      <c r="H1374" s="4"/>
      <c r="I1374" s="47"/>
      <c r="J1374" s="47" t="str">
        <f t="shared" si="34"/>
        <v/>
      </c>
      <c r="K1374" s="47"/>
      <c r="L1374" s="47"/>
      <c r="N1374" s="47"/>
      <c r="O1374" s="47"/>
      <c r="P1374" s="47"/>
    </row>
    <row r="1375" spans="1:16" x14ac:dyDescent="0.3">
      <c r="A1375" s="1">
        <v>1374</v>
      </c>
      <c r="G1375" s="4"/>
      <c r="H1375" s="4"/>
      <c r="I1375" s="47"/>
      <c r="J1375" s="47" t="str">
        <f t="shared" si="34"/>
        <v/>
      </c>
      <c r="K1375" s="47"/>
      <c r="L1375" s="47"/>
      <c r="N1375" s="47"/>
      <c r="O1375" s="47"/>
      <c r="P1375" s="47"/>
    </row>
    <row r="1376" spans="1:16" x14ac:dyDescent="0.3">
      <c r="A1376" s="1">
        <v>1375</v>
      </c>
      <c r="G1376" s="4"/>
      <c r="H1376" s="4"/>
      <c r="I1376" s="47"/>
      <c r="J1376" s="47" t="str">
        <f t="shared" si="34"/>
        <v/>
      </c>
      <c r="K1376" s="47"/>
      <c r="L1376" s="47"/>
      <c r="N1376" s="47"/>
      <c r="O1376" s="47"/>
      <c r="P1376" s="47"/>
    </row>
    <row r="1377" spans="1:16" x14ac:dyDescent="0.3">
      <c r="A1377" s="1">
        <v>1376</v>
      </c>
      <c r="G1377" s="4"/>
      <c r="H1377" s="4"/>
      <c r="I1377" s="47"/>
      <c r="J1377" s="47" t="str">
        <f t="shared" si="34"/>
        <v/>
      </c>
      <c r="K1377" s="47"/>
      <c r="L1377" s="47"/>
      <c r="N1377" s="47"/>
      <c r="O1377" s="47"/>
      <c r="P1377" s="47"/>
    </row>
    <row r="1378" spans="1:16" x14ac:dyDescent="0.3">
      <c r="A1378" s="1">
        <v>1377</v>
      </c>
      <c r="G1378" s="4"/>
      <c r="H1378" s="4"/>
      <c r="I1378" s="47"/>
      <c r="J1378" s="47" t="str">
        <f t="shared" si="34"/>
        <v/>
      </c>
      <c r="K1378" s="47"/>
      <c r="L1378" s="47"/>
      <c r="N1378" s="47"/>
      <c r="O1378" s="47"/>
      <c r="P1378" s="47"/>
    </row>
    <row r="1379" spans="1:16" x14ac:dyDescent="0.3">
      <c r="A1379" s="1">
        <v>1378</v>
      </c>
      <c r="G1379" s="4"/>
      <c r="H1379" s="4"/>
      <c r="I1379" s="47"/>
      <c r="J1379" s="47" t="str">
        <f t="shared" si="34"/>
        <v/>
      </c>
      <c r="K1379" s="47"/>
      <c r="L1379" s="47"/>
      <c r="N1379" s="47"/>
      <c r="O1379" s="47"/>
      <c r="P1379" s="47"/>
    </row>
    <row r="1380" spans="1:16" x14ac:dyDescent="0.3">
      <c r="A1380" s="1">
        <v>1379</v>
      </c>
      <c r="G1380" s="4"/>
      <c r="H1380" s="4"/>
      <c r="I1380" s="47"/>
      <c r="J1380" s="47" t="str">
        <f t="shared" si="34"/>
        <v/>
      </c>
      <c r="K1380" s="47"/>
      <c r="L1380" s="47"/>
      <c r="N1380" s="47"/>
      <c r="O1380" s="47"/>
      <c r="P1380" s="47"/>
    </row>
    <row r="1381" spans="1:16" x14ac:dyDescent="0.3">
      <c r="A1381" s="1">
        <v>1380</v>
      </c>
      <c r="G1381" s="4"/>
      <c r="H1381" s="4"/>
      <c r="I1381" s="47"/>
      <c r="J1381" s="47" t="str">
        <f t="shared" si="34"/>
        <v/>
      </c>
      <c r="K1381" s="47"/>
      <c r="L1381" s="47"/>
      <c r="N1381" s="47"/>
      <c r="O1381" s="47"/>
      <c r="P1381" s="47"/>
    </row>
    <row r="1382" spans="1:16" x14ac:dyDescent="0.3">
      <c r="A1382" s="1">
        <v>1381</v>
      </c>
      <c r="G1382" s="4"/>
      <c r="H1382" s="4"/>
      <c r="I1382" s="47"/>
      <c r="J1382" s="47" t="str">
        <f t="shared" si="34"/>
        <v/>
      </c>
      <c r="K1382" s="47"/>
      <c r="L1382" s="47"/>
      <c r="N1382" s="47"/>
      <c r="O1382" s="47"/>
      <c r="P1382" s="47"/>
    </row>
    <row r="1383" spans="1:16" x14ac:dyDescent="0.3">
      <c r="A1383" s="1">
        <v>1382</v>
      </c>
      <c r="G1383" s="4"/>
      <c r="H1383" s="4"/>
      <c r="I1383" s="47"/>
      <c r="J1383" s="47" t="str">
        <f t="shared" si="34"/>
        <v/>
      </c>
      <c r="K1383" s="47"/>
      <c r="L1383" s="47"/>
      <c r="N1383" s="47"/>
      <c r="O1383" s="47"/>
      <c r="P1383" s="47"/>
    </row>
    <row r="1384" spans="1:16" x14ac:dyDescent="0.3">
      <c r="A1384" s="1">
        <v>1383</v>
      </c>
      <c r="G1384" s="4"/>
      <c r="H1384" s="4"/>
      <c r="I1384" s="47"/>
      <c r="J1384" s="47" t="str">
        <f t="shared" si="34"/>
        <v/>
      </c>
      <c r="K1384" s="47"/>
      <c r="L1384" s="47"/>
      <c r="N1384" s="47"/>
      <c r="O1384" s="47"/>
      <c r="P1384" s="47"/>
    </row>
    <row r="1385" spans="1:16" x14ac:dyDescent="0.3">
      <c r="A1385" s="1">
        <v>1384</v>
      </c>
      <c r="G1385" s="4"/>
      <c r="H1385" s="4"/>
      <c r="I1385" s="47"/>
      <c r="J1385" s="47" t="str">
        <f t="shared" si="34"/>
        <v/>
      </c>
      <c r="K1385" s="47"/>
      <c r="L1385" s="47"/>
      <c r="N1385" s="47"/>
      <c r="O1385" s="47"/>
      <c r="P1385" s="47"/>
    </row>
    <row r="1386" spans="1:16" x14ac:dyDescent="0.3">
      <c r="A1386" s="1">
        <v>1385</v>
      </c>
      <c r="G1386" s="4"/>
      <c r="H1386" s="4"/>
      <c r="I1386" s="47"/>
      <c r="J1386" s="47" t="str">
        <f t="shared" si="34"/>
        <v/>
      </c>
      <c r="K1386" s="47"/>
      <c r="L1386" s="47"/>
      <c r="N1386" s="47"/>
      <c r="O1386" s="47"/>
      <c r="P1386" s="47"/>
    </row>
    <row r="1387" spans="1:16" x14ac:dyDescent="0.3">
      <c r="A1387" s="1">
        <v>1386</v>
      </c>
      <c r="G1387" s="4"/>
      <c r="H1387" s="4"/>
      <c r="I1387" s="47"/>
      <c r="J1387" s="47" t="str">
        <f t="shared" si="34"/>
        <v/>
      </c>
      <c r="K1387" s="47"/>
      <c r="L1387" s="47"/>
      <c r="N1387" s="47"/>
      <c r="O1387" s="47"/>
      <c r="P1387" s="47"/>
    </row>
    <row r="1388" spans="1:16" x14ac:dyDescent="0.3">
      <c r="A1388" s="1">
        <v>1387</v>
      </c>
      <c r="G1388" s="4"/>
      <c r="H1388" s="4"/>
      <c r="I1388" s="47"/>
      <c r="J1388" s="47" t="str">
        <f t="shared" si="34"/>
        <v/>
      </c>
      <c r="K1388" s="47"/>
      <c r="L1388" s="47"/>
      <c r="N1388" s="47"/>
      <c r="O1388" s="47"/>
      <c r="P1388" s="47"/>
    </row>
    <row r="1389" spans="1:16" x14ac:dyDescent="0.3">
      <c r="A1389" s="1">
        <v>1388</v>
      </c>
      <c r="G1389" s="4"/>
      <c r="H1389" s="4"/>
      <c r="I1389" s="47"/>
      <c r="J1389" s="47" t="str">
        <f t="shared" si="34"/>
        <v/>
      </c>
      <c r="K1389" s="47"/>
      <c r="L1389" s="47"/>
      <c r="N1389" s="47"/>
      <c r="O1389" s="47"/>
      <c r="P1389" s="47"/>
    </row>
    <row r="1390" spans="1:16" x14ac:dyDescent="0.3">
      <c r="A1390" s="1">
        <v>1389</v>
      </c>
      <c r="G1390" s="4"/>
      <c r="H1390" s="4"/>
      <c r="I1390" s="47"/>
      <c r="J1390" s="47" t="str">
        <f t="shared" si="34"/>
        <v/>
      </c>
      <c r="K1390" s="47"/>
      <c r="L1390" s="47"/>
      <c r="N1390" s="47"/>
      <c r="O1390" s="47"/>
      <c r="P1390" s="47"/>
    </row>
    <row r="1391" spans="1:16" x14ac:dyDescent="0.3">
      <c r="A1391" s="1">
        <v>1390</v>
      </c>
      <c r="G1391" s="4"/>
      <c r="H1391" s="4"/>
      <c r="I1391" s="47"/>
      <c r="J1391" s="47" t="str">
        <f t="shared" si="34"/>
        <v/>
      </c>
      <c r="K1391" s="47"/>
      <c r="L1391" s="47"/>
      <c r="N1391" s="47"/>
      <c r="O1391" s="47"/>
      <c r="P1391" s="47"/>
    </row>
    <row r="1392" spans="1:16" x14ac:dyDescent="0.3">
      <c r="A1392" s="1">
        <v>1391</v>
      </c>
      <c r="G1392" s="4"/>
      <c r="H1392" s="4"/>
      <c r="I1392" s="47"/>
      <c r="J1392" s="47" t="str">
        <f t="shared" si="34"/>
        <v/>
      </c>
      <c r="K1392" s="47"/>
      <c r="L1392" s="47"/>
      <c r="N1392" s="47"/>
      <c r="O1392" s="47"/>
      <c r="P1392" s="47"/>
    </row>
    <row r="1393" spans="1:16" x14ac:dyDescent="0.3">
      <c r="A1393" s="1">
        <v>1392</v>
      </c>
      <c r="G1393" s="4"/>
      <c r="H1393" s="4"/>
      <c r="I1393" s="47"/>
      <c r="J1393" s="47" t="str">
        <f t="shared" si="34"/>
        <v/>
      </c>
      <c r="K1393" s="47"/>
      <c r="L1393" s="47"/>
      <c r="N1393" s="47"/>
      <c r="O1393" s="47"/>
      <c r="P1393" s="47"/>
    </row>
    <row r="1394" spans="1:16" x14ac:dyDescent="0.3">
      <c r="A1394" s="1">
        <v>1393</v>
      </c>
      <c r="G1394" s="4"/>
      <c r="H1394" s="4"/>
      <c r="I1394" s="47"/>
      <c r="J1394" s="47" t="str">
        <f t="shared" si="34"/>
        <v/>
      </c>
      <c r="K1394" s="47"/>
      <c r="L1394" s="47"/>
      <c r="N1394" s="47"/>
      <c r="O1394" s="47"/>
      <c r="P1394" s="47"/>
    </row>
    <row r="1395" spans="1:16" x14ac:dyDescent="0.3">
      <c r="A1395" s="1">
        <v>1394</v>
      </c>
      <c r="G1395" s="4"/>
      <c r="H1395" s="4"/>
      <c r="I1395" s="47"/>
      <c r="J1395" s="47" t="str">
        <f t="shared" si="34"/>
        <v/>
      </c>
      <c r="K1395" s="47"/>
      <c r="L1395" s="47"/>
      <c r="N1395" s="47"/>
      <c r="O1395" s="47"/>
      <c r="P1395" s="47"/>
    </row>
    <row r="1396" spans="1:16" x14ac:dyDescent="0.3">
      <c r="A1396" s="1">
        <v>1395</v>
      </c>
      <c r="G1396" s="4"/>
      <c r="H1396" s="4"/>
      <c r="I1396" s="47"/>
      <c r="J1396" s="47" t="str">
        <f t="shared" si="34"/>
        <v/>
      </c>
      <c r="K1396" s="47"/>
      <c r="L1396" s="47"/>
      <c r="N1396" s="47"/>
      <c r="O1396" s="47"/>
      <c r="P1396" s="47"/>
    </row>
    <row r="1397" spans="1:16" x14ac:dyDescent="0.3">
      <c r="A1397" s="1">
        <v>1396</v>
      </c>
      <c r="G1397" s="4"/>
      <c r="H1397" s="4"/>
      <c r="I1397" s="47"/>
      <c r="J1397" s="47" t="str">
        <f t="shared" si="34"/>
        <v/>
      </c>
      <c r="K1397" s="47"/>
      <c r="L1397" s="47"/>
      <c r="N1397" s="47"/>
      <c r="O1397" s="47"/>
      <c r="P1397" s="47"/>
    </row>
    <row r="1398" spans="1:16" x14ac:dyDescent="0.3">
      <c r="A1398" s="1">
        <v>1397</v>
      </c>
      <c r="G1398" s="4"/>
      <c r="H1398" s="4"/>
      <c r="I1398" s="47"/>
      <c r="J1398" s="47" t="str">
        <f t="shared" si="34"/>
        <v/>
      </c>
      <c r="K1398" s="47"/>
      <c r="L1398" s="47"/>
      <c r="N1398" s="47"/>
      <c r="O1398" s="47"/>
      <c r="P1398" s="47"/>
    </row>
    <row r="1399" spans="1:16" x14ac:dyDescent="0.3">
      <c r="A1399" s="1">
        <v>1398</v>
      </c>
      <c r="G1399" s="4"/>
      <c r="H1399" s="4"/>
      <c r="I1399" s="47"/>
      <c r="J1399" s="47" t="str">
        <f t="shared" si="34"/>
        <v/>
      </c>
      <c r="K1399" s="47"/>
      <c r="L1399" s="47"/>
      <c r="N1399" s="47"/>
      <c r="O1399" s="47"/>
      <c r="P1399" s="47"/>
    </row>
    <row r="1400" spans="1:16" x14ac:dyDescent="0.3">
      <c r="A1400" s="1">
        <v>1399</v>
      </c>
      <c r="G1400" s="4"/>
      <c r="H1400" s="4"/>
      <c r="I1400" s="47"/>
      <c r="J1400" s="47" t="str">
        <f t="shared" si="34"/>
        <v/>
      </c>
      <c r="K1400" s="47"/>
      <c r="L1400" s="47"/>
      <c r="N1400" s="47"/>
      <c r="O1400" s="47"/>
      <c r="P1400" s="47"/>
    </row>
    <row r="1401" spans="1:16" x14ac:dyDescent="0.3">
      <c r="A1401" s="1">
        <v>1400</v>
      </c>
      <c r="G1401" s="4"/>
      <c r="H1401" s="4"/>
      <c r="I1401" s="47"/>
      <c r="J1401" s="47" t="str">
        <f t="shared" si="34"/>
        <v/>
      </c>
      <c r="K1401" s="47"/>
      <c r="L1401" s="47"/>
      <c r="N1401" s="47"/>
      <c r="O1401" s="47"/>
      <c r="P1401" s="47"/>
    </row>
    <row r="1402" spans="1:16" x14ac:dyDescent="0.3">
      <c r="A1402" s="1">
        <v>1401</v>
      </c>
      <c r="G1402" s="4"/>
      <c r="H1402" s="4"/>
      <c r="I1402" s="47"/>
      <c r="J1402" s="47" t="str">
        <f t="shared" si="34"/>
        <v/>
      </c>
      <c r="K1402" s="47"/>
      <c r="L1402" s="47"/>
      <c r="N1402" s="47"/>
      <c r="O1402" s="47"/>
      <c r="P1402" s="47"/>
    </row>
    <row r="1403" spans="1:16" x14ac:dyDescent="0.3">
      <c r="A1403" s="1">
        <v>1402</v>
      </c>
      <c r="G1403" s="4"/>
      <c r="H1403" s="4"/>
      <c r="I1403" s="47"/>
      <c r="J1403" s="47" t="str">
        <f t="shared" si="34"/>
        <v/>
      </c>
      <c r="K1403" s="47"/>
      <c r="L1403" s="47"/>
      <c r="N1403" s="47"/>
      <c r="O1403" s="47"/>
      <c r="P1403" s="47"/>
    </row>
    <row r="1404" spans="1:16" x14ac:dyDescent="0.3">
      <c r="A1404" s="1">
        <v>1403</v>
      </c>
      <c r="G1404" s="4"/>
      <c r="H1404" s="4"/>
      <c r="I1404" s="47"/>
      <c r="J1404" s="47" t="str">
        <f t="shared" si="34"/>
        <v/>
      </c>
      <c r="K1404" s="47"/>
      <c r="L1404" s="47"/>
      <c r="N1404" s="47"/>
      <c r="O1404" s="47"/>
      <c r="P1404" s="47"/>
    </row>
    <row r="1405" spans="1:16" x14ac:dyDescent="0.3">
      <c r="A1405" s="1">
        <v>1404</v>
      </c>
      <c r="G1405" s="4"/>
      <c r="H1405" s="4"/>
      <c r="I1405" s="47"/>
      <c r="J1405" s="47" t="str">
        <f t="shared" si="34"/>
        <v/>
      </c>
      <c r="K1405" s="47"/>
      <c r="L1405" s="47"/>
      <c r="N1405" s="47"/>
      <c r="O1405" s="47"/>
      <c r="P1405" s="47"/>
    </row>
    <row r="1406" spans="1:16" x14ac:dyDescent="0.3">
      <c r="A1406" s="1">
        <v>1405</v>
      </c>
      <c r="G1406" s="4"/>
      <c r="H1406" s="4"/>
      <c r="I1406" s="47"/>
      <c r="J1406" s="47" t="str">
        <f t="shared" si="34"/>
        <v/>
      </c>
      <c r="K1406" s="47"/>
      <c r="L1406" s="47"/>
      <c r="N1406" s="47"/>
      <c r="O1406" s="47"/>
      <c r="P1406" s="47"/>
    </row>
    <row r="1407" spans="1:16" x14ac:dyDescent="0.3">
      <c r="A1407" s="1">
        <v>1406</v>
      </c>
      <c r="G1407" s="4"/>
      <c r="H1407" s="4"/>
      <c r="I1407" s="47"/>
      <c r="J1407" s="47" t="str">
        <f t="shared" si="34"/>
        <v/>
      </c>
      <c r="K1407" s="47"/>
      <c r="L1407" s="47"/>
      <c r="N1407" s="47"/>
      <c r="O1407" s="47"/>
      <c r="P1407" s="47"/>
    </row>
    <row r="1408" spans="1:16" x14ac:dyDescent="0.3">
      <c r="A1408" s="1">
        <v>1407</v>
      </c>
      <c r="G1408" s="4"/>
      <c r="H1408" s="4"/>
      <c r="I1408" s="47"/>
      <c r="J1408" s="47" t="str">
        <f t="shared" si="34"/>
        <v/>
      </c>
      <c r="K1408" s="47"/>
      <c r="L1408" s="47"/>
      <c r="N1408" s="47"/>
      <c r="O1408" s="47"/>
      <c r="P1408" s="47"/>
    </row>
    <row r="1409" spans="1:16" x14ac:dyDescent="0.3">
      <c r="A1409" s="1">
        <v>1408</v>
      </c>
      <c r="G1409" s="4"/>
      <c r="H1409" s="4"/>
      <c r="I1409" s="47"/>
      <c r="J1409" s="47" t="str">
        <f t="shared" si="34"/>
        <v/>
      </c>
      <c r="K1409" s="47"/>
      <c r="L1409" s="47"/>
      <c r="N1409" s="47"/>
      <c r="O1409" s="47"/>
      <c r="P1409" s="47"/>
    </row>
    <row r="1410" spans="1:16" x14ac:dyDescent="0.3">
      <c r="A1410" s="1">
        <v>1409</v>
      </c>
      <c r="G1410" s="4"/>
      <c r="H1410" s="4"/>
      <c r="I1410" s="47"/>
      <c r="J1410" s="47" t="str">
        <f t="shared" si="34"/>
        <v/>
      </c>
      <c r="K1410" s="47"/>
      <c r="L1410" s="47"/>
      <c r="N1410" s="47"/>
      <c r="O1410" s="47"/>
      <c r="P1410" s="47"/>
    </row>
    <row r="1411" spans="1:16" x14ac:dyDescent="0.3">
      <c r="A1411" s="1">
        <v>1410</v>
      </c>
      <c r="G1411" s="4"/>
      <c r="H1411" s="4"/>
      <c r="I1411" s="47"/>
      <c r="J1411" s="47" t="str">
        <f t="shared" ref="J1411:J1474" si="35">+E1411&amp;I1411</f>
        <v/>
      </c>
      <c r="K1411" s="47"/>
      <c r="L1411" s="47"/>
      <c r="N1411" s="47"/>
      <c r="O1411" s="47"/>
      <c r="P1411" s="47"/>
    </row>
    <row r="1412" spans="1:16" x14ac:dyDescent="0.3">
      <c r="A1412" s="1">
        <v>1411</v>
      </c>
      <c r="G1412" s="4"/>
      <c r="H1412" s="4"/>
      <c r="I1412" s="47"/>
      <c r="J1412" s="47" t="str">
        <f t="shared" si="35"/>
        <v/>
      </c>
      <c r="K1412" s="47"/>
      <c r="L1412" s="47"/>
      <c r="N1412" s="47"/>
      <c r="O1412" s="47"/>
      <c r="P1412" s="47"/>
    </row>
    <row r="1413" spans="1:16" x14ac:dyDescent="0.3">
      <c r="A1413" s="1">
        <v>1412</v>
      </c>
      <c r="G1413" s="4"/>
      <c r="H1413" s="4"/>
      <c r="I1413" s="47"/>
      <c r="J1413" s="47" t="str">
        <f t="shared" si="35"/>
        <v/>
      </c>
      <c r="K1413" s="47"/>
      <c r="L1413" s="47"/>
      <c r="N1413" s="47"/>
      <c r="O1413" s="47"/>
      <c r="P1413" s="47"/>
    </row>
    <row r="1414" spans="1:16" x14ac:dyDescent="0.3">
      <c r="A1414" s="1">
        <v>1413</v>
      </c>
      <c r="G1414" s="4"/>
      <c r="H1414" s="4"/>
      <c r="I1414" s="47"/>
      <c r="J1414" s="47" t="str">
        <f t="shared" si="35"/>
        <v/>
      </c>
      <c r="K1414" s="47"/>
      <c r="L1414" s="47"/>
      <c r="N1414" s="47"/>
      <c r="O1414" s="47"/>
      <c r="P1414" s="47"/>
    </row>
    <row r="1415" spans="1:16" x14ac:dyDescent="0.3">
      <c r="A1415" s="1">
        <v>1414</v>
      </c>
      <c r="G1415" s="4"/>
      <c r="H1415" s="4"/>
      <c r="I1415" s="47"/>
      <c r="J1415" s="47" t="str">
        <f t="shared" si="35"/>
        <v/>
      </c>
      <c r="K1415" s="47"/>
      <c r="L1415" s="47"/>
      <c r="N1415" s="47"/>
      <c r="O1415" s="47"/>
      <c r="P1415" s="47"/>
    </row>
    <row r="1416" spans="1:16" x14ac:dyDescent="0.3">
      <c r="A1416" s="1">
        <v>1415</v>
      </c>
      <c r="G1416" s="4"/>
      <c r="H1416" s="4"/>
      <c r="I1416" s="47"/>
      <c r="J1416" s="47" t="str">
        <f t="shared" si="35"/>
        <v/>
      </c>
      <c r="K1416" s="47"/>
      <c r="L1416" s="47"/>
      <c r="N1416" s="47"/>
      <c r="O1416" s="47"/>
      <c r="P1416" s="47"/>
    </row>
    <row r="1417" spans="1:16" x14ac:dyDescent="0.3">
      <c r="A1417" s="1">
        <v>1416</v>
      </c>
      <c r="G1417" s="4"/>
      <c r="H1417" s="4"/>
      <c r="I1417" s="47"/>
      <c r="J1417" s="47" t="str">
        <f t="shared" si="35"/>
        <v/>
      </c>
      <c r="K1417" s="47"/>
      <c r="L1417" s="47"/>
      <c r="N1417" s="47"/>
      <c r="O1417" s="47"/>
      <c r="P1417" s="47"/>
    </row>
    <row r="1418" spans="1:16" x14ac:dyDescent="0.3">
      <c r="A1418" s="1">
        <v>1417</v>
      </c>
      <c r="G1418" s="4"/>
      <c r="H1418" s="4"/>
      <c r="I1418" s="47"/>
      <c r="J1418" s="47" t="str">
        <f t="shared" si="35"/>
        <v/>
      </c>
      <c r="K1418" s="47"/>
      <c r="L1418" s="47"/>
      <c r="N1418" s="47"/>
      <c r="O1418" s="47"/>
      <c r="P1418" s="47"/>
    </row>
    <row r="1419" spans="1:16" x14ac:dyDescent="0.3">
      <c r="A1419" s="1">
        <v>1418</v>
      </c>
      <c r="G1419" s="4"/>
      <c r="H1419" s="4"/>
      <c r="I1419" s="47"/>
      <c r="J1419" s="47" t="str">
        <f t="shared" si="35"/>
        <v/>
      </c>
      <c r="K1419" s="47"/>
      <c r="L1419" s="47"/>
      <c r="N1419" s="47"/>
      <c r="O1419" s="47"/>
      <c r="P1419" s="47"/>
    </row>
    <row r="1420" spans="1:16" x14ac:dyDescent="0.3">
      <c r="A1420" s="1">
        <v>1419</v>
      </c>
      <c r="G1420" s="4"/>
      <c r="H1420" s="4"/>
      <c r="I1420" s="47"/>
      <c r="J1420" s="47" t="str">
        <f t="shared" si="35"/>
        <v/>
      </c>
      <c r="K1420" s="47"/>
      <c r="L1420" s="47"/>
      <c r="N1420" s="47"/>
      <c r="O1420" s="47"/>
      <c r="P1420" s="47"/>
    </row>
    <row r="1421" spans="1:16" x14ac:dyDescent="0.3">
      <c r="A1421" s="1">
        <v>1420</v>
      </c>
      <c r="G1421" s="4"/>
      <c r="H1421" s="4"/>
      <c r="I1421" s="47"/>
      <c r="J1421" s="47" t="str">
        <f t="shared" si="35"/>
        <v/>
      </c>
      <c r="K1421" s="47"/>
      <c r="L1421" s="47"/>
      <c r="N1421" s="47"/>
      <c r="O1421" s="47"/>
      <c r="P1421" s="47"/>
    </row>
    <row r="1422" spans="1:16" x14ac:dyDescent="0.3">
      <c r="A1422" s="1">
        <v>1421</v>
      </c>
      <c r="G1422" s="4"/>
      <c r="H1422" s="4"/>
      <c r="I1422" s="47"/>
      <c r="J1422" s="47" t="str">
        <f t="shared" si="35"/>
        <v/>
      </c>
      <c r="K1422" s="47"/>
      <c r="L1422" s="47"/>
      <c r="N1422" s="47"/>
      <c r="O1422" s="47"/>
      <c r="P1422" s="47"/>
    </row>
    <row r="1423" spans="1:16" x14ac:dyDescent="0.3">
      <c r="A1423" s="1">
        <v>1422</v>
      </c>
      <c r="G1423" s="4"/>
      <c r="H1423" s="4"/>
      <c r="I1423" s="47"/>
      <c r="J1423" s="47" t="str">
        <f t="shared" si="35"/>
        <v/>
      </c>
      <c r="K1423" s="47"/>
      <c r="L1423" s="47"/>
      <c r="N1423" s="47"/>
      <c r="O1423" s="47"/>
      <c r="P1423" s="47"/>
    </row>
    <row r="1424" spans="1:16" x14ac:dyDescent="0.3">
      <c r="A1424" s="1">
        <v>1423</v>
      </c>
      <c r="G1424" s="4"/>
      <c r="H1424" s="4"/>
      <c r="I1424" s="47"/>
      <c r="J1424" s="47" t="str">
        <f t="shared" si="35"/>
        <v/>
      </c>
      <c r="K1424" s="47"/>
      <c r="L1424" s="47"/>
      <c r="N1424" s="47"/>
      <c r="O1424" s="47"/>
      <c r="P1424" s="47"/>
    </row>
    <row r="1425" spans="1:16" x14ac:dyDescent="0.3">
      <c r="A1425" s="1">
        <v>1424</v>
      </c>
      <c r="G1425" s="4"/>
      <c r="H1425" s="4"/>
      <c r="I1425" s="47"/>
      <c r="J1425" s="47" t="str">
        <f t="shared" si="35"/>
        <v/>
      </c>
      <c r="K1425" s="47"/>
      <c r="L1425" s="47"/>
      <c r="N1425" s="47"/>
      <c r="O1425" s="47"/>
      <c r="P1425" s="47"/>
    </row>
    <row r="1426" spans="1:16" x14ac:dyDescent="0.3">
      <c r="A1426" s="1">
        <v>1425</v>
      </c>
      <c r="G1426" s="4"/>
      <c r="H1426" s="4"/>
      <c r="I1426" s="47"/>
      <c r="J1426" s="47" t="str">
        <f t="shared" si="35"/>
        <v/>
      </c>
      <c r="K1426" s="47"/>
      <c r="L1426" s="47"/>
      <c r="N1426" s="47"/>
      <c r="O1426" s="47"/>
      <c r="P1426" s="47"/>
    </row>
    <row r="1427" spans="1:16" x14ac:dyDescent="0.3">
      <c r="A1427" s="1">
        <v>1426</v>
      </c>
      <c r="G1427" s="4"/>
      <c r="H1427" s="4"/>
      <c r="I1427" s="47"/>
      <c r="J1427" s="47" t="str">
        <f t="shared" si="35"/>
        <v/>
      </c>
      <c r="K1427" s="47"/>
      <c r="L1427" s="47"/>
      <c r="N1427" s="47"/>
      <c r="O1427" s="47"/>
      <c r="P1427" s="47"/>
    </row>
    <row r="1428" spans="1:16" x14ac:dyDescent="0.3">
      <c r="A1428" s="1">
        <v>1427</v>
      </c>
      <c r="G1428" s="4"/>
      <c r="H1428" s="4"/>
      <c r="I1428" s="47"/>
      <c r="J1428" s="47" t="str">
        <f t="shared" si="35"/>
        <v/>
      </c>
      <c r="K1428" s="47"/>
      <c r="L1428" s="47"/>
      <c r="N1428" s="47"/>
      <c r="O1428" s="47"/>
      <c r="P1428" s="47"/>
    </row>
    <row r="1429" spans="1:16" x14ac:dyDescent="0.3">
      <c r="A1429" s="1">
        <v>1428</v>
      </c>
      <c r="G1429" s="4"/>
      <c r="H1429" s="4"/>
      <c r="I1429" s="47"/>
      <c r="J1429" s="47" t="str">
        <f t="shared" si="35"/>
        <v/>
      </c>
      <c r="K1429" s="47"/>
      <c r="L1429" s="47"/>
      <c r="N1429" s="47"/>
      <c r="O1429" s="47"/>
      <c r="P1429" s="47"/>
    </row>
    <row r="1430" spans="1:16" x14ac:dyDescent="0.3">
      <c r="A1430" s="1">
        <v>1429</v>
      </c>
      <c r="G1430" s="4"/>
      <c r="H1430" s="4"/>
      <c r="I1430" s="47"/>
      <c r="J1430" s="47" t="str">
        <f t="shared" si="35"/>
        <v/>
      </c>
      <c r="K1430" s="47"/>
      <c r="L1430" s="47"/>
      <c r="N1430" s="47"/>
      <c r="O1430" s="47"/>
      <c r="P1430" s="47"/>
    </row>
    <row r="1431" spans="1:16" x14ac:dyDescent="0.3">
      <c r="A1431" s="1">
        <v>1430</v>
      </c>
      <c r="G1431" s="4"/>
      <c r="H1431" s="4"/>
      <c r="I1431" s="47"/>
      <c r="J1431" s="47" t="str">
        <f t="shared" si="35"/>
        <v/>
      </c>
      <c r="K1431" s="47"/>
      <c r="L1431" s="47"/>
      <c r="N1431" s="47"/>
      <c r="O1431" s="47"/>
      <c r="P1431" s="47"/>
    </row>
    <row r="1432" spans="1:16" x14ac:dyDescent="0.3">
      <c r="A1432" s="1">
        <v>1431</v>
      </c>
      <c r="G1432" s="4"/>
      <c r="H1432" s="4"/>
      <c r="I1432" s="47"/>
      <c r="J1432" s="47" t="str">
        <f t="shared" si="35"/>
        <v/>
      </c>
      <c r="K1432" s="47"/>
      <c r="L1432" s="47"/>
      <c r="N1432" s="47"/>
      <c r="O1432" s="47"/>
      <c r="P1432" s="47"/>
    </row>
    <row r="1433" spans="1:16" x14ac:dyDescent="0.3">
      <c r="A1433" s="1">
        <v>1432</v>
      </c>
      <c r="G1433" s="4"/>
      <c r="H1433" s="4"/>
      <c r="I1433" s="47"/>
      <c r="J1433" s="47" t="str">
        <f t="shared" si="35"/>
        <v/>
      </c>
      <c r="K1433" s="47"/>
      <c r="L1433" s="47"/>
      <c r="N1433" s="47"/>
      <c r="O1433" s="47"/>
      <c r="P1433" s="47"/>
    </row>
    <row r="1434" spans="1:16" x14ac:dyDescent="0.3">
      <c r="A1434" s="1">
        <v>1433</v>
      </c>
      <c r="G1434" s="4"/>
      <c r="H1434" s="4"/>
      <c r="I1434" s="47"/>
      <c r="J1434" s="47" t="str">
        <f t="shared" si="35"/>
        <v/>
      </c>
      <c r="K1434" s="47"/>
      <c r="L1434" s="47"/>
      <c r="N1434" s="47"/>
      <c r="O1434" s="47"/>
      <c r="P1434" s="47"/>
    </row>
    <row r="1435" spans="1:16" x14ac:dyDescent="0.3">
      <c r="A1435" s="1">
        <v>1434</v>
      </c>
      <c r="G1435" s="4"/>
      <c r="H1435" s="4"/>
      <c r="I1435" s="47"/>
      <c r="J1435" s="47" t="str">
        <f t="shared" si="35"/>
        <v/>
      </c>
      <c r="K1435" s="47"/>
      <c r="L1435" s="47"/>
      <c r="N1435" s="47"/>
      <c r="O1435" s="47"/>
      <c r="P1435" s="47"/>
    </row>
    <row r="1436" spans="1:16" x14ac:dyDescent="0.3">
      <c r="A1436" s="1">
        <v>1435</v>
      </c>
      <c r="G1436" s="4"/>
      <c r="H1436" s="4"/>
      <c r="I1436" s="47"/>
      <c r="J1436" s="47" t="str">
        <f t="shared" si="35"/>
        <v/>
      </c>
      <c r="K1436" s="47"/>
      <c r="L1436" s="47"/>
      <c r="N1436" s="47"/>
      <c r="O1436" s="47"/>
      <c r="P1436" s="47"/>
    </row>
    <row r="1437" spans="1:16" x14ac:dyDescent="0.3">
      <c r="A1437" s="1">
        <v>1436</v>
      </c>
      <c r="G1437" s="4"/>
      <c r="H1437" s="4"/>
      <c r="I1437" s="47"/>
      <c r="J1437" s="47" t="str">
        <f t="shared" si="35"/>
        <v/>
      </c>
      <c r="K1437" s="47"/>
      <c r="L1437" s="47"/>
      <c r="N1437" s="47"/>
      <c r="O1437" s="47"/>
      <c r="P1437" s="47"/>
    </row>
    <row r="1438" spans="1:16" x14ac:dyDescent="0.3">
      <c r="A1438" s="1">
        <v>1437</v>
      </c>
      <c r="G1438" s="4"/>
      <c r="H1438" s="4"/>
      <c r="I1438" s="47"/>
      <c r="J1438" s="47" t="str">
        <f t="shared" si="35"/>
        <v/>
      </c>
      <c r="K1438" s="47"/>
      <c r="L1438" s="47"/>
      <c r="N1438" s="47"/>
      <c r="O1438" s="47"/>
      <c r="P1438" s="47"/>
    </row>
    <row r="1439" spans="1:16" x14ac:dyDescent="0.3">
      <c r="A1439" s="1">
        <v>1438</v>
      </c>
      <c r="G1439" s="4"/>
      <c r="H1439" s="4"/>
      <c r="I1439" s="47"/>
      <c r="J1439" s="47" t="str">
        <f t="shared" si="35"/>
        <v/>
      </c>
      <c r="K1439" s="47"/>
      <c r="L1439" s="47"/>
      <c r="N1439" s="47"/>
      <c r="O1439" s="47"/>
      <c r="P1439" s="47"/>
    </row>
    <row r="1440" spans="1:16" x14ac:dyDescent="0.3">
      <c r="A1440" s="1">
        <v>1439</v>
      </c>
      <c r="G1440" s="4"/>
      <c r="H1440" s="4"/>
      <c r="I1440" s="47"/>
      <c r="J1440" s="47" t="str">
        <f t="shared" si="35"/>
        <v/>
      </c>
      <c r="K1440" s="47"/>
      <c r="L1440" s="47"/>
      <c r="N1440" s="47"/>
      <c r="O1440" s="47"/>
      <c r="P1440" s="47"/>
    </row>
    <row r="1441" spans="1:16" x14ac:dyDescent="0.3">
      <c r="A1441" s="1">
        <v>1440</v>
      </c>
      <c r="G1441" s="4"/>
      <c r="H1441" s="4"/>
      <c r="I1441" s="47"/>
      <c r="J1441" s="47" t="str">
        <f t="shared" si="35"/>
        <v/>
      </c>
      <c r="K1441" s="47"/>
      <c r="L1441" s="47"/>
      <c r="N1441" s="47"/>
      <c r="O1441" s="47"/>
      <c r="P1441" s="47"/>
    </row>
    <row r="1442" spans="1:16" x14ac:dyDescent="0.3">
      <c r="A1442" s="1">
        <v>1441</v>
      </c>
      <c r="G1442" s="4"/>
      <c r="H1442" s="4"/>
      <c r="I1442" s="47"/>
      <c r="J1442" s="47" t="str">
        <f t="shared" si="35"/>
        <v/>
      </c>
      <c r="K1442" s="47"/>
      <c r="L1442" s="47"/>
      <c r="N1442" s="47"/>
      <c r="O1442" s="47"/>
      <c r="P1442" s="47"/>
    </row>
    <row r="1443" spans="1:16" x14ac:dyDescent="0.3">
      <c r="A1443" s="1">
        <v>1442</v>
      </c>
      <c r="G1443" s="4"/>
      <c r="H1443" s="4"/>
      <c r="I1443" s="47"/>
      <c r="J1443" s="47" t="str">
        <f t="shared" si="35"/>
        <v/>
      </c>
      <c r="K1443" s="47"/>
      <c r="L1443" s="47"/>
      <c r="N1443" s="47"/>
      <c r="O1443" s="47"/>
      <c r="P1443" s="47"/>
    </row>
    <row r="1444" spans="1:16" x14ac:dyDescent="0.3">
      <c r="A1444" s="1">
        <v>1443</v>
      </c>
      <c r="G1444" s="4"/>
      <c r="H1444" s="4"/>
      <c r="I1444" s="47"/>
      <c r="J1444" s="47" t="str">
        <f t="shared" si="35"/>
        <v/>
      </c>
      <c r="K1444" s="47"/>
      <c r="L1444" s="47"/>
      <c r="N1444" s="47"/>
      <c r="O1444" s="47"/>
      <c r="P1444" s="47"/>
    </row>
    <row r="1445" spans="1:16" x14ac:dyDescent="0.3">
      <c r="A1445" s="1">
        <v>1444</v>
      </c>
      <c r="G1445" s="4"/>
      <c r="H1445" s="4"/>
      <c r="I1445" s="47"/>
      <c r="J1445" s="47" t="str">
        <f t="shared" si="35"/>
        <v/>
      </c>
      <c r="K1445" s="47"/>
      <c r="L1445" s="47"/>
      <c r="N1445" s="47"/>
      <c r="O1445" s="47"/>
      <c r="P1445" s="47"/>
    </row>
    <row r="1446" spans="1:16" x14ac:dyDescent="0.3">
      <c r="A1446" s="1">
        <v>1445</v>
      </c>
      <c r="G1446" s="4"/>
      <c r="H1446" s="4"/>
      <c r="I1446" s="47"/>
      <c r="J1446" s="47" t="str">
        <f t="shared" si="35"/>
        <v/>
      </c>
      <c r="K1446" s="47"/>
      <c r="L1446" s="47"/>
      <c r="N1446" s="47"/>
      <c r="O1446" s="47"/>
      <c r="P1446" s="47"/>
    </row>
    <row r="1447" spans="1:16" x14ac:dyDescent="0.3">
      <c r="A1447" s="1">
        <v>1446</v>
      </c>
      <c r="G1447" s="4"/>
      <c r="H1447" s="4"/>
      <c r="I1447" s="47"/>
      <c r="J1447" s="47" t="str">
        <f t="shared" si="35"/>
        <v/>
      </c>
      <c r="K1447" s="47"/>
      <c r="L1447" s="47"/>
      <c r="N1447" s="47"/>
      <c r="O1447" s="47"/>
      <c r="P1447" s="47"/>
    </row>
    <row r="1448" spans="1:16" x14ac:dyDescent="0.3">
      <c r="A1448" s="1">
        <v>1447</v>
      </c>
      <c r="G1448" s="4"/>
      <c r="H1448" s="4"/>
      <c r="I1448" s="47"/>
      <c r="J1448" s="47" t="str">
        <f t="shared" si="35"/>
        <v/>
      </c>
      <c r="K1448" s="47"/>
      <c r="L1448" s="47"/>
      <c r="N1448" s="47"/>
      <c r="O1448" s="47"/>
      <c r="P1448" s="47"/>
    </row>
    <row r="1449" spans="1:16" x14ac:dyDescent="0.3">
      <c r="A1449" s="1">
        <v>1448</v>
      </c>
      <c r="G1449" s="4"/>
      <c r="H1449" s="4"/>
      <c r="I1449" s="47"/>
      <c r="J1449" s="47" t="str">
        <f t="shared" si="35"/>
        <v/>
      </c>
      <c r="K1449" s="47"/>
      <c r="L1449" s="47"/>
      <c r="N1449" s="47"/>
      <c r="O1449" s="47"/>
      <c r="P1449" s="47"/>
    </row>
    <row r="1450" spans="1:16" x14ac:dyDescent="0.3">
      <c r="A1450" s="1">
        <v>1449</v>
      </c>
      <c r="G1450" s="4"/>
      <c r="H1450" s="4"/>
      <c r="I1450" s="47"/>
      <c r="J1450" s="47" t="str">
        <f t="shared" si="35"/>
        <v/>
      </c>
      <c r="K1450" s="47"/>
      <c r="L1450" s="47"/>
      <c r="N1450" s="47"/>
      <c r="O1450" s="47"/>
      <c r="P1450" s="47"/>
    </row>
    <row r="1451" spans="1:16" x14ac:dyDescent="0.3">
      <c r="A1451" s="1">
        <v>1450</v>
      </c>
      <c r="G1451" s="4"/>
      <c r="H1451" s="4"/>
      <c r="I1451" s="47"/>
      <c r="J1451" s="47" t="str">
        <f t="shared" si="35"/>
        <v/>
      </c>
      <c r="K1451" s="47"/>
      <c r="L1451" s="47"/>
      <c r="N1451" s="47"/>
      <c r="O1451" s="47"/>
      <c r="P1451" s="47"/>
    </row>
    <row r="1452" spans="1:16" x14ac:dyDescent="0.3">
      <c r="A1452" s="1">
        <v>1451</v>
      </c>
      <c r="G1452" s="4"/>
      <c r="H1452" s="4"/>
      <c r="I1452" s="47"/>
      <c r="J1452" s="47" t="str">
        <f t="shared" si="35"/>
        <v/>
      </c>
      <c r="K1452" s="47"/>
      <c r="L1452" s="47"/>
      <c r="N1452" s="47"/>
      <c r="O1452" s="47"/>
      <c r="P1452" s="47"/>
    </row>
    <row r="1453" spans="1:16" x14ac:dyDescent="0.3">
      <c r="A1453" s="1">
        <v>1452</v>
      </c>
      <c r="G1453" s="4"/>
      <c r="H1453" s="4"/>
      <c r="I1453" s="47"/>
      <c r="J1453" s="47" t="str">
        <f t="shared" si="35"/>
        <v/>
      </c>
      <c r="K1453" s="47"/>
      <c r="L1453" s="47"/>
      <c r="N1453" s="47"/>
      <c r="O1453" s="47"/>
      <c r="P1453" s="47"/>
    </row>
    <row r="1454" spans="1:16" x14ac:dyDescent="0.3">
      <c r="A1454" s="1">
        <v>1453</v>
      </c>
      <c r="G1454" s="4"/>
      <c r="H1454" s="4"/>
      <c r="I1454" s="47"/>
      <c r="J1454" s="47" t="str">
        <f t="shared" si="35"/>
        <v/>
      </c>
      <c r="K1454" s="47"/>
      <c r="L1454" s="47"/>
      <c r="N1454" s="47"/>
      <c r="O1454" s="47"/>
      <c r="P1454" s="47"/>
    </row>
    <row r="1455" spans="1:16" x14ac:dyDescent="0.3">
      <c r="A1455" s="1">
        <v>1454</v>
      </c>
      <c r="G1455" s="4"/>
      <c r="H1455" s="4"/>
      <c r="I1455" s="47"/>
      <c r="J1455" s="47" t="str">
        <f t="shared" si="35"/>
        <v/>
      </c>
      <c r="K1455" s="47"/>
      <c r="L1455" s="47"/>
      <c r="N1455" s="47"/>
      <c r="O1455" s="47"/>
      <c r="P1455" s="47"/>
    </row>
    <row r="1456" spans="1:16" x14ac:dyDescent="0.3">
      <c r="A1456" s="1">
        <v>1455</v>
      </c>
      <c r="G1456" s="4"/>
      <c r="H1456" s="4"/>
      <c r="I1456" s="47"/>
      <c r="J1456" s="47" t="str">
        <f t="shared" si="35"/>
        <v/>
      </c>
      <c r="K1456" s="47"/>
      <c r="L1456" s="47"/>
      <c r="N1456" s="47"/>
      <c r="O1456" s="47"/>
      <c r="P1456" s="47"/>
    </row>
    <row r="1457" spans="1:16" x14ac:dyDescent="0.3">
      <c r="A1457" s="1">
        <v>1456</v>
      </c>
      <c r="G1457" s="4"/>
      <c r="H1457" s="4"/>
      <c r="I1457" s="47"/>
      <c r="J1457" s="47" t="str">
        <f t="shared" si="35"/>
        <v/>
      </c>
      <c r="K1457" s="47"/>
      <c r="L1457" s="47"/>
      <c r="N1457" s="47"/>
      <c r="O1457" s="47"/>
      <c r="P1457" s="47"/>
    </row>
    <row r="1458" spans="1:16" x14ac:dyDescent="0.3">
      <c r="A1458" s="1">
        <v>1457</v>
      </c>
      <c r="G1458" s="4"/>
      <c r="H1458" s="4"/>
      <c r="I1458" s="47"/>
      <c r="J1458" s="47" t="str">
        <f t="shared" si="35"/>
        <v/>
      </c>
      <c r="K1458" s="47"/>
      <c r="L1458" s="47"/>
      <c r="N1458" s="47"/>
      <c r="O1458" s="47"/>
      <c r="P1458" s="47"/>
    </row>
    <row r="1459" spans="1:16" x14ac:dyDescent="0.3">
      <c r="A1459" s="1">
        <v>1458</v>
      </c>
      <c r="G1459" s="4"/>
      <c r="H1459" s="4"/>
      <c r="I1459" s="47"/>
      <c r="J1459" s="47" t="str">
        <f t="shared" si="35"/>
        <v/>
      </c>
      <c r="K1459" s="47"/>
      <c r="L1459" s="47"/>
      <c r="N1459" s="47"/>
      <c r="O1459" s="47"/>
      <c r="P1459" s="47"/>
    </row>
    <row r="1460" spans="1:16" x14ac:dyDescent="0.3">
      <c r="A1460" s="1">
        <v>1459</v>
      </c>
      <c r="G1460" s="4"/>
      <c r="H1460" s="4"/>
      <c r="I1460" s="47"/>
      <c r="J1460" s="47" t="str">
        <f t="shared" si="35"/>
        <v/>
      </c>
      <c r="K1460" s="47"/>
      <c r="L1460" s="47"/>
      <c r="N1460" s="47"/>
      <c r="O1460" s="47"/>
      <c r="P1460" s="47"/>
    </row>
    <row r="1461" spans="1:16" x14ac:dyDescent="0.3">
      <c r="A1461" s="1">
        <v>1460</v>
      </c>
      <c r="G1461" s="4"/>
      <c r="H1461" s="4"/>
      <c r="I1461" s="47"/>
      <c r="J1461" s="47" t="str">
        <f t="shared" si="35"/>
        <v/>
      </c>
      <c r="K1461" s="47"/>
      <c r="L1461" s="47"/>
      <c r="N1461" s="47"/>
      <c r="O1461" s="47"/>
      <c r="P1461" s="47"/>
    </row>
    <row r="1462" spans="1:16" x14ac:dyDescent="0.3">
      <c r="A1462" s="1">
        <v>1461</v>
      </c>
      <c r="G1462" s="4"/>
      <c r="H1462" s="4"/>
      <c r="I1462" s="47"/>
      <c r="J1462" s="47" t="str">
        <f t="shared" si="35"/>
        <v/>
      </c>
      <c r="K1462" s="47"/>
      <c r="L1462" s="47"/>
      <c r="N1462" s="47"/>
      <c r="O1462" s="47"/>
      <c r="P1462" s="47"/>
    </row>
    <row r="1463" spans="1:16" x14ac:dyDescent="0.3">
      <c r="A1463" s="1">
        <v>1462</v>
      </c>
      <c r="G1463" s="4"/>
      <c r="H1463" s="4"/>
      <c r="I1463" s="47"/>
      <c r="J1463" s="47" t="str">
        <f t="shared" si="35"/>
        <v/>
      </c>
      <c r="K1463" s="47"/>
      <c r="L1463" s="47"/>
      <c r="N1463" s="47"/>
      <c r="O1463" s="47"/>
      <c r="P1463" s="47"/>
    </row>
    <row r="1464" spans="1:16" x14ac:dyDescent="0.3">
      <c r="A1464" s="1">
        <v>1463</v>
      </c>
      <c r="G1464" s="4"/>
      <c r="H1464" s="4"/>
      <c r="I1464" s="47"/>
      <c r="J1464" s="47" t="str">
        <f t="shared" si="35"/>
        <v/>
      </c>
      <c r="K1464" s="47"/>
      <c r="L1464" s="47"/>
      <c r="N1464" s="47"/>
      <c r="O1464" s="47"/>
      <c r="P1464" s="47"/>
    </row>
    <row r="1465" spans="1:16" x14ac:dyDescent="0.3">
      <c r="A1465" s="1">
        <v>1464</v>
      </c>
      <c r="G1465" s="4"/>
      <c r="H1465" s="4"/>
      <c r="I1465" s="47"/>
      <c r="J1465" s="47" t="str">
        <f t="shared" si="35"/>
        <v/>
      </c>
      <c r="K1465" s="47"/>
      <c r="L1465" s="47"/>
      <c r="N1465" s="47"/>
      <c r="O1465" s="47"/>
      <c r="P1465" s="47"/>
    </row>
    <row r="1466" spans="1:16" x14ac:dyDescent="0.3">
      <c r="A1466" s="1">
        <v>1465</v>
      </c>
      <c r="G1466" s="4"/>
      <c r="H1466" s="4"/>
      <c r="I1466" s="47"/>
      <c r="J1466" s="47" t="str">
        <f t="shared" si="35"/>
        <v/>
      </c>
      <c r="K1466" s="47"/>
      <c r="L1466" s="47"/>
      <c r="N1466" s="47"/>
      <c r="O1466" s="47"/>
      <c r="P1466" s="47"/>
    </row>
    <row r="1467" spans="1:16" x14ac:dyDescent="0.3">
      <c r="A1467" s="1">
        <v>1466</v>
      </c>
      <c r="G1467" s="4"/>
      <c r="H1467" s="4"/>
      <c r="I1467" s="47"/>
      <c r="J1467" s="47" t="str">
        <f t="shared" si="35"/>
        <v/>
      </c>
      <c r="K1467" s="47"/>
      <c r="L1467" s="47"/>
      <c r="N1467" s="47"/>
      <c r="O1467" s="47"/>
      <c r="P1467" s="47"/>
    </row>
    <row r="1468" spans="1:16" x14ac:dyDescent="0.3">
      <c r="A1468" s="1">
        <v>1467</v>
      </c>
      <c r="G1468" s="4"/>
      <c r="H1468" s="4"/>
      <c r="I1468" s="47"/>
      <c r="J1468" s="47" t="str">
        <f t="shared" si="35"/>
        <v/>
      </c>
      <c r="K1468" s="47"/>
      <c r="L1468" s="47"/>
      <c r="N1468" s="47"/>
      <c r="O1468" s="47"/>
      <c r="P1468" s="47"/>
    </row>
    <row r="1469" spans="1:16" x14ac:dyDescent="0.3">
      <c r="A1469" s="1">
        <v>1468</v>
      </c>
      <c r="G1469" s="4"/>
      <c r="H1469" s="4"/>
      <c r="I1469" s="47"/>
      <c r="J1469" s="47" t="str">
        <f t="shared" si="35"/>
        <v/>
      </c>
      <c r="K1469" s="47"/>
      <c r="L1469" s="47"/>
      <c r="N1469" s="47"/>
      <c r="O1469" s="47"/>
      <c r="P1469" s="47"/>
    </row>
    <row r="1470" spans="1:16" x14ac:dyDescent="0.3">
      <c r="A1470" s="1">
        <v>1469</v>
      </c>
      <c r="G1470" s="4"/>
      <c r="H1470" s="4"/>
      <c r="I1470" s="47"/>
      <c r="J1470" s="47" t="str">
        <f t="shared" si="35"/>
        <v/>
      </c>
      <c r="K1470" s="47"/>
      <c r="L1470" s="47"/>
      <c r="N1470" s="47"/>
      <c r="O1470" s="47"/>
      <c r="P1470" s="47"/>
    </row>
    <row r="1471" spans="1:16" x14ac:dyDescent="0.3">
      <c r="A1471" s="1">
        <v>1470</v>
      </c>
      <c r="G1471" s="4"/>
      <c r="H1471" s="4"/>
      <c r="I1471" s="47"/>
      <c r="J1471" s="47" t="str">
        <f t="shared" si="35"/>
        <v/>
      </c>
      <c r="K1471" s="47"/>
      <c r="L1471" s="47"/>
      <c r="N1471" s="47"/>
      <c r="O1471" s="47"/>
      <c r="P1471" s="47"/>
    </row>
    <row r="1472" spans="1:16" x14ac:dyDescent="0.3">
      <c r="A1472" s="1">
        <v>1471</v>
      </c>
      <c r="G1472" s="4"/>
      <c r="H1472" s="4"/>
      <c r="I1472" s="47"/>
      <c r="J1472" s="47" t="str">
        <f t="shared" si="35"/>
        <v/>
      </c>
      <c r="K1472" s="47"/>
      <c r="L1472" s="47"/>
      <c r="N1472" s="47"/>
      <c r="O1472" s="47"/>
      <c r="P1472" s="47"/>
    </row>
    <row r="1473" spans="1:16" x14ac:dyDescent="0.3">
      <c r="A1473" s="1">
        <v>1472</v>
      </c>
      <c r="G1473" s="4"/>
      <c r="H1473" s="4"/>
      <c r="I1473" s="47"/>
      <c r="J1473" s="47" t="str">
        <f t="shared" si="35"/>
        <v/>
      </c>
      <c r="K1473" s="47"/>
      <c r="L1473" s="47"/>
      <c r="N1473" s="47"/>
      <c r="O1473" s="47"/>
      <c r="P1473" s="47"/>
    </row>
    <row r="1474" spans="1:16" x14ac:dyDescent="0.3">
      <c r="A1474" s="1">
        <v>1473</v>
      </c>
      <c r="G1474" s="4"/>
      <c r="H1474" s="4"/>
      <c r="I1474" s="47"/>
      <c r="J1474" s="47" t="str">
        <f t="shared" si="35"/>
        <v/>
      </c>
      <c r="K1474" s="47"/>
      <c r="L1474" s="47"/>
      <c r="N1474" s="47"/>
      <c r="O1474" s="47"/>
      <c r="P1474" s="47"/>
    </row>
    <row r="1475" spans="1:16" x14ac:dyDescent="0.3">
      <c r="A1475" s="1">
        <v>1474</v>
      </c>
      <c r="G1475" s="4"/>
      <c r="H1475" s="4"/>
      <c r="I1475" s="47"/>
      <c r="J1475" s="47" t="str">
        <f t="shared" ref="J1475:J1538" si="36">+E1475&amp;I1475</f>
        <v/>
      </c>
      <c r="K1475" s="47"/>
      <c r="L1475" s="47"/>
      <c r="N1475" s="47"/>
      <c r="O1475" s="47"/>
      <c r="P1475" s="47"/>
    </row>
    <row r="1476" spans="1:16" x14ac:dyDescent="0.3">
      <c r="A1476" s="1">
        <v>1475</v>
      </c>
      <c r="G1476" s="4"/>
      <c r="H1476" s="4"/>
      <c r="I1476" s="47"/>
      <c r="J1476" s="47" t="str">
        <f t="shared" si="36"/>
        <v/>
      </c>
      <c r="K1476" s="47"/>
      <c r="L1476" s="47"/>
      <c r="N1476" s="47"/>
      <c r="O1476" s="47"/>
      <c r="P1476" s="47"/>
    </row>
    <row r="1477" spans="1:16" x14ac:dyDescent="0.3">
      <c r="A1477" s="1">
        <v>1476</v>
      </c>
      <c r="G1477" s="4"/>
      <c r="H1477" s="4"/>
      <c r="I1477" s="47"/>
      <c r="J1477" s="47" t="str">
        <f t="shared" si="36"/>
        <v/>
      </c>
      <c r="K1477" s="47"/>
      <c r="L1477" s="47"/>
      <c r="N1477" s="47"/>
      <c r="O1477" s="47"/>
      <c r="P1477" s="47"/>
    </row>
    <row r="1478" spans="1:16" x14ac:dyDescent="0.3">
      <c r="A1478" s="1">
        <v>1477</v>
      </c>
      <c r="G1478" s="4"/>
      <c r="H1478" s="4"/>
      <c r="I1478" s="47"/>
      <c r="J1478" s="47" t="str">
        <f t="shared" si="36"/>
        <v/>
      </c>
      <c r="K1478" s="47"/>
      <c r="L1478" s="47"/>
      <c r="N1478" s="47"/>
      <c r="O1478" s="47"/>
      <c r="P1478" s="47"/>
    </row>
    <row r="1479" spans="1:16" x14ac:dyDescent="0.3">
      <c r="A1479" s="1">
        <v>1478</v>
      </c>
      <c r="G1479" s="4"/>
      <c r="H1479" s="4"/>
      <c r="I1479" s="47"/>
      <c r="J1479" s="47" t="str">
        <f t="shared" si="36"/>
        <v/>
      </c>
      <c r="K1479" s="47"/>
      <c r="L1479" s="47"/>
      <c r="N1479" s="47"/>
      <c r="O1479" s="47"/>
      <c r="P1479" s="47"/>
    </row>
    <row r="1480" spans="1:16" x14ac:dyDescent="0.3">
      <c r="A1480" s="1">
        <v>1479</v>
      </c>
      <c r="G1480" s="4"/>
      <c r="H1480" s="4"/>
      <c r="I1480" s="47"/>
      <c r="J1480" s="47" t="str">
        <f t="shared" si="36"/>
        <v/>
      </c>
      <c r="K1480" s="47"/>
      <c r="L1480" s="47"/>
      <c r="N1480" s="47"/>
      <c r="O1480" s="47"/>
      <c r="P1480" s="47"/>
    </row>
    <row r="1481" spans="1:16" x14ac:dyDescent="0.3">
      <c r="A1481" s="1">
        <v>1480</v>
      </c>
      <c r="G1481" s="4"/>
      <c r="H1481" s="4"/>
      <c r="I1481" s="47"/>
      <c r="J1481" s="47" t="str">
        <f t="shared" si="36"/>
        <v/>
      </c>
      <c r="K1481" s="47"/>
      <c r="L1481" s="47"/>
      <c r="N1481" s="47"/>
      <c r="O1481" s="47"/>
      <c r="P1481" s="47"/>
    </row>
    <row r="1482" spans="1:16" x14ac:dyDescent="0.3">
      <c r="A1482" s="1">
        <v>1481</v>
      </c>
      <c r="G1482" s="4"/>
      <c r="H1482" s="4"/>
      <c r="I1482" s="47"/>
      <c r="J1482" s="47" t="str">
        <f t="shared" si="36"/>
        <v/>
      </c>
      <c r="K1482" s="47"/>
      <c r="L1482" s="47"/>
      <c r="N1482" s="47"/>
      <c r="O1482" s="47"/>
      <c r="P1482" s="47"/>
    </row>
    <row r="1483" spans="1:16" x14ac:dyDescent="0.3">
      <c r="A1483" s="1">
        <v>1482</v>
      </c>
      <c r="G1483" s="4"/>
      <c r="H1483" s="4"/>
      <c r="I1483" s="47"/>
      <c r="J1483" s="47" t="str">
        <f t="shared" si="36"/>
        <v/>
      </c>
      <c r="K1483" s="47"/>
      <c r="L1483" s="47"/>
      <c r="N1483" s="47"/>
      <c r="O1483" s="47"/>
      <c r="P1483" s="47"/>
    </row>
    <row r="1484" spans="1:16" x14ac:dyDescent="0.3">
      <c r="A1484" s="1">
        <v>1483</v>
      </c>
      <c r="G1484" s="4"/>
      <c r="H1484" s="4"/>
      <c r="I1484" s="47"/>
      <c r="J1484" s="47" t="str">
        <f t="shared" si="36"/>
        <v/>
      </c>
      <c r="K1484" s="47"/>
      <c r="L1484" s="47"/>
      <c r="N1484" s="47"/>
      <c r="O1484" s="47"/>
      <c r="P1484" s="47"/>
    </row>
    <row r="1485" spans="1:16" x14ac:dyDescent="0.3">
      <c r="A1485" s="1">
        <v>1484</v>
      </c>
      <c r="G1485" s="4"/>
      <c r="H1485" s="4"/>
      <c r="I1485" s="47"/>
      <c r="J1485" s="47" t="str">
        <f t="shared" si="36"/>
        <v/>
      </c>
      <c r="K1485" s="47"/>
      <c r="L1485" s="47"/>
      <c r="N1485" s="47"/>
      <c r="O1485" s="47"/>
      <c r="P1485" s="47"/>
    </row>
    <row r="1486" spans="1:16" x14ac:dyDescent="0.3">
      <c r="A1486" s="1">
        <v>1485</v>
      </c>
      <c r="G1486" s="4"/>
      <c r="H1486" s="4"/>
      <c r="I1486" s="47"/>
      <c r="J1486" s="47" t="str">
        <f t="shared" si="36"/>
        <v/>
      </c>
      <c r="K1486" s="47"/>
      <c r="L1486" s="47"/>
      <c r="N1486" s="47"/>
      <c r="O1486" s="47"/>
      <c r="P1486" s="47"/>
    </row>
    <row r="1487" spans="1:16" x14ac:dyDescent="0.3">
      <c r="A1487" s="1">
        <v>1486</v>
      </c>
      <c r="G1487" s="4"/>
      <c r="H1487" s="4"/>
      <c r="I1487" s="47"/>
      <c r="J1487" s="47" t="str">
        <f t="shared" si="36"/>
        <v/>
      </c>
      <c r="K1487" s="47"/>
      <c r="L1487" s="47"/>
      <c r="N1487" s="47"/>
      <c r="O1487" s="47"/>
      <c r="P1487" s="47"/>
    </row>
    <row r="1488" spans="1:16" x14ac:dyDescent="0.3">
      <c r="A1488" s="1">
        <v>1487</v>
      </c>
      <c r="G1488" s="4"/>
      <c r="H1488" s="4"/>
      <c r="I1488" s="47"/>
      <c r="J1488" s="47" t="str">
        <f t="shared" si="36"/>
        <v/>
      </c>
      <c r="K1488" s="47"/>
      <c r="L1488" s="47"/>
      <c r="N1488" s="47"/>
      <c r="O1488" s="47"/>
      <c r="P1488" s="47"/>
    </row>
    <row r="1489" spans="1:16" x14ac:dyDescent="0.3">
      <c r="A1489" s="1">
        <v>1488</v>
      </c>
      <c r="G1489" s="4"/>
      <c r="H1489" s="4"/>
      <c r="I1489" s="47"/>
      <c r="J1489" s="47" t="str">
        <f t="shared" si="36"/>
        <v/>
      </c>
      <c r="K1489" s="47"/>
      <c r="L1489" s="47"/>
      <c r="N1489" s="47"/>
      <c r="O1489" s="47"/>
      <c r="P1489" s="47"/>
    </row>
    <row r="1490" spans="1:16" x14ac:dyDescent="0.3">
      <c r="A1490" s="1">
        <v>1489</v>
      </c>
      <c r="G1490" s="4"/>
      <c r="H1490" s="4"/>
      <c r="I1490" s="47"/>
      <c r="J1490" s="47" t="str">
        <f t="shared" si="36"/>
        <v/>
      </c>
      <c r="K1490" s="47"/>
      <c r="L1490" s="47"/>
      <c r="N1490" s="47"/>
      <c r="O1490" s="47"/>
      <c r="P1490" s="47"/>
    </row>
    <row r="1491" spans="1:16" x14ac:dyDescent="0.3">
      <c r="A1491" s="1">
        <v>1490</v>
      </c>
      <c r="G1491" s="4"/>
      <c r="H1491" s="4"/>
      <c r="I1491" s="47"/>
      <c r="J1491" s="47" t="str">
        <f t="shared" si="36"/>
        <v/>
      </c>
      <c r="K1491" s="47"/>
      <c r="L1491" s="47"/>
      <c r="N1491" s="47"/>
      <c r="O1491" s="47"/>
      <c r="P1491" s="47"/>
    </row>
    <row r="1492" spans="1:16" x14ac:dyDescent="0.3">
      <c r="A1492" s="1">
        <v>1491</v>
      </c>
      <c r="G1492" s="4"/>
      <c r="H1492" s="4"/>
      <c r="I1492" s="47"/>
      <c r="J1492" s="47" t="str">
        <f t="shared" si="36"/>
        <v/>
      </c>
      <c r="K1492" s="47"/>
      <c r="L1492" s="47"/>
      <c r="N1492" s="47"/>
      <c r="O1492" s="47"/>
      <c r="P1492" s="47"/>
    </row>
    <row r="1493" spans="1:16" x14ac:dyDescent="0.3">
      <c r="A1493" s="1">
        <v>1492</v>
      </c>
      <c r="G1493" s="4"/>
      <c r="H1493" s="4"/>
      <c r="I1493" s="47"/>
      <c r="J1493" s="47" t="str">
        <f t="shared" si="36"/>
        <v/>
      </c>
      <c r="K1493" s="47"/>
      <c r="L1493" s="47"/>
      <c r="N1493" s="47"/>
      <c r="O1493" s="47"/>
      <c r="P1493" s="47"/>
    </row>
    <row r="1494" spans="1:16" x14ac:dyDescent="0.3">
      <c r="A1494" s="1">
        <v>1493</v>
      </c>
      <c r="G1494" s="4"/>
      <c r="H1494" s="4"/>
      <c r="I1494" s="47"/>
      <c r="J1494" s="47" t="str">
        <f t="shared" si="36"/>
        <v/>
      </c>
      <c r="K1494" s="47"/>
      <c r="L1494" s="47"/>
      <c r="N1494" s="47"/>
      <c r="O1494" s="47"/>
      <c r="P1494" s="47"/>
    </row>
    <row r="1495" spans="1:16" x14ac:dyDescent="0.3">
      <c r="A1495" s="1">
        <v>1494</v>
      </c>
      <c r="G1495" s="4"/>
      <c r="H1495" s="4"/>
      <c r="I1495" s="47"/>
      <c r="J1495" s="47" t="str">
        <f t="shared" si="36"/>
        <v/>
      </c>
      <c r="K1495" s="47"/>
      <c r="L1495" s="47"/>
      <c r="N1495" s="47"/>
      <c r="O1495" s="47"/>
      <c r="P1495" s="47"/>
    </row>
    <row r="1496" spans="1:16" x14ac:dyDescent="0.3">
      <c r="A1496" s="1">
        <v>1495</v>
      </c>
      <c r="G1496" s="4"/>
      <c r="H1496" s="4"/>
      <c r="I1496" s="47"/>
      <c r="J1496" s="47" t="str">
        <f t="shared" si="36"/>
        <v/>
      </c>
      <c r="K1496" s="47"/>
      <c r="L1496" s="47"/>
      <c r="N1496" s="47"/>
      <c r="O1496" s="47"/>
      <c r="P1496" s="47"/>
    </row>
    <row r="1497" spans="1:16" x14ac:dyDescent="0.3">
      <c r="A1497" s="1">
        <v>1496</v>
      </c>
      <c r="G1497" s="4"/>
      <c r="H1497" s="4"/>
      <c r="I1497" s="47"/>
      <c r="J1497" s="47" t="str">
        <f t="shared" si="36"/>
        <v/>
      </c>
      <c r="K1497" s="47"/>
      <c r="L1497" s="47"/>
      <c r="N1497" s="47"/>
      <c r="O1497" s="47"/>
      <c r="P1497" s="47"/>
    </row>
    <row r="1498" spans="1:16" x14ac:dyDescent="0.3">
      <c r="A1498" s="1">
        <v>1497</v>
      </c>
      <c r="G1498" s="4"/>
      <c r="H1498" s="4"/>
      <c r="I1498" s="47"/>
      <c r="J1498" s="47" t="str">
        <f t="shared" si="36"/>
        <v/>
      </c>
      <c r="K1498" s="47"/>
      <c r="L1498" s="47"/>
      <c r="N1498" s="47"/>
      <c r="O1498" s="47"/>
      <c r="P1498" s="47"/>
    </row>
    <row r="1499" spans="1:16" x14ac:dyDescent="0.3">
      <c r="A1499" s="1">
        <v>1498</v>
      </c>
      <c r="G1499" s="4"/>
      <c r="H1499" s="4"/>
      <c r="I1499" s="47"/>
      <c r="J1499" s="47" t="str">
        <f t="shared" si="36"/>
        <v/>
      </c>
      <c r="K1499" s="47"/>
      <c r="L1499" s="47"/>
      <c r="N1499" s="47"/>
      <c r="O1499" s="47"/>
      <c r="P1499" s="47"/>
    </row>
    <row r="1500" spans="1:16" x14ac:dyDescent="0.3">
      <c r="A1500" s="1">
        <v>1499</v>
      </c>
      <c r="G1500" s="4"/>
      <c r="H1500" s="4"/>
      <c r="I1500" s="47"/>
      <c r="J1500" s="47" t="str">
        <f t="shared" si="36"/>
        <v/>
      </c>
      <c r="K1500" s="47"/>
      <c r="L1500" s="47"/>
      <c r="N1500" s="47"/>
      <c r="O1500" s="47"/>
      <c r="P1500" s="47"/>
    </row>
    <row r="1501" spans="1:16" x14ac:dyDescent="0.3">
      <c r="A1501" s="1">
        <v>1500</v>
      </c>
      <c r="G1501" s="4"/>
      <c r="H1501" s="4"/>
      <c r="I1501" s="47"/>
      <c r="J1501" s="47" t="str">
        <f t="shared" si="36"/>
        <v/>
      </c>
      <c r="K1501" s="47"/>
      <c r="L1501" s="47"/>
      <c r="N1501" s="47"/>
      <c r="O1501" s="47"/>
      <c r="P1501" s="47"/>
    </row>
    <row r="1502" spans="1:16" x14ac:dyDescent="0.3">
      <c r="A1502" s="1">
        <v>1501</v>
      </c>
      <c r="G1502" s="4"/>
      <c r="H1502" s="4"/>
      <c r="I1502" s="47"/>
      <c r="J1502" s="47" t="str">
        <f t="shared" si="36"/>
        <v/>
      </c>
      <c r="K1502" s="47"/>
      <c r="L1502" s="47"/>
      <c r="N1502" s="47"/>
      <c r="O1502" s="47"/>
      <c r="P1502" s="47"/>
    </row>
    <row r="1503" spans="1:16" x14ac:dyDescent="0.3">
      <c r="A1503" s="1">
        <v>1502</v>
      </c>
      <c r="G1503" s="4"/>
      <c r="H1503" s="4"/>
      <c r="I1503" s="47"/>
      <c r="J1503" s="47" t="str">
        <f t="shared" si="36"/>
        <v/>
      </c>
      <c r="K1503" s="47"/>
      <c r="L1503" s="47"/>
      <c r="N1503" s="47"/>
      <c r="O1503" s="47"/>
      <c r="P1503" s="47"/>
    </row>
    <row r="1504" spans="1:16" x14ac:dyDescent="0.3">
      <c r="A1504" s="1">
        <v>1503</v>
      </c>
      <c r="G1504" s="4"/>
      <c r="H1504" s="4"/>
      <c r="I1504" s="47"/>
      <c r="J1504" s="47" t="str">
        <f t="shared" si="36"/>
        <v/>
      </c>
      <c r="K1504" s="47"/>
      <c r="L1504" s="47"/>
      <c r="N1504" s="47"/>
      <c r="O1504" s="47"/>
      <c r="P1504" s="47"/>
    </row>
    <row r="1505" spans="1:16" x14ac:dyDescent="0.3">
      <c r="A1505" s="1">
        <v>1504</v>
      </c>
      <c r="G1505" s="4"/>
      <c r="H1505" s="4"/>
      <c r="I1505" s="47"/>
      <c r="J1505" s="47" t="str">
        <f t="shared" si="36"/>
        <v/>
      </c>
      <c r="K1505" s="47"/>
      <c r="L1505" s="47"/>
      <c r="N1505" s="47"/>
      <c r="O1505" s="47"/>
      <c r="P1505" s="47"/>
    </row>
    <row r="1506" spans="1:16" x14ac:dyDescent="0.3">
      <c r="A1506" s="1">
        <v>1505</v>
      </c>
      <c r="G1506" s="4"/>
      <c r="H1506" s="4"/>
      <c r="I1506" s="47"/>
      <c r="J1506" s="47" t="str">
        <f t="shared" si="36"/>
        <v/>
      </c>
      <c r="K1506" s="47"/>
      <c r="L1506" s="47"/>
      <c r="N1506" s="47"/>
      <c r="O1506" s="47"/>
      <c r="P1506" s="47"/>
    </row>
    <row r="1507" spans="1:16" x14ac:dyDescent="0.3">
      <c r="A1507" s="1">
        <v>1506</v>
      </c>
      <c r="G1507" s="4"/>
      <c r="H1507" s="4"/>
      <c r="I1507" s="47"/>
      <c r="J1507" s="47" t="str">
        <f t="shared" si="36"/>
        <v/>
      </c>
      <c r="K1507" s="47"/>
      <c r="L1507" s="47"/>
      <c r="N1507" s="47"/>
      <c r="O1507" s="47"/>
      <c r="P1507" s="47"/>
    </row>
    <row r="1508" spans="1:16" x14ac:dyDescent="0.3">
      <c r="A1508" s="1">
        <v>1507</v>
      </c>
      <c r="G1508" s="4"/>
      <c r="H1508" s="4"/>
      <c r="I1508" s="47"/>
      <c r="J1508" s="47" t="str">
        <f t="shared" si="36"/>
        <v/>
      </c>
      <c r="K1508" s="47"/>
      <c r="L1508" s="47"/>
      <c r="N1508" s="47"/>
      <c r="O1508" s="47"/>
      <c r="P1508" s="47"/>
    </row>
    <row r="1509" spans="1:16" x14ac:dyDescent="0.3">
      <c r="A1509" s="1">
        <v>1508</v>
      </c>
      <c r="G1509" s="4"/>
      <c r="H1509" s="4"/>
      <c r="I1509" s="47"/>
      <c r="J1509" s="47" t="str">
        <f t="shared" si="36"/>
        <v/>
      </c>
      <c r="K1509" s="47"/>
      <c r="L1509" s="47"/>
      <c r="N1509" s="47"/>
      <c r="O1509" s="47"/>
      <c r="P1509" s="47"/>
    </row>
    <row r="1510" spans="1:16" x14ac:dyDescent="0.3">
      <c r="A1510" s="1">
        <v>1509</v>
      </c>
      <c r="G1510" s="4"/>
      <c r="H1510" s="4"/>
      <c r="I1510" s="47"/>
      <c r="J1510" s="47" t="str">
        <f t="shared" si="36"/>
        <v/>
      </c>
      <c r="K1510" s="47"/>
      <c r="L1510" s="47"/>
      <c r="N1510" s="47"/>
      <c r="O1510" s="47"/>
      <c r="P1510" s="47"/>
    </row>
    <row r="1511" spans="1:16" x14ac:dyDescent="0.3">
      <c r="A1511" s="1">
        <v>1510</v>
      </c>
      <c r="G1511" s="4"/>
      <c r="H1511" s="4"/>
      <c r="I1511" s="47"/>
      <c r="J1511" s="47" t="str">
        <f t="shared" si="36"/>
        <v/>
      </c>
      <c r="K1511" s="47"/>
      <c r="L1511" s="47"/>
      <c r="N1511" s="47"/>
      <c r="O1511" s="47"/>
      <c r="P1511" s="47"/>
    </row>
    <row r="1512" spans="1:16" x14ac:dyDescent="0.3">
      <c r="A1512" s="1">
        <v>1511</v>
      </c>
      <c r="G1512" s="4"/>
      <c r="H1512" s="4"/>
      <c r="I1512" s="47"/>
      <c r="J1512" s="47" t="str">
        <f t="shared" si="36"/>
        <v/>
      </c>
      <c r="K1512" s="47"/>
      <c r="L1512" s="47"/>
      <c r="N1512" s="47"/>
      <c r="O1512" s="47"/>
      <c r="P1512" s="47"/>
    </row>
    <row r="1513" spans="1:16" x14ac:dyDescent="0.3">
      <c r="A1513" s="1">
        <v>1512</v>
      </c>
      <c r="G1513" s="4"/>
      <c r="H1513" s="4"/>
      <c r="I1513" s="47"/>
      <c r="J1513" s="47" t="str">
        <f t="shared" si="36"/>
        <v/>
      </c>
      <c r="K1513" s="47"/>
      <c r="L1513" s="47"/>
      <c r="N1513" s="47"/>
      <c r="O1513" s="47"/>
      <c r="P1513" s="47"/>
    </row>
    <row r="1514" spans="1:16" x14ac:dyDescent="0.3">
      <c r="A1514" s="1">
        <v>1513</v>
      </c>
      <c r="G1514" s="4"/>
      <c r="H1514" s="4"/>
      <c r="I1514" s="47"/>
      <c r="J1514" s="47" t="str">
        <f t="shared" si="36"/>
        <v/>
      </c>
      <c r="K1514" s="47"/>
      <c r="L1514" s="47"/>
      <c r="N1514" s="47"/>
      <c r="O1514" s="47"/>
      <c r="P1514" s="47"/>
    </row>
    <row r="1515" spans="1:16" x14ac:dyDescent="0.3">
      <c r="A1515" s="1">
        <v>1514</v>
      </c>
      <c r="G1515" s="4"/>
      <c r="H1515" s="4"/>
      <c r="I1515" s="47"/>
      <c r="J1515" s="47" t="str">
        <f t="shared" si="36"/>
        <v/>
      </c>
      <c r="K1515" s="47"/>
      <c r="L1515" s="47"/>
      <c r="N1515" s="47"/>
      <c r="O1515" s="47"/>
      <c r="P1515" s="47"/>
    </row>
    <row r="1516" spans="1:16" x14ac:dyDescent="0.3">
      <c r="A1516" s="1">
        <v>1515</v>
      </c>
      <c r="G1516" s="4"/>
      <c r="H1516" s="4"/>
      <c r="I1516" s="47"/>
      <c r="J1516" s="47" t="str">
        <f t="shared" si="36"/>
        <v/>
      </c>
      <c r="K1516" s="47"/>
      <c r="L1516" s="47"/>
      <c r="N1516" s="47"/>
      <c r="O1516" s="47"/>
      <c r="P1516" s="47"/>
    </row>
    <row r="1517" spans="1:16" x14ac:dyDescent="0.3">
      <c r="A1517" s="1">
        <v>1516</v>
      </c>
      <c r="G1517" s="4"/>
      <c r="H1517" s="4"/>
      <c r="I1517" s="47"/>
      <c r="J1517" s="47" t="str">
        <f t="shared" si="36"/>
        <v/>
      </c>
      <c r="K1517" s="47"/>
      <c r="L1517" s="47"/>
      <c r="N1517" s="47"/>
      <c r="O1517" s="47"/>
      <c r="P1517" s="47"/>
    </row>
    <row r="1518" spans="1:16" x14ac:dyDescent="0.3">
      <c r="A1518" s="1">
        <v>1517</v>
      </c>
      <c r="G1518" s="4"/>
      <c r="H1518" s="4"/>
      <c r="I1518" s="47"/>
      <c r="J1518" s="47" t="str">
        <f t="shared" si="36"/>
        <v/>
      </c>
      <c r="K1518" s="47"/>
      <c r="L1518" s="47"/>
      <c r="N1518" s="47"/>
      <c r="O1518" s="47"/>
      <c r="P1518" s="47"/>
    </row>
    <row r="1519" spans="1:16" x14ac:dyDescent="0.3">
      <c r="A1519" s="1">
        <v>1518</v>
      </c>
      <c r="G1519" s="4"/>
      <c r="H1519" s="4"/>
      <c r="I1519" s="47"/>
      <c r="J1519" s="47" t="str">
        <f t="shared" si="36"/>
        <v/>
      </c>
      <c r="K1519" s="47"/>
      <c r="L1519" s="47"/>
      <c r="N1519" s="47"/>
      <c r="O1519" s="47"/>
      <c r="P1519" s="47"/>
    </row>
    <row r="1520" spans="1:16" x14ac:dyDescent="0.3">
      <c r="A1520" s="1">
        <v>1519</v>
      </c>
      <c r="G1520" s="4"/>
      <c r="H1520" s="4"/>
      <c r="I1520" s="47"/>
      <c r="J1520" s="47" t="str">
        <f t="shared" si="36"/>
        <v/>
      </c>
      <c r="K1520" s="47"/>
      <c r="L1520" s="47"/>
      <c r="N1520" s="47"/>
      <c r="O1520" s="47"/>
      <c r="P1520" s="47"/>
    </row>
    <row r="1521" spans="1:16" x14ac:dyDescent="0.3">
      <c r="A1521" s="1">
        <v>1520</v>
      </c>
      <c r="G1521" s="4"/>
      <c r="H1521" s="4"/>
      <c r="I1521" s="47"/>
      <c r="J1521" s="47" t="str">
        <f t="shared" si="36"/>
        <v/>
      </c>
      <c r="K1521" s="47"/>
      <c r="L1521" s="47"/>
      <c r="N1521" s="47"/>
      <c r="O1521" s="47"/>
      <c r="P1521" s="47"/>
    </row>
    <row r="1522" spans="1:16" x14ac:dyDescent="0.3">
      <c r="A1522" s="1">
        <v>1521</v>
      </c>
      <c r="G1522" s="4"/>
      <c r="H1522" s="4"/>
      <c r="I1522" s="47"/>
      <c r="J1522" s="47" t="str">
        <f t="shared" si="36"/>
        <v/>
      </c>
      <c r="K1522" s="47"/>
      <c r="L1522" s="47"/>
      <c r="N1522" s="47"/>
      <c r="O1522" s="47"/>
      <c r="P1522" s="47"/>
    </row>
    <row r="1523" spans="1:16" x14ac:dyDescent="0.3">
      <c r="A1523" s="1">
        <v>1522</v>
      </c>
      <c r="G1523" s="4"/>
      <c r="H1523" s="4"/>
      <c r="I1523" s="47"/>
      <c r="J1523" s="47" t="str">
        <f t="shared" si="36"/>
        <v/>
      </c>
      <c r="K1523" s="47"/>
      <c r="L1523" s="47"/>
      <c r="N1523" s="47"/>
      <c r="O1523" s="47"/>
      <c r="P1523" s="47"/>
    </row>
    <row r="1524" spans="1:16" x14ac:dyDescent="0.3">
      <c r="A1524" s="1">
        <v>1523</v>
      </c>
      <c r="G1524" s="4"/>
      <c r="H1524" s="4"/>
      <c r="I1524" s="47"/>
      <c r="J1524" s="47" t="str">
        <f t="shared" si="36"/>
        <v/>
      </c>
      <c r="K1524" s="47"/>
      <c r="L1524" s="47"/>
      <c r="N1524" s="47"/>
      <c r="O1524" s="47"/>
      <c r="P1524" s="47"/>
    </row>
    <row r="1525" spans="1:16" x14ac:dyDescent="0.3">
      <c r="A1525" s="1">
        <v>1524</v>
      </c>
      <c r="G1525" s="4"/>
      <c r="H1525" s="4"/>
      <c r="I1525" s="47"/>
      <c r="J1525" s="47" t="str">
        <f t="shared" si="36"/>
        <v/>
      </c>
      <c r="K1525" s="47"/>
      <c r="L1525" s="47"/>
      <c r="N1525" s="47"/>
      <c r="O1525" s="47"/>
      <c r="P1525" s="47"/>
    </row>
    <row r="1526" spans="1:16" x14ac:dyDescent="0.3">
      <c r="A1526" s="1">
        <v>1525</v>
      </c>
      <c r="G1526" s="4"/>
      <c r="H1526" s="4"/>
      <c r="I1526" s="47"/>
      <c r="J1526" s="47" t="str">
        <f t="shared" si="36"/>
        <v/>
      </c>
      <c r="K1526" s="47"/>
      <c r="L1526" s="47"/>
      <c r="N1526" s="47"/>
      <c r="O1526" s="47"/>
      <c r="P1526" s="47"/>
    </row>
    <row r="1527" spans="1:16" x14ac:dyDescent="0.3">
      <c r="A1527" s="1">
        <v>1526</v>
      </c>
      <c r="G1527" s="4"/>
      <c r="H1527" s="4"/>
      <c r="I1527" s="47"/>
      <c r="J1527" s="47" t="str">
        <f t="shared" si="36"/>
        <v/>
      </c>
      <c r="K1527" s="47"/>
      <c r="L1527" s="47"/>
      <c r="N1527" s="47"/>
      <c r="O1527" s="47"/>
      <c r="P1527" s="47"/>
    </row>
    <row r="1528" spans="1:16" x14ac:dyDescent="0.3">
      <c r="A1528" s="1">
        <v>1527</v>
      </c>
      <c r="G1528" s="4"/>
      <c r="H1528" s="4"/>
      <c r="I1528" s="47"/>
      <c r="J1528" s="47" t="str">
        <f t="shared" si="36"/>
        <v/>
      </c>
      <c r="K1528" s="47"/>
      <c r="L1528" s="47"/>
      <c r="N1528" s="47"/>
      <c r="O1528" s="47"/>
      <c r="P1528" s="47"/>
    </row>
    <row r="1529" spans="1:16" x14ac:dyDescent="0.3">
      <c r="A1529" s="1">
        <v>1528</v>
      </c>
      <c r="G1529" s="4"/>
      <c r="H1529" s="4"/>
      <c r="I1529" s="47"/>
      <c r="J1529" s="47" t="str">
        <f t="shared" si="36"/>
        <v/>
      </c>
      <c r="K1529" s="47"/>
      <c r="L1529" s="47"/>
      <c r="N1529" s="47"/>
      <c r="O1529" s="47"/>
      <c r="P1529" s="47"/>
    </row>
    <row r="1530" spans="1:16" x14ac:dyDescent="0.3">
      <c r="A1530" s="1">
        <v>1529</v>
      </c>
      <c r="G1530" s="4"/>
      <c r="H1530" s="4"/>
      <c r="I1530" s="47"/>
      <c r="J1530" s="47" t="str">
        <f t="shared" si="36"/>
        <v/>
      </c>
      <c r="K1530" s="47"/>
      <c r="L1530" s="47"/>
      <c r="N1530" s="47"/>
      <c r="O1530" s="47"/>
      <c r="P1530" s="47"/>
    </row>
    <row r="1531" spans="1:16" x14ac:dyDescent="0.3">
      <c r="A1531" s="1">
        <v>1530</v>
      </c>
      <c r="G1531" s="4"/>
      <c r="H1531" s="4"/>
      <c r="I1531" s="47"/>
      <c r="J1531" s="47" t="str">
        <f t="shared" si="36"/>
        <v/>
      </c>
      <c r="K1531" s="47"/>
      <c r="L1531" s="47"/>
      <c r="N1531" s="47"/>
      <c r="O1531" s="47"/>
      <c r="P1531" s="47"/>
    </row>
    <row r="1532" spans="1:16" x14ac:dyDescent="0.3">
      <c r="A1532" s="1">
        <v>1531</v>
      </c>
      <c r="G1532" s="4"/>
      <c r="H1532" s="4"/>
      <c r="I1532" s="47"/>
      <c r="J1532" s="47" t="str">
        <f t="shared" si="36"/>
        <v/>
      </c>
      <c r="K1532" s="47"/>
      <c r="L1532" s="47"/>
      <c r="N1532" s="47"/>
      <c r="O1532" s="47"/>
      <c r="P1532" s="47"/>
    </row>
    <row r="1533" spans="1:16" x14ac:dyDescent="0.3">
      <c r="A1533" s="1">
        <v>1532</v>
      </c>
      <c r="G1533" s="4"/>
      <c r="H1533" s="4"/>
      <c r="I1533" s="47"/>
      <c r="J1533" s="47" t="str">
        <f t="shared" si="36"/>
        <v/>
      </c>
      <c r="K1533" s="47"/>
      <c r="L1533" s="47"/>
      <c r="N1533" s="47"/>
      <c r="O1533" s="47"/>
      <c r="P1533" s="47"/>
    </row>
    <row r="1534" spans="1:16" x14ac:dyDescent="0.3">
      <c r="A1534" s="1">
        <v>1533</v>
      </c>
      <c r="G1534" s="4"/>
      <c r="H1534" s="4"/>
      <c r="I1534" s="47"/>
      <c r="J1534" s="47" t="str">
        <f t="shared" si="36"/>
        <v/>
      </c>
      <c r="K1534" s="47"/>
      <c r="L1534" s="47"/>
      <c r="N1534" s="47"/>
      <c r="O1534" s="47"/>
      <c r="P1534" s="47"/>
    </row>
    <row r="1535" spans="1:16" x14ac:dyDescent="0.3">
      <c r="A1535" s="1">
        <v>1534</v>
      </c>
      <c r="G1535" s="4"/>
      <c r="H1535" s="4"/>
      <c r="I1535" s="47"/>
      <c r="J1535" s="47" t="str">
        <f t="shared" si="36"/>
        <v/>
      </c>
      <c r="K1535" s="47"/>
      <c r="L1535" s="47"/>
      <c r="N1535" s="47"/>
      <c r="O1535" s="47"/>
      <c r="P1535" s="47"/>
    </row>
    <row r="1536" spans="1:16" x14ac:dyDescent="0.3">
      <c r="A1536" s="1">
        <v>1535</v>
      </c>
      <c r="G1536" s="4"/>
      <c r="H1536" s="4"/>
      <c r="I1536" s="47"/>
      <c r="J1536" s="47" t="str">
        <f t="shared" si="36"/>
        <v/>
      </c>
      <c r="K1536" s="47"/>
      <c r="L1536" s="47"/>
      <c r="N1536" s="47"/>
      <c r="O1536" s="47"/>
      <c r="P1536" s="47"/>
    </row>
    <row r="1537" spans="1:16" x14ac:dyDescent="0.3">
      <c r="A1537" s="1">
        <v>1536</v>
      </c>
      <c r="G1537" s="4"/>
      <c r="H1537" s="4"/>
      <c r="I1537" s="47"/>
      <c r="J1537" s="47" t="str">
        <f t="shared" si="36"/>
        <v/>
      </c>
      <c r="K1537" s="47"/>
      <c r="L1537" s="47"/>
      <c r="N1537" s="47"/>
      <c r="O1537" s="47"/>
      <c r="P1537" s="47"/>
    </row>
    <row r="1538" spans="1:16" x14ac:dyDescent="0.3">
      <c r="A1538" s="1">
        <v>1537</v>
      </c>
      <c r="G1538" s="4"/>
      <c r="H1538" s="4"/>
      <c r="I1538" s="47"/>
      <c r="J1538" s="47" t="str">
        <f t="shared" si="36"/>
        <v/>
      </c>
      <c r="K1538" s="47"/>
      <c r="L1538" s="47"/>
      <c r="N1538" s="47"/>
      <c r="O1538" s="47"/>
      <c r="P1538" s="47"/>
    </row>
    <row r="1539" spans="1:16" x14ac:dyDescent="0.3">
      <c r="A1539" s="1">
        <v>1538</v>
      </c>
      <c r="G1539" s="4"/>
      <c r="H1539" s="4"/>
      <c r="I1539" s="47"/>
      <c r="J1539" s="47" t="str">
        <f t="shared" ref="J1539:J1602" si="37">+E1539&amp;I1539</f>
        <v/>
      </c>
      <c r="K1539" s="47"/>
      <c r="L1539" s="47"/>
      <c r="N1539" s="47"/>
      <c r="O1539" s="47"/>
      <c r="P1539" s="47"/>
    </row>
    <row r="1540" spans="1:16" x14ac:dyDescent="0.3">
      <c r="A1540" s="1">
        <v>1539</v>
      </c>
      <c r="G1540" s="4"/>
      <c r="H1540" s="4"/>
      <c r="I1540" s="47"/>
      <c r="J1540" s="47" t="str">
        <f t="shared" si="37"/>
        <v/>
      </c>
      <c r="K1540" s="47"/>
      <c r="L1540" s="47"/>
      <c r="N1540" s="47"/>
      <c r="O1540" s="47"/>
      <c r="P1540" s="47"/>
    </row>
    <row r="1541" spans="1:16" x14ac:dyDescent="0.3">
      <c r="A1541" s="1">
        <v>1540</v>
      </c>
      <c r="G1541" s="4"/>
      <c r="H1541" s="4"/>
      <c r="I1541" s="47"/>
      <c r="J1541" s="47" t="str">
        <f t="shared" si="37"/>
        <v/>
      </c>
      <c r="K1541" s="47"/>
      <c r="L1541" s="47"/>
      <c r="N1541" s="47"/>
      <c r="O1541" s="47"/>
      <c r="P1541" s="47"/>
    </row>
    <row r="1542" spans="1:16" x14ac:dyDescent="0.3">
      <c r="A1542" s="1">
        <v>1541</v>
      </c>
      <c r="G1542" s="4"/>
      <c r="H1542" s="4"/>
      <c r="I1542" s="47"/>
      <c r="J1542" s="47" t="str">
        <f t="shared" si="37"/>
        <v/>
      </c>
      <c r="K1542" s="47"/>
      <c r="L1542" s="47"/>
      <c r="N1542" s="47"/>
      <c r="O1542" s="47"/>
      <c r="P1542" s="47"/>
    </row>
    <row r="1543" spans="1:16" x14ac:dyDescent="0.3">
      <c r="A1543" s="1">
        <v>1542</v>
      </c>
      <c r="G1543" s="4"/>
      <c r="H1543" s="4"/>
      <c r="I1543" s="47"/>
      <c r="J1543" s="47" t="str">
        <f t="shared" si="37"/>
        <v/>
      </c>
      <c r="K1543" s="47"/>
      <c r="L1543" s="47"/>
      <c r="N1543" s="47"/>
      <c r="O1543" s="47"/>
      <c r="P1543" s="47"/>
    </row>
    <row r="1544" spans="1:16" x14ac:dyDescent="0.3">
      <c r="A1544" s="1">
        <v>1543</v>
      </c>
      <c r="G1544" s="4"/>
      <c r="H1544" s="4"/>
      <c r="I1544" s="47"/>
      <c r="J1544" s="47" t="str">
        <f t="shared" si="37"/>
        <v/>
      </c>
      <c r="K1544" s="47"/>
      <c r="L1544" s="47"/>
      <c r="N1544" s="47"/>
      <c r="O1544" s="47"/>
      <c r="P1544" s="47"/>
    </row>
    <row r="1545" spans="1:16" x14ac:dyDescent="0.3">
      <c r="A1545" s="1">
        <v>1544</v>
      </c>
      <c r="G1545" s="4"/>
      <c r="H1545" s="4"/>
      <c r="I1545" s="47"/>
      <c r="J1545" s="47" t="str">
        <f t="shared" si="37"/>
        <v/>
      </c>
      <c r="K1545" s="47"/>
      <c r="L1545" s="47"/>
      <c r="N1545" s="47"/>
      <c r="O1545" s="47"/>
      <c r="P1545" s="47"/>
    </row>
    <row r="1546" spans="1:16" x14ac:dyDescent="0.3">
      <c r="A1546" s="1">
        <v>1545</v>
      </c>
      <c r="G1546" s="4"/>
      <c r="H1546" s="4"/>
      <c r="I1546" s="47"/>
      <c r="J1546" s="47" t="str">
        <f t="shared" si="37"/>
        <v/>
      </c>
      <c r="K1546" s="47"/>
      <c r="L1546" s="47"/>
      <c r="N1546" s="47"/>
      <c r="O1546" s="47"/>
      <c r="P1546" s="47"/>
    </row>
    <row r="1547" spans="1:16" x14ac:dyDescent="0.3">
      <c r="A1547" s="1">
        <v>1546</v>
      </c>
      <c r="G1547" s="4"/>
      <c r="H1547" s="4"/>
      <c r="I1547" s="47"/>
      <c r="J1547" s="47" t="str">
        <f t="shared" si="37"/>
        <v/>
      </c>
      <c r="K1547" s="47"/>
      <c r="L1547" s="47"/>
      <c r="N1547" s="47"/>
      <c r="O1547" s="47"/>
      <c r="P1547" s="47"/>
    </row>
    <row r="1548" spans="1:16" x14ac:dyDescent="0.3">
      <c r="A1548" s="1">
        <v>1547</v>
      </c>
      <c r="G1548" s="4"/>
      <c r="H1548" s="4"/>
      <c r="I1548" s="47"/>
      <c r="J1548" s="47" t="str">
        <f t="shared" si="37"/>
        <v/>
      </c>
      <c r="K1548" s="47"/>
      <c r="L1548" s="47"/>
      <c r="N1548" s="47"/>
      <c r="O1548" s="47"/>
      <c r="P1548" s="47"/>
    </row>
    <row r="1549" spans="1:16" x14ac:dyDescent="0.3">
      <c r="A1549" s="1">
        <v>1548</v>
      </c>
      <c r="G1549" s="4"/>
      <c r="H1549" s="4"/>
      <c r="I1549" s="47"/>
      <c r="J1549" s="47" t="str">
        <f t="shared" si="37"/>
        <v/>
      </c>
      <c r="K1549" s="47"/>
      <c r="L1549" s="47"/>
      <c r="N1549" s="47"/>
      <c r="O1549" s="47"/>
      <c r="P1549" s="47"/>
    </row>
    <row r="1550" spans="1:16" x14ac:dyDescent="0.3">
      <c r="A1550" s="1">
        <v>1549</v>
      </c>
      <c r="G1550" s="4"/>
      <c r="H1550" s="4"/>
      <c r="I1550" s="47"/>
      <c r="J1550" s="47" t="str">
        <f t="shared" si="37"/>
        <v/>
      </c>
      <c r="K1550" s="47"/>
      <c r="L1550" s="47"/>
      <c r="N1550" s="47"/>
      <c r="O1550" s="47"/>
      <c r="P1550" s="47"/>
    </row>
    <row r="1551" spans="1:16" x14ac:dyDescent="0.3">
      <c r="A1551" s="1">
        <v>1550</v>
      </c>
      <c r="G1551" s="4"/>
      <c r="H1551" s="4"/>
      <c r="I1551" s="47"/>
      <c r="J1551" s="47" t="str">
        <f t="shared" si="37"/>
        <v/>
      </c>
      <c r="K1551" s="47"/>
      <c r="L1551" s="47"/>
      <c r="N1551" s="47"/>
      <c r="O1551" s="47"/>
      <c r="P1551" s="47"/>
    </row>
    <row r="1552" spans="1:16" x14ac:dyDescent="0.3">
      <c r="A1552" s="1">
        <v>1551</v>
      </c>
      <c r="G1552" s="4"/>
      <c r="H1552" s="4"/>
      <c r="I1552" s="47"/>
      <c r="J1552" s="47" t="str">
        <f t="shared" si="37"/>
        <v/>
      </c>
      <c r="K1552" s="47"/>
      <c r="L1552" s="47"/>
      <c r="N1552" s="47"/>
      <c r="O1552" s="47"/>
      <c r="P1552" s="47"/>
    </row>
    <row r="1553" spans="1:16" x14ac:dyDescent="0.3">
      <c r="A1553" s="1">
        <v>1552</v>
      </c>
      <c r="G1553" s="4"/>
      <c r="H1553" s="4"/>
      <c r="I1553" s="47"/>
      <c r="J1553" s="47" t="str">
        <f t="shared" si="37"/>
        <v/>
      </c>
      <c r="K1553" s="47"/>
      <c r="L1553" s="47"/>
      <c r="N1553" s="47"/>
      <c r="O1553" s="47"/>
      <c r="P1553" s="47"/>
    </row>
    <row r="1554" spans="1:16" x14ac:dyDescent="0.3">
      <c r="A1554" s="1">
        <v>1553</v>
      </c>
      <c r="G1554" s="4"/>
      <c r="H1554" s="4"/>
      <c r="I1554" s="47"/>
      <c r="J1554" s="47" t="str">
        <f t="shared" si="37"/>
        <v/>
      </c>
      <c r="K1554" s="47"/>
      <c r="L1554" s="47"/>
      <c r="N1554" s="47"/>
      <c r="O1554" s="47"/>
      <c r="P1554" s="47"/>
    </row>
    <row r="1555" spans="1:16" x14ac:dyDescent="0.3">
      <c r="A1555" s="1">
        <v>1554</v>
      </c>
      <c r="G1555" s="4"/>
      <c r="H1555" s="4"/>
      <c r="I1555" s="47"/>
      <c r="J1555" s="47" t="str">
        <f t="shared" si="37"/>
        <v/>
      </c>
      <c r="K1555" s="47"/>
      <c r="L1555" s="47"/>
      <c r="N1555" s="47"/>
      <c r="O1555" s="47"/>
      <c r="P1555" s="47"/>
    </row>
    <row r="1556" spans="1:16" x14ac:dyDescent="0.3">
      <c r="A1556" s="1">
        <v>1555</v>
      </c>
      <c r="G1556" s="4"/>
      <c r="H1556" s="4"/>
      <c r="I1556" s="47"/>
      <c r="J1556" s="47" t="str">
        <f t="shared" si="37"/>
        <v/>
      </c>
      <c r="K1556" s="47"/>
      <c r="L1556" s="47"/>
      <c r="N1556" s="47"/>
      <c r="O1556" s="47"/>
      <c r="P1556" s="47"/>
    </row>
    <row r="1557" spans="1:16" x14ac:dyDescent="0.3">
      <c r="A1557" s="1">
        <v>1556</v>
      </c>
      <c r="G1557" s="4"/>
      <c r="H1557" s="4"/>
      <c r="I1557" s="47"/>
      <c r="J1557" s="47" t="str">
        <f t="shared" si="37"/>
        <v/>
      </c>
      <c r="K1557" s="47"/>
      <c r="L1557" s="47"/>
      <c r="N1557" s="47"/>
      <c r="O1557" s="47"/>
      <c r="P1557" s="47"/>
    </row>
    <row r="1558" spans="1:16" x14ac:dyDescent="0.3">
      <c r="A1558" s="1">
        <v>1557</v>
      </c>
      <c r="G1558" s="4"/>
      <c r="H1558" s="4"/>
      <c r="I1558" s="47"/>
      <c r="J1558" s="47" t="str">
        <f t="shared" si="37"/>
        <v/>
      </c>
      <c r="K1558" s="47"/>
      <c r="L1558" s="47"/>
      <c r="N1558" s="47"/>
      <c r="O1558" s="47"/>
      <c r="P1558" s="47"/>
    </row>
    <row r="1559" spans="1:16" x14ac:dyDescent="0.3">
      <c r="A1559" s="1">
        <v>1558</v>
      </c>
      <c r="G1559" s="4"/>
      <c r="H1559" s="4"/>
      <c r="I1559" s="47"/>
      <c r="J1559" s="47" t="str">
        <f t="shared" si="37"/>
        <v/>
      </c>
      <c r="K1559" s="47"/>
      <c r="L1559" s="47"/>
      <c r="N1559" s="47"/>
      <c r="O1559" s="47"/>
      <c r="P1559" s="47"/>
    </row>
    <row r="1560" spans="1:16" x14ac:dyDescent="0.3">
      <c r="A1560" s="1">
        <v>1559</v>
      </c>
      <c r="G1560" s="4"/>
      <c r="H1560" s="4"/>
      <c r="I1560" s="47"/>
      <c r="J1560" s="47" t="str">
        <f t="shared" si="37"/>
        <v/>
      </c>
      <c r="K1560" s="47"/>
      <c r="L1560" s="47"/>
      <c r="N1560" s="47"/>
      <c r="O1560" s="47"/>
      <c r="P1560" s="47"/>
    </row>
    <row r="1561" spans="1:16" x14ac:dyDescent="0.3">
      <c r="A1561" s="1">
        <v>1560</v>
      </c>
      <c r="G1561" s="4"/>
      <c r="H1561" s="4"/>
      <c r="I1561" s="47"/>
      <c r="J1561" s="47" t="str">
        <f t="shared" si="37"/>
        <v/>
      </c>
      <c r="K1561" s="47"/>
      <c r="L1561" s="47"/>
      <c r="N1561" s="47"/>
      <c r="O1561" s="47"/>
      <c r="P1561" s="47"/>
    </row>
    <row r="1562" spans="1:16" x14ac:dyDescent="0.3">
      <c r="A1562" s="1">
        <v>1561</v>
      </c>
      <c r="G1562" s="4"/>
      <c r="H1562" s="4"/>
      <c r="I1562" s="47"/>
      <c r="J1562" s="47" t="str">
        <f t="shared" si="37"/>
        <v/>
      </c>
      <c r="K1562" s="47"/>
      <c r="L1562" s="47"/>
      <c r="N1562" s="47"/>
      <c r="O1562" s="47"/>
      <c r="P1562" s="47"/>
    </row>
    <row r="1563" spans="1:16" x14ac:dyDescent="0.3">
      <c r="A1563" s="1">
        <v>1562</v>
      </c>
      <c r="G1563" s="4"/>
      <c r="H1563" s="4"/>
      <c r="I1563" s="47"/>
      <c r="J1563" s="47" t="str">
        <f t="shared" si="37"/>
        <v/>
      </c>
      <c r="K1563" s="47"/>
      <c r="L1563" s="47"/>
      <c r="N1563" s="47"/>
      <c r="O1563" s="47"/>
      <c r="P1563" s="47"/>
    </row>
    <row r="1564" spans="1:16" x14ac:dyDescent="0.3">
      <c r="A1564" s="1">
        <v>1563</v>
      </c>
      <c r="G1564" s="4"/>
      <c r="H1564" s="4"/>
      <c r="I1564" s="47"/>
      <c r="J1564" s="47" t="str">
        <f t="shared" si="37"/>
        <v/>
      </c>
      <c r="K1564" s="47"/>
      <c r="L1564" s="47"/>
      <c r="N1564" s="47"/>
      <c r="O1564" s="47"/>
      <c r="P1564" s="47"/>
    </row>
    <row r="1565" spans="1:16" x14ac:dyDescent="0.3">
      <c r="A1565" s="1">
        <v>1564</v>
      </c>
      <c r="G1565" s="4"/>
      <c r="H1565" s="4"/>
      <c r="I1565" s="47"/>
      <c r="J1565" s="47" t="str">
        <f t="shared" si="37"/>
        <v/>
      </c>
      <c r="K1565" s="47"/>
      <c r="L1565" s="47"/>
      <c r="N1565" s="47"/>
      <c r="O1565" s="47"/>
      <c r="P1565" s="47"/>
    </row>
    <row r="1566" spans="1:16" x14ac:dyDescent="0.3">
      <c r="A1566" s="1">
        <v>1565</v>
      </c>
      <c r="G1566" s="4"/>
      <c r="H1566" s="4"/>
      <c r="I1566" s="47"/>
      <c r="J1566" s="47" t="str">
        <f t="shared" si="37"/>
        <v/>
      </c>
      <c r="K1566" s="47"/>
      <c r="L1566" s="47"/>
      <c r="N1566" s="47"/>
      <c r="O1566" s="47"/>
      <c r="P1566" s="47"/>
    </row>
    <row r="1567" spans="1:16" x14ac:dyDescent="0.3">
      <c r="A1567" s="1">
        <v>1566</v>
      </c>
      <c r="G1567" s="4"/>
      <c r="H1567" s="4"/>
      <c r="I1567" s="47"/>
      <c r="J1567" s="47" t="str">
        <f t="shared" si="37"/>
        <v/>
      </c>
      <c r="K1567" s="47"/>
      <c r="L1567" s="47"/>
      <c r="N1567" s="47"/>
      <c r="O1567" s="47"/>
      <c r="P1567" s="47"/>
    </row>
    <row r="1568" spans="1:16" x14ac:dyDescent="0.3">
      <c r="A1568" s="1">
        <v>1567</v>
      </c>
      <c r="G1568" s="4"/>
      <c r="H1568" s="4"/>
      <c r="I1568" s="47"/>
      <c r="J1568" s="47" t="str">
        <f t="shared" si="37"/>
        <v/>
      </c>
      <c r="K1568" s="47"/>
      <c r="L1568" s="47"/>
      <c r="N1568" s="47"/>
      <c r="O1568" s="47"/>
      <c r="P1568" s="47"/>
    </row>
    <row r="1569" spans="1:16" x14ac:dyDescent="0.3">
      <c r="A1569" s="1">
        <v>1568</v>
      </c>
      <c r="G1569" s="4"/>
      <c r="H1569" s="4"/>
      <c r="I1569" s="47"/>
      <c r="J1569" s="47" t="str">
        <f t="shared" si="37"/>
        <v/>
      </c>
      <c r="K1569" s="47"/>
      <c r="L1569" s="47"/>
      <c r="N1569" s="47"/>
      <c r="O1569" s="47"/>
      <c r="P1569" s="47"/>
    </row>
    <row r="1570" spans="1:16" x14ac:dyDescent="0.3">
      <c r="A1570" s="1">
        <v>1569</v>
      </c>
      <c r="G1570" s="4"/>
      <c r="H1570" s="4"/>
      <c r="I1570" s="47"/>
      <c r="J1570" s="47" t="str">
        <f t="shared" si="37"/>
        <v/>
      </c>
      <c r="K1570" s="47"/>
      <c r="L1570" s="47"/>
      <c r="N1570" s="47"/>
      <c r="O1570" s="47"/>
      <c r="P1570" s="47"/>
    </row>
    <row r="1571" spans="1:16" x14ac:dyDescent="0.3">
      <c r="A1571" s="1">
        <v>1570</v>
      </c>
      <c r="G1571" s="4"/>
      <c r="H1571" s="4"/>
      <c r="I1571" s="47"/>
      <c r="J1571" s="47" t="str">
        <f t="shared" si="37"/>
        <v/>
      </c>
      <c r="K1571" s="47"/>
      <c r="L1571" s="47"/>
      <c r="N1571" s="47"/>
      <c r="O1571" s="47"/>
      <c r="P1571" s="47"/>
    </row>
    <row r="1572" spans="1:16" x14ac:dyDescent="0.3">
      <c r="A1572" s="1">
        <v>1571</v>
      </c>
      <c r="G1572" s="4"/>
      <c r="H1572" s="4"/>
      <c r="I1572" s="47"/>
      <c r="J1572" s="47" t="str">
        <f t="shared" si="37"/>
        <v/>
      </c>
      <c r="K1572" s="47"/>
      <c r="L1572" s="47"/>
      <c r="N1572" s="47"/>
      <c r="O1572" s="47"/>
      <c r="P1572" s="47"/>
    </row>
    <row r="1573" spans="1:16" x14ac:dyDescent="0.3">
      <c r="A1573" s="1">
        <v>1572</v>
      </c>
      <c r="G1573" s="4"/>
      <c r="H1573" s="4"/>
      <c r="I1573" s="47"/>
      <c r="J1573" s="47" t="str">
        <f t="shared" si="37"/>
        <v/>
      </c>
      <c r="K1573" s="47"/>
      <c r="L1573" s="47"/>
      <c r="N1573" s="47"/>
      <c r="O1573" s="47"/>
      <c r="P1573" s="47"/>
    </row>
    <row r="1574" spans="1:16" x14ac:dyDescent="0.3">
      <c r="A1574" s="1">
        <v>1573</v>
      </c>
      <c r="G1574" s="4"/>
      <c r="H1574" s="4"/>
      <c r="I1574" s="47"/>
      <c r="J1574" s="47" t="str">
        <f t="shared" si="37"/>
        <v/>
      </c>
      <c r="K1574" s="47"/>
      <c r="L1574" s="47"/>
      <c r="N1574" s="47"/>
      <c r="O1574" s="47"/>
      <c r="P1574" s="47"/>
    </row>
    <row r="1575" spans="1:16" x14ac:dyDescent="0.3">
      <c r="A1575" s="1">
        <v>1574</v>
      </c>
      <c r="G1575" s="4"/>
      <c r="H1575" s="4"/>
      <c r="I1575" s="47"/>
      <c r="J1575" s="47" t="str">
        <f t="shared" si="37"/>
        <v/>
      </c>
      <c r="K1575" s="47"/>
      <c r="L1575" s="47"/>
      <c r="N1575" s="47"/>
      <c r="O1575" s="47"/>
      <c r="P1575" s="47"/>
    </row>
    <row r="1576" spans="1:16" x14ac:dyDescent="0.3">
      <c r="A1576" s="1">
        <v>1575</v>
      </c>
      <c r="G1576" s="4"/>
      <c r="H1576" s="4"/>
      <c r="I1576" s="47"/>
      <c r="J1576" s="47" t="str">
        <f t="shared" si="37"/>
        <v/>
      </c>
      <c r="K1576" s="47"/>
      <c r="L1576" s="47"/>
      <c r="N1576" s="47"/>
      <c r="O1576" s="47"/>
      <c r="P1576" s="47"/>
    </row>
    <row r="1577" spans="1:16" x14ac:dyDescent="0.3">
      <c r="A1577" s="1">
        <v>1576</v>
      </c>
      <c r="G1577" s="4"/>
      <c r="H1577" s="4"/>
      <c r="I1577" s="47"/>
      <c r="J1577" s="47" t="str">
        <f t="shared" si="37"/>
        <v/>
      </c>
      <c r="K1577" s="47"/>
      <c r="L1577" s="47"/>
      <c r="N1577" s="47"/>
      <c r="O1577" s="47"/>
      <c r="P1577" s="47"/>
    </row>
    <row r="1578" spans="1:16" x14ac:dyDescent="0.3">
      <c r="A1578" s="1">
        <v>1577</v>
      </c>
      <c r="G1578" s="4"/>
      <c r="H1578" s="4"/>
      <c r="I1578" s="47"/>
      <c r="J1578" s="47" t="str">
        <f t="shared" si="37"/>
        <v/>
      </c>
      <c r="K1578" s="47"/>
      <c r="L1578" s="47"/>
      <c r="N1578" s="47"/>
      <c r="O1578" s="47"/>
      <c r="P1578" s="47"/>
    </row>
    <row r="1579" spans="1:16" x14ac:dyDescent="0.3">
      <c r="A1579" s="1">
        <v>1578</v>
      </c>
      <c r="G1579" s="4"/>
      <c r="H1579" s="4"/>
      <c r="I1579" s="47"/>
      <c r="J1579" s="47" t="str">
        <f t="shared" si="37"/>
        <v/>
      </c>
      <c r="K1579" s="47"/>
      <c r="L1579" s="47"/>
      <c r="N1579" s="47"/>
      <c r="O1579" s="47"/>
      <c r="P1579" s="47"/>
    </row>
    <row r="1580" spans="1:16" x14ac:dyDescent="0.3">
      <c r="A1580" s="1">
        <v>1579</v>
      </c>
      <c r="G1580" s="4"/>
      <c r="H1580" s="4"/>
      <c r="I1580" s="47"/>
      <c r="J1580" s="47" t="str">
        <f t="shared" si="37"/>
        <v/>
      </c>
      <c r="K1580" s="47"/>
      <c r="L1580" s="47"/>
      <c r="N1580" s="47"/>
      <c r="O1580" s="47"/>
      <c r="P1580" s="47"/>
    </row>
    <row r="1581" spans="1:16" x14ac:dyDescent="0.3">
      <c r="A1581" s="1">
        <v>1580</v>
      </c>
      <c r="G1581" s="4"/>
      <c r="H1581" s="4"/>
      <c r="I1581" s="47"/>
      <c r="J1581" s="47" t="str">
        <f t="shared" si="37"/>
        <v/>
      </c>
      <c r="K1581" s="47"/>
      <c r="L1581" s="47"/>
      <c r="N1581" s="47"/>
      <c r="O1581" s="47"/>
      <c r="P1581" s="47"/>
    </row>
    <row r="1582" spans="1:16" x14ac:dyDescent="0.3">
      <c r="A1582" s="1">
        <v>1581</v>
      </c>
      <c r="G1582" s="4"/>
      <c r="H1582" s="4"/>
      <c r="I1582" s="47"/>
      <c r="J1582" s="47" t="str">
        <f t="shared" si="37"/>
        <v/>
      </c>
      <c r="K1582" s="47"/>
      <c r="L1582" s="47"/>
      <c r="N1582" s="47"/>
      <c r="O1582" s="47"/>
      <c r="P1582" s="47"/>
    </row>
    <row r="1583" spans="1:16" x14ac:dyDescent="0.3">
      <c r="A1583" s="1">
        <v>1582</v>
      </c>
      <c r="G1583" s="4"/>
      <c r="H1583" s="4"/>
      <c r="I1583" s="47"/>
      <c r="J1583" s="47" t="str">
        <f t="shared" si="37"/>
        <v/>
      </c>
      <c r="K1583" s="47"/>
      <c r="L1583" s="47"/>
      <c r="N1583" s="47"/>
      <c r="O1583" s="47"/>
      <c r="P1583" s="47"/>
    </row>
    <row r="1584" spans="1:16" x14ac:dyDescent="0.3">
      <c r="A1584" s="1">
        <v>1583</v>
      </c>
      <c r="G1584" s="4"/>
      <c r="H1584" s="4"/>
      <c r="I1584" s="47"/>
      <c r="J1584" s="47" t="str">
        <f t="shared" si="37"/>
        <v/>
      </c>
      <c r="K1584" s="47"/>
      <c r="L1584" s="47"/>
      <c r="N1584" s="47"/>
      <c r="O1584" s="47"/>
      <c r="P1584" s="47"/>
    </row>
    <row r="1585" spans="1:16" x14ac:dyDescent="0.3">
      <c r="A1585" s="1">
        <v>1584</v>
      </c>
      <c r="G1585" s="4"/>
      <c r="H1585" s="4"/>
      <c r="I1585" s="47"/>
      <c r="J1585" s="47" t="str">
        <f t="shared" si="37"/>
        <v/>
      </c>
      <c r="K1585" s="47"/>
      <c r="L1585" s="47"/>
      <c r="N1585" s="47"/>
      <c r="O1585" s="47"/>
      <c r="P1585" s="47"/>
    </row>
    <row r="1586" spans="1:16" x14ac:dyDescent="0.3">
      <c r="A1586" s="1">
        <v>1585</v>
      </c>
      <c r="G1586" s="4"/>
      <c r="H1586" s="4"/>
      <c r="I1586" s="47"/>
      <c r="J1586" s="47" t="str">
        <f t="shared" si="37"/>
        <v/>
      </c>
      <c r="K1586" s="47"/>
      <c r="L1586" s="47"/>
      <c r="N1586" s="47"/>
      <c r="O1586" s="47"/>
      <c r="P1586" s="47"/>
    </row>
    <row r="1587" spans="1:16" x14ac:dyDescent="0.3">
      <c r="A1587" s="1">
        <v>1586</v>
      </c>
      <c r="G1587" s="4"/>
      <c r="H1587" s="4"/>
      <c r="I1587" s="47"/>
      <c r="J1587" s="47" t="str">
        <f t="shared" si="37"/>
        <v/>
      </c>
      <c r="K1587" s="47"/>
      <c r="L1587" s="47"/>
      <c r="N1587" s="47"/>
      <c r="O1587" s="47"/>
      <c r="P1587" s="47"/>
    </row>
    <row r="1588" spans="1:16" x14ac:dyDescent="0.3">
      <c r="A1588" s="1">
        <v>1587</v>
      </c>
      <c r="G1588" s="4"/>
      <c r="H1588" s="4"/>
      <c r="I1588" s="47"/>
      <c r="J1588" s="47" t="str">
        <f t="shared" si="37"/>
        <v/>
      </c>
      <c r="K1588" s="47"/>
      <c r="L1588" s="47"/>
      <c r="N1588" s="47"/>
      <c r="O1588" s="47"/>
      <c r="P1588" s="47"/>
    </row>
    <row r="1589" spans="1:16" x14ac:dyDescent="0.3">
      <c r="A1589" s="1">
        <v>1588</v>
      </c>
      <c r="G1589" s="4"/>
      <c r="H1589" s="4"/>
      <c r="I1589" s="47"/>
      <c r="J1589" s="47" t="str">
        <f t="shared" si="37"/>
        <v/>
      </c>
      <c r="K1589" s="47"/>
      <c r="L1589" s="47"/>
      <c r="N1589" s="47"/>
      <c r="O1589" s="47"/>
      <c r="P1589" s="47"/>
    </row>
    <row r="1590" spans="1:16" x14ac:dyDescent="0.3">
      <c r="A1590" s="1">
        <v>1589</v>
      </c>
      <c r="G1590" s="4"/>
      <c r="H1590" s="4"/>
      <c r="I1590" s="47"/>
      <c r="J1590" s="47" t="str">
        <f t="shared" si="37"/>
        <v/>
      </c>
      <c r="K1590" s="47"/>
      <c r="L1590" s="47"/>
      <c r="N1590" s="47"/>
      <c r="O1590" s="47"/>
      <c r="P1590" s="47"/>
    </row>
    <row r="1591" spans="1:16" x14ac:dyDescent="0.3">
      <c r="A1591" s="1">
        <v>1590</v>
      </c>
      <c r="G1591" s="4"/>
      <c r="H1591" s="4"/>
      <c r="I1591" s="47"/>
      <c r="J1591" s="47" t="str">
        <f t="shared" si="37"/>
        <v/>
      </c>
      <c r="K1591" s="47"/>
      <c r="L1591" s="47"/>
      <c r="N1591" s="47"/>
      <c r="O1591" s="47"/>
      <c r="P1591" s="47"/>
    </row>
    <row r="1592" spans="1:16" x14ac:dyDescent="0.3">
      <c r="A1592" s="1">
        <v>1591</v>
      </c>
      <c r="G1592" s="4"/>
      <c r="H1592" s="4"/>
      <c r="I1592" s="47"/>
      <c r="J1592" s="47" t="str">
        <f t="shared" si="37"/>
        <v/>
      </c>
      <c r="K1592" s="47"/>
      <c r="L1592" s="47"/>
      <c r="N1592" s="47"/>
      <c r="O1592" s="47"/>
      <c r="P1592" s="47"/>
    </row>
    <row r="1593" spans="1:16" x14ac:dyDescent="0.3">
      <c r="A1593" s="1">
        <v>1592</v>
      </c>
      <c r="G1593" s="4"/>
      <c r="H1593" s="4"/>
      <c r="I1593" s="47"/>
      <c r="J1593" s="47" t="str">
        <f t="shared" si="37"/>
        <v/>
      </c>
      <c r="K1593" s="47"/>
      <c r="L1593" s="47"/>
      <c r="N1593" s="47"/>
      <c r="O1593" s="47"/>
      <c r="P1593" s="47"/>
    </row>
    <row r="1594" spans="1:16" x14ac:dyDescent="0.3">
      <c r="A1594" s="1">
        <v>1593</v>
      </c>
      <c r="G1594" s="4"/>
      <c r="H1594" s="4"/>
      <c r="I1594" s="47"/>
      <c r="J1594" s="47" t="str">
        <f t="shared" si="37"/>
        <v/>
      </c>
      <c r="K1594" s="47"/>
      <c r="L1594" s="47"/>
      <c r="N1594" s="47"/>
      <c r="O1594" s="47"/>
      <c r="P1594" s="47"/>
    </row>
    <row r="1595" spans="1:16" x14ac:dyDescent="0.3">
      <c r="A1595" s="1">
        <v>1594</v>
      </c>
      <c r="G1595" s="4"/>
      <c r="H1595" s="4"/>
      <c r="I1595" s="47"/>
      <c r="J1595" s="47" t="str">
        <f t="shared" si="37"/>
        <v/>
      </c>
      <c r="K1595" s="47"/>
      <c r="L1595" s="47"/>
      <c r="N1595" s="47"/>
      <c r="O1595" s="47"/>
      <c r="P1595" s="47"/>
    </row>
    <row r="1596" spans="1:16" x14ac:dyDescent="0.3">
      <c r="A1596" s="1">
        <v>1595</v>
      </c>
      <c r="G1596" s="4"/>
      <c r="H1596" s="4"/>
      <c r="I1596" s="47"/>
      <c r="J1596" s="47" t="str">
        <f t="shared" si="37"/>
        <v/>
      </c>
      <c r="K1596" s="47"/>
      <c r="L1596" s="47"/>
      <c r="N1596" s="47"/>
      <c r="O1596" s="47"/>
      <c r="P1596" s="47"/>
    </row>
    <row r="1597" spans="1:16" x14ac:dyDescent="0.3">
      <c r="A1597" s="1">
        <v>1596</v>
      </c>
      <c r="G1597" s="4"/>
      <c r="H1597" s="4"/>
      <c r="I1597" s="47"/>
      <c r="J1597" s="47" t="str">
        <f t="shared" si="37"/>
        <v/>
      </c>
      <c r="K1597" s="47"/>
      <c r="L1597" s="47"/>
      <c r="N1597" s="47"/>
      <c r="O1597" s="47"/>
      <c r="P1597" s="47"/>
    </row>
    <row r="1598" spans="1:16" x14ac:dyDescent="0.3">
      <c r="A1598" s="1">
        <v>1597</v>
      </c>
      <c r="G1598" s="4"/>
      <c r="H1598" s="4"/>
      <c r="I1598" s="47"/>
      <c r="J1598" s="47" t="str">
        <f t="shared" si="37"/>
        <v/>
      </c>
      <c r="K1598" s="47"/>
      <c r="L1598" s="47"/>
      <c r="N1598" s="47"/>
      <c r="O1598" s="47"/>
      <c r="P1598" s="47"/>
    </row>
    <row r="1599" spans="1:16" x14ac:dyDescent="0.3">
      <c r="A1599" s="1">
        <v>1598</v>
      </c>
      <c r="G1599" s="4"/>
      <c r="H1599" s="4"/>
      <c r="I1599" s="47"/>
      <c r="J1599" s="47" t="str">
        <f t="shared" si="37"/>
        <v/>
      </c>
      <c r="K1599" s="47"/>
      <c r="L1599" s="47"/>
      <c r="N1599" s="47"/>
      <c r="O1599" s="47"/>
      <c r="P1599" s="47"/>
    </row>
    <row r="1600" spans="1:16" x14ac:dyDescent="0.3">
      <c r="A1600" s="1">
        <v>1599</v>
      </c>
      <c r="G1600" s="4"/>
      <c r="H1600" s="4"/>
      <c r="I1600" s="47"/>
      <c r="J1600" s="47" t="str">
        <f t="shared" si="37"/>
        <v/>
      </c>
      <c r="K1600" s="47"/>
      <c r="L1600" s="47"/>
      <c r="N1600" s="47"/>
      <c r="O1600" s="47"/>
      <c r="P1600" s="47"/>
    </row>
    <row r="1601" spans="1:16" x14ac:dyDescent="0.3">
      <c r="A1601" s="1">
        <v>1600</v>
      </c>
      <c r="G1601" s="4"/>
      <c r="H1601" s="4"/>
      <c r="I1601" s="47"/>
      <c r="J1601" s="47" t="str">
        <f t="shared" si="37"/>
        <v/>
      </c>
      <c r="K1601" s="47"/>
      <c r="L1601" s="47"/>
      <c r="N1601" s="47"/>
      <c r="O1601" s="47"/>
      <c r="P1601" s="47"/>
    </row>
    <row r="1602" spans="1:16" x14ac:dyDescent="0.3">
      <c r="A1602" s="1">
        <v>1601</v>
      </c>
      <c r="G1602" s="4"/>
      <c r="H1602" s="4"/>
      <c r="I1602" s="47"/>
      <c r="J1602" s="47" t="str">
        <f t="shared" si="37"/>
        <v/>
      </c>
      <c r="K1602" s="47"/>
      <c r="L1602" s="47"/>
      <c r="N1602" s="47"/>
      <c r="O1602" s="47"/>
      <c r="P1602" s="47"/>
    </row>
    <row r="1603" spans="1:16" x14ac:dyDescent="0.3">
      <c r="A1603" s="1">
        <v>1602</v>
      </c>
      <c r="G1603" s="4"/>
      <c r="H1603" s="4"/>
      <c r="I1603" s="47"/>
      <c r="J1603" s="47" t="str">
        <f t="shared" ref="J1603:J1666" si="38">+E1603&amp;I1603</f>
        <v/>
      </c>
      <c r="K1603" s="47"/>
      <c r="L1603" s="47"/>
      <c r="N1603" s="47"/>
      <c r="O1603" s="47"/>
      <c r="P1603" s="47"/>
    </row>
    <row r="1604" spans="1:16" x14ac:dyDescent="0.3">
      <c r="A1604" s="1">
        <v>1603</v>
      </c>
      <c r="G1604" s="4"/>
      <c r="H1604" s="4"/>
      <c r="I1604" s="47"/>
      <c r="J1604" s="47" t="str">
        <f t="shared" si="38"/>
        <v/>
      </c>
      <c r="K1604" s="47"/>
      <c r="L1604" s="47"/>
      <c r="N1604" s="47"/>
      <c r="O1604" s="47"/>
      <c r="P1604" s="47"/>
    </row>
    <row r="1605" spans="1:16" x14ac:dyDescent="0.3">
      <c r="A1605" s="1">
        <v>1604</v>
      </c>
      <c r="G1605" s="4"/>
      <c r="H1605" s="4"/>
      <c r="I1605" s="47"/>
      <c r="J1605" s="47" t="str">
        <f t="shared" si="38"/>
        <v/>
      </c>
      <c r="K1605" s="47"/>
      <c r="L1605" s="47"/>
      <c r="N1605" s="47"/>
      <c r="O1605" s="47"/>
      <c r="P1605" s="47"/>
    </row>
    <row r="1606" spans="1:16" x14ac:dyDescent="0.3">
      <c r="A1606" s="1">
        <v>1605</v>
      </c>
      <c r="G1606" s="4"/>
      <c r="H1606" s="4"/>
      <c r="I1606" s="47"/>
      <c r="J1606" s="47" t="str">
        <f t="shared" si="38"/>
        <v/>
      </c>
      <c r="K1606" s="47"/>
      <c r="L1606" s="47"/>
      <c r="N1606" s="47"/>
      <c r="O1606" s="47"/>
      <c r="P1606" s="47"/>
    </row>
    <row r="1607" spans="1:16" x14ac:dyDescent="0.3">
      <c r="A1607" s="1">
        <v>1606</v>
      </c>
      <c r="G1607" s="4"/>
      <c r="H1607" s="4"/>
      <c r="I1607" s="47"/>
      <c r="J1607" s="47" t="str">
        <f t="shared" si="38"/>
        <v/>
      </c>
      <c r="K1607" s="47"/>
      <c r="L1607" s="47"/>
      <c r="N1607" s="47"/>
      <c r="O1607" s="47"/>
      <c r="P1607" s="47"/>
    </row>
    <row r="1608" spans="1:16" x14ac:dyDescent="0.3">
      <c r="A1608" s="1">
        <v>1607</v>
      </c>
      <c r="G1608" s="4"/>
      <c r="H1608" s="4"/>
      <c r="I1608" s="47"/>
      <c r="J1608" s="47" t="str">
        <f t="shared" si="38"/>
        <v/>
      </c>
      <c r="K1608" s="47"/>
      <c r="L1608" s="47"/>
      <c r="N1608" s="47"/>
      <c r="O1608" s="47"/>
      <c r="P1608" s="47"/>
    </row>
    <row r="1609" spans="1:16" x14ac:dyDescent="0.3">
      <c r="A1609" s="1">
        <v>1608</v>
      </c>
      <c r="G1609" s="4"/>
      <c r="H1609" s="4"/>
      <c r="I1609" s="47"/>
      <c r="J1609" s="47" t="str">
        <f t="shared" si="38"/>
        <v/>
      </c>
      <c r="K1609" s="47"/>
      <c r="L1609" s="47"/>
      <c r="N1609" s="47"/>
      <c r="O1609" s="47"/>
      <c r="P1609" s="47"/>
    </row>
    <row r="1610" spans="1:16" x14ac:dyDescent="0.3">
      <c r="A1610" s="1">
        <v>1609</v>
      </c>
      <c r="G1610" s="4"/>
      <c r="H1610" s="4"/>
      <c r="I1610" s="47"/>
      <c r="J1610" s="47" t="str">
        <f t="shared" si="38"/>
        <v/>
      </c>
      <c r="K1610" s="47"/>
      <c r="L1610" s="47"/>
      <c r="N1610" s="47"/>
      <c r="O1610" s="47"/>
      <c r="P1610" s="47"/>
    </row>
    <row r="1611" spans="1:16" x14ac:dyDescent="0.3">
      <c r="A1611" s="1">
        <v>1610</v>
      </c>
      <c r="G1611" s="4"/>
      <c r="H1611" s="4"/>
      <c r="I1611" s="47"/>
      <c r="J1611" s="47" t="str">
        <f t="shared" si="38"/>
        <v/>
      </c>
      <c r="K1611" s="47"/>
      <c r="L1611" s="47"/>
      <c r="N1611" s="47"/>
      <c r="O1611" s="47"/>
      <c r="P1611" s="47"/>
    </row>
    <row r="1612" spans="1:16" x14ac:dyDescent="0.3">
      <c r="A1612" s="1">
        <v>1611</v>
      </c>
      <c r="G1612" s="4"/>
      <c r="H1612" s="4"/>
      <c r="I1612" s="47"/>
      <c r="J1612" s="47" t="str">
        <f t="shared" si="38"/>
        <v/>
      </c>
      <c r="K1612" s="47"/>
      <c r="L1612" s="47"/>
      <c r="N1612" s="47"/>
      <c r="O1612" s="47"/>
      <c r="P1612" s="47"/>
    </row>
    <row r="1613" spans="1:16" x14ac:dyDescent="0.3">
      <c r="A1613" s="1">
        <v>1612</v>
      </c>
      <c r="G1613" s="4"/>
      <c r="H1613" s="4"/>
      <c r="I1613" s="47"/>
      <c r="J1613" s="47" t="str">
        <f t="shared" si="38"/>
        <v/>
      </c>
      <c r="K1613" s="47"/>
      <c r="L1613" s="47"/>
      <c r="N1613" s="47"/>
      <c r="O1613" s="47"/>
      <c r="P1613" s="47"/>
    </row>
    <row r="1614" spans="1:16" x14ac:dyDescent="0.3">
      <c r="A1614" s="1">
        <v>1613</v>
      </c>
      <c r="G1614" s="4"/>
      <c r="H1614" s="4"/>
      <c r="I1614" s="47"/>
      <c r="J1614" s="47" t="str">
        <f t="shared" si="38"/>
        <v/>
      </c>
      <c r="K1614" s="47"/>
      <c r="L1614" s="47"/>
      <c r="N1614" s="47"/>
      <c r="O1614" s="47"/>
      <c r="P1614" s="47"/>
    </row>
    <row r="1615" spans="1:16" x14ac:dyDescent="0.3">
      <c r="A1615" s="1">
        <v>1614</v>
      </c>
      <c r="G1615" s="4"/>
      <c r="H1615" s="4"/>
      <c r="I1615" s="47"/>
      <c r="J1615" s="47" t="str">
        <f t="shared" si="38"/>
        <v/>
      </c>
      <c r="K1615" s="47"/>
      <c r="L1615" s="47"/>
      <c r="N1615" s="47"/>
      <c r="O1615" s="47"/>
      <c r="P1615" s="47"/>
    </row>
    <row r="1616" spans="1:16" x14ac:dyDescent="0.3">
      <c r="A1616" s="1">
        <v>1615</v>
      </c>
      <c r="G1616" s="4"/>
      <c r="H1616" s="4"/>
      <c r="I1616" s="47"/>
      <c r="J1616" s="47" t="str">
        <f t="shared" si="38"/>
        <v/>
      </c>
      <c r="K1616" s="47"/>
      <c r="L1616" s="47"/>
      <c r="N1616" s="47"/>
      <c r="O1616" s="47"/>
      <c r="P1616" s="47"/>
    </row>
    <row r="1617" spans="1:16" x14ac:dyDescent="0.3">
      <c r="A1617" s="1">
        <v>1616</v>
      </c>
      <c r="G1617" s="4"/>
      <c r="H1617" s="4"/>
      <c r="I1617" s="47"/>
      <c r="J1617" s="47" t="str">
        <f t="shared" si="38"/>
        <v/>
      </c>
      <c r="K1617" s="47"/>
      <c r="L1617" s="47"/>
      <c r="N1617" s="47"/>
      <c r="O1617" s="47"/>
      <c r="P1617" s="47"/>
    </row>
    <row r="1618" spans="1:16" x14ac:dyDescent="0.3">
      <c r="A1618" s="1">
        <v>1617</v>
      </c>
      <c r="G1618" s="4"/>
      <c r="H1618" s="4"/>
      <c r="I1618" s="47"/>
      <c r="J1618" s="47" t="str">
        <f t="shared" si="38"/>
        <v/>
      </c>
      <c r="K1618" s="47"/>
      <c r="L1618" s="47"/>
      <c r="N1618" s="47"/>
      <c r="O1618" s="47"/>
      <c r="P1618" s="47"/>
    </row>
    <row r="1619" spans="1:16" x14ac:dyDescent="0.3">
      <c r="A1619" s="1">
        <v>1618</v>
      </c>
      <c r="G1619" s="4"/>
      <c r="H1619" s="4"/>
      <c r="I1619" s="47"/>
      <c r="J1619" s="47" t="str">
        <f t="shared" si="38"/>
        <v/>
      </c>
      <c r="K1619" s="47"/>
      <c r="L1619" s="47"/>
      <c r="N1619" s="47"/>
      <c r="O1619" s="47"/>
      <c r="P1619" s="47"/>
    </row>
    <row r="1620" spans="1:16" x14ac:dyDescent="0.3">
      <c r="A1620" s="1">
        <v>1619</v>
      </c>
      <c r="G1620" s="4"/>
      <c r="H1620" s="4"/>
      <c r="I1620" s="47"/>
      <c r="J1620" s="47" t="str">
        <f t="shared" si="38"/>
        <v/>
      </c>
      <c r="K1620" s="47"/>
      <c r="L1620" s="47"/>
      <c r="N1620" s="47"/>
      <c r="O1620" s="47"/>
      <c r="P1620" s="47"/>
    </row>
    <row r="1621" spans="1:16" x14ac:dyDescent="0.3">
      <c r="A1621" s="1">
        <v>1620</v>
      </c>
      <c r="G1621" s="4"/>
      <c r="H1621" s="4"/>
      <c r="I1621" s="47"/>
      <c r="J1621" s="47" t="str">
        <f t="shared" si="38"/>
        <v/>
      </c>
      <c r="K1621" s="47"/>
      <c r="L1621" s="47"/>
      <c r="N1621" s="47"/>
      <c r="O1621" s="47"/>
      <c r="P1621" s="47"/>
    </row>
    <row r="1622" spans="1:16" x14ac:dyDescent="0.3">
      <c r="A1622" s="1">
        <v>1621</v>
      </c>
      <c r="G1622" s="4"/>
      <c r="H1622" s="4"/>
      <c r="I1622" s="47"/>
      <c r="J1622" s="47" t="str">
        <f t="shared" si="38"/>
        <v/>
      </c>
      <c r="K1622" s="47"/>
      <c r="L1622" s="47"/>
      <c r="N1622" s="47"/>
      <c r="O1622" s="47"/>
      <c r="P1622" s="47"/>
    </row>
    <row r="1623" spans="1:16" x14ac:dyDescent="0.3">
      <c r="A1623" s="1">
        <v>1622</v>
      </c>
      <c r="G1623" s="4"/>
      <c r="H1623" s="4"/>
      <c r="I1623" s="47"/>
      <c r="J1623" s="47" t="str">
        <f t="shared" si="38"/>
        <v/>
      </c>
      <c r="K1623" s="47"/>
      <c r="L1623" s="47"/>
      <c r="N1623" s="47"/>
      <c r="O1623" s="47"/>
      <c r="P1623" s="47"/>
    </row>
    <row r="1624" spans="1:16" x14ac:dyDescent="0.3">
      <c r="A1624" s="1">
        <v>1623</v>
      </c>
      <c r="G1624" s="4"/>
      <c r="H1624" s="4"/>
      <c r="I1624" s="47"/>
      <c r="J1624" s="47" t="str">
        <f t="shared" si="38"/>
        <v/>
      </c>
      <c r="K1624" s="47"/>
      <c r="L1624" s="47"/>
      <c r="N1624" s="47"/>
      <c r="O1624" s="47"/>
      <c r="P1624" s="47"/>
    </row>
    <row r="1625" spans="1:16" x14ac:dyDescent="0.3">
      <c r="A1625" s="1">
        <v>1624</v>
      </c>
      <c r="G1625" s="4"/>
      <c r="H1625" s="4"/>
      <c r="I1625" s="47"/>
      <c r="J1625" s="47" t="str">
        <f t="shared" si="38"/>
        <v/>
      </c>
      <c r="K1625" s="47"/>
      <c r="L1625" s="47"/>
      <c r="N1625" s="47"/>
      <c r="O1625" s="47"/>
      <c r="P1625" s="47"/>
    </row>
    <row r="1626" spans="1:16" x14ac:dyDescent="0.3">
      <c r="A1626" s="1">
        <v>1625</v>
      </c>
      <c r="G1626" s="4"/>
      <c r="H1626" s="4"/>
      <c r="I1626" s="47"/>
      <c r="J1626" s="47" t="str">
        <f t="shared" si="38"/>
        <v/>
      </c>
      <c r="K1626" s="47"/>
      <c r="L1626" s="47"/>
      <c r="N1626" s="47"/>
      <c r="O1626" s="47"/>
      <c r="P1626" s="47"/>
    </row>
    <row r="1627" spans="1:16" x14ac:dyDescent="0.3">
      <c r="A1627" s="1">
        <v>1626</v>
      </c>
      <c r="G1627" s="4"/>
      <c r="H1627" s="4"/>
      <c r="I1627" s="47"/>
      <c r="J1627" s="47" t="str">
        <f t="shared" si="38"/>
        <v/>
      </c>
      <c r="K1627" s="47"/>
      <c r="L1627" s="47"/>
      <c r="N1627" s="47"/>
      <c r="O1627" s="47"/>
      <c r="P1627" s="47"/>
    </row>
    <row r="1628" spans="1:16" x14ac:dyDescent="0.3">
      <c r="A1628" s="1">
        <v>1627</v>
      </c>
      <c r="G1628" s="4"/>
      <c r="H1628" s="4"/>
      <c r="I1628" s="47"/>
      <c r="J1628" s="47" t="str">
        <f t="shared" si="38"/>
        <v/>
      </c>
      <c r="K1628" s="47"/>
      <c r="L1628" s="47"/>
      <c r="N1628" s="47"/>
      <c r="O1628" s="47"/>
      <c r="P1628" s="47"/>
    </row>
    <row r="1629" spans="1:16" x14ac:dyDescent="0.3">
      <c r="A1629" s="1">
        <v>1628</v>
      </c>
      <c r="G1629" s="4"/>
      <c r="H1629" s="4"/>
      <c r="I1629" s="47"/>
      <c r="J1629" s="47" t="str">
        <f t="shared" si="38"/>
        <v/>
      </c>
      <c r="K1629" s="47"/>
      <c r="L1629" s="47"/>
      <c r="N1629" s="47"/>
      <c r="O1629" s="47"/>
      <c r="P1629" s="47"/>
    </row>
    <row r="1630" spans="1:16" x14ac:dyDescent="0.3">
      <c r="A1630" s="1">
        <v>1629</v>
      </c>
      <c r="G1630" s="4"/>
      <c r="H1630" s="4"/>
      <c r="I1630" s="47"/>
      <c r="J1630" s="47" t="str">
        <f t="shared" si="38"/>
        <v/>
      </c>
      <c r="K1630" s="47"/>
      <c r="L1630" s="47"/>
      <c r="N1630" s="47"/>
      <c r="O1630" s="47"/>
      <c r="P1630" s="47"/>
    </row>
    <row r="1631" spans="1:16" x14ac:dyDescent="0.3">
      <c r="A1631" s="1">
        <v>1630</v>
      </c>
      <c r="G1631" s="4"/>
      <c r="H1631" s="4"/>
      <c r="I1631" s="47"/>
      <c r="J1631" s="47" t="str">
        <f t="shared" si="38"/>
        <v/>
      </c>
      <c r="K1631" s="47"/>
      <c r="L1631" s="47"/>
      <c r="N1631" s="47"/>
      <c r="O1631" s="47"/>
      <c r="P1631" s="47"/>
    </row>
    <row r="1632" spans="1:16" x14ac:dyDescent="0.3">
      <c r="A1632" s="1">
        <v>1631</v>
      </c>
      <c r="G1632" s="4"/>
      <c r="H1632" s="4"/>
      <c r="I1632" s="47"/>
      <c r="J1632" s="47" t="str">
        <f t="shared" si="38"/>
        <v/>
      </c>
      <c r="K1632" s="47"/>
      <c r="L1632" s="47"/>
      <c r="N1632" s="47"/>
      <c r="O1632" s="47"/>
      <c r="P1632" s="47"/>
    </row>
    <row r="1633" spans="1:16" x14ac:dyDescent="0.3">
      <c r="A1633" s="1">
        <v>1632</v>
      </c>
      <c r="G1633" s="4"/>
      <c r="H1633" s="4"/>
      <c r="I1633" s="47"/>
      <c r="J1633" s="47" t="str">
        <f t="shared" si="38"/>
        <v/>
      </c>
      <c r="K1633" s="47"/>
      <c r="L1633" s="47"/>
      <c r="N1633" s="47"/>
      <c r="O1633" s="47"/>
      <c r="P1633" s="47"/>
    </row>
    <row r="1634" spans="1:16" x14ac:dyDescent="0.3">
      <c r="A1634" s="1">
        <v>1633</v>
      </c>
      <c r="G1634" s="4"/>
      <c r="H1634" s="4"/>
      <c r="I1634" s="47"/>
      <c r="J1634" s="47" t="str">
        <f t="shared" si="38"/>
        <v/>
      </c>
      <c r="K1634" s="47"/>
      <c r="L1634" s="47"/>
      <c r="N1634" s="47"/>
      <c r="O1634" s="47"/>
      <c r="P1634" s="47"/>
    </row>
    <row r="1635" spans="1:16" x14ac:dyDescent="0.3">
      <c r="A1635" s="1">
        <v>1634</v>
      </c>
      <c r="G1635" s="4"/>
      <c r="H1635" s="4"/>
      <c r="I1635" s="47"/>
      <c r="J1635" s="47" t="str">
        <f t="shared" si="38"/>
        <v/>
      </c>
      <c r="K1635" s="47"/>
      <c r="L1635" s="47"/>
      <c r="N1635" s="47"/>
      <c r="O1635" s="47"/>
      <c r="P1635" s="47"/>
    </row>
    <row r="1636" spans="1:16" x14ac:dyDescent="0.3">
      <c r="A1636" s="1">
        <v>1635</v>
      </c>
      <c r="G1636" s="4"/>
      <c r="H1636" s="4"/>
      <c r="I1636" s="47"/>
      <c r="J1636" s="47" t="str">
        <f t="shared" si="38"/>
        <v/>
      </c>
      <c r="K1636" s="47"/>
      <c r="L1636" s="47"/>
      <c r="N1636" s="47"/>
      <c r="O1636" s="47"/>
      <c r="P1636" s="47"/>
    </row>
    <row r="1637" spans="1:16" x14ac:dyDescent="0.3">
      <c r="A1637" s="1">
        <v>1636</v>
      </c>
      <c r="G1637" s="4"/>
      <c r="H1637" s="4"/>
      <c r="I1637" s="47"/>
      <c r="J1637" s="47" t="str">
        <f t="shared" si="38"/>
        <v/>
      </c>
      <c r="K1637" s="47"/>
      <c r="L1637" s="47"/>
      <c r="N1637" s="47"/>
      <c r="O1637" s="47"/>
      <c r="P1637" s="47"/>
    </row>
    <row r="1638" spans="1:16" x14ac:dyDescent="0.3">
      <c r="A1638" s="1">
        <v>1637</v>
      </c>
      <c r="G1638" s="4"/>
      <c r="H1638" s="4"/>
      <c r="I1638" s="47"/>
      <c r="J1638" s="47" t="str">
        <f t="shared" si="38"/>
        <v/>
      </c>
      <c r="K1638" s="47"/>
      <c r="L1638" s="47"/>
      <c r="N1638" s="47"/>
      <c r="O1638" s="47"/>
      <c r="P1638" s="47"/>
    </row>
    <row r="1639" spans="1:16" x14ac:dyDescent="0.3">
      <c r="A1639" s="1">
        <v>1638</v>
      </c>
      <c r="G1639" s="4"/>
      <c r="H1639" s="4"/>
      <c r="I1639" s="47"/>
      <c r="J1639" s="47" t="str">
        <f t="shared" si="38"/>
        <v/>
      </c>
      <c r="K1639" s="47"/>
      <c r="L1639" s="47"/>
      <c r="N1639" s="47"/>
      <c r="O1639" s="47"/>
      <c r="P1639" s="47"/>
    </row>
    <row r="1640" spans="1:16" x14ac:dyDescent="0.3">
      <c r="A1640" s="1">
        <v>1639</v>
      </c>
      <c r="G1640" s="4"/>
      <c r="H1640" s="4"/>
      <c r="I1640" s="47"/>
      <c r="J1640" s="47" t="str">
        <f t="shared" si="38"/>
        <v/>
      </c>
      <c r="K1640" s="47"/>
      <c r="L1640" s="47"/>
      <c r="N1640" s="47"/>
      <c r="O1640" s="47"/>
      <c r="P1640" s="47"/>
    </row>
    <row r="1641" spans="1:16" x14ac:dyDescent="0.3">
      <c r="A1641" s="1">
        <v>1640</v>
      </c>
      <c r="G1641" s="4"/>
      <c r="H1641" s="4"/>
      <c r="I1641" s="47"/>
      <c r="J1641" s="47" t="str">
        <f t="shared" si="38"/>
        <v/>
      </c>
      <c r="K1641" s="47"/>
      <c r="L1641" s="47"/>
      <c r="N1641" s="47"/>
      <c r="O1641" s="47"/>
      <c r="P1641" s="47"/>
    </row>
    <row r="1642" spans="1:16" x14ac:dyDescent="0.3">
      <c r="A1642" s="1">
        <v>1641</v>
      </c>
      <c r="G1642" s="4"/>
      <c r="H1642" s="4"/>
      <c r="I1642" s="47"/>
      <c r="J1642" s="47" t="str">
        <f t="shared" si="38"/>
        <v/>
      </c>
      <c r="K1642" s="47"/>
      <c r="L1642" s="47"/>
      <c r="N1642" s="47"/>
      <c r="O1642" s="47"/>
      <c r="P1642" s="47"/>
    </row>
    <row r="1643" spans="1:16" x14ac:dyDescent="0.3">
      <c r="A1643" s="1">
        <v>1642</v>
      </c>
      <c r="G1643" s="4"/>
      <c r="H1643" s="4"/>
      <c r="I1643" s="47"/>
      <c r="J1643" s="47" t="str">
        <f t="shared" si="38"/>
        <v/>
      </c>
      <c r="K1643" s="47"/>
      <c r="L1643" s="47"/>
      <c r="N1643" s="47"/>
      <c r="O1643" s="47"/>
      <c r="P1643" s="47"/>
    </row>
    <row r="1644" spans="1:16" x14ac:dyDescent="0.3">
      <c r="A1644" s="1">
        <v>1643</v>
      </c>
      <c r="G1644" s="4"/>
      <c r="H1644" s="4"/>
      <c r="I1644" s="47"/>
      <c r="J1644" s="47" t="str">
        <f t="shared" si="38"/>
        <v/>
      </c>
      <c r="K1644" s="47"/>
      <c r="L1644" s="47"/>
      <c r="N1644" s="47"/>
      <c r="O1644" s="47"/>
      <c r="P1644" s="47"/>
    </row>
    <row r="1645" spans="1:16" x14ac:dyDescent="0.3">
      <c r="A1645" s="1">
        <v>1644</v>
      </c>
      <c r="G1645" s="4"/>
      <c r="H1645" s="4"/>
      <c r="I1645" s="47"/>
      <c r="J1645" s="47" t="str">
        <f t="shared" si="38"/>
        <v/>
      </c>
      <c r="K1645" s="47"/>
      <c r="L1645" s="47"/>
      <c r="N1645" s="47"/>
      <c r="O1645" s="47"/>
      <c r="P1645" s="47"/>
    </row>
    <row r="1646" spans="1:16" x14ac:dyDescent="0.3">
      <c r="A1646" s="1">
        <v>1645</v>
      </c>
      <c r="G1646" s="4"/>
      <c r="H1646" s="4"/>
      <c r="I1646" s="47"/>
      <c r="J1646" s="47" t="str">
        <f t="shared" si="38"/>
        <v/>
      </c>
      <c r="K1646" s="47"/>
      <c r="L1646" s="47"/>
      <c r="N1646" s="47"/>
      <c r="O1646" s="47"/>
      <c r="P1646" s="47"/>
    </row>
    <row r="1647" spans="1:16" x14ac:dyDescent="0.3">
      <c r="A1647" s="1">
        <v>1646</v>
      </c>
      <c r="G1647" s="4"/>
      <c r="H1647" s="4"/>
      <c r="I1647" s="47"/>
      <c r="J1647" s="47" t="str">
        <f t="shared" si="38"/>
        <v/>
      </c>
      <c r="K1647" s="47"/>
      <c r="L1647" s="47"/>
      <c r="N1647" s="47"/>
      <c r="O1647" s="47"/>
      <c r="P1647" s="47"/>
    </row>
    <row r="1648" spans="1:16" x14ac:dyDescent="0.3">
      <c r="A1648" s="1">
        <v>1647</v>
      </c>
      <c r="G1648" s="4"/>
      <c r="H1648" s="4"/>
      <c r="I1648" s="47"/>
      <c r="J1648" s="47" t="str">
        <f t="shared" si="38"/>
        <v/>
      </c>
      <c r="K1648" s="47"/>
      <c r="L1648" s="47"/>
      <c r="N1648" s="47"/>
      <c r="O1648" s="47"/>
      <c r="P1648" s="47"/>
    </row>
    <row r="1649" spans="1:16" x14ac:dyDescent="0.3">
      <c r="A1649" s="1">
        <v>1648</v>
      </c>
      <c r="G1649" s="4"/>
      <c r="H1649" s="4"/>
      <c r="I1649" s="47"/>
      <c r="J1649" s="47" t="str">
        <f t="shared" si="38"/>
        <v/>
      </c>
      <c r="K1649" s="47"/>
      <c r="L1649" s="47"/>
      <c r="N1649" s="47"/>
      <c r="O1649" s="47"/>
      <c r="P1649" s="47"/>
    </row>
    <row r="1650" spans="1:16" x14ac:dyDescent="0.3">
      <c r="A1650" s="1">
        <v>1649</v>
      </c>
      <c r="G1650" s="4"/>
      <c r="H1650" s="4"/>
      <c r="I1650" s="47"/>
      <c r="J1650" s="47" t="str">
        <f t="shared" si="38"/>
        <v/>
      </c>
      <c r="K1650" s="47"/>
      <c r="L1650" s="47"/>
      <c r="N1650" s="47"/>
      <c r="O1650" s="47"/>
      <c r="P1650" s="47"/>
    </row>
    <row r="1651" spans="1:16" x14ac:dyDescent="0.3">
      <c r="A1651" s="1">
        <v>1650</v>
      </c>
      <c r="G1651" s="4"/>
      <c r="H1651" s="4"/>
      <c r="I1651" s="47"/>
      <c r="J1651" s="47" t="str">
        <f t="shared" si="38"/>
        <v/>
      </c>
      <c r="K1651" s="47"/>
      <c r="L1651" s="47"/>
      <c r="N1651" s="47"/>
      <c r="O1651" s="47"/>
      <c r="P1651" s="47"/>
    </row>
    <row r="1652" spans="1:16" x14ac:dyDescent="0.3">
      <c r="A1652" s="1">
        <v>1651</v>
      </c>
      <c r="G1652" s="4"/>
      <c r="H1652" s="4"/>
      <c r="I1652" s="47"/>
      <c r="J1652" s="47" t="str">
        <f t="shared" si="38"/>
        <v/>
      </c>
      <c r="K1652" s="47"/>
      <c r="L1652" s="47"/>
      <c r="N1652" s="47"/>
      <c r="O1652" s="47"/>
      <c r="P1652" s="47"/>
    </row>
    <row r="1653" spans="1:16" x14ac:dyDescent="0.3">
      <c r="A1653" s="1">
        <v>1652</v>
      </c>
      <c r="G1653" s="4"/>
      <c r="H1653" s="4"/>
      <c r="I1653" s="47"/>
      <c r="J1653" s="47" t="str">
        <f t="shared" si="38"/>
        <v/>
      </c>
      <c r="K1653" s="47"/>
      <c r="L1653" s="47"/>
      <c r="N1653" s="47"/>
      <c r="O1653" s="47"/>
      <c r="P1653" s="47"/>
    </row>
    <row r="1654" spans="1:16" x14ac:dyDescent="0.3">
      <c r="A1654" s="1">
        <v>1653</v>
      </c>
      <c r="G1654" s="4"/>
      <c r="H1654" s="4"/>
      <c r="I1654" s="47"/>
      <c r="J1654" s="47" t="str">
        <f t="shared" si="38"/>
        <v/>
      </c>
      <c r="K1654" s="47"/>
      <c r="L1654" s="47"/>
      <c r="N1654" s="47"/>
      <c r="O1654" s="47"/>
      <c r="P1654" s="47"/>
    </row>
    <row r="1655" spans="1:16" x14ac:dyDescent="0.3">
      <c r="A1655" s="1">
        <v>1654</v>
      </c>
      <c r="G1655" s="4"/>
      <c r="H1655" s="4"/>
      <c r="I1655" s="47"/>
      <c r="J1655" s="47" t="str">
        <f t="shared" si="38"/>
        <v/>
      </c>
      <c r="K1655" s="47"/>
      <c r="L1655" s="47"/>
      <c r="N1655" s="47"/>
      <c r="O1655" s="47"/>
      <c r="P1655" s="47"/>
    </row>
    <row r="1656" spans="1:16" x14ac:dyDescent="0.3">
      <c r="A1656" s="1">
        <v>1655</v>
      </c>
      <c r="G1656" s="4"/>
      <c r="H1656" s="4"/>
      <c r="I1656" s="47"/>
      <c r="J1656" s="47" t="str">
        <f t="shared" si="38"/>
        <v/>
      </c>
      <c r="K1656" s="47"/>
      <c r="L1656" s="47"/>
      <c r="N1656" s="47"/>
      <c r="O1656" s="47"/>
      <c r="P1656" s="47"/>
    </row>
    <row r="1657" spans="1:16" x14ac:dyDescent="0.3">
      <c r="A1657" s="1">
        <v>1656</v>
      </c>
      <c r="G1657" s="4"/>
      <c r="H1657" s="4"/>
      <c r="I1657" s="47"/>
      <c r="J1657" s="47" t="str">
        <f t="shared" si="38"/>
        <v/>
      </c>
      <c r="K1657" s="47"/>
      <c r="L1657" s="47"/>
      <c r="N1657" s="47"/>
      <c r="O1657" s="47"/>
      <c r="P1657" s="47"/>
    </row>
    <row r="1658" spans="1:16" x14ac:dyDescent="0.3">
      <c r="A1658" s="1">
        <v>1657</v>
      </c>
      <c r="G1658" s="4"/>
      <c r="H1658" s="4"/>
      <c r="I1658" s="47"/>
      <c r="J1658" s="47" t="str">
        <f t="shared" si="38"/>
        <v/>
      </c>
      <c r="K1658" s="47"/>
      <c r="L1658" s="47"/>
      <c r="N1658" s="47"/>
      <c r="O1658" s="47"/>
      <c r="P1658" s="47"/>
    </row>
    <row r="1659" spans="1:16" x14ac:dyDescent="0.3">
      <c r="A1659" s="1">
        <v>1658</v>
      </c>
      <c r="G1659" s="4"/>
      <c r="H1659" s="4"/>
      <c r="I1659" s="47"/>
      <c r="J1659" s="47" t="str">
        <f t="shared" si="38"/>
        <v/>
      </c>
      <c r="K1659" s="47"/>
      <c r="L1659" s="47"/>
      <c r="N1659" s="47"/>
      <c r="O1659" s="47"/>
      <c r="P1659" s="47"/>
    </row>
    <row r="1660" spans="1:16" x14ac:dyDescent="0.3">
      <c r="A1660" s="1">
        <v>1659</v>
      </c>
      <c r="G1660" s="4"/>
      <c r="H1660" s="4"/>
      <c r="I1660" s="47"/>
      <c r="J1660" s="47" t="str">
        <f t="shared" si="38"/>
        <v/>
      </c>
      <c r="K1660" s="47"/>
      <c r="L1660" s="47"/>
      <c r="N1660" s="47"/>
      <c r="O1660" s="47"/>
      <c r="P1660" s="47"/>
    </row>
    <row r="1661" spans="1:16" x14ac:dyDescent="0.3">
      <c r="A1661" s="1">
        <v>1660</v>
      </c>
      <c r="G1661" s="4"/>
      <c r="H1661" s="4"/>
      <c r="I1661" s="47"/>
      <c r="J1661" s="47" t="str">
        <f t="shared" si="38"/>
        <v/>
      </c>
      <c r="K1661" s="47"/>
      <c r="L1661" s="47"/>
      <c r="N1661" s="47"/>
      <c r="O1661" s="47"/>
      <c r="P1661" s="47"/>
    </row>
    <row r="1662" spans="1:16" x14ac:dyDescent="0.3">
      <c r="A1662" s="1">
        <v>1661</v>
      </c>
      <c r="G1662" s="4"/>
      <c r="H1662" s="4"/>
      <c r="I1662" s="47"/>
      <c r="J1662" s="47" t="str">
        <f t="shared" si="38"/>
        <v/>
      </c>
      <c r="K1662" s="47"/>
      <c r="L1662" s="47"/>
      <c r="N1662" s="47"/>
      <c r="O1662" s="47"/>
      <c r="P1662" s="47"/>
    </row>
    <row r="1663" spans="1:16" x14ac:dyDescent="0.3">
      <c r="A1663" s="1">
        <v>1662</v>
      </c>
      <c r="G1663" s="4"/>
      <c r="H1663" s="4"/>
      <c r="I1663" s="47"/>
      <c r="J1663" s="47" t="str">
        <f t="shared" si="38"/>
        <v/>
      </c>
      <c r="K1663" s="47"/>
      <c r="L1663" s="47"/>
      <c r="N1663" s="47"/>
      <c r="O1663" s="47"/>
      <c r="P1663" s="47"/>
    </row>
    <row r="1664" spans="1:16" x14ac:dyDescent="0.3">
      <c r="A1664" s="1">
        <v>1663</v>
      </c>
      <c r="G1664" s="4"/>
      <c r="H1664" s="4"/>
      <c r="I1664" s="47"/>
      <c r="J1664" s="47" t="str">
        <f t="shared" si="38"/>
        <v/>
      </c>
      <c r="K1664" s="47"/>
      <c r="L1664" s="47"/>
      <c r="N1664" s="47"/>
      <c r="O1664" s="47"/>
      <c r="P1664" s="47"/>
    </row>
    <row r="1665" spans="1:16" x14ac:dyDescent="0.3">
      <c r="A1665" s="1">
        <v>1664</v>
      </c>
      <c r="G1665" s="4"/>
      <c r="H1665" s="4"/>
      <c r="I1665" s="47"/>
      <c r="J1665" s="47" t="str">
        <f t="shared" si="38"/>
        <v/>
      </c>
      <c r="K1665" s="47"/>
      <c r="L1665" s="47"/>
      <c r="N1665" s="47"/>
      <c r="O1665" s="47"/>
      <c r="P1665" s="47"/>
    </row>
    <row r="1666" spans="1:16" x14ac:dyDescent="0.3">
      <c r="A1666" s="1">
        <v>1665</v>
      </c>
      <c r="G1666" s="4"/>
      <c r="H1666" s="4"/>
      <c r="I1666" s="47"/>
      <c r="J1666" s="47" t="str">
        <f t="shared" si="38"/>
        <v/>
      </c>
      <c r="K1666" s="47"/>
      <c r="L1666" s="47"/>
      <c r="N1666" s="47"/>
      <c r="O1666" s="47"/>
      <c r="P1666" s="47"/>
    </row>
    <row r="1667" spans="1:16" x14ac:dyDescent="0.3">
      <c r="A1667" s="1">
        <v>1666</v>
      </c>
      <c r="G1667" s="4"/>
      <c r="H1667" s="4"/>
      <c r="I1667" s="47"/>
      <c r="J1667" s="47" t="str">
        <f t="shared" ref="J1667:J1730" si="39">+E1667&amp;I1667</f>
        <v/>
      </c>
      <c r="K1667" s="47"/>
      <c r="L1667" s="47"/>
      <c r="N1667" s="47"/>
      <c r="O1667" s="47"/>
      <c r="P1667" s="47"/>
    </row>
    <row r="1668" spans="1:16" x14ac:dyDescent="0.3">
      <c r="A1668" s="1">
        <v>1667</v>
      </c>
      <c r="G1668" s="4"/>
      <c r="H1668" s="4"/>
      <c r="I1668" s="47"/>
      <c r="J1668" s="47" t="str">
        <f t="shared" si="39"/>
        <v/>
      </c>
      <c r="K1668" s="47"/>
      <c r="L1668" s="47"/>
      <c r="N1668" s="47"/>
      <c r="O1668" s="47"/>
      <c r="P1668" s="47"/>
    </row>
    <row r="1669" spans="1:16" x14ac:dyDescent="0.3">
      <c r="A1669" s="1">
        <v>1668</v>
      </c>
      <c r="G1669" s="4"/>
      <c r="H1669" s="4"/>
      <c r="I1669" s="47"/>
      <c r="J1669" s="47" t="str">
        <f t="shared" si="39"/>
        <v/>
      </c>
      <c r="K1669" s="47"/>
      <c r="L1669" s="47"/>
      <c r="N1669" s="47"/>
      <c r="O1669" s="47"/>
      <c r="P1669" s="47"/>
    </row>
    <row r="1670" spans="1:16" x14ac:dyDescent="0.3">
      <c r="A1670" s="1">
        <v>1669</v>
      </c>
      <c r="G1670" s="4"/>
      <c r="H1670" s="4"/>
      <c r="I1670" s="47"/>
      <c r="J1670" s="47" t="str">
        <f t="shared" si="39"/>
        <v/>
      </c>
      <c r="K1670" s="47"/>
      <c r="L1670" s="47"/>
      <c r="N1670" s="47"/>
      <c r="O1670" s="47"/>
      <c r="P1670" s="47"/>
    </row>
    <row r="1671" spans="1:16" x14ac:dyDescent="0.3">
      <c r="A1671" s="1">
        <v>1670</v>
      </c>
      <c r="G1671" s="4"/>
      <c r="H1671" s="4"/>
      <c r="I1671" s="47"/>
      <c r="J1671" s="47" t="str">
        <f t="shared" si="39"/>
        <v/>
      </c>
      <c r="K1671" s="47"/>
      <c r="L1671" s="47"/>
      <c r="N1671" s="47"/>
      <c r="O1671" s="47"/>
      <c r="P1671" s="47"/>
    </row>
    <row r="1672" spans="1:16" x14ac:dyDescent="0.3">
      <c r="A1672" s="1">
        <v>1671</v>
      </c>
      <c r="G1672" s="4"/>
      <c r="H1672" s="4"/>
      <c r="I1672" s="47"/>
      <c r="J1672" s="47" t="str">
        <f t="shared" si="39"/>
        <v/>
      </c>
      <c r="K1672" s="47"/>
      <c r="L1672" s="47"/>
      <c r="N1672" s="47"/>
      <c r="O1672" s="47"/>
      <c r="P1672" s="47"/>
    </row>
    <row r="1673" spans="1:16" x14ac:dyDescent="0.3">
      <c r="A1673" s="1">
        <v>1672</v>
      </c>
      <c r="G1673" s="4"/>
      <c r="H1673" s="4"/>
      <c r="I1673" s="47"/>
      <c r="J1673" s="47" t="str">
        <f t="shared" si="39"/>
        <v/>
      </c>
      <c r="K1673" s="47"/>
      <c r="L1673" s="47"/>
      <c r="N1673" s="47"/>
      <c r="O1673" s="47"/>
      <c r="P1673" s="47"/>
    </row>
    <row r="1674" spans="1:16" x14ac:dyDescent="0.3">
      <c r="A1674" s="1">
        <v>1673</v>
      </c>
      <c r="G1674" s="4"/>
      <c r="H1674" s="4"/>
      <c r="I1674" s="47"/>
      <c r="J1674" s="47" t="str">
        <f t="shared" si="39"/>
        <v/>
      </c>
      <c r="K1674" s="47"/>
      <c r="L1674" s="47"/>
      <c r="N1674" s="47"/>
      <c r="O1674" s="47"/>
      <c r="P1674" s="47"/>
    </row>
    <row r="1675" spans="1:16" x14ac:dyDescent="0.3">
      <c r="A1675" s="1">
        <v>1674</v>
      </c>
      <c r="G1675" s="4"/>
      <c r="H1675" s="4"/>
      <c r="I1675" s="47"/>
      <c r="J1675" s="47" t="str">
        <f t="shared" si="39"/>
        <v/>
      </c>
      <c r="K1675" s="47"/>
      <c r="L1675" s="47"/>
      <c r="N1675" s="47"/>
      <c r="O1675" s="47"/>
      <c r="P1675" s="47"/>
    </row>
    <row r="1676" spans="1:16" x14ac:dyDescent="0.3">
      <c r="A1676" s="1">
        <v>1675</v>
      </c>
      <c r="G1676" s="4"/>
      <c r="H1676" s="4"/>
      <c r="I1676" s="47"/>
      <c r="J1676" s="47" t="str">
        <f t="shared" si="39"/>
        <v/>
      </c>
      <c r="K1676" s="47"/>
      <c r="L1676" s="47"/>
      <c r="N1676" s="47"/>
      <c r="O1676" s="47"/>
      <c r="P1676" s="47"/>
    </row>
    <row r="1677" spans="1:16" x14ac:dyDescent="0.3">
      <c r="A1677" s="1">
        <v>1676</v>
      </c>
      <c r="G1677" s="4"/>
      <c r="H1677" s="4"/>
      <c r="I1677" s="47"/>
      <c r="J1677" s="47" t="str">
        <f t="shared" si="39"/>
        <v/>
      </c>
      <c r="K1677" s="47"/>
      <c r="L1677" s="47"/>
      <c r="N1677" s="47"/>
      <c r="O1677" s="47"/>
      <c r="P1677" s="47"/>
    </row>
    <row r="1678" spans="1:16" x14ac:dyDescent="0.3">
      <c r="A1678" s="1">
        <v>1677</v>
      </c>
      <c r="G1678" s="4"/>
      <c r="H1678" s="4"/>
      <c r="I1678" s="47"/>
      <c r="J1678" s="47" t="str">
        <f t="shared" si="39"/>
        <v/>
      </c>
      <c r="K1678" s="47"/>
      <c r="L1678" s="47"/>
      <c r="N1678" s="47"/>
      <c r="O1678" s="47"/>
      <c r="P1678" s="47"/>
    </row>
    <row r="1679" spans="1:16" x14ac:dyDescent="0.3">
      <c r="A1679" s="1">
        <v>1678</v>
      </c>
      <c r="G1679" s="4"/>
      <c r="H1679" s="4"/>
      <c r="I1679" s="47"/>
      <c r="J1679" s="47" t="str">
        <f t="shared" si="39"/>
        <v/>
      </c>
      <c r="K1679" s="47"/>
      <c r="L1679" s="47"/>
      <c r="N1679" s="47"/>
      <c r="O1679" s="47"/>
      <c r="P1679" s="47"/>
    </row>
    <row r="1680" spans="1:16" x14ac:dyDescent="0.3">
      <c r="A1680" s="1">
        <v>1679</v>
      </c>
      <c r="G1680" s="4"/>
      <c r="H1680" s="4"/>
      <c r="I1680" s="47"/>
      <c r="J1680" s="47" t="str">
        <f t="shared" si="39"/>
        <v/>
      </c>
      <c r="K1680" s="47"/>
      <c r="L1680" s="47"/>
      <c r="N1680" s="47"/>
      <c r="O1680" s="47"/>
      <c r="P1680" s="47"/>
    </row>
    <row r="1681" spans="1:16" x14ac:dyDescent="0.3">
      <c r="A1681" s="1">
        <v>1680</v>
      </c>
      <c r="G1681" s="4"/>
      <c r="H1681" s="4"/>
      <c r="I1681" s="47"/>
      <c r="J1681" s="47" t="str">
        <f t="shared" si="39"/>
        <v/>
      </c>
      <c r="K1681" s="47"/>
      <c r="L1681" s="47"/>
      <c r="N1681" s="47"/>
      <c r="O1681" s="47"/>
      <c r="P1681" s="47"/>
    </row>
    <row r="1682" spans="1:16" x14ac:dyDescent="0.3">
      <c r="A1682" s="1">
        <v>1681</v>
      </c>
      <c r="G1682" s="4"/>
      <c r="H1682" s="4"/>
      <c r="I1682" s="47"/>
      <c r="J1682" s="47" t="str">
        <f t="shared" si="39"/>
        <v/>
      </c>
      <c r="K1682" s="47"/>
      <c r="L1682" s="47"/>
      <c r="N1682" s="47"/>
      <c r="O1682" s="47"/>
      <c r="P1682" s="47"/>
    </row>
    <row r="1683" spans="1:16" x14ac:dyDescent="0.3">
      <c r="A1683" s="1">
        <v>1682</v>
      </c>
      <c r="G1683" s="4"/>
      <c r="H1683" s="4"/>
      <c r="I1683" s="47"/>
      <c r="J1683" s="47" t="str">
        <f t="shared" si="39"/>
        <v/>
      </c>
      <c r="K1683" s="47"/>
      <c r="L1683" s="47"/>
      <c r="N1683" s="47"/>
      <c r="O1683" s="47"/>
      <c r="P1683" s="47"/>
    </row>
    <row r="1684" spans="1:16" x14ac:dyDescent="0.3">
      <c r="A1684" s="1">
        <v>1683</v>
      </c>
      <c r="G1684" s="4"/>
      <c r="H1684" s="4"/>
      <c r="I1684" s="47"/>
      <c r="J1684" s="47" t="str">
        <f t="shared" si="39"/>
        <v/>
      </c>
      <c r="K1684" s="47"/>
      <c r="L1684" s="47"/>
      <c r="N1684" s="47"/>
      <c r="O1684" s="47"/>
      <c r="P1684" s="47"/>
    </row>
    <row r="1685" spans="1:16" x14ac:dyDescent="0.3">
      <c r="A1685" s="1">
        <v>1684</v>
      </c>
      <c r="G1685" s="4"/>
      <c r="H1685" s="4"/>
      <c r="I1685" s="47"/>
      <c r="J1685" s="47" t="str">
        <f t="shared" si="39"/>
        <v/>
      </c>
      <c r="K1685" s="47"/>
      <c r="L1685" s="47"/>
      <c r="N1685" s="47"/>
      <c r="O1685" s="47"/>
      <c r="P1685" s="47"/>
    </row>
    <row r="1686" spans="1:16" x14ac:dyDescent="0.3">
      <c r="A1686" s="1">
        <v>1685</v>
      </c>
      <c r="G1686" s="4"/>
      <c r="H1686" s="4"/>
      <c r="I1686" s="47"/>
      <c r="J1686" s="47" t="str">
        <f t="shared" si="39"/>
        <v/>
      </c>
      <c r="K1686" s="47"/>
      <c r="L1686" s="47"/>
      <c r="N1686" s="47"/>
      <c r="O1686" s="47"/>
      <c r="P1686" s="47"/>
    </row>
    <row r="1687" spans="1:16" x14ac:dyDescent="0.3">
      <c r="A1687" s="1">
        <v>1686</v>
      </c>
      <c r="G1687" s="4"/>
      <c r="H1687" s="4"/>
      <c r="I1687" s="47"/>
      <c r="J1687" s="47" t="str">
        <f t="shared" si="39"/>
        <v/>
      </c>
      <c r="K1687" s="47"/>
      <c r="L1687" s="47"/>
      <c r="N1687" s="47"/>
      <c r="O1687" s="47"/>
      <c r="P1687" s="47"/>
    </row>
    <row r="1688" spans="1:16" x14ac:dyDescent="0.3">
      <c r="A1688" s="1">
        <v>1687</v>
      </c>
      <c r="G1688" s="4"/>
      <c r="H1688" s="4"/>
      <c r="I1688" s="47"/>
      <c r="J1688" s="47" t="str">
        <f t="shared" si="39"/>
        <v/>
      </c>
      <c r="K1688" s="47"/>
      <c r="L1688" s="47"/>
      <c r="N1688" s="47"/>
      <c r="O1688" s="47"/>
      <c r="P1688" s="47"/>
    </row>
    <row r="1689" spans="1:16" x14ac:dyDescent="0.3">
      <c r="A1689" s="1">
        <v>1688</v>
      </c>
      <c r="G1689" s="4"/>
      <c r="H1689" s="4"/>
      <c r="I1689" s="47"/>
      <c r="J1689" s="47" t="str">
        <f t="shared" si="39"/>
        <v/>
      </c>
      <c r="K1689" s="47"/>
      <c r="L1689" s="47"/>
      <c r="N1689" s="47"/>
      <c r="O1689" s="47"/>
      <c r="P1689" s="47"/>
    </row>
    <row r="1690" spans="1:16" x14ac:dyDescent="0.3">
      <c r="A1690" s="1">
        <v>1689</v>
      </c>
      <c r="G1690" s="4"/>
      <c r="H1690" s="4"/>
      <c r="I1690" s="47"/>
      <c r="J1690" s="47" t="str">
        <f t="shared" si="39"/>
        <v/>
      </c>
      <c r="K1690" s="47"/>
      <c r="L1690" s="47"/>
      <c r="N1690" s="47"/>
      <c r="O1690" s="47"/>
      <c r="P1690" s="47"/>
    </row>
    <row r="1691" spans="1:16" x14ac:dyDescent="0.3">
      <c r="A1691" s="1">
        <v>1690</v>
      </c>
      <c r="G1691" s="4"/>
      <c r="H1691" s="4"/>
      <c r="I1691" s="47"/>
      <c r="J1691" s="47" t="str">
        <f t="shared" si="39"/>
        <v/>
      </c>
      <c r="K1691" s="47"/>
      <c r="L1691" s="47"/>
      <c r="N1691" s="47"/>
      <c r="O1691" s="47"/>
      <c r="P1691" s="47"/>
    </row>
    <row r="1692" spans="1:16" x14ac:dyDescent="0.3">
      <c r="A1692" s="1">
        <v>1691</v>
      </c>
      <c r="G1692" s="4"/>
      <c r="H1692" s="4"/>
      <c r="I1692" s="47"/>
      <c r="J1692" s="47" t="str">
        <f t="shared" si="39"/>
        <v/>
      </c>
      <c r="K1692" s="47"/>
      <c r="L1692" s="47"/>
      <c r="N1692" s="47"/>
      <c r="O1692" s="47"/>
      <c r="P1692" s="47"/>
    </row>
    <row r="1693" spans="1:16" x14ac:dyDescent="0.3">
      <c r="A1693" s="1">
        <v>1692</v>
      </c>
      <c r="G1693" s="4"/>
      <c r="H1693" s="4"/>
      <c r="I1693" s="47"/>
      <c r="J1693" s="47" t="str">
        <f t="shared" si="39"/>
        <v/>
      </c>
      <c r="K1693" s="47"/>
      <c r="L1693" s="47"/>
      <c r="N1693" s="47"/>
      <c r="O1693" s="47"/>
      <c r="P1693" s="47"/>
    </row>
    <row r="1694" spans="1:16" x14ac:dyDescent="0.3">
      <c r="A1694" s="1">
        <v>1693</v>
      </c>
      <c r="G1694" s="4"/>
      <c r="H1694" s="4"/>
      <c r="I1694" s="47"/>
      <c r="J1694" s="47" t="str">
        <f t="shared" si="39"/>
        <v/>
      </c>
      <c r="K1694" s="47"/>
      <c r="L1694" s="47"/>
      <c r="N1694" s="47"/>
      <c r="O1694" s="47"/>
      <c r="P1694" s="47"/>
    </row>
    <row r="1695" spans="1:16" x14ac:dyDescent="0.3">
      <c r="A1695" s="1">
        <v>1694</v>
      </c>
      <c r="G1695" s="4"/>
      <c r="H1695" s="4"/>
      <c r="I1695" s="47"/>
      <c r="J1695" s="47" t="str">
        <f t="shared" si="39"/>
        <v/>
      </c>
      <c r="K1695" s="47"/>
      <c r="L1695" s="47"/>
      <c r="N1695" s="47"/>
      <c r="O1695" s="47"/>
      <c r="P1695" s="47"/>
    </row>
    <row r="1696" spans="1:16" x14ac:dyDescent="0.3">
      <c r="A1696" s="1">
        <v>1695</v>
      </c>
      <c r="G1696" s="4"/>
      <c r="H1696" s="4"/>
      <c r="I1696" s="47"/>
      <c r="J1696" s="47" t="str">
        <f t="shared" si="39"/>
        <v/>
      </c>
      <c r="K1696" s="47"/>
      <c r="L1696" s="47"/>
      <c r="N1696" s="47"/>
      <c r="O1696" s="47"/>
      <c r="P1696" s="47"/>
    </row>
    <row r="1697" spans="1:16" x14ac:dyDescent="0.3">
      <c r="A1697" s="1">
        <v>1696</v>
      </c>
      <c r="G1697" s="4"/>
      <c r="H1697" s="4"/>
      <c r="I1697" s="47"/>
      <c r="J1697" s="47" t="str">
        <f t="shared" si="39"/>
        <v/>
      </c>
      <c r="K1697" s="47"/>
      <c r="L1697" s="47"/>
      <c r="N1697" s="47"/>
      <c r="O1697" s="47"/>
      <c r="P1697" s="47"/>
    </row>
    <row r="1698" spans="1:16" x14ac:dyDescent="0.3">
      <c r="A1698" s="1">
        <v>1697</v>
      </c>
      <c r="G1698" s="4"/>
      <c r="H1698" s="4"/>
      <c r="I1698" s="47"/>
      <c r="J1698" s="47" t="str">
        <f t="shared" si="39"/>
        <v/>
      </c>
      <c r="K1698" s="47"/>
      <c r="L1698" s="47"/>
      <c r="N1698" s="47"/>
      <c r="O1698" s="47"/>
      <c r="P1698" s="47"/>
    </row>
    <row r="1699" spans="1:16" x14ac:dyDescent="0.3">
      <c r="A1699" s="1">
        <v>1698</v>
      </c>
      <c r="G1699" s="4"/>
      <c r="H1699" s="4"/>
      <c r="I1699" s="47"/>
      <c r="J1699" s="47" t="str">
        <f t="shared" si="39"/>
        <v/>
      </c>
      <c r="K1699" s="47"/>
      <c r="L1699" s="47"/>
      <c r="N1699" s="47"/>
      <c r="O1699" s="47"/>
      <c r="P1699" s="47"/>
    </row>
    <row r="1700" spans="1:16" x14ac:dyDescent="0.3">
      <c r="A1700" s="1">
        <v>1699</v>
      </c>
      <c r="G1700" s="4"/>
      <c r="H1700" s="4"/>
      <c r="I1700" s="47"/>
      <c r="J1700" s="47" t="str">
        <f t="shared" si="39"/>
        <v/>
      </c>
      <c r="K1700" s="47"/>
      <c r="L1700" s="47"/>
      <c r="N1700" s="47"/>
      <c r="O1700" s="47"/>
      <c r="P1700" s="47"/>
    </row>
    <row r="1701" spans="1:16" x14ac:dyDescent="0.3">
      <c r="A1701" s="1">
        <v>1700</v>
      </c>
      <c r="G1701" s="4"/>
      <c r="H1701" s="4"/>
      <c r="I1701" s="47"/>
      <c r="J1701" s="47" t="str">
        <f t="shared" si="39"/>
        <v/>
      </c>
      <c r="K1701" s="47"/>
      <c r="L1701" s="47"/>
      <c r="N1701" s="47"/>
      <c r="O1701" s="47"/>
      <c r="P1701" s="47"/>
    </row>
    <row r="1702" spans="1:16" x14ac:dyDescent="0.3">
      <c r="A1702" s="1">
        <v>1701</v>
      </c>
      <c r="G1702" s="4"/>
      <c r="H1702" s="4"/>
      <c r="I1702" s="47"/>
      <c r="J1702" s="47" t="str">
        <f t="shared" si="39"/>
        <v/>
      </c>
      <c r="K1702" s="47"/>
      <c r="L1702" s="47"/>
      <c r="N1702" s="47"/>
      <c r="O1702" s="47"/>
      <c r="P1702" s="47"/>
    </row>
    <row r="1703" spans="1:16" x14ac:dyDescent="0.3">
      <c r="A1703" s="1">
        <v>1702</v>
      </c>
      <c r="G1703" s="4"/>
      <c r="H1703" s="4"/>
      <c r="I1703" s="47"/>
      <c r="J1703" s="47" t="str">
        <f t="shared" si="39"/>
        <v/>
      </c>
      <c r="K1703" s="47"/>
      <c r="L1703" s="47"/>
      <c r="N1703" s="47"/>
      <c r="O1703" s="47"/>
      <c r="P1703" s="47"/>
    </row>
    <row r="1704" spans="1:16" x14ac:dyDescent="0.3">
      <c r="A1704" s="1">
        <v>1703</v>
      </c>
      <c r="G1704" s="4"/>
      <c r="H1704" s="4"/>
      <c r="I1704" s="47"/>
      <c r="J1704" s="47" t="str">
        <f t="shared" si="39"/>
        <v/>
      </c>
      <c r="K1704" s="47"/>
      <c r="L1704" s="47"/>
      <c r="N1704" s="47"/>
      <c r="O1704" s="47"/>
      <c r="P1704" s="47"/>
    </row>
    <row r="1705" spans="1:16" x14ac:dyDescent="0.3">
      <c r="A1705" s="1">
        <v>1704</v>
      </c>
      <c r="G1705" s="4"/>
      <c r="H1705" s="4"/>
      <c r="I1705" s="47"/>
      <c r="J1705" s="47" t="str">
        <f t="shared" si="39"/>
        <v/>
      </c>
      <c r="K1705" s="47"/>
      <c r="L1705" s="47"/>
      <c r="N1705" s="47"/>
      <c r="O1705" s="47"/>
      <c r="P1705" s="47"/>
    </row>
    <row r="1706" spans="1:16" x14ac:dyDescent="0.3">
      <c r="A1706" s="1">
        <v>1705</v>
      </c>
      <c r="G1706" s="4"/>
      <c r="H1706" s="4"/>
      <c r="I1706" s="47"/>
      <c r="J1706" s="47" t="str">
        <f t="shared" si="39"/>
        <v/>
      </c>
      <c r="K1706" s="47"/>
      <c r="L1706" s="47"/>
      <c r="N1706" s="47"/>
      <c r="O1706" s="47"/>
      <c r="P1706" s="47"/>
    </row>
    <row r="1707" spans="1:16" x14ac:dyDescent="0.3">
      <c r="A1707" s="1">
        <v>1706</v>
      </c>
      <c r="G1707" s="4"/>
      <c r="H1707" s="4"/>
      <c r="I1707" s="47"/>
      <c r="J1707" s="47" t="str">
        <f t="shared" si="39"/>
        <v/>
      </c>
      <c r="K1707" s="47"/>
      <c r="L1707" s="47"/>
      <c r="N1707" s="47"/>
      <c r="O1707" s="47"/>
      <c r="P1707" s="47"/>
    </row>
    <row r="1708" spans="1:16" x14ac:dyDescent="0.3">
      <c r="A1708" s="1">
        <v>1707</v>
      </c>
      <c r="G1708" s="4"/>
      <c r="H1708" s="4"/>
      <c r="I1708" s="47"/>
      <c r="J1708" s="47" t="str">
        <f t="shared" si="39"/>
        <v/>
      </c>
      <c r="K1708" s="47"/>
      <c r="L1708" s="47"/>
      <c r="N1708" s="47"/>
      <c r="O1708" s="47"/>
      <c r="P1708" s="47"/>
    </row>
    <row r="1709" spans="1:16" x14ac:dyDescent="0.3">
      <c r="A1709" s="1">
        <v>1708</v>
      </c>
      <c r="G1709" s="4"/>
      <c r="H1709" s="4"/>
      <c r="I1709" s="47"/>
      <c r="J1709" s="47" t="str">
        <f t="shared" si="39"/>
        <v/>
      </c>
      <c r="K1709" s="47"/>
      <c r="L1709" s="47"/>
      <c r="N1709" s="47"/>
      <c r="O1709" s="47"/>
      <c r="P1709" s="47"/>
    </row>
    <row r="1710" spans="1:16" x14ac:dyDescent="0.3">
      <c r="A1710" s="1">
        <v>1709</v>
      </c>
      <c r="G1710" s="4"/>
      <c r="H1710" s="4"/>
      <c r="I1710" s="47"/>
      <c r="J1710" s="47" t="str">
        <f t="shared" si="39"/>
        <v/>
      </c>
      <c r="K1710" s="47"/>
      <c r="L1710" s="47"/>
      <c r="N1710" s="47"/>
      <c r="O1710" s="47"/>
      <c r="P1710" s="47"/>
    </row>
    <row r="1711" spans="1:16" x14ac:dyDescent="0.3">
      <c r="A1711" s="1">
        <v>1710</v>
      </c>
      <c r="G1711" s="4"/>
      <c r="H1711" s="4"/>
      <c r="I1711" s="47"/>
      <c r="J1711" s="47" t="str">
        <f t="shared" si="39"/>
        <v/>
      </c>
      <c r="K1711" s="47"/>
      <c r="L1711" s="47"/>
      <c r="N1711" s="47"/>
      <c r="O1711" s="47"/>
      <c r="P1711" s="47"/>
    </row>
    <row r="1712" spans="1:16" x14ac:dyDescent="0.3">
      <c r="A1712" s="1">
        <v>1711</v>
      </c>
      <c r="G1712" s="4"/>
      <c r="H1712" s="4"/>
      <c r="I1712" s="47"/>
      <c r="J1712" s="47" t="str">
        <f t="shared" si="39"/>
        <v/>
      </c>
      <c r="K1712" s="47"/>
      <c r="L1712" s="47"/>
      <c r="N1712" s="47"/>
      <c r="O1712" s="47"/>
      <c r="P1712" s="47"/>
    </row>
    <row r="1713" spans="1:16" x14ac:dyDescent="0.3">
      <c r="A1713" s="1">
        <v>1712</v>
      </c>
      <c r="G1713" s="4"/>
      <c r="H1713" s="4"/>
      <c r="I1713" s="47"/>
      <c r="J1713" s="47" t="str">
        <f t="shared" si="39"/>
        <v/>
      </c>
      <c r="K1713" s="47"/>
      <c r="L1713" s="47"/>
      <c r="N1713" s="47"/>
      <c r="O1713" s="47"/>
      <c r="P1713" s="47"/>
    </row>
    <row r="1714" spans="1:16" x14ac:dyDescent="0.3">
      <c r="A1714" s="1">
        <v>1713</v>
      </c>
      <c r="G1714" s="4"/>
      <c r="H1714" s="4"/>
      <c r="I1714" s="47"/>
      <c r="J1714" s="47" t="str">
        <f t="shared" si="39"/>
        <v/>
      </c>
      <c r="K1714" s="47"/>
      <c r="L1714" s="47"/>
      <c r="N1714" s="47"/>
      <c r="O1714" s="47"/>
      <c r="P1714" s="47"/>
    </row>
    <row r="1715" spans="1:16" x14ac:dyDescent="0.3">
      <c r="A1715" s="1">
        <v>1714</v>
      </c>
      <c r="G1715" s="4"/>
      <c r="H1715" s="4"/>
      <c r="I1715" s="47"/>
      <c r="J1715" s="47" t="str">
        <f t="shared" si="39"/>
        <v/>
      </c>
      <c r="K1715" s="47"/>
      <c r="L1715" s="47"/>
      <c r="N1715" s="47"/>
      <c r="O1715" s="47"/>
      <c r="P1715" s="47"/>
    </row>
    <row r="1716" spans="1:16" x14ac:dyDescent="0.3">
      <c r="A1716" s="1">
        <v>1715</v>
      </c>
      <c r="G1716" s="4"/>
      <c r="H1716" s="4"/>
      <c r="I1716" s="47"/>
      <c r="J1716" s="47" t="str">
        <f t="shared" si="39"/>
        <v/>
      </c>
      <c r="K1716" s="47"/>
      <c r="L1716" s="47"/>
      <c r="N1716" s="47"/>
      <c r="O1716" s="47"/>
      <c r="P1716" s="47"/>
    </row>
    <row r="1717" spans="1:16" x14ac:dyDescent="0.3">
      <c r="A1717" s="1">
        <v>1716</v>
      </c>
      <c r="G1717" s="4"/>
      <c r="H1717" s="4"/>
      <c r="I1717" s="47"/>
      <c r="J1717" s="47" t="str">
        <f t="shared" si="39"/>
        <v/>
      </c>
      <c r="K1717" s="47"/>
      <c r="L1717" s="47"/>
      <c r="N1717" s="47"/>
      <c r="O1717" s="47"/>
      <c r="P1717" s="47"/>
    </row>
    <row r="1718" spans="1:16" x14ac:dyDescent="0.3">
      <c r="A1718" s="1">
        <v>1717</v>
      </c>
      <c r="G1718" s="4"/>
      <c r="H1718" s="4"/>
      <c r="I1718" s="47"/>
      <c r="J1718" s="47" t="str">
        <f t="shared" si="39"/>
        <v/>
      </c>
      <c r="K1718" s="47"/>
      <c r="L1718" s="47"/>
      <c r="N1718" s="47"/>
      <c r="O1718" s="47"/>
      <c r="P1718" s="47"/>
    </row>
    <row r="1719" spans="1:16" x14ac:dyDescent="0.3">
      <c r="A1719" s="1">
        <v>1718</v>
      </c>
      <c r="G1719" s="4"/>
      <c r="H1719" s="4"/>
      <c r="I1719" s="47"/>
      <c r="J1719" s="47" t="str">
        <f t="shared" si="39"/>
        <v/>
      </c>
      <c r="K1719" s="47"/>
      <c r="L1719" s="47"/>
      <c r="N1719" s="47"/>
      <c r="O1719" s="47"/>
      <c r="P1719" s="47"/>
    </row>
    <row r="1720" spans="1:16" x14ac:dyDescent="0.3">
      <c r="A1720" s="1">
        <v>1719</v>
      </c>
      <c r="G1720" s="4"/>
      <c r="H1720" s="4"/>
      <c r="I1720" s="47"/>
      <c r="J1720" s="47" t="str">
        <f t="shared" si="39"/>
        <v/>
      </c>
      <c r="K1720" s="47"/>
      <c r="L1720" s="47"/>
      <c r="N1720" s="47"/>
      <c r="O1720" s="47"/>
      <c r="P1720" s="47"/>
    </row>
    <row r="1721" spans="1:16" x14ac:dyDescent="0.3">
      <c r="A1721" s="1">
        <v>1720</v>
      </c>
      <c r="G1721" s="4"/>
      <c r="H1721" s="4"/>
      <c r="I1721" s="47"/>
      <c r="J1721" s="47" t="str">
        <f t="shared" si="39"/>
        <v/>
      </c>
      <c r="K1721" s="47"/>
      <c r="L1721" s="47"/>
      <c r="N1721" s="47"/>
      <c r="O1721" s="47"/>
      <c r="P1721" s="47"/>
    </row>
    <row r="1722" spans="1:16" x14ac:dyDescent="0.3">
      <c r="A1722" s="1">
        <v>1721</v>
      </c>
      <c r="G1722" s="4"/>
      <c r="H1722" s="4"/>
      <c r="I1722" s="47"/>
      <c r="J1722" s="47" t="str">
        <f t="shared" si="39"/>
        <v/>
      </c>
      <c r="K1722" s="47"/>
      <c r="L1722" s="47"/>
      <c r="N1722" s="47"/>
      <c r="O1722" s="47"/>
      <c r="P1722" s="47"/>
    </row>
    <row r="1723" spans="1:16" x14ac:dyDescent="0.3">
      <c r="A1723" s="1">
        <v>1722</v>
      </c>
      <c r="G1723" s="4"/>
      <c r="H1723" s="4"/>
      <c r="I1723" s="47"/>
      <c r="J1723" s="47" t="str">
        <f t="shared" si="39"/>
        <v/>
      </c>
      <c r="K1723" s="47"/>
      <c r="L1723" s="47"/>
      <c r="N1723" s="47"/>
      <c r="O1723" s="47"/>
      <c r="P1723" s="47"/>
    </row>
    <row r="1724" spans="1:16" x14ac:dyDescent="0.3">
      <c r="A1724" s="1">
        <v>1723</v>
      </c>
      <c r="G1724" s="4"/>
      <c r="H1724" s="4"/>
      <c r="I1724" s="47"/>
      <c r="J1724" s="47" t="str">
        <f t="shared" si="39"/>
        <v/>
      </c>
      <c r="K1724" s="47"/>
      <c r="L1724" s="47"/>
      <c r="N1724" s="47"/>
      <c r="O1724" s="47"/>
      <c r="P1724" s="47"/>
    </row>
    <row r="1725" spans="1:16" x14ac:dyDescent="0.3">
      <c r="A1725" s="1">
        <v>1724</v>
      </c>
      <c r="G1725" s="4"/>
      <c r="H1725" s="4"/>
      <c r="I1725" s="47"/>
      <c r="J1725" s="47" t="str">
        <f t="shared" si="39"/>
        <v/>
      </c>
      <c r="K1725" s="47"/>
      <c r="L1725" s="47"/>
      <c r="N1725" s="47"/>
      <c r="O1725" s="47"/>
      <c r="P1725" s="47"/>
    </row>
    <row r="1726" spans="1:16" x14ac:dyDescent="0.3">
      <c r="A1726" s="1">
        <v>1725</v>
      </c>
      <c r="G1726" s="4"/>
      <c r="H1726" s="4"/>
      <c r="I1726" s="47"/>
      <c r="J1726" s="47" t="str">
        <f t="shared" si="39"/>
        <v/>
      </c>
      <c r="K1726" s="47"/>
      <c r="L1726" s="47"/>
      <c r="N1726" s="47"/>
      <c r="O1726" s="47"/>
      <c r="P1726" s="47"/>
    </row>
    <row r="1727" spans="1:16" x14ac:dyDescent="0.3">
      <c r="A1727" s="1">
        <v>1726</v>
      </c>
      <c r="G1727" s="4"/>
      <c r="H1727" s="4"/>
      <c r="I1727" s="47"/>
      <c r="J1727" s="47" t="str">
        <f t="shared" si="39"/>
        <v/>
      </c>
      <c r="K1727" s="47"/>
      <c r="L1727" s="47"/>
      <c r="N1727" s="47"/>
      <c r="O1727" s="47"/>
      <c r="P1727" s="47"/>
    </row>
    <row r="1728" spans="1:16" x14ac:dyDescent="0.3">
      <c r="A1728" s="1">
        <v>1727</v>
      </c>
      <c r="G1728" s="4"/>
      <c r="H1728" s="4"/>
      <c r="I1728" s="47"/>
      <c r="J1728" s="47" t="str">
        <f t="shared" si="39"/>
        <v/>
      </c>
      <c r="K1728" s="47"/>
      <c r="L1728" s="47"/>
      <c r="N1728" s="47"/>
      <c r="O1728" s="47"/>
      <c r="P1728" s="47"/>
    </row>
    <row r="1729" spans="1:16" x14ac:dyDescent="0.3">
      <c r="A1729" s="1">
        <v>1728</v>
      </c>
      <c r="G1729" s="4"/>
      <c r="H1729" s="4"/>
      <c r="I1729" s="47"/>
      <c r="J1729" s="47" t="str">
        <f t="shared" si="39"/>
        <v/>
      </c>
      <c r="K1729" s="47"/>
      <c r="L1729" s="47"/>
      <c r="N1729" s="47"/>
      <c r="O1729" s="47"/>
      <c r="P1729" s="47"/>
    </row>
    <row r="1730" spans="1:16" x14ac:dyDescent="0.3">
      <c r="A1730" s="1">
        <v>1729</v>
      </c>
      <c r="G1730" s="4"/>
      <c r="H1730" s="4"/>
      <c r="I1730" s="47"/>
      <c r="J1730" s="47" t="str">
        <f t="shared" si="39"/>
        <v/>
      </c>
      <c r="K1730" s="47"/>
      <c r="L1730" s="47"/>
      <c r="N1730" s="47"/>
      <c r="O1730" s="47"/>
      <c r="P1730" s="47"/>
    </row>
    <row r="1731" spans="1:16" x14ac:dyDescent="0.3">
      <c r="A1731" s="1">
        <v>1730</v>
      </c>
      <c r="G1731" s="4"/>
      <c r="H1731" s="4"/>
      <c r="I1731" s="47"/>
      <c r="J1731" s="47" t="str">
        <f t="shared" ref="J1731:J1794" si="40">+E1731&amp;I1731</f>
        <v/>
      </c>
      <c r="K1731" s="47"/>
      <c r="L1731" s="47"/>
      <c r="N1731" s="47"/>
      <c r="O1731" s="47"/>
      <c r="P1731" s="47"/>
    </row>
    <row r="1732" spans="1:16" x14ac:dyDescent="0.3">
      <c r="A1732" s="1">
        <v>1731</v>
      </c>
      <c r="G1732" s="4"/>
      <c r="H1732" s="4"/>
      <c r="I1732" s="47"/>
      <c r="J1732" s="47" t="str">
        <f t="shared" si="40"/>
        <v/>
      </c>
      <c r="K1732" s="47"/>
      <c r="L1732" s="47"/>
      <c r="N1732" s="47"/>
      <c r="O1732" s="47"/>
      <c r="P1732" s="47"/>
    </row>
    <row r="1733" spans="1:16" x14ac:dyDescent="0.3">
      <c r="A1733" s="1">
        <v>1732</v>
      </c>
      <c r="G1733" s="4"/>
      <c r="H1733" s="4"/>
      <c r="I1733" s="47"/>
      <c r="J1733" s="47" t="str">
        <f t="shared" si="40"/>
        <v/>
      </c>
      <c r="K1733" s="47"/>
      <c r="L1733" s="47"/>
      <c r="N1733" s="47"/>
      <c r="O1733" s="47"/>
      <c r="P1733" s="47"/>
    </row>
    <row r="1734" spans="1:16" x14ac:dyDescent="0.3">
      <c r="A1734" s="1">
        <v>1733</v>
      </c>
      <c r="G1734" s="4"/>
      <c r="H1734" s="4"/>
      <c r="I1734" s="47"/>
      <c r="J1734" s="47" t="str">
        <f t="shared" si="40"/>
        <v/>
      </c>
      <c r="K1734" s="47"/>
      <c r="L1734" s="47"/>
      <c r="N1734" s="47"/>
      <c r="O1734" s="47"/>
      <c r="P1734" s="47"/>
    </row>
    <row r="1735" spans="1:16" x14ac:dyDescent="0.3">
      <c r="A1735" s="1">
        <v>1734</v>
      </c>
      <c r="G1735" s="4"/>
      <c r="H1735" s="4"/>
      <c r="I1735" s="47"/>
      <c r="J1735" s="47" t="str">
        <f t="shared" si="40"/>
        <v/>
      </c>
      <c r="K1735" s="47"/>
      <c r="L1735" s="47"/>
      <c r="N1735" s="47"/>
      <c r="O1735" s="47"/>
      <c r="P1735" s="47"/>
    </row>
    <row r="1736" spans="1:16" x14ac:dyDescent="0.3">
      <c r="A1736" s="1">
        <v>1735</v>
      </c>
      <c r="G1736" s="4"/>
      <c r="H1736" s="4"/>
      <c r="I1736" s="47"/>
      <c r="J1736" s="47" t="str">
        <f t="shared" si="40"/>
        <v/>
      </c>
      <c r="K1736" s="47"/>
      <c r="L1736" s="47"/>
      <c r="N1736" s="47"/>
      <c r="O1736" s="47"/>
      <c r="P1736" s="47"/>
    </row>
    <row r="1737" spans="1:16" x14ac:dyDescent="0.3">
      <c r="A1737" s="1">
        <v>1736</v>
      </c>
      <c r="G1737" s="4"/>
      <c r="H1737" s="4"/>
      <c r="I1737" s="47"/>
      <c r="J1737" s="47" t="str">
        <f t="shared" si="40"/>
        <v/>
      </c>
      <c r="K1737" s="47"/>
      <c r="L1737" s="47"/>
      <c r="N1737" s="47"/>
      <c r="O1737" s="47"/>
      <c r="P1737" s="47"/>
    </row>
    <row r="1738" spans="1:16" x14ac:dyDescent="0.3">
      <c r="A1738" s="1">
        <v>1737</v>
      </c>
      <c r="G1738" s="4"/>
      <c r="H1738" s="4"/>
      <c r="I1738" s="47"/>
      <c r="J1738" s="47" t="str">
        <f t="shared" si="40"/>
        <v/>
      </c>
      <c r="K1738" s="47"/>
      <c r="L1738" s="47"/>
      <c r="N1738" s="47"/>
      <c r="O1738" s="47"/>
      <c r="P1738" s="47"/>
    </row>
    <row r="1739" spans="1:16" x14ac:dyDescent="0.3">
      <c r="A1739" s="1">
        <v>1738</v>
      </c>
      <c r="G1739" s="4"/>
      <c r="H1739" s="4"/>
      <c r="I1739" s="47"/>
      <c r="J1739" s="47" t="str">
        <f t="shared" si="40"/>
        <v/>
      </c>
      <c r="K1739" s="47"/>
      <c r="L1739" s="47"/>
      <c r="N1739" s="47"/>
      <c r="O1739" s="47"/>
      <c r="P1739" s="47"/>
    </row>
    <row r="1740" spans="1:16" x14ac:dyDescent="0.3">
      <c r="A1740" s="1">
        <v>1739</v>
      </c>
      <c r="G1740" s="4"/>
      <c r="H1740" s="4"/>
      <c r="I1740" s="47"/>
      <c r="J1740" s="47" t="str">
        <f t="shared" si="40"/>
        <v/>
      </c>
      <c r="K1740" s="47"/>
      <c r="L1740" s="47"/>
      <c r="N1740" s="47"/>
      <c r="O1740" s="47"/>
      <c r="P1740" s="47"/>
    </row>
    <row r="1741" spans="1:16" x14ac:dyDescent="0.3">
      <c r="A1741" s="1">
        <v>1740</v>
      </c>
      <c r="G1741" s="4"/>
      <c r="H1741" s="4"/>
      <c r="I1741" s="47"/>
      <c r="J1741" s="47" t="str">
        <f t="shared" si="40"/>
        <v/>
      </c>
      <c r="K1741" s="47"/>
      <c r="L1741" s="47"/>
      <c r="N1741" s="47"/>
      <c r="O1741" s="47"/>
      <c r="P1741" s="47"/>
    </row>
    <row r="1742" spans="1:16" x14ac:dyDescent="0.3">
      <c r="A1742" s="1">
        <v>1741</v>
      </c>
      <c r="G1742" s="4"/>
      <c r="H1742" s="4"/>
      <c r="I1742" s="47"/>
      <c r="J1742" s="47" t="str">
        <f t="shared" si="40"/>
        <v/>
      </c>
      <c r="K1742" s="47"/>
      <c r="L1742" s="47"/>
      <c r="N1742" s="47"/>
      <c r="O1742" s="47"/>
      <c r="P1742" s="47"/>
    </row>
    <row r="1743" spans="1:16" x14ac:dyDescent="0.3">
      <c r="A1743" s="1">
        <v>1742</v>
      </c>
      <c r="G1743" s="4"/>
      <c r="H1743" s="4"/>
      <c r="I1743" s="47"/>
      <c r="J1743" s="47" t="str">
        <f t="shared" si="40"/>
        <v/>
      </c>
      <c r="K1743" s="47"/>
      <c r="L1743" s="47"/>
      <c r="N1743" s="47"/>
      <c r="O1743" s="47"/>
      <c r="P1743" s="47"/>
    </row>
    <row r="1744" spans="1:16" x14ac:dyDescent="0.3">
      <c r="A1744" s="1">
        <v>1743</v>
      </c>
      <c r="G1744" s="4"/>
      <c r="H1744" s="4"/>
      <c r="I1744" s="47"/>
      <c r="J1744" s="47" t="str">
        <f t="shared" si="40"/>
        <v/>
      </c>
      <c r="K1744" s="47"/>
      <c r="L1744" s="47"/>
      <c r="N1744" s="47"/>
      <c r="O1744" s="47"/>
      <c r="P1744" s="47"/>
    </row>
    <row r="1745" spans="1:16" x14ac:dyDescent="0.3">
      <c r="A1745" s="1">
        <v>1744</v>
      </c>
      <c r="G1745" s="4"/>
      <c r="H1745" s="4"/>
      <c r="I1745" s="47"/>
      <c r="J1745" s="47" t="str">
        <f t="shared" si="40"/>
        <v/>
      </c>
      <c r="K1745" s="47"/>
      <c r="L1745" s="47"/>
      <c r="N1745" s="47"/>
      <c r="O1745" s="47"/>
      <c r="P1745" s="47"/>
    </row>
    <row r="1746" spans="1:16" x14ac:dyDescent="0.3">
      <c r="A1746" s="1">
        <v>1745</v>
      </c>
      <c r="G1746" s="4"/>
      <c r="H1746" s="4"/>
      <c r="I1746" s="47"/>
      <c r="J1746" s="47" t="str">
        <f t="shared" si="40"/>
        <v/>
      </c>
      <c r="K1746" s="47"/>
      <c r="L1746" s="47"/>
      <c r="N1746" s="47"/>
      <c r="O1746" s="47"/>
      <c r="P1746" s="47"/>
    </row>
    <row r="1747" spans="1:16" x14ac:dyDescent="0.3">
      <c r="A1747" s="1">
        <v>1746</v>
      </c>
      <c r="G1747" s="4"/>
      <c r="H1747" s="4"/>
      <c r="I1747" s="47"/>
      <c r="J1747" s="47" t="str">
        <f t="shared" si="40"/>
        <v/>
      </c>
      <c r="K1747" s="47"/>
      <c r="L1747" s="47"/>
      <c r="N1747" s="47"/>
      <c r="O1747" s="47"/>
      <c r="P1747" s="47"/>
    </row>
    <row r="1748" spans="1:16" x14ac:dyDescent="0.3">
      <c r="A1748" s="1">
        <v>1747</v>
      </c>
      <c r="G1748" s="4"/>
      <c r="H1748" s="4"/>
      <c r="I1748" s="47"/>
      <c r="J1748" s="47" t="str">
        <f t="shared" si="40"/>
        <v/>
      </c>
      <c r="K1748" s="47"/>
      <c r="L1748" s="47"/>
      <c r="N1748" s="47"/>
      <c r="O1748" s="47"/>
      <c r="P1748" s="47"/>
    </row>
    <row r="1749" spans="1:16" x14ac:dyDescent="0.3">
      <c r="A1749" s="1">
        <v>1748</v>
      </c>
      <c r="G1749" s="4"/>
      <c r="H1749" s="4"/>
      <c r="I1749" s="47"/>
      <c r="J1749" s="47" t="str">
        <f t="shared" si="40"/>
        <v/>
      </c>
      <c r="K1749" s="47"/>
      <c r="L1749" s="47"/>
      <c r="N1749" s="47"/>
      <c r="O1749" s="47"/>
      <c r="P1749" s="47"/>
    </row>
    <row r="1750" spans="1:16" x14ac:dyDescent="0.3">
      <c r="A1750" s="1">
        <v>1749</v>
      </c>
      <c r="G1750" s="4"/>
      <c r="H1750" s="4"/>
      <c r="I1750" s="47"/>
      <c r="J1750" s="47" t="str">
        <f t="shared" si="40"/>
        <v/>
      </c>
      <c r="K1750" s="47"/>
      <c r="L1750" s="47"/>
      <c r="N1750" s="47"/>
      <c r="O1750" s="47"/>
      <c r="P1750" s="47"/>
    </row>
    <row r="1751" spans="1:16" x14ac:dyDescent="0.3">
      <c r="A1751" s="1">
        <v>1750</v>
      </c>
      <c r="G1751" s="4"/>
      <c r="H1751" s="4"/>
      <c r="I1751" s="47"/>
      <c r="J1751" s="47" t="str">
        <f t="shared" si="40"/>
        <v/>
      </c>
      <c r="K1751" s="47"/>
      <c r="L1751" s="47"/>
      <c r="N1751" s="47"/>
      <c r="O1751" s="47"/>
      <c r="P1751" s="47"/>
    </row>
    <row r="1752" spans="1:16" x14ac:dyDescent="0.3">
      <c r="A1752" s="1">
        <v>1751</v>
      </c>
      <c r="G1752" s="4"/>
      <c r="H1752" s="4"/>
      <c r="I1752" s="47"/>
      <c r="J1752" s="47" t="str">
        <f t="shared" si="40"/>
        <v/>
      </c>
      <c r="K1752" s="47"/>
      <c r="L1752" s="47"/>
      <c r="N1752" s="47"/>
      <c r="O1752" s="47"/>
      <c r="P1752" s="47"/>
    </row>
    <row r="1753" spans="1:16" x14ac:dyDescent="0.3">
      <c r="A1753" s="1">
        <v>1752</v>
      </c>
      <c r="G1753" s="4"/>
      <c r="H1753" s="4"/>
      <c r="I1753" s="47"/>
      <c r="J1753" s="47" t="str">
        <f t="shared" si="40"/>
        <v/>
      </c>
      <c r="K1753" s="47"/>
      <c r="L1753" s="47"/>
      <c r="N1753" s="47"/>
      <c r="O1753" s="47"/>
      <c r="P1753" s="47"/>
    </row>
    <row r="1754" spans="1:16" x14ac:dyDescent="0.3">
      <c r="A1754" s="1">
        <v>1753</v>
      </c>
      <c r="G1754" s="4"/>
      <c r="H1754" s="4"/>
      <c r="I1754" s="47"/>
      <c r="J1754" s="47" t="str">
        <f t="shared" si="40"/>
        <v/>
      </c>
      <c r="K1754" s="47"/>
      <c r="L1754" s="47"/>
      <c r="N1754" s="47"/>
      <c r="O1754" s="47"/>
      <c r="P1754" s="47"/>
    </row>
    <row r="1755" spans="1:16" x14ac:dyDescent="0.3">
      <c r="A1755" s="1">
        <v>1754</v>
      </c>
      <c r="G1755" s="4"/>
      <c r="H1755" s="4"/>
      <c r="I1755" s="47"/>
      <c r="J1755" s="47" t="str">
        <f t="shared" si="40"/>
        <v/>
      </c>
      <c r="K1755" s="47"/>
      <c r="L1755" s="47"/>
      <c r="N1755" s="47"/>
      <c r="O1755" s="47"/>
      <c r="P1755" s="47"/>
    </row>
    <row r="1756" spans="1:16" x14ac:dyDescent="0.3">
      <c r="A1756" s="1">
        <v>1755</v>
      </c>
      <c r="G1756" s="4"/>
      <c r="H1756" s="4"/>
      <c r="I1756" s="47"/>
      <c r="J1756" s="47" t="str">
        <f t="shared" si="40"/>
        <v/>
      </c>
      <c r="K1756" s="47"/>
      <c r="L1756" s="47"/>
      <c r="N1756" s="47"/>
      <c r="O1756" s="47"/>
      <c r="P1756" s="47"/>
    </row>
    <row r="1757" spans="1:16" x14ac:dyDescent="0.3">
      <c r="A1757" s="1">
        <v>1756</v>
      </c>
      <c r="G1757" s="4"/>
      <c r="H1757" s="4"/>
      <c r="I1757" s="47"/>
      <c r="J1757" s="47" t="str">
        <f t="shared" si="40"/>
        <v/>
      </c>
      <c r="K1757" s="47"/>
      <c r="L1757" s="47"/>
      <c r="N1757" s="47"/>
      <c r="O1757" s="47"/>
      <c r="P1757" s="47"/>
    </row>
    <row r="1758" spans="1:16" x14ac:dyDescent="0.3">
      <c r="A1758" s="1">
        <v>1757</v>
      </c>
      <c r="G1758" s="4"/>
      <c r="H1758" s="4"/>
      <c r="I1758" s="47"/>
      <c r="J1758" s="47" t="str">
        <f t="shared" si="40"/>
        <v/>
      </c>
      <c r="K1758" s="47"/>
      <c r="L1758" s="47"/>
      <c r="N1758" s="47"/>
      <c r="O1758" s="47"/>
      <c r="P1758" s="47"/>
    </row>
    <row r="1759" spans="1:16" x14ac:dyDescent="0.3">
      <c r="A1759" s="1">
        <v>1758</v>
      </c>
      <c r="G1759" s="4"/>
      <c r="H1759" s="4"/>
      <c r="I1759" s="47"/>
      <c r="J1759" s="47" t="str">
        <f t="shared" si="40"/>
        <v/>
      </c>
      <c r="K1759" s="47"/>
      <c r="L1759" s="47"/>
      <c r="N1759" s="47"/>
      <c r="O1759" s="47"/>
      <c r="P1759" s="47"/>
    </row>
    <row r="1760" spans="1:16" x14ac:dyDescent="0.3">
      <c r="A1760" s="1">
        <v>1759</v>
      </c>
      <c r="G1760" s="4"/>
      <c r="H1760" s="4"/>
      <c r="I1760" s="47"/>
      <c r="J1760" s="47" t="str">
        <f t="shared" si="40"/>
        <v/>
      </c>
      <c r="K1760" s="47"/>
      <c r="L1760" s="47"/>
      <c r="N1760" s="47"/>
      <c r="O1760" s="47"/>
      <c r="P1760" s="47"/>
    </row>
    <row r="1761" spans="1:16" x14ac:dyDescent="0.3">
      <c r="A1761" s="1">
        <v>1760</v>
      </c>
      <c r="G1761" s="4"/>
      <c r="H1761" s="4"/>
      <c r="I1761" s="47"/>
      <c r="J1761" s="47" t="str">
        <f t="shared" si="40"/>
        <v/>
      </c>
      <c r="K1761" s="47"/>
      <c r="L1761" s="47"/>
      <c r="N1761" s="47"/>
      <c r="O1761" s="47"/>
      <c r="P1761" s="47"/>
    </row>
    <row r="1762" spans="1:16" x14ac:dyDescent="0.3">
      <c r="A1762" s="1">
        <v>1761</v>
      </c>
      <c r="G1762" s="4"/>
      <c r="H1762" s="4"/>
      <c r="I1762" s="47"/>
      <c r="J1762" s="47" t="str">
        <f t="shared" si="40"/>
        <v/>
      </c>
      <c r="K1762" s="47"/>
      <c r="L1762" s="47"/>
      <c r="N1762" s="47"/>
      <c r="O1762" s="47"/>
      <c r="P1762" s="47"/>
    </row>
    <row r="1763" spans="1:16" x14ac:dyDescent="0.3">
      <c r="A1763" s="1">
        <v>1762</v>
      </c>
      <c r="G1763" s="4"/>
      <c r="H1763" s="4"/>
      <c r="I1763" s="47"/>
      <c r="J1763" s="47" t="str">
        <f t="shared" si="40"/>
        <v/>
      </c>
      <c r="K1763" s="47"/>
      <c r="L1763" s="47"/>
      <c r="N1763" s="47"/>
      <c r="O1763" s="47"/>
      <c r="P1763" s="47"/>
    </row>
    <row r="1764" spans="1:16" x14ac:dyDescent="0.3">
      <c r="A1764" s="1">
        <v>1763</v>
      </c>
      <c r="G1764" s="4"/>
      <c r="H1764" s="4"/>
      <c r="I1764" s="47"/>
      <c r="J1764" s="47" t="str">
        <f t="shared" si="40"/>
        <v/>
      </c>
      <c r="K1764" s="47"/>
      <c r="L1764" s="47"/>
      <c r="N1764" s="47"/>
      <c r="O1764" s="47"/>
      <c r="P1764" s="47"/>
    </row>
    <row r="1765" spans="1:16" x14ac:dyDescent="0.3">
      <c r="A1765" s="1">
        <v>1764</v>
      </c>
      <c r="G1765" s="4"/>
      <c r="H1765" s="4"/>
      <c r="I1765" s="47"/>
      <c r="J1765" s="47" t="str">
        <f t="shared" si="40"/>
        <v/>
      </c>
      <c r="K1765" s="47"/>
      <c r="L1765" s="47"/>
      <c r="N1765" s="47"/>
      <c r="O1765" s="47"/>
      <c r="P1765" s="47"/>
    </row>
    <row r="1766" spans="1:16" x14ac:dyDescent="0.3">
      <c r="A1766" s="1">
        <v>1765</v>
      </c>
      <c r="G1766" s="4"/>
      <c r="H1766" s="4"/>
      <c r="I1766" s="47"/>
      <c r="J1766" s="47" t="str">
        <f t="shared" si="40"/>
        <v/>
      </c>
      <c r="K1766" s="47"/>
      <c r="L1766" s="47"/>
      <c r="N1766" s="47"/>
      <c r="O1766" s="47"/>
      <c r="P1766" s="47"/>
    </row>
    <row r="1767" spans="1:16" x14ac:dyDescent="0.3">
      <c r="A1767" s="1">
        <v>1766</v>
      </c>
      <c r="G1767" s="4"/>
      <c r="H1767" s="4"/>
      <c r="I1767" s="47"/>
      <c r="J1767" s="47" t="str">
        <f t="shared" si="40"/>
        <v/>
      </c>
      <c r="K1767" s="47"/>
      <c r="L1767" s="47"/>
      <c r="N1767" s="47"/>
      <c r="O1767" s="47"/>
      <c r="P1767" s="47"/>
    </row>
    <row r="1768" spans="1:16" x14ac:dyDescent="0.3">
      <c r="A1768" s="1">
        <v>1767</v>
      </c>
      <c r="G1768" s="4"/>
      <c r="H1768" s="4"/>
      <c r="I1768" s="47"/>
      <c r="J1768" s="47" t="str">
        <f t="shared" si="40"/>
        <v/>
      </c>
      <c r="K1768" s="47"/>
      <c r="L1768" s="47"/>
      <c r="N1768" s="47"/>
      <c r="O1768" s="47"/>
      <c r="P1768" s="47"/>
    </row>
    <row r="1769" spans="1:16" x14ac:dyDescent="0.3">
      <c r="A1769" s="1">
        <v>1768</v>
      </c>
      <c r="G1769" s="4"/>
      <c r="H1769" s="4"/>
      <c r="I1769" s="47"/>
      <c r="J1769" s="47" t="str">
        <f t="shared" si="40"/>
        <v/>
      </c>
      <c r="K1769" s="47"/>
      <c r="L1769" s="47"/>
      <c r="N1769" s="47"/>
      <c r="O1769" s="47"/>
      <c r="P1769" s="47"/>
    </row>
    <row r="1770" spans="1:16" x14ac:dyDescent="0.3">
      <c r="A1770" s="1">
        <v>1769</v>
      </c>
      <c r="G1770" s="4"/>
      <c r="H1770" s="4"/>
      <c r="I1770" s="47"/>
      <c r="J1770" s="47" t="str">
        <f t="shared" si="40"/>
        <v/>
      </c>
      <c r="K1770" s="47"/>
      <c r="L1770" s="47"/>
      <c r="N1770" s="47"/>
      <c r="O1770" s="47"/>
      <c r="P1770" s="47"/>
    </row>
    <row r="1771" spans="1:16" x14ac:dyDescent="0.3">
      <c r="A1771" s="1">
        <v>1770</v>
      </c>
      <c r="G1771" s="4"/>
      <c r="H1771" s="4"/>
      <c r="I1771" s="47"/>
      <c r="J1771" s="47" t="str">
        <f t="shared" si="40"/>
        <v/>
      </c>
      <c r="K1771" s="47"/>
      <c r="L1771" s="47"/>
      <c r="N1771" s="47"/>
      <c r="O1771" s="47"/>
      <c r="P1771" s="47"/>
    </row>
    <row r="1772" spans="1:16" x14ac:dyDescent="0.3">
      <c r="A1772" s="1">
        <v>1771</v>
      </c>
      <c r="G1772" s="4"/>
      <c r="H1772" s="4"/>
      <c r="I1772" s="47"/>
      <c r="J1772" s="47" t="str">
        <f t="shared" si="40"/>
        <v/>
      </c>
      <c r="K1772" s="47"/>
      <c r="L1772" s="47"/>
      <c r="N1772" s="47"/>
      <c r="O1772" s="47"/>
      <c r="P1772" s="47"/>
    </row>
    <row r="1773" spans="1:16" x14ac:dyDescent="0.3">
      <c r="A1773" s="1">
        <v>1772</v>
      </c>
      <c r="G1773" s="4"/>
      <c r="H1773" s="4"/>
      <c r="I1773" s="47"/>
      <c r="J1773" s="47" t="str">
        <f t="shared" si="40"/>
        <v/>
      </c>
      <c r="K1773" s="47"/>
      <c r="L1773" s="47"/>
      <c r="N1773" s="47"/>
      <c r="O1773" s="47"/>
      <c r="P1773" s="47"/>
    </row>
    <row r="1774" spans="1:16" x14ac:dyDescent="0.3">
      <c r="A1774" s="1">
        <v>1773</v>
      </c>
      <c r="G1774" s="4"/>
      <c r="H1774" s="4"/>
      <c r="I1774" s="47"/>
      <c r="J1774" s="47" t="str">
        <f t="shared" si="40"/>
        <v/>
      </c>
      <c r="K1774" s="47"/>
      <c r="L1774" s="47"/>
      <c r="N1774" s="47"/>
      <c r="O1774" s="47"/>
      <c r="P1774" s="47"/>
    </row>
    <row r="1775" spans="1:16" x14ac:dyDescent="0.3">
      <c r="A1775" s="1">
        <v>1774</v>
      </c>
      <c r="G1775" s="4"/>
      <c r="H1775" s="4"/>
      <c r="I1775" s="47"/>
      <c r="J1775" s="47" t="str">
        <f t="shared" si="40"/>
        <v/>
      </c>
      <c r="K1775" s="47"/>
      <c r="L1775" s="47"/>
      <c r="N1775" s="47"/>
      <c r="O1775" s="47"/>
      <c r="P1775" s="47"/>
    </row>
    <row r="1776" spans="1:16" x14ac:dyDescent="0.3">
      <c r="A1776" s="1">
        <v>1775</v>
      </c>
      <c r="G1776" s="4"/>
      <c r="H1776" s="4"/>
      <c r="I1776" s="47"/>
      <c r="J1776" s="47" t="str">
        <f t="shared" si="40"/>
        <v/>
      </c>
      <c r="K1776" s="47"/>
      <c r="L1776" s="47"/>
      <c r="N1776" s="47"/>
      <c r="O1776" s="47"/>
      <c r="P1776" s="47"/>
    </row>
    <row r="1777" spans="1:16" x14ac:dyDescent="0.3">
      <c r="A1777" s="1">
        <v>1776</v>
      </c>
      <c r="G1777" s="4"/>
      <c r="H1777" s="4"/>
      <c r="I1777" s="47"/>
      <c r="J1777" s="47" t="str">
        <f t="shared" si="40"/>
        <v/>
      </c>
      <c r="K1777" s="47"/>
      <c r="L1777" s="47"/>
      <c r="N1777" s="47"/>
      <c r="O1777" s="47"/>
      <c r="P1777" s="47"/>
    </row>
    <row r="1778" spans="1:16" x14ac:dyDescent="0.3">
      <c r="A1778" s="1">
        <v>1777</v>
      </c>
      <c r="G1778" s="4"/>
      <c r="H1778" s="4"/>
      <c r="I1778" s="47"/>
      <c r="J1778" s="47" t="str">
        <f t="shared" si="40"/>
        <v/>
      </c>
      <c r="K1778" s="47"/>
      <c r="L1778" s="47"/>
      <c r="N1778" s="47"/>
      <c r="O1778" s="47"/>
      <c r="P1778" s="47"/>
    </row>
    <row r="1779" spans="1:16" x14ac:dyDescent="0.3">
      <c r="A1779" s="1">
        <v>1778</v>
      </c>
      <c r="G1779" s="4"/>
      <c r="H1779" s="4"/>
      <c r="I1779" s="47"/>
      <c r="J1779" s="47" t="str">
        <f t="shared" si="40"/>
        <v/>
      </c>
      <c r="K1779" s="47"/>
      <c r="L1779" s="47"/>
      <c r="N1779" s="47"/>
      <c r="O1779" s="47"/>
      <c r="P1779" s="47"/>
    </row>
    <row r="1780" spans="1:16" x14ac:dyDescent="0.3">
      <c r="A1780" s="1">
        <v>1779</v>
      </c>
      <c r="G1780" s="4"/>
      <c r="H1780" s="4"/>
      <c r="I1780" s="47"/>
      <c r="J1780" s="47" t="str">
        <f t="shared" si="40"/>
        <v/>
      </c>
      <c r="K1780" s="47"/>
      <c r="L1780" s="47"/>
      <c r="N1780" s="47"/>
      <c r="O1780" s="47"/>
      <c r="P1780" s="47"/>
    </row>
    <row r="1781" spans="1:16" x14ac:dyDescent="0.3">
      <c r="A1781" s="1">
        <v>1780</v>
      </c>
      <c r="G1781" s="4"/>
      <c r="H1781" s="4"/>
      <c r="I1781" s="47"/>
      <c r="J1781" s="47" t="str">
        <f t="shared" si="40"/>
        <v/>
      </c>
      <c r="K1781" s="47"/>
      <c r="L1781" s="47"/>
      <c r="N1781" s="47"/>
      <c r="O1781" s="47"/>
      <c r="P1781" s="47"/>
    </row>
    <row r="1782" spans="1:16" x14ac:dyDescent="0.3">
      <c r="A1782" s="1">
        <v>1781</v>
      </c>
      <c r="G1782" s="4"/>
      <c r="H1782" s="4"/>
      <c r="I1782" s="47"/>
      <c r="J1782" s="47" t="str">
        <f t="shared" si="40"/>
        <v/>
      </c>
      <c r="K1782" s="47"/>
      <c r="L1782" s="47"/>
      <c r="N1782" s="47"/>
      <c r="O1782" s="47"/>
      <c r="P1782" s="47"/>
    </row>
    <row r="1783" spans="1:16" x14ac:dyDescent="0.3">
      <c r="A1783" s="1">
        <v>1782</v>
      </c>
      <c r="G1783" s="4"/>
      <c r="H1783" s="4"/>
      <c r="I1783" s="47"/>
      <c r="J1783" s="47" t="str">
        <f t="shared" si="40"/>
        <v/>
      </c>
      <c r="K1783" s="47"/>
      <c r="L1783" s="47"/>
      <c r="N1783" s="47"/>
      <c r="O1783" s="47"/>
      <c r="P1783" s="47"/>
    </row>
    <row r="1784" spans="1:16" x14ac:dyDescent="0.3">
      <c r="A1784" s="1">
        <v>1783</v>
      </c>
      <c r="G1784" s="4"/>
      <c r="H1784" s="4"/>
      <c r="I1784" s="47"/>
      <c r="J1784" s="47" t="str">
        <f t="shared" si="40"/>
        <v/>
      </c>
      <c r="K1784" s="47"/>
      <c r="L1784" s="47"/>
      <c r="N1784" s="47"/>
      <c r="O1784" s="47"/>
      <c r="P1784" s="47"/>
    </row>
    <row r="1785" spans="1:16" x14ac:dyDescent="0.3">
      <c r="A1785" s="1">
        <v>1784</v>
      </c>
      <c r="G1785" s="4"/>
      <c r="H1785" s="4"/>
      <c r="I1785" s="47"/>
      <c r="J1785" s="47" t="str">
        <f t="shared" si="40"/>
        <v/>
      </c>
      <c r="K1785" s="47"/>
      <c r="L1785" s="47"/>
      <c r="N1785" s="47"/>
      <c r="O1785" s="47"/>
      <c r="P1785" s="47"/>
    </row>
    <row r="1786" spans="1:16" x14ac:dyDescent="0.3">
      <c r="A1786" s="1">
        <v>1785</v>
      </c>
      <c r="G1786" s="4"/>
      <c r="H1786" s="4"/>
      <c r="I1786" s="47"/>
      <c r="J1786" s="47" t="str">
        <f t="shared" si="40"/>
        <v/>
      </c>
      <c r="K1786" s="47"/>
      <c r="L1786" s="47"/>
      <c r="N1786" s="47"/>
      <c r="O1786" s="47"/>
      <c r="P1786" s="47"/>
    </row>
    <row r="1787" spans="1:16" x14ac:dyDescent="0.3">
      <c r="A1787" s="1">
        <v>1786</v>
      </c>
      <c r="G1787" s="4"/>
      <c r="H1787" s="4"/>
      <c r="I1787" s="47"/>
      <c r="J1787" s="47" t="str">
        <f t="shared" si="40"/>
        <v/>
      </c>
      <c r="K1787" s="47"/>
      <c r="L1787" s="47"/>
      <c r="N1787" s="47"/>
      <c r="O1787" s="47"/>
      <c r="P1787" s="47"/>
    </row>
    <row r="1788" spans="1:16" x14ac:dyDescent="0.3">
      <c r="A1788" s="1">
        <v>1787</v>
      </c>
      <c r="G1788" s="4"/>
      <c r="H1788" s="4"/>
      <c r="I1788" s="47"/>
      <c r="J1788" s="47" t="str">
        <f t="shared" si="40"/>
        <v/>
      </c>
      <c r="K1788" s="47"/>
      <c r="L1788" s="47"/>
      <c r="N1788" s="47"/>
      <c r="O1788" s="47"/>
      <c r="P1788" s="47"/>
    </row>
    <row r="1789" spans="1:16" x14ac:dyDescent="0.3">
      <c r="A1789" s="1">
        <v>1788</v>
      </c>
      <c r="G1789" s="4"/>
      <c r="H1789" s="4"/>
      <c r="I1789" s="47"/>
      <c r="J1789" s="47" t="str">
        <f t="shared" si="40"/>
        <v/>
      </c>
      <c r="K1789" s="47"/>
      <c r="L1789" s="47"/>
      <c r="N1789" s="47"/>
      <c r="O1789" s="47"/>
      <c r="P1789" s="47"/>
    </row>
    <row r="1790" spans="1:16" x14ac:dyDescent="0.3">
      <c r="A1790" s="1">
        <v>1789</v>
      </c>
      <c r="G1790" s="4"/>
      <c r="H1790" s="4"/>
      <c r="I1790" s="47"/>
      <c r="J1790" s="47" t="str">
        <f t="shared" si="40"/>
        <v/>
      </c>
      <c r="K1790" s="47"/>
      <c r="L1790" s="47"/>
      <c r="N1790" s="47"/>
      <c r="O1790" s="47"/>
      <c r="P1790" s="47"/>
    </row>
    <row r="1791" spans="1:16" x14ac:dyDescent="0.3">
      <c r="A1791" s="1">
        <v>1790</v>
      </c>
      <c r="G1791" s="4"/>
      <c r="H1791" s="4"/>
      <c r="I1791" s="47"/>
      <c r="J1791" s="47" t="str">
        <f t="shared" si="40"/>
        <v/>
      </c>
      <c r="K1791" s="47"/>
      <c r="L1791" s="47"/>
      <c r="N1791" s="47"/>
      <c r="O1791" s="47"/>
      <c r="P1791" s="47"/>
    </row>
    <row r="1792" spans="1:16" x14ac:dyDescent="0.3">
      <c r="A1792" s="1">
        <v>1791</v>
      </c>
      <c r="G1792" s="4"/>
      <c r="H1792" s="4"/>
      <c r="I1792" s="47"/>
      <c r="J1792" s="47" t="str">
        <f t="shared" si="40"/>
        <v/>
      </c>
      <c r="K1792" s="47"/>
      <c r="L1792" s="47"/>
      <c r="N1792" s="47"/>
      <c r="O1792" s="47"/>
      <c r="P1792" s="47"/>
    </row>
    <row r="1793" spans="1:16" x14ac:dyDescent="0.3">
      <c r="A1793" s="1">
        <v>1792</v>
      </c>
      <c r="G1793" s="4"/>
      <c r="H1793" s="4"/>
      <c r="I1793" s="47"/>
      <c r="J1793" s="47" t="str">
        <f t="shared" si="40"/>
        <v/>
      </c>
      <c r="K1793" s="47"/>
      <c r="L1793" s="47"/>
      <c r="N1793" s="47"/>
      <c r="O1793" s="47"/>
      <c r="P1793" s="47"/>
    </row>
    <row r="1794" spans="1:16" x14ac:dyDescent="0.3">
      <c r="A1794" s="1">
        <v>1793</v>
      </c>
      <c r="G1794" s="4"/>
      <c r="H1794" s="4"/>
      <c r="I1794" s="47"/>
      <c r="J1794" s="47" t="str">
        <f t="shared" si="40"/>
        <v/>
      </c>
      <c r="K1794" s="47"/>
      <c r="L1794" s="47"/>
      <c r="N1794" s="47"/>
      <c r="O1794" s="47"/>
      <c r="P1794" s="47"/>
    </row>
    <row r="1795" spans="1:16" x14ac:dyDescent="0.3">
      <c r="A1795" s="1">
        <v>1794</v>
      </c>
      <c r="G1795" s="4"/>
      <c r="H1795" s="4"/>
      <c r="I1795" s="47"/>
      <c r="J1795" s="47" t="str">
        <f t="shared" ref="J1795:J1858" si="41">+E1795&amp;I1795</f>
        <v/>
      </c>
      <c r="K1795" s="47"/>
      <c r="L1795" s="47"/>
      <c r="N1795" s="47"/>
      <c r="O1795" s="47"/>
      <c r="P1795" s="47"/>
    </row>
    <row r="1796" spans="1:16" x14ac:dyDescent="0.3">
      <c r="A1796" s="1">
        <v>1795</v>
      </c>
      <c r="G1796" s="4"/>
      <c r="H1796" s="4"/>
      <c r="I1796" s="47"/>
      <c r="J1796" s="47" t="str">
        <f t="shared" si="41"/>
        <v/>
      </c>
      <c r="K1796" s="47"/>
      <c r="L1796" s="47"/>
      <c r="N1796" s="47"/>
      <c r="O1796" s="47"/>
      <c r="P1796" s="47"/>
    </row>
    <row r="1797" spans="1:16" x14ac:dyDescent="0.3">
      <c r="A1797" s="1">
        <v>1796</v>
      </c>
      <c r="G1797" s="4"/>
      <c r="H1797" s="4"/>
      <c r="I1797" s="47"/>
      <c r="J1797" s="47" t="str">
        <f t="shared" si="41"/>
        <v/>
      </c>
      <c r="K1797" s="47"/>
      <c r="L1797" s="47"/>
      <c r="N1797" s="47"/>
      <c r="O1797" s="47"/>
      <c r="P1797" s="47"/>
    </row>
    <row r="1798" spans="1:16" x14ac:dyDescent="0.3">
      <c r="A1798" s="1">
        <v>1797</v>
      </c>
      <c r="G1798" s="4"/>
      <c r="H1798" s="4"/>
      <c r="I1798" s="47"/>
      <c r="J1798" s="47" t="str">
        <f t="shared" si="41"/>
        <v/>
      </c>
      <c r="K1798" s="47"/>
      <c r="L1798" s="47"/>
      <c r="N1798" s="47"/>
      <c r="O1798" s="47"/>
      <c r="P1798" s="47"/>
    </row>
    <row r="1799" spans="1:16" x14ac:dyDescent="0.3">
      <c r="A1799" s="1">
        <v>1798</v>
      </c>
      <c r="G1799" s="4"/>
      <c r="H1799" s="4"/>
      <c r="I1799" s="47"/>
      <c r="J1799" s="47" t="str">
        <f t="shared" si="41"/>
        <v/>
      </c>
      <c r="K1799" s="47"/>
      <c r="L1799" s="47"/>
      <c r="N1799" s="47"/>
      <c r="O1799" s="47"/>
      <c r="P1799" s="47"/>
    </row>
    <row r="1800" spans="1:16" x14ac:dyDescent="0.3">
      <c r="A1800" s="1">
        <v>1799</v>
      </c>
      <c r="G1800" s="4"/>
      <c r="H1800" s="4"/>
      <c r="I1800" s="47"/>
      <c r="J1800" s="47" t="str">
        <f t="shared" si="41"/>
        <v/>
      </c>
      <c r="K1800" s="47"/>
      <c r="L1800" s="47"/>
      <c r="N1800" s="47"/>
      <c r="O1800" s="47"/>
      <c r="P1800" s="47"/>
    </row>
    <row r="1801" spans="1:16" x14ac:dyDescent="0.3">
      <c r="A1801" s="1">
        <v>1800</v>
      </c>
      <c r="G1801" s="4"/>
      <c r="H1801" s="4"/>
      <c r="I1801" s="47"/>
      <c r="J1801" s="47" t="str">
        <f t="shared" si="41"/>
        <v/>
      </c>
      <c r="K1801" s="47"/>
      <c r="L1801" s="47"/>
      <c r="N1801" s="47"/>
      <c r="O1801" s="47"/>
      <c r="P1801" s="47"/>
    </row>
    <row r="1802" spans="1:16" x14ac:dyDescent="0.3">
      <c r="A1802" s="1">
        <v>1801</v>
      </c>
      <c r="G1802" s="4"/>
      <c r="H1802" s="4"/>
      <c r="I1802" s="47"/>
      <c r="J1802" s="47" t="str">
        <f t="shared" si="41"/>
        <v/>
      </c>
      <c r="K1802" s="47"/>
      <c r="L1802" s="47"/>
      <c r="N1802" s="47"/>
      <c r="O1802" s="47"/>
      <c r="P1802" s="47"/>
    </row>
    <row r="1803" spans="1:16" x14ac:dyDescent="0.3">
      <c r="A1803" s="1">
        <v>1802</v>
      </c>
      <c r="G1803" s="4"/>
      <c r="H1803" s="4"/>
      <c r="I1803" s="47"/>
      <c r="J1803" s="47" t="str">
        <f t="shared" si="41"/>
        <v/>
      </c>
      <c r="K1803" s="47"/>
      <c r="L1803" s="47"/>
      <c r="N1803" s="47"/>
      <c r="O1803" s="47"/>
      <c r="P1803" s="47"/>
    </row>
    <row r="1804" spans="1:16" x14ac:dyDescent="0.3">
      <c r="A1804" s="1">
        <v>1803</v>
      </c>
      <c r="G1804" s="4"/>
      <c r="H1804" s="4"/>
      <c r="I1804" s="47"/>
      <c r="J1804" s="47" t="str">
        <f t="shared" si="41"/>
        <v/>
      </c>
      <c r="K1804" s="47"/>
      <c r="L1804" s="47"/>
      <c r="N1804" s="47"/>
      <c r="O1804" s="47"/>
      <c r="P1804" s="47"/>
    </row>
    <row r="1805" spans="1:16" x14ac:dyDescent="0.3">
      <c r="A1805" s="1">
        <v>1804</v>
      </c>
      <c r="G1805" s="4"/>
      <c r="H1805" s="4"/>
      <c r="I1805" s="47"/>
      <c r="J1805" s="47" t="str">
        <f t="shared" si="41"/>
        <v/>
      </c>
      <c r="K1805" s="47"/>
      <c r="L1805" s="47"/>
      <c r="N1805" s="47"/>
      <c r="O1805" s="47"/>
      <c r="P1805" s="47"/>
    </row>
    <row r="1806" spans="1:16" x14ac:dyDescent="0.3">
      <c r="A1806" s="1">
        <v>1805</v>
      </c>
      <c r="G1806" s="4"/>
      <c r="H1806" s="4"/>
      <c r="I1806" s="47"/>
      <c r="J1806" s="47" t="str">
        <f t="shared" si="41"/>
        <v/>
      </c>
      <c r="K1806" s="47"/>
      <c r="L1806" s="47"/>
      <c r="N1806" s="47"/>
      <c r="O1806" s="47"/>
      <c r="P1806" s="47"/>
    </row>
    <row r="1807" spans="1:16" x14ac:dyDescent="0.3">
      <c r="A1807" s="1">
        <v>1806</v>
      </c>
      <c r="G1807" s="4"/>
      <c r="H1807" s="4"/>
      <c r="I1807" s="47"/>
      <c r="J1807" s="47" t="str">
        <f t="shared" si="41"/>
        <v/>
      </c>
      <c r="K1807" s="47"/>
      <c r="L1807" s="47"/>
      <c r="N1807" s="47"/>
      <c r="O1807" s="47"/>
      <c r="P1807" s="47"/>
    </row>
    <row r="1808" spans="1:16" x14ac:dyDescent="0.3">
      <c r="A1808" s="1">
        <v>1807</v>
      </c>
      <c r="G1808" s="4"/>
      <c r="H1808" s="4"/>
      <c r="I1808" s="47"/>
      <c r="J1808" s="47" t="str">
        <f t="shared" si="41"/>
        <v/>
      </c>
      <c r="K1808" s="47"/>
      <c r="L1808" s="47"/>
      <c r="N1808" s="47"/>
      <c r="O1808" s="47"/>
      <c r="P1808" s="47"/>
    </row>
    <row r="1809" spans="1:16" x14ac:dyDescent="0.3">
      <c r="A1809" s="1">
        <v>1808</v>
      </c>
      <c r="G1809" s="4"/>
      <c r="H1809" s="4"/>
      <c r="I1809" s="47"/>
      <c r="J1809" s="47" t="str">
        <f t="shared" si="41"/>
        <v/>
      </c>
      <c r="K1809" s="47"/>
      <c r="L1809" s="47"/>
      <c r="N1809" s="47"/>
      <c r="O1809" s="47"/>
      <c r="P1809" s="47"/>
    </row>
    <row r="1810" spans="1:16" x14ac:dyDescent="0.3">
      <c r="A1810" s="1">
        <v>1809</v>
      </c>
      <c r="G1810" s="4"/>
      <c r="H1810" s="4"/>
      <c r="I1810" s="47"/>
      <c r="J1810" s="47" t="str">
        <f t="shared" si="41"/>
        <v/>
      </c>
      <c r="K1810" s="47"/>
      <c r="L1810" s="47"/>
      <c r="N1810" s="47"/>
      <c r="O1810" s="47"/>
      <c r="P1810" s="47"/>
    </row>
    <row r="1811" spans="1:16" x14ac:dyDescent="0.3">
      <c r="A1811" s="1">
        <v>1810</v>
      </c>
      <c r="G1811" s="4"/>
      <c r="H1811" s="4"/>
      <c r="I1811" s="47"/>
      <c r="J1811" s="47" t="str">
        <f t="shared" si="41"/>
        <v/>
      </c>
      <c r="K1811" s="47"/>
      <c r="L1811" s="47"/>
      <c r="N1811" s="47"/>
      <c r="O1811" s="47"/>
      <c r="P1811" s="47"/>
    </row>
    <row r="1812" spans="1:16" x14ac:dyDescent="0.3">
      <c r="A1812" s="1">
        <v>1811</v>
      </c>
      <c r="G1812" s="4"/>
      <c r="H1812" s="4"/>
      <c r="I1812" s="47"/>
      <c r="J1812" s="47" t="str">
        <f t="shared" si="41"/>
        <v/>
      </c>
      <c r="K1812" s="47"/>
      <c r="L1812" s="47"/>
      <c r="N1812" s="47"/>
      <c r="O1812" s="47"/>
      <c r="P1812" s="47"/>
    </row>
    <row r="1813" spans="1:16" x14ac:dyDescent="0.3">
      <c r="A1813" s="1">
        <v>1812</v>
      </c>
      <c r="G1813" s="4"/>
      <c r="H1813" s="4"/>
      <c r="I1813" s="47"/>
      <c r="J1813" s="47" t="str">
        <f t="shared" si="41"/>
        <v/>
      </c>
      <c r="K1813" s="47"/>
      <c r="L1813" s="47"/>
      <c r="N1813" s="47"/>
      <c r="O1813" s="47"/>
      <c r="P1813" s="47"/>
    </row>
    <row r="1814" spans="1:16" x14ac:dyDescent="0.3">
      <c r="A1814" s="1">
        <v>1813</v>
      </c>
      <c r="G1814" s="4"/>
      <c r="H1814" s="4"/>
      <c r="I1814" s="47"/>
      <c r="J1814" s="47" t="str">
        <f t="shared" si="41"/>
        <v/>
      </c>
      <c r="K1814" s="47"/>
      <c r="L1814" s="47"/>
      <c r="N1814" s="47"/>
      <c r="O1814" s="47"/>
      <c r="P1814" s="47"/>
    </row>
    <row r="1815" spans="1:16" x14ac:dyDescent="0.3">
      <c r="A1815" s="1">
        <v>1814</v>
      </c>
      <c r="G1815" s="4"/>
      <c r="H1815" s="4"/>
      <c r="I1815" s="47"/>
      <c r="J1815" s="47" t="str">
        <f t="shared" si="41"/>
        <v/>
      </c>
      <c r="K1815" s="47"/>
      <c r="L1815" s="47"/>
      <c r="N1815" s="47"/>
      <c r="O1815" s="47"/>
      <c r="P1815" s="47"/>
    </row>
    <row r="1816" spans="1:16" x14ac:dyDescent="0.3">
      <c r="A1816" s="1">
        <v>1815</v>
      </c>
      <c r="G1816" s="4"/>
      <c r="H1816" s="4"/>
      <c r="I1816" s="47"/>
      <c r="J1816" s="47" t="str">
        <f t="shared" si="41"/>
        <v/>
      </c>
      <c r="K1816" s="47"/>
      <c r="L1816" s="47"/>
      <c r="N1816" s="47"/>
      <c r="O1816" s="47"/>
      <c r="P1816" s="47"/>
    </row>
    <row r="1817" spans="1:16" x14ac:dyDescent="0.3">
      <c r="A1817" s="1">
        <v>1816</v>
      </c>
      <c r="G1817" s="4"/>
      <c r="H1817" s="4"/>
      <c r="I1817" s="47"/>
      <c r="J1817" s="47" t="str">
        <f t="shared" si="41"/>
        <v/>
      </c>
      <c r="K1817" s="47"/>
      <c r="L1817" s="47"/>
      <c r="N1817" s="47"/>
      <c r="O1817" s="47"/>
      <c r="P1817" s="47"/>
    </row>
    <row r="1818" spans="1:16" x14ac:dyDescent="0.3">
      <c r="A1818" s="1">
        <v>1817</v>
      </c>
      <c r="G1818" s="4"/>
      <c r="H1818" s="4"/>
      <c r="I1818" s="47"/>
      <c r="J1818" s="47" t="str">
        <f t="shared" si="41"/>
        <v/>
      </c>
      <c r="K1818" s="47"/>
      <c r="L1818" s="47"/>
      <c r="N1818" s="47"/>
      <c r="O1818" s="47"/>
      <c r="P1818" s="47"/>
    </row>
    <row r="1819" spans="1:16" x14ac:dyDescent="0.3">
      <c r="A1819" s="1">
        <v>1818</v>
      </c>
      <c r="G1819" s="4"/>
      <c r="H1819" s="4"/>
      <c r="I1819" s="47"/>
      <c r="J1819" s="47" t="str">
        <f t="shared" si="41"/>
        <v/>
      </c>
      <c r="K1819" s="47"/>
      <c r="L1819" s="47"/>
      <c r="N1819" s="47"/>
      <c r="O1819" s="47"/>
      <c r="P1819" s="47"/>
    </row>
    <row r="1820" spans="1:16" x14ac:dyDescent="0.3">
      <c r="A1820" s="1">
        <v>1819</v>
      </c>
      <c r="G1820" s="4"/>
      <c r="H1820" s="4"/>
      <c r="I1820" s="47"/>
      <c r="J1820" s="47" t="str">
        <f t="shared" si="41"/>
        <v/>
      </c>
      <c r="K1820" s="47"/>
      <c r="L1820" s="47"/>
      <c r="N1820" s="47"/>
      <c r="O1820" s="47"/>
      <c r="P1820" s="47"/>
    </row>
    <row r="1821" spans="1:16" x14ac:dyDescent="0.3">
      <c r="A1821" s="1">
        <v>1820</v>
      </c>
      <c r="G1821" s="4"/>
      <c r="H1821" s="4"/>
      <c r="I1821" s="47"/>
      <c r="J1821" s="47" t="str">
        <f t="shared" si="41"/>
        <v/>
      </c>
      <c r="K1821" s="47"/>
      <c r="L1821" s="47"/>
      <c r="N1821" s="47"/>
      <c r="O1821" s="47"/>
      <c r="P1821" s="47"/>
    </row>
    <row r="1822" spans="1:16" x14ac:dyDescent="0.3">
      <c r="A1822" s="1">
        <v>1821</v>
      </c>
      <c r="G1822" s="4"/>
      <c r="H1822" s="4"/>
      <c r="I1822" s="47"/>
      <c r="J1822" s="47" t="str">
        <f t="shared" si="41"/>
        <v/>
      </c>
      <c r="K1822" s="47"/>
      <c r="L1822" s="47"/>
      <c r="N1822" s="47"/>
      <c r="O1822" s="47"/>
      <c r="P1822" s="47"/>
    </row>
    <row r="1823" spans="1:16" x14ac:dyDescent="0.3">
      <c r="A1823" s="1">
        <v>1822</v>
      </c>
      <c r="G1823" s="4"/>
      <c r="H1823" s="4"/>
      <c r="I1823" s="47"/>
      <c r="J1823" s="47" t="str">
        <f t="shared" si="41"/>
        <v/>
      </c>
      <c r="K1823" s="47"/>
      <c r="L1823" s="47"/>
      <c r="N1823" s="47"/>
      <c r="O1823" s="47"/>
      <c r="P1823" s="47"/>
    </row>
    <row r="1824" spans="1:16" x14ac:dyDescent="0.3">
      <c r="A1824" s="1">
        <v>1823</v>
      </c>
      <c r="G1824" s="4"/>
      <c r="H1824" s="4"/>
      <c r="I1824" s="47"/>
      <c r="J1824" s="47" t="str">
        <f t="shared" si="41"/>
        <v/>
      </c>
      <c r="K1824" s="47"/>
      <c r="L1824" s="47"/>
      <c r="N1824" s="47"/>
      <c r="O1824" s="47"/>
      <c r="P1824" s="47"/>
    </row>
    <row r="1825" spans="1:16" x14ac:dyDescent="0.3">
      <c r="A1825" s="1">
        <v>1824</v>
      </c>
      <c r="G1825" s="4"/>
      <c r="H1825" s="4"/>
      <c r="I1825" s="47"/>
      <c r="J1825" s="47" t="str">
        <f t="shared" si="41"/>
        <v/>
      </c>
      <c r="K1825" s="47"/>
      <c r="L1825" s="47"/>
      <c r="N1825" s="47"/>
      <c r="O1825" s="47"/>
      <c r="P1825" s="47"/>
    </row>
    <row r="1826" spans="1:16" x14ac:dyDescent="0.3">
      <c r="A1826" s="1">
        <v>1825</v>
      </c>
      <c r="G1826" s="4"/>
      <c r="H1826" s="4"/>
      <c r="I1826" s="47"/>
      <c r="J1826" s="47" t="str">
        <f t="shared" si="41"/>
        <v/>
      </c>
      <c r="K1826" s="47"/>
      <c r="L1826" s="47"/>
      <c r="N1826" s="47"/>
      <c r="O1826" s="47"/>
      <c r="P1826" s="47"/>
    </row>
    <row r="1827" spans="1:16" x14ac:dyDescent="0.3">
      <c r="A1827" s="1">
        <v>1826</v>
      </c>
      <c r="G1827" s="4"/>
      <c r="H1827" s="4"/>
      <c r="I1827" s="47"/>
      <c r="J1827" s="47" t="str">
        <f t="shared" si="41"/>
        <v/>
      </c>
      <c r="K1827" s="47"/>
      <c r="L1827" s="47"/>
      <c r="N1827" s="47"/>
      <c r="O1827" s="47"/>
      <c r="P1827" s="47"/>
    </row>
    <row r="1828" spans="1:16" x14ac:dyDescent="0.3">
      <c r="A1828" s="1">
        <v>1827</v>
      </c>
      <c r="G1828" s="4"/>
      <c r="H1828" s="4"/>
      <c r="I1828" s="47"/>
      <c r="J1828" s="47" t="str">
        <f t="shared" si="41"/>
        <v/>
      </c>
      <c r="K1828" s="47"/>
      <c r="L1828" s="47"/>
      <c r="N1828" s="47"/>
      <c r="O1828" s="47"/>
      <c r="P1828" s="47"/>
    </row>
    <row r="1829" spans="1:16" x14ac:dyDescent="0.3">
      <c r="A1829" s="1">
        <v>1828</v>
      </c>
      <c r="G1829" s="4"/>
      <c r="H1829" s="4"/>
      <c r="I1829" s="47"/>
      <c r="J1829" s="47" t="str">
        <f t="shared" si="41"/>
        <v/>
      </c>
      <c r="K1829" s="47"/>
      <c r="L1829" s="47"/>
      <c r="N1829" s="47"/>
      <c r="O1829" s="47"/>
      <c r="P1829" s="47"/>
    </row>
    <row r="1830" spans="1:16" x14ac:dyDescent="0.3">
      <c r="A1830" s="1">
        <v>1829</v>
      </c>
      <c r="G1830" s="4"/>
      <c r="H1830" s="4"/>
      <c r="I1830" s="47"/>
      <c r="J1830" s="47" t="str">
        <f t="shared" si="41"/>
        <v/>
      </c>
      <c r="K1830" s="47"/>
      <c r="L1830" s="47"/>
      <c r="N1830" s="47"/>
      <c r="O1830" s="47"/>
      <c r="P1830" s="47"/>
    </row>
    <row r="1831" spans="1:16" x14ac:dyDescent="0.3">
      <c r="A1831" s="1">
        <v>1830</v>
      </c>
      <c r="G1831" s="4"/>
      <c r="H1831" s="4"/>
      <c r="I1831" s="47"/>
      <c r="J1831" s="47" t="str">
        <f t="shared" si="41"/>
        <v/>
      </c>
      <c r="K1831" s="47"/>
      <c r="L1831" s="47"/>
      <c r="N1831" s="47"/>
      <c r="O1831" s="47"/>
      <c r="P1831" s="47"/>
    </row>
    <row r="1832" spans="1:16" x14ac:dyDescent="0.3">
      <c r="A1832" s="1">
        <v>1831</v>
      </c>
      <c r="G1832" s="4"/>
      <c r="H1832" s="4"/>
      <c r="I1832" s="47"/>
      <c r="J1832" s="47" t="str">
        <f t="shared" si="41"/>
        <v/>
      </c>
      <c r="K1832" s="47"/>
      <c r="L1832" s="47"/>
      <c r="N1832" s="47"/>
      <c r="O1832" s="47"/>
      <c r="P1832" s="47"/>
    </row>
    <row r="1833" spans="1:16" x14ac:dyDescent="0.3">
      <c r="A1833" s="1">
        <v>1832</v>
      </c>
      <c r="G1833" s="4"/>
      <c r="H1833" s="4"/>
      <c r="I1833" s="47"/>
      <c r="J1833" s="47" t="str">
        <f t="shared" si="41"/>
        <v/>
      </c>
      <c r="K1833" s="47"/>
      <c r="L1833" s="47"/>
      <c r="N1833" s="47"/>
      <c r="O1833" s="47"/>
      <c r="P1833" s="47"/>
    </row>
    <row r="1834" spans="1:16" x14ac:dyDescent="0.3">
      <c r="A1834" s="1">
        <v>1833</v>
      </c>
      <c r="G1834" s="4"/>
      <c r="H1834" s="4"/>
      <c r="I1834" s="47"/>
      <c r="J1834" s="47" t="str">
        <f t="shared" si="41"/>
        <v/>
      </c>
      <c r="K1834" s="47"/>
      <c r="L1834" s="47"/>
      <c r="N1834" s="47"/>
      <c r="O1834" s="47"/>
      <c r="P1834" s="47"/>
    </row>
    <row r="1835" spans="1:16" x14ac:dyDescent="0.3">
      <c r="A1835" s="1">
        <v>1834</v>
      </c>
      <c r="G1835" s="4"/>
      <c r="H1835" s="4"/>
      <c r="I1835" s="47"/>
      <c r="J1835" s="47" t="str">
        <f t="shared" si="41"/>
        <v/>
      </c>
      <c r="K1835" s="47"/>
      <c r="L1835" s="47"/>
      <c r="N1835" s="47"/>
      <c r="O1835" s="47"/>
      <c r="P1835" s="47"/>
    </row>
    <row r="1836" spans="1:16" x14ac:dyDescent="0.3">
      <c r="A1836" s="1">
        <v>1835</v>
      </c>
      <c r="G1836" s="4"/>
      <c r="H1836" s="4"/>
      <c r="I1836" s="47"/>
      <c r="J1836" s="47" t="str">
        <f t="shared" si="41"/>
        <v/>
      </c>
      <c r="K1836" s="47"/>
      <c r="L1836" s="47"/>
      <c r="N1836" s="47"/>
      <c r="O1836" s="47"/>
      <c r="P1836" s="47"/>
    </row>
    <row r="1837" spans="1:16" x14ac:dyDescent="0.3">
      <c r="A1837" s="1">
        <v>1836</v>
      </c>
      <c r="G1837" s="4"/>
      <c r="H1837" s="4"/>
      <c r="I1837" s="47"/>
      <c r="J1837" s="47" t="str">
        <f t="shared" si="41"/>
        <v/>
      </c>
      <c r="K1837" s="47"/>
      <c r="L1837" s="47"/>
      <c r="N1837" s="47"/>
      <c r="O1837" s="47"/>
      <c r="P1837" s="47"/>
    </row>
    <row r="1838" spans="1:16" x14ac:dyDescent="0.3">
      <c r="A1838" s="1">
        <v>1837</v>
      </c>
      <c r="G1838" s="4"/>
      <c r="H1838" s="4"/>
      <c r="I1838" s="47"/>
      <c r="J1838" s="47" t="str">
        <f t="shared" si="41"/>
        <v/>
      </c>
      <c r="K1838" s="47"/>
      <c r="L1838" s="47"/>
      <c r="N1838" s="47"/>
      <c r="O1838" s="47"/>
      <c r="P1838" s="47"/>
    </row>
    <row r="1839" spans="1:16" x14ac:dyDescent="0.3">
      <c r="A1839" s="1">
        <v>1838</v>
      </c>
      <c r="G1839" s="4"/>
      <c r="H1839" s="4"/>
      <c r="I1839" s="47"/>
      <c r="J1839" s="47" t="str">
        <f t="shared" si="41"/>
        <v/>
      </c>
      <c r="K1839" s="47"/>
      <c r="L1839" s="47"/>
      <c r="N1839" s="47"/>
      <c r="O1839" s="47"/>
      <c r="P1839" s="47"/>
    </row>
    <row r="1840" spans="1:16" x14ac:dyDescent="0.3">
      <c r="A1840" s="1">
        <v>1839</v>
      </c>
      <c r="G1840" s="4"/>
      <c r="H1840" s="4"/>
      <c r="I1840" s="47"/>
      <c r="J1840" s="47" t="str">
        <f t="shared" si="41"/>
        <v/>
      </c>
      <c r="K1840" s="47"/>
      <c r="L1840" s="47"/>
      <c r="N1840" s="47"/>
      <c r="O1840" s="47"/>
      <c r="P1840" s="47"/>
    </row>
    <row r="1841" spans="1:16" x14ac:dyDescent="0.3">
      <c r="A1841" s="1">
        <v>1840</v>
      </c>
      <c r="G1841" s="4"/>
      <c r="H1841" s="4"/>
      <c r="I1841" s="47"/>
      <c r="J1841" s="47" t="str">
        <f t="shared" si="41"/>
        <v/>
      </c>
      <c r="K1841" s="47"/>
      <c r="L1841" s="47"/>
      <c r="N1841" s="47"/>
      <c r="O1841" s="47"/>
      <c r="P1841" s="47"/>
    </row>
    <row r="1842" spans="1:16" x14ac:dyDescent="0.3">
      <c r="A1842" s="1">
        <v>1841</v>
      </c>
      <c r="G1842" s="4"/>
      <c r="H1842" s="4"/>
      <c r="I1842" s="47"/>
      <c r="J1842" s="47" t="str">
        <f t="shared" si="41"/>
        <v/>
      </c>
      <c r="K1842" s="47"/>
      <c r="L1842" s="47"/>
      <c r="N1842" s="47"/>
      <c r="O1842" s="47"/>
      <c r="P1842" s="47"/>
    </row>
    <row r="1843" spans="1:16" x14ac:dyDescent="0.3">
      <c r="A1843" s="1">
        <v>1842</v>
      </c>
      <c r="G1843" s="4"/>
      <c r="H1843" s="4"/>
      <c r="I1843" s="47"/>
      <c r="J1843" s="47" t="str">
        <f t="shared" si="41"/>
        <v/>
      </c>
      <c r="K1843" s="47"/>
      <c r="L1843" s="47"/>
      <c r="N1843" s="47"/>
      <c r="O1843" s="47"/>
      <c r="P1843" s="47"/>
    </row>
    <row r="1844" spans="1:16" x14ac:dyDescent="0.3">
      <c r="A1844" s="1">
        <v>1843</v>
      </c>
      <c r="G1844" s="4"/>
      <c r="H1844" s="4"/>
      <c r="I1844" s="47"/>
      <c r="J1844" s="47" t="str">
        <f t="shared" si="41"/>
        <v/>
      </c>
      <c r="K1844" s="47"/>
      <c r="L1844" s="47"/>
      <c r="N1844" s="47"/>
      <c r="O1844" s="47"/>
      <c r="P1844" s="47"/>
    </row>
    <row r="1845" spans="1:16" x14ac:dyDescent="0.3">
      <c r="A1845" s="1">
        <v>1844</v>
      </c>
      <c r="G1845" s="4"/>
      <c r="H1845" s="4"/>
      <c r="I1845" s="47"/>
      <c r="J1845" s="47" t="str">
        <f t="shared" si="41"/>
        <v/>
      </c>
      <c r="K1845" s="47"/>
      <c r="L1845" s="47"/>
      <c r="N1845" s="47"/>
      <c r="O1845" s="47"/>
      <c r="P1845" s="47"/>
    </row>
    <row r="1846" spans="1:16" x14ac:dyDescent="0.3">
      <c r="A1846" s="1">
        <v>1845</v>
      </c>
      <c r="G1846" s="4"/>
      <c r="H1846" s="4"/>
      <c r="I1846" s="47"/>
      <c r="J1846" s="47" t="str">
        <f t="shared" si="41"/>
        <v/>
      </c>
      <c r="K1846" s="47"/>
      <c r="L1846" s="47"/>
      <c r="N1846" s="47"/>
      <c r="O1846" s="47"/>
      <c r="P1846" s="47"/>
    </row>
    <row r="1847" spans="1:16" x14ac:dyDescent="0.3">
      <c r="A1847" s="1">
        <v>1846</v>
      </c>
      <c r="G1847" s="4"/>
      <c r="H1847" s="4"/>
      <c r="I1847" s="47"/>
      <c r="J1847" s="47" t="str">
        <f t="shared" si="41"/>
        <v/>
      </c>
      <c r="K1847" s="47"/>
      <c r="L1847" s="47"/>
      <c r="N1847" s="47"/>
      <c r="O1847" s="47"/>
      <c r="P1847" s="47"/>
    </row>
    <row r="1848" spans="1:16" x14ac:dyDescent="0.3">
      <c r="A1848" s="1">
        <v>1847</v>
      </c>
      <c r="G1848" s="4"/>
      <c r="H1848" s="4"/>
      <c r="I1848" s="47"/>
      <c r="J1848" s="47" t="str">
        <f t="shared" si="41"/>
        <v/>
      </c>
      <c r="K1848" s="47"/>
      <c r="L1848" s="47"/>
      <c r="N1848" s="47"/>
      <c r="O1848" s="47"/>
      <c r="P1848" s="47"/>
    </row>
    <row r="1849" spans="1:16" x14ac:dyDescent="0.3">
      <c r="A1849" s="1">
        <v>1848</v>
      </c>
      <c r="G1849" s="4"/>
      <c r="H1849" s="4"/>
      <c r="I1849" s="47"/>
      <c r="J1849" s="47" t="str">
        <f t="shared" si="41"/>
        <v/>
      </c>
      <c r="K1849" s="47"/>
      <c r="L1849" s="47"/>
      <c r="N1849" s="47"/>
      <c r="O1849" s="47"/>
      <c r="P1849" s="47"/>
    </row>
    <row r="1850" spans="1:16" x14ac:dyDescent="0.3">
      <c r="A1850" s="1">
        <v>1849</v>
      </c>
      <c r="G1850" s="4"/>
      <c r="H1850" s="4"/>
      <c r="I1850" s="47"/>
      <c r="J1850" s="47" t="str">
        <f t="shared" si="41"/>
        <v/>
      </c>
      <c r="K1850" s="47"/>
      <c r="L1850" s="47"/>
      <c r="N1850" s="47"/>
      <c r="O1850" s="47"/>
      <c r="P1850" s="47"/>
    </row>
    <row r="1851" spans="1:16" x14ac:dyDescent="0.3">
      <c r="A1851" s="1">
        <v>1850</v>
      </c>
      <c r="G1851" s="4"/>
      <c r="H1851" s="4"/>
      <c r="I1851" s="47"/>
      <c r="J1851" s="47" t="str">
        <f t="shared" si="41"/>
        <v/>
      </c>
      <c r="K1851" s="47"/>
      <c r="L1851" s="47"/>
      <c r="N1851" s="47"/>
      <c r="O1851" s="47"/>
      <c r="P1851" s="47"/>
    </row>
    <row r="1852" spans="1:16" x14ac:dyDescent="0.3">
      <c r="A1852" s="1">
        <v>1851</v>
      </c>
      <c r="G1852" s="4"/>
      <c r="H1852" s="4"/>
      <c r="I1852" s="47"/>
      <c r="J1852" s="47" t="str">
        <f t="shared" si="41"/>
        <v/>
      </c>
      <c r="K1852" s="47"/>
      <c r="L1852" s="47"/>
      <c r="N1852" s="47"/>
      <c r="O1852" s="47"/>
      <c r="P1852" s="47"/>
    </row>
    <row r="1853" spans="1:16" x14ac:dyDescent="0.3">
      <c r="A1853" s="1">
        <v>1852</v>
      </c>
      <c r="G1853" s="4"/>
      <c r="H1853" s="4"/>
      <c r="I1853" s="47"/>
      <c r="J1853" s="47" t="str">
        <f t="shared" si="41"/>
        <v/>
      </c>
      <c r="K1853" s="47"/>
      <c r="L1853" s="47"/>
      <c r="N1853" s="47"/>
      <c r="O1853" s="47"/>
      <c r="P1853" s="47"/>
    </row>
    <row r="1854" spans="1:16" x14ac:dyDescent="0.3">
      <c r="A1854" s="1">
        <v>1853</v>
      </c>
      <c r="G1854" s="4"/>
      <c r="H1854" s="4"/>
      <c r="I1854" s="47"/>
      <c r="J1854" s="47" t="str">
        <f t="shared" si="41"/>
        <v/>
      </c>
      <c r="K1854" s="47"/>
      <c r="L1854" s="47"/>
      <c r="N1854" s="47"/>
      <c r="O1854" s="47"/>
      <c r="P1854" s="47"/>
    </row>
    <row r="1855" spans="1:16" x14ac:dyDescent="0.3">
      <c r="A1855" s="1">
        <v>1854</v>
      </c>
      <c r="G1855" s="4"/>
      <c r="H1855" s="4"/>
      <c r="I1855" s="47"/>
      <c r="J1855" s="47" t="str">
        <f t="shared" si="41"/>
        <v/>
      </c>
      <c r="K1855" s="47"/>
      <c r="L1855" s="47"/>
      <c r="N1855" s="47"/>
      <c r="O1855" s="47"/>
      <c r="P1855" s="47"/>
    </row>
    <row r="1856" spans="1:16" x14ac:dyDescent="0.3">
      <c r="A1856" s="1">
        <v>1855</v>
      </c>
      <c r="G1856" s="4"/>
      <c r="H1856" s="4"/>
      <c r="I1856" s="47"/>
      <c r="J1856" s="47" t="str">
        <f t="shared" si="41"/>
        <v/>
      </c>
      <c r="K1856" s="47"/>
      <c r="L1856" s="47"/>
      <c r="N1856" s="47"/>
      <c r="O1856" s="47"/>
      <c r="P1856" s="47"/>
    </row>
    <row r="1857" spans="1:16" x14ac:dyDescent="0.3">
      <c r="A1857" s="1">
        <v>1856</v>
      </c>
      <c r="G1857" s="4"/>
      <c r="H1857" s="4"/>
      <c r="I1857" s="47"/>
      <c r="J1857" s="47" t="str">
        <f t="shared" si="41"/>
        <v/>
      </c>
      <c r="K1857" s="47"/>
      <c r="L1857" s="47"/>
      <c r="N1857" s="47"/>
      <c r="O1857" s="47"/>
      <c r="P1857" s="47"/>
    </row>
    <row r="1858" spans="1:16" x14ac:dyDescent="0.3">
      <c r="A1858" s="1">
        <v>1857</v>
      </c>
      <c r="G1858" s="4"/>
      <c r="H1858" s="4"/>
      <c r="I1858" s="47"/>
      <c r="J1858" s="47" t="str">
        <f t="shared" si="41"/>
        <v/>
      </c>
      <c r="K1858" s="47"/>
      <c r="L1858" s="47"/>
      <c r="N1858" s="47"/>
      <c r="O1858" s="47"/>
      <c r="P1858" s="47"/>
    </row>
    <row r="1859" spans="1:16" x14ac:dyDescent="0.3">
      <c r="A1859" s="1">
        <v>1858</v>
      </c>
      <c r="G1859" s="4"/>
      <c r="H1859" s="4"/>
      <c r="I1859" s="47"/>
      <c r="J1859" s="47" t="str">
        <f t="shared" ref="J1859:J1922" si="42">+E1859&amp;I1859</f>
        <v/>
      </c>
      <c r="K1859" s="47"/>
      <c r="L1859" s="47"/>
      <c r="N1859" s="47"/>
      <c r="O1859" s="47"/>
      <c r="P1859" s="47"/>
    </row>
    <row r="1860" spans="1:16" x14ac:dyDescent="0.3">
      <c r="A1860" s="1">
        <v>1859</v>
      </c>
      <c r="G1860" s="4"/>
      <c r="H1860" s="4"/>
      <c r="I1860" s="47"/>
      <c r="J1860" s="47" t="str">
        <f t="shared" si="42"/>
        <v/>
      </c>
      <c r="K1860" s="47"/>
      <c r="L1860" s="47"/>
      <c r="N1860" s="47"/>
      <c r="O1860" s="47"/>
      <c r="P1860" s="47"/>
    </row>
    <row r="1861" spans="1:16" x14ac:dyDescent="0.3">
      <c r="A1861" s="1">
        <v>1860</v>
      </c>
      <c r="G1861" s="4"/>
      <c r="H1861" s="4"/>
      <c r="I1861" s="47"/>
      <c r="J1861" s="47" t="str">
        <f t="shared" si="42"/>
        <v/>
      </c>
      <c r="K1861" s="47"/>
      <c r="L1861" s="47"/>
      <c r="N1861" s="47"/>
      <c r="O1861" s="47"/>
      <c r="P1861" s="47"/>
    </row>
    <row r="1862" spans="1:16" x14ac:dyDescent="0.3">
      <c r="A1862" s="1">
        <v>1861</v>
      </c>
      <c r="G1862" s="4"/>
      <c r="H1862" s="4"/>
      <c r="I1862" s="47"/>
      <c r="J1862" s="47" t="str">
        <f t="shared" si="42"/>
        <v/>
      </c>
      <c r="K1862" s="47"/>
      <c r="L1862" s="47"/>
      <c r="N1862" s="47"/>
      <c r="O1862" s="47"/>
      <c r="P1862" s="47"/>
    </row>
    <row r="1863" spans="1:16" x14ac:dyDescent="0.3">
      <c r="A1863" s="1">
        <v>1862</v>
      </c>
      <c r="G1863" s="4"/>
      <c r="H1863" s="4"/>
      <c r="I1863" s="47"/>
      <c r="J1863" s="47" t="str">
        <f t="shared" si="42"/>
        <v/>
      </c>
      <c r="K1863" s="47"/>
      <c r="L1863" s="47"/>
      <c r="N1863" s="47"/>
      <c r="O1863" s="47"/>
      <c r="P1863" s="47"/>
    </row>
    <row r="1864" spans="1:16" x14ac:dyDescent="0.3">
      <c r="A1864" s="1">
        <v>1863</v>
      </c>
      <c r="G1864" s="4"/>
      <c r="H1864" s="4"/>
      <c r="I1864" s="47"/>
      <c r="J1864" s="47" t="str">
        <f t="shared" si="42"/>
        <v/>
      </c>
      <c r="K1864" s="47"/>
      <c r="L1864" s="47"/>
      <c r="N1864" s="47"/>
      <c r="O1864" s="47"/>
      <c r="P1864" s="47"/>
    </row>
    <row r="1865" spans="1:16" x14ac:dyDescent="0.3">
      <c r="A1865" s="1">
        <v>1864</v>
      </c>
      <c r="G1865" s="4"/>
      <c r="H1865" s="4"/>
      <c r="I1865" s="47"/>
      <c r="J1865" s="47" t="str">
        <f t="shared" si="42"/>
        <v/>
      </c>
      <c r="K1865" s="47"/>
      <c r="L1865" s="47"/>
      <c r="N1865" s="47"/>
      <c r="O1865" s="47"/>
      <c r="P1865" s="47"/>
    </row>
    <row r="1866" spans="1:16" x14ac:dyDescent="0.3">
      <c r="A1866" s="1">
        <v>1865</v>
      </c>
      <c r="G1866" s="4"/>
      <c r="H1866" s="4"/>
      <c r="I1866" s="47"/>
      <c r="J1866" s="47" t="str">
        <f t="shared" si="42"/>
        <v/>
      </c>
      <c r="K1866" s="47"/>
      <c r="L1866" s="47"/>
      <c r="N1866" s="47"/>
      <c r="O1866" s="47"/>
      <c r="P1866" s="47"/>
    </row>
    <row r="1867" spans="1:16" x14ac:dyDescent="0.3">
      <c r="A1867" s="1">
        <v>1866</v>
      </c>
      <c r="G1867" s="4"/>
      <c r="H1867" s="4"/>
      <c r="I1867" s="47"/>
      <c r="J1867" s="47" t="str">
        <f t="shared" si="42"/>
        <v/>
      </c>
      <c r="K1867" s="47"/>
      <c r="L1867" s="47"/>
      <c r="N1867" s="47"/>
      <c r="O1867" s="47"/>
      <c r="P1867" s="47"/>
    </row>
    <row r="1868" spans="1:16" x14ac:dyDescent="0.3">
      <c r="A1868" s="1">
        <v>1867</v>
      </c>
      <c r="G1868" s="4"/>
      <c r="H1868" s="4"/>
      <c r="I1868" s="47"/>
      <c r="J1868" s="47" t="str">
        <f t="shared" si="42"/>
        <v/>
      </c>
      <c r="K1868" s="47"/>
      <c r="L1868" s="47"/>
      <c r="N1868" s="47"/>
      <c r="O1868" s="47"/>
      <c r="P1868" s="47"/>
    </row>
    <row r="1869" spans="1:16" x14ac:dyDescent="0.3">
      <c r="A1869" s="1">
        <v>1868</v>
      </c>
      <c r="G1869" s="4"/>
      <c r="H1869" s="4"/>
      <c r="I1869" s="47"/>
      <c r="J1869" s="47" t="str">
        <f t="shared" si="42"/>
        <v/>
      </c>
      <c r="K1869" s="47"/>
      <c r="L1869" s="47"/>
      <c r="N1869" s="47"/>
      <c r="O1869" s="47"/>
      <c r="P1869" s="47"/>
    </row>
    <row r="1870" spans="1:16" x14ac:dyDescent="0.3">
      <c r="A1870" s="1">
        <v>1869</v>
      </c>
      <c r="G1870" s="4"/>
      <c r="H1870" s="4"/>
      <c r="I1870" s="47"/>
      <c r="J1870" s="47" t="str">
        <f t="shared" si="42"/>
        <v/>
      </c>
      <c r="K1870" s="47"/>
      <c r="L1870" s="47"/>
      <c r="N1870" s="47"/>
      <c r="O1870" s="47"/>
      <c r="P1870" s="47"/>
    </row>
    <row r="1871" spans="1:16" x14ac:dyDescent="0.3">
      <c r="A1871" s="1">
        <v>1870</v>
      </c>
      <c r="G1871" s="4"/>
      <c r="H1871" s="4"/>
      <c r="I1871" s="47"/>
      <c r="J1871" s="47" t="str">
        <f t="shared" si="42"/>
        <v/>
      </c>
      <c r="K1871" s="47"/>
      <c r="L1871" s="47"/>
      <c r="N1871" s="47"/>
      <c r="O1871" s="47"/>
      <c r="P1871" s="47"/>
    </row>
    <row r="1872" spans="1:16" x14ac:dyDescent="0.3">
      <c r="A1872" s="1">
        <v>1871</v>
      </c>
      <c r="G1872" s="4"/>
      <c r="H1872" s="4"/>
      <c r="I1872" s="47"/>
      <c r="J1872" s="47" t="str">
        <f t="shared" si="42"/>
        <v/>
      </c>
      <c r="K1872" s="47"/>
      <c r="L1872" s="47"/>
      <c r="N1872" s="47"/>
      <c r="O1872" s="47"/>
      <c r="P1872" s="47"/>
    </row>
    <row r="1873" spans="1:16" x14ac:dyDescent="0.3">
      <c r="A1873" s="1">
        <v>1872</v>
      </c>
      <c r="G1873" s="4"/>
      <c r="H1873" s="4"/>
      <c r="I1873" s="47"/>
      <c r="J1873" s="47" t="str">
        <f t="shared" si="42"/>
        <v/>
      </c>
      <c r="K1873" s="47"/>
      <c r="L1873" s="47"/>
      <c r="N1873" s="47"/>
      <c r="O1873" s="47"/>
      <c r="P1873" s="47"/>
    </row>
    <row r="1874" spans="1:16" x14ac:dyDescent="0.3">
      <c r="A1874" s="1">
        <v>1873</v>
      </c>
      <c r="G1874" s="4"/>
      <c r="H1874" s="4"/>
      <c r="I1874" s="47"/>
      <c r="J1874" s="47" t="str">
        <f t="shared" si="42"/>
        <v/>
      </c>
      <c r="K1874" s="47"/>
      <c r="L1874" s="47"/>
      <c r="N1874" s="47"/>
      <c r="O1874" s="47"/>
      <c r="P1874" s="47"/>
    </row>
    <row r="1875" spans="1:16" x14ac:dyDescent="0.3">
      <c r="A1875" s="1">
        <v>1874</v>
      </c>
      <c r="G1875" s="4"/>
      <c r="H1875" s="4"/>
      <c r="I1875" s="47"/>
      <c r="J1875" s="47" t="str">
        <f t="shared" si="42"/>
        <v/>
      </c>
      <c r="K1875" s="47"/>
      <c r="L1875" s="47"/>
      <c r="N1875" s="47"/>
      <c r="O1875" s="47"/>
      <c r="P1875" s="47"/>
    </row>
    <row r="1876" spans="1:16" x14ac:dyDescent="0.3">
      <c r="A1876" s="1">
        <v>1875</v>
      </c>
      <c r="G1876" s="4"/>
      <c r="H1876" s="4"/>
      <c r="I1876" s="47"/>
      <c r="J1876" s="47" t="str">
        <f t="shared" si="42"/>
        <v/>
      </c>
      <c r="K1876" s="47"/>
      <c r="L1876" s="47"/>
      <c r="N1876" s="47"/>
      <c r="O1876" s="47"/>
      <c r="P1876" s="47"/>
    </row>
    <row r="1877" spans="1:16" x14ac:dyDescent="0.3">
      <c r="A1877" s="1">
        <v>1876</v>
      </c>
      <c r="G1877" s="4"/>
      <c r="H1877" s="4"/>
      <c r="I1877" s="47"/>
      <c r="J1877" s="47" t="str">
        <f t="shared" si="42"/>
        <v/>
      </c>
      <c r="K1877" s="47"/>
      <c r="L1877" s="47"/>
      <c r="N1877" s="47"/>
      <c r="O1877" s="47"/>
      <c r="P1877" s="47"/>
    </row>
    <row r="1878" spans="1:16" x14ac:dyDescent="0.3">
      <c r="A1878" s="1">
        <v>1877</v>
      </c>
      <c r="G1878" s="4"/>
      <c r="H1878" s="4"/>
      <c r="I1878" s="47"/>
      <c r="J1878" s="47" t="str">
        <f t="shared" si="42"/>
        <v/>
      </c>
      <c r="K1878" s="47"/>
      <c r="L1878" s="47"/>
      <c r="N1878" s="47"/>
      <c r="O1878" s="47"/>
      <c r="P1878" s="47"/>
    </row>
    <row r="1879" spans="1:16" x14ac:dyDescent="0.3">
      <c r="A1879" s="1">
        <v>1878</v>
      </c>
      <c r="G1879" s="4"/>
      <c r="H1879" s="4"/>
      <c r="I1879" s="47"/>
      <c r="J1879" s="47" t="str">
        <f t="shared" si="42"/>
        <v/>
      </c>
      <c r="K1879" s="47"/>
      <c r="L1879" s="47"/>
      <c r="N1879" s="47"/>
      <c r="O1879" s="47"/>
      <c r="P1879" s="47"/>
    </row>
    <row r="1880" spans="1:16" x14ac:dyDescent="0.3">
      <c r="A1880" s="1">
        <v>1879</v>
      </c>
      <c r="G1880" s="4"/>
      <c r="H1880" s="4"/>
      <c r="I1880" s="47"/>
      <c r="J1880" s="47" t="str">
        <f t="shared" si="42"/>
        <v/>
      </c>
      <c r="K1880" s="47"/>
      <c r="L1880" s="47"/>
      <c r="N1880" s="47"/>
      <c r="O1880" s="47"/>
      <c r="P1880" s="47"/>
    </row>
    <row r="1881" spans="1:16" x14ac:dyDescent="0.3">
      <c r="A1881" s="1">
        <v>1880</v>
      </c>
      <c r="G1881" s="4"/>
      <c r="H1881" s="4"/>
      <c r="I1881" s="47"/>
      <c r="J1881" s="47" t="str">
        <f t="shared" si="42"/>
        <v/>
      </c>
      <c r="K1881" s="47"/>
      <c r="L1881" s="47"/>
      <c r="N1881" s="47"/>
      <c r="O1881" s="47"/>
      <c r="P1881" s="47"/>
    </row>
    <row r="1882" spans="1:16" x14ac:dyDescent="0.3">
      <c r="A1882" s="1">
        <v>1881</v>
      </c>
      <c r="G1882" s="4"/>
      <c r="H1882" s="4"/>
      <c r="I1882" s="47"/>
      <c r="J1882" s="47" t="str">
        <f t="shared" si="42"/>
        <v/>
      </c>
      <c r="K1882" s="47"/>
      <c r="L1882" s="47"/>
      <c r="N1882" s="47"/>
      <c r="O1882" s="47"/>
      <c r="P1882" s="47"/>
    </row>
    <row r="1883" spans="1:16" x14ac:dyDescent="0.3">
      <c r="A1883" s="1">
        <v>1882</v>
      </c>
      <c r="G1883" s="4"/>
      <c r="H1883" s="4"/>
      <c r="I1883" s="47"/>
      <c r="J1883" s="47" t="str">
        <f t="shared" si="42"/>
        <v/>
      </c>
      <c r="K1883" s="47"/>
      <c r="L1883" s="47"/>
      <c r="N1883" s="47"/>
      <c r="O1883" s="47"/>
      <c r="P1883" s="47"/>
    </row>
    <row r="1884" spans="1:16" x14ac:dyDescent="0.3">
      <c r="A1884" s="1">
        <v>1883</v>
      </c>
      <c r="G1884" s="4"/>
      <c r="H1884" s="4"/>
      <c r="I1884" s="47"/>
      <c r="J1884" s="47" t="str">
        <f t="shared" si="42"/>
        <v/>
      </c>
      <c r="K1884" s="47"/>
      <c r="L1884" s="47"/>
      <c r="N1884" s="47"/>
      <c r="O1884" s="47"/>
      <c r="P1884" s="47"/>
    </row>
    <row r="1885" spans="1:16" x14ac:dyDescent="0.3">
      <c r="A1885" s="1">
        <v>1884</v>
      </c>
      <c r="G1885" s="4"/>
      <c r="H1885" s="4"/>
      <c r="I1885" s="47"/>
      <c r="J1885" s="47" t="str">
        <f t="shared" si="42"/>
        <v/>
      </c>
      <c r="K1885" s="47"/>
      <c r="L1885" s="47"/>
      <c r="N1885" s="47"/>
      <c r="O1885" s="47"/>
      <c r="P1885" s="47"/>
    </row>
    <row r="1886" spans="1:16" x14ac:dyDescent="0.3">
      <c r="A1886" s="1">
        <v>1885</v>
      </c>
      <c r="G1886" s="4"/>
      <c r="H1886" s="4"/>
      <c r="I1886" s="47"/>
      <c r="J1886" s="47" t="str">
        <f t="shared" si="42"/>
        <v/>
      </c>
      <c r="K1886" s="47"/>
      <c r="L1886" s="47"/>
      <c r="N1886" s="47"/>
      <c r="O1886" s="47"/>
      <c r="P1886" s="47"/>
    </row>
    <row r="1887" spans="1:16" x14ac:dyDescent="0.3">
      <c r="A1887" s="1">
        <v>1886</v>
      </c>
      <c r="G1887" s="4"/>
      <c r="H1887" s="4"/>
      <c r="I1887" s="47"/>
      <c r="J1887" s="47" t="str">
        <f t="shared" si="42"/>
        <v/>
      </c>
      <c r="K1887" s="47"/>
      <c r="L1887" s="47"/>
      <c r="N1887" s="47"/>
      <c r="O1887" s="47"/>
      <c r="P1887" s="47"/>
    </row>
    <row r="1888" spans="1:16" x14ac:dyDescent="0.3">
      <c r="A1888" s="1">
        <v>1887</v>
      </c>
      <c r="G1888" s="4"/>
      <c r="H1888" s="4"/>
      <c r="I1888" s="47"/>
      <c r="J1888" s="47" t="str">
        <f t="shared" si="42"/>
        <v/>
      </c>
      <c r="K1888" s="47"/>
      <c r="L1888" s="47"/>
      <c r="N1888" s="47"/>
      <c r="O1888" s="47"/>
      <c r="P1888" s="47"/>
    </row>
    <row r="1889" spans="1:16" x14ac:dyDescent="0.3">
      <c r="A1889" s="1">
        <v>1888</v>
      </c>
      <c r="G1889" s="4"/>
      <c r="H1889" s="4"/>
      <c r="I1889" s="47"/>
      <c r="J1889" s="47" t="str">
        <f t="shared" si="42"/>
        <v/>
      </c>
      <c r="K1889" s="47"/>
      <c r="L1889" s="47"/>
      <c r="N1889" s="47"/>
      <c r="O1889" s="47"/>
      <c r="P1889" s="47"/>
    </row>
    <row r="1890" spans="1:16" x14ac:dyDescent="0.3">
      <c r="A1890" s="1">
        <v>1889</v>
      </c>
      <c r="G1890" s="4"/>
      <c r="H1890" s="4"/>
      <c r="I1890" s="47"/>
      <c r="J1890" s="47" t="str">
        <f t="shared" si="42"/>
        <v/>
      </c>
      <c r="K1890" s="47"/>
      <c r="L1890" s="47"/>
      <c r="N1890" s="47"/>
      <c r="O1890" s="47"/>
      <c r="P1890" s="47"/>
    </row>
    <row r="1891" spans="1:16" x14ac:dyDescent="0.3">
      <c r="A1891" s="1">
        <v>1890</v>
      </c>
      <c r="G1891" s="4"/>
      <c r="H1891" s="4"/>
      <c r="I1891" s="47"/>
      <c r="J1891" s="47" t="str">
        <f t="shared" si="42"/>
        <v/>
      </c>
      <c r="K1891" s="47"/>
      <c r="L1891" s="47"/>
      <c r="N1891" s="47"/>
      <c r="O1891" s="47"/>
      <c r="P1891" s="47"/>
    </row>
    <row r="1892" spans="1:16" x14ac:dyDescent="0.3">
      <c r="A1892" s="1">
        <v>1891</v>
      </c>
      <c r="G1892" s="4"/>
      <c r="H1892" s="4"/>
      <c r="I1892" s="47"/>
      <c r="J1892" s="47" t="str">
        <f t="shared" si="42"/>
        <v/>
      </c>
      <c r="K1892" s="47"/>
      <c r="L1892" s="47"/>
      <c r="N1892" s="47"/>
      <c r="O1892" s="47"/>
      <c r="P1892" s="47"/>
    </row>
    <row r="1893" spans="1:16" x14ac:dyDescent="0.3">
      <c r="A1893" s="1">
        <v>1892</v>
      </c>
      <c r="G1893" s="4"/>
      <c r="H1893" s="4"/>
      <c r="I1893" s="47"/>
      <c r="J1893" s="47" t="str">
        <f t="shared" si="42"/>
        <v/>
      </c>
      <c r="K1893" s="47"/>
      <c r="L1893" s="47"/>
      <c r="N1893" s="47"/>
      <c r="O1893" s="47"/>
      <c r="P1893" s="47"/>
    </row>
    <row r="1894" spans="1:16" x14ac:dyDescent="0.3">
      <c r="A1894" s="1">
        <v>1893</v>
      </c>
      <c r="G1894" s="4"/>
      <c r="H1894" s="4"/>
      <c r="I1894" s="47"/>
      <c r="J1894" s="47" t="str">
        <f t="shared" si="42"/>
        <v/>
      </c>
      <c r="K1894" s="47"/>
      <c r="L1894" s="47"/>
      <c r="N1894" s="47"/>
      <c r="O1894" s="47"/>
      <c r="P1894" s="47"/>
    </row>
    <row r="1895" spans="1:16" x14ac:dyDescent="0.3">
      <c r="A1895" s="1">
        <v>1894</v>
      </c>
      <c r="G1895" s="4"/>
      <c r="H1895" s="4"/>
      <c r="I1895" s="47"/>
      <c r="J1895" s="47" t="str">
        <f t="shared" si="42"/>
        <v/>
      </c>
      <c r="K1895" s="47"/>
      <c r="L1895" s="47"/>
      <c r="N1895" s="47"/>
      <c r="O1895" s="47"/>
      <c r="P1895" s="47"/>
    </row>
    <row r="1896" spans="1:16" x14ac:dyDescent="0.3">
      <c r="A1896" s="1">
        <v>1895</v>
      </c>
      <c r="G1896" s="4"/>
      <c r="H1896" s="4"/>
      <c r="I1896" s="47"/>
      <c r="J1896" s="47" t="str">
        <f t="shared" si="42"/>
        <v/>
      </c>
      <c r="K1896" s="47"/>
      <c r="L1896" s="47"/>
      <c r="N1896" s="47"/>
      <c r="O1896" s="47"/>
      <c r="P1896" s="47"/>
    </row>
    <row r="1897" spans="1:16" x14ac:dyDescent="0.3">
      <c r="A1897" s="1">
        <v>1896</v>
      </c>
      <c r="G1897" s="4"/>
      <c r="H1897" s="4"/>
      <c r="I1897" s="47"/>
      <c r="J1897" s="47" t="str">
        <f t="shared" si="42"/>
        <v/>
      </c>
      <c r="K1897" s="47"/>
      <c r="L1897" s="47"/>
      <c r="N1897" s="47"/>
      <c r="O1897" s="47"/>
      <c r="P1897" s="47"/>
    </row>
    <row r="1898" spans="1:16" x14ac:dyDescent="0.3">
      <c r="A1898" s="1">
        <v>1897</v>
      </c>
      <c r="G1898" s="4"/>
      <c r="H1898" s="4"/>
      <c r="I1898" s="47"/>
      <c r="J1898" s="47" t="str">
        <f t="shared" si="42"/>
        <v/>
      </c>
      <c r="K1898" s="47"/>
      <c r="L1898" s="47"/>
      <c r="N1898" s="47"/>
      <c r="O1898" s="47"/>
      <c r="P1898" s="47"/>
    </row>
    <row r="1899" spans="1:16" x14ac:dyDescent="0.3">
      <c r="A1899" s="1">
        <v>1898</v>
      </c>
      <c r="G1899" s="4"/>
      <c r="H1899" s="4"/>
      <c r="I1899" s="47"/>
      <c r="J1899" s="47" t="str">
        <f t="shared" si="42"/>
        <v/>
      </c>
      <c r="K1899" s="47"/>
      <c r="L1899" s="47"/>
      <c r="N1899" s="47"/>
      <c r="O1899" s="47"/>
      <c r="P1899" s="47"/>
    </row>
    <row r="1900" spans="1:16" x14ac:dyDescent="0.3">
      <c r="A1900" s="1">
        <v>1899</v>
      </c>
      <c r="G1900" s="4"/>
      <c r="H1900" s="4"/>
      <c r="I1900" s="47"/>
      <c r="J1900" s="47" t="str">
        <f t="shared" si="42"/>
        <v/>
      </c>
      <c r="K1900" s="47"/>
      <c r="L1900" s="47"/>
      <c r="N1900" s="47"/>
      <c r="O1900" s="47"/>
      <c r="P1900" s="47"/>
    </row>
    <row r="1901" spans="1:16" x14ac:dyDescent="0.3">
      <c r="A1901" s="1">
        <v>1900</v>
      </c>
      <c r="G1901" s="4"/>
      <c r="H1901" s="4"/>
      <c r="I1901" s="47"/>
      <c r="J1901" s="47" t="str">
        <f t="shared" si="42"/>
        <v/>
      </c>
      <c r="K1901" s="47"/>
      <c r="L1901" s="47"/>
      <c r="N1901" s="47"/>
      <c r="O1901" s="47"/>
      <c r="P1901" s="47"/>
    </row>
    <row r="1902" spans="1:16" x14ac:dyDescent="0.3">
      <c r="A1902" s="1">
        <v>1901</v>
      </c>
      <c r="G1902" s="4"/>
      <c r="H1902" s="4"/>
      <c r="I1902" s="47"/>
      <c r="J1902" s="47" t="str">
        <f t="shared" si="42"/>
        <v/>
      </c>
      <c r="K1902" s="47"/>
      <c r="L1902" s="47"/>
      <c r="N1902" s="47"/>
      <c r="O1902" s="47"/>
      <c r="P1902" s="47"/>
    </row>
    <row r="1903" spans="1:16" x14ac:dyDescent="0.3">
      <c r="A1903" s="1">
        <v>1902</v>
      </c>
      <c r="G1903" s="4"/>
      <c r="H1903" s="4"/>
      <c r="I1903" s="47"/>
      <c r="J1903" s="47" t="str">
        <f t="shared" si="42"/>
        <v/>
      </c>
      <c r="K1903" s="47"/>
      <c r="L1903" s="47"/>
      <c r="N1903" s="47"/>
      <c r="O1903" s="47"/>
      <c r="P1903" s="47"/>
    </row>
    <row r="1904" spans="1:16" x14ac:dyDescent="0.3">
      <c r="A1904" s="1">
        <v>1903</v>
      </c>
      <c r="G1904" s="4"/>
      <c r="H1904" s="4"/>
      <c r="I1904" s="47"/>
      <c r="J1904" s="47" t="str">
        <f t="shared" si="42"/>
        <v/>
      </c>
      <c r="K1904" s="47"/>
      <c r="L1904" s="47"/>
      <c r="N1904" s="47"/>
      <c r="O1904" s="47"/>
      <c r="P1904" s="47"/>
    </row>
    <row r="1905" spans="1:16" x14ac:dyDescent="0.3">
      <c r="A1905" s="1">
        <v>1904</v>
      </c>
      <c r="G1905" s="4"/>
      <c r="H1905" s="4"/>
      <c r="I1905" s="47"/>
      <c r="J1905" s="47" t="str">
        <f t="shared" si="42"/>
        <v/>
      </c>
      <c r="K1905" s="47"/>
      <c r="L1905" s="47"/>
      <c r="N1905" s="47"/>
      <c r="O1905" s="47"/>
      <c r="P1905" s="47"/>
    </row>
    <row r="1906" spans="1:16" x14ac:dyDescent="0.3">
      <c r="A1906" s="1">
        <v>1905</v>
      </c>
      <c r="G1906" s="4"/>
      <c r="H1906" s="4"/>
      <c r="I1906" s="47"/>
      <c r="J1906" s="47" t="str">
        <f t="shared" si="42"/>
        <v/>
      </c>
      <c r="K1906" s="47"/>
      <c r="L1906" s="47"/>
      <c r="N1906" s="47"/>
      <c r="O1906" s="47"/>
      <c r="P1906" s="47"/>
    </row>
    <row r="1907" spans="1:16" x14ac:dyDescent="0.3">
      <c r="A1907" s="1">
        <v>1906</v>
      </c>
      <c r="G1907" s="4"/>
      <c r="H1907" s="4"/>
      <c r="I1907" s="47"/>
      <c r="J1907" s="47" t="str">
        <f t="shared" si="42"/>
        <v/>
      </c>
      <c r="K1907" s="47"/>
      <c r="L1907" s="47"/>
      <c r="N1907" s="47"/>
      <c r="O1907" s="47"/>
      <c r="P1907" s="47"/>
    </row>
    <row r="1908" spans="1:16" x14ac:dyDescent="0.3">
      <c r="A1908" s="1">
        <v>1907</v>
      </c>
      <c r="G1908" s="4"/>
      <c r="H1908" s="4"/>
      <c r="I1908" s="47"/>
      <c r="J1908" s="47" t="str">
        <f t="shared" si="42"/>
        <v/>
      </c>
      <c r="K1908" s="47"/>
      <c r="L1908" s="47"/>
      <c r="N1908" s="47"/>
      <c r="O1908" s="47"/>
      <c r="P1908" s="47"/>
    </row>
    <row r="1909" spans="1:16" x14ac:dyDescent="0.3">
      <c r="A1909" s="1">
        <v>1908</v>
      </c>
      <c r="G1909" s="4"/>
      <c r="H1909" s="4"/>
      <c r="I1909" s="47"/>
      <c r="J1909" s="47" t="str">
        <f t="shared" si="42"/>
        <v/>
      </c>
      <c r="K1909" s="47"/>
      <c r="L1909" s="47"/>
      <c r="N1909" s="47"/>
      <c r="O1909" s="47"/>
      <c r="P1909" s="47"/>
    </row>
    <row r="1910" spans="1:16" x14ac:dyDescent="0.3">
      <c r="A1910" s="1">
        <v>1909</v>
      </c>
      <c r="G1910" s="4"/>
      <c r="H1910" s="4"/>
      <c r="I1910" s="47"/>
      <c r="J1910" s="47" t="str">
        <f t="shared" si="42"/>
        <v/>
      </c>
      <c r="K1910" s="47"/>
      <c r="L1910" s="47"/>
      <c r="N1910" s="47"/>
      <c r="O1910" s="47"/>
      <c r="P1910" s="47"/>
    </row>
    <row r="1911" spans="1:16" x14ac:dyDescent="0.3">
      <c r="A1911" s="1">
        <v>1910</v>
      </c>
      <c r="G1911" s="4"/>
      <c r="H1911" s="4"/>
      <c r="I1911" s="47"/>
      <c r="J1911" s="47" t="str">
        <f t="shared" si="42"/>
        <v/>
      </c>
      <c r="K1911" s="47"/>
      <c r="L1911" s="47"/>
      <c r="N1911" s="47"/>
      <c r="O1911" s="47"/>
      <c r="P1911" s="47"/>
    </row>
    <row r="1912" spans="1:16" x14ac:dyDescent="0.3">
      <c r="A1912" s="1">
        <v>1911</v>
      </c>
      <c r="G1912" s="4"/>
      <c r="H1912" s="4"/>
      <c r="I1912" s="47"/>
      <c r="J1912" s="47" t="str">
        <f t="shared" si="42"/>
        <v/>
      </c>
      <c r="K1912" s="47"/>
      <c r="L1912" s="47"/>
      <c r="N1912" s="47"/>
      <c r="O1912" s="47"/>
      <c r="P1912" s="47"/>
    </row>
    <row r="1913" spans="1:16" x14ac:dyDescent="0.3">
      <c r="A1913" s="1">
        <v>1912</v>
      </c>
      <c r="G1913" s="4"/>
      <c r="H1913" s="4"/>
      <c r="I1913" s="47"/>
      <c r="J1913" s="47" t="str">
        <f t="shared" si="42"/>
        <v/>
      </c>
      <c r="K1913" s="47"/>
      <c r="L1913" s="47"/>
      <c r="N1913" s="47"/>
      <c r="O1913" s="47"/>
      <c r="P1913" s="47"/>
    </row>
    <row r="1914" spans="1:16" x14ac:dyDescent="0.3">
      <c r="A1914" s="1">
        <v>1913</v>
      </c>
      <c r="G1914" s="4"/>
      <c r="H1914" s="4"/>
      <c r="I1914" s="47"/>
      <c r="J1914" s="47" t="str">
        <f t="shared" si="42"/>
        <v/>
      </c>
      <c r="K1914" s="47"/>
      <c r="L1914" s="47"/>
      <c r="N1914" s="47"/>
      <c r="O1914" s="47"/>
      <c r="P1914" s="47"/>
    </row>
    <row r="1915" spans="1:16" x14ac:dyDescent="0.3">
      <c r="A1915" s="1">
        <v>1914</v>
      </c>
      <c r="G1915" s="4"/>
      <c r="H1915" s="4"/>
      <c r="I1915" s="47"/>
      <c r="J1915" s="47" t="str">
        <f t="shared" si="42"/>
        <v/>
      </c>
      <c r="K1915" s="47"/>
      <c r="L1915" s="47"/>
      <c r="N1915" s="47"/>
      <c r="O1915" s="47"/>
      <c r="P1915" s="47"/>
    </row>
    <row r="1916" spans="1:16" x14ac:dyDescent="0.3">
      <c r="A1916" s="1">
        <v>1915</v>
      </c>
      <c r="G1916" s="4"/>
      <c r="H1916" s="4"/>
      <c r="I1916" s="47"/>
      <c r="J1916" s="47" t="str">
        <f t="shared" si="42"/>
        <v/>
      </c>
      <c r="K1916" s="47"/>
      <c r="L1916" s="47"/>
      <c r="N1916" s="47"/>
      <c r="O1916" s="47"/>
      <c r="P1916" s="47"/>
    </row>
    <row r="1917" spans="1:16" x14ac:dyDescent="0.3">
      <c r="A1917" s="1">
        <v>1916</v>
      </c>
      <c r="G1917" s="4"/>
      <c r="H1917" s="4"/>
      <c r="I1917" s="47"/>
      <c r="J1917" s="47" t="str">
        <f t="shared" si="42"/>
        <v/>
      </c>
      <c r="K1917" s="47"/>
      <c r="L1917" s="47"/>
      <c r="N1917" s="47"/>
      <c r="O1917" s="47"/>
      <c r="P1917" s="47"/>
    </row>
    <row r="1918" spans="1:16" x14ac:dyDescent="0.3">
      <c r="A1918" s="1">
        <v>1917</v>
      </c>
      <c r="G1918" s="4"/>
      <c r="H1918" s="4"/>
      <c r="I1918" s="47"/>
      <c r="J1918" s="47" t="str">
        <f t="shared" si="42"/>
        <v/>
      </c>
      <c r="K1918" s="47"/>
      <c r="L1918" s="47"/>
      <c r="N1918" s="47"/>
      <c r="O1918" s="47"/>
      <c r="P1918" s="47"/>
    </row>
    <row r="1919" spans="1:16" x14ac:dyDescent="0.3">
      <c r="A1919" s="1">
        <v>1918</v>
      </c>
      <c r="G1919" s="4"/>
      <c r="H1919" s="4"/>
      <c r="I1919" s="47"/>
      <c r="J1919" s="47" t="str">
        <f t="shared" si="42"/>
        <v/>
      </c>
      <c r="K1919" s="47"/>
      <c r="L1919" s="47"/>
      <c r="N1919" s="47"/>
      <c r="O1919" s="47"/>
      <c r="P1919" s="47"/>
    </row>
    <row r="1920" spans="1:16" x14ac:dyDescent="0.3">
      <c r="A1920" s="1">
        <v>1919</v>
      </c>
      <c r="G1920" s="4"/>
      <c r="H1920" s="4"/>
      <c r="I1920" s="47"/>
      <c r="J1920" s="47" t="str">
        <f t="shared" si="42"/>
        <v/>
      </c>
      <c r="K1920" s="47"/>
      <c r="L1920" s="47"/>
      <c r="N1920" s="47"/>
      <c r="O1920" s="47"/>
      <c r="P1920" s="47"/>
    </row>
    <row r="1921" spans="1:16" x14ac:dyDescent="0.3">
      <c r="A1921" s="1">
        <v>1920</v>
      </c>
      <c r="G1921" s="4"/>
      <c r="H1921" s="4"/>
      <c r="I1921" s="47"/>
      <c r="J1921" s="47" t="str">
        <f t="shared" si="42"/>
        <v/>
      </c>
      <c r="K1921" s="47"/>
      <c r="L1921" s="47"/>
      <c r="N1921" s="47"/>
      <c r="O1921" s="47"/>
      <c r="P1921" s="47"/>
    </row>
    <row r="1922" spans="1:16" x14ac:dyDescent="0.3">
      <c r="A1922" s="1">
        <v>1921</v>
      </c>
      <c r="G1922" s="4"/>
      <c r="H1922" s="4"/>
      <c r="I1922" s="47"/>
      <c r="J1922" s="47" t="str">
        <f t="shared" si="42"/>
        <v/>
      </c>
      <c r="K1922" s="47"/>
      <c r="L1922" s="47"/>
      <c r="N1922" s="47"/>
      <c r="O1922" s="47"/>
      <c r="P1922" s="47"/>
    </row>
    <row r="1923" spans="1:16" x14ac:dyDescent="0.3">
      <c r="A1923" s="1">
        <v>1922</v>
      </c>
      <c r="G1923" s="4"/>
      <c r="H1923" s="4"/>
      <c r="I1923" s="47"/>
      <c r="J1923" s="47" t="str">
        <f t="shared" ref="J1923:J1986" si="43">+E1923&amp;I1923</f>
        <v/>
      </c>
      <c r="K1923" s="47"/>
      <c r="L1923" s="47"/>
      <c r="N1923" s="47"/>
      <c r="O1923" s="47"/>
      <c r="P1923" s="47"/>
    </row>
    <row r="1924" spans="1:16" x14ac:dyDescent="0.3">
      <c r="A1924" s="1">
        <v>1923</v>
      </c>
      <c r="G1924" s="4"/>
      <c r="H1924" s="4"/>
      <c r="I1924" s="47"/>
      <c r="J1924" s="47" t="str">
        <f t="shared" si="43"/>
        <v/>
      </c>
      <c r="K1924" s="47"/>
      <c r="L1924" s="47"/>
      <c r="N1924" s="47"/>
      <c r="O1924" s="47"/>
      <c r="P1924" s="47"/>
    </row>
    <row r="1925" spans="1:16" x14ac:dyDescent="0.3">
      <c r="A1925" s="1">
        <v>1924</v>
      </c>
      <c r="G1925" s="4"/>
      <c r="H1925" s="4"/>
      <c r="I1925" s="47"/>
      <c r="J1925" s="47" t="str">
        <f t="shared" si="43"/>
        <v/>
      </c>
      <c r="K1925" s="47"/>
      <c r="L1925" s="47"/>
      <c r="N1925" s="47"/>
      <c r="O1925" s="47"/>
      <c r="P1925" s="47"/>
    </row>
    <row r="1926" spans="1:16" x14ac:dyDescent="0.3">
      <c r="A1926" s="1">
        <v>1925</v>
      </c>
      <c r="G1926" s="4"/>
      <c r="H1926" s="4"/>
      <c r="I1926" s="47"/>
      <c r="J1926" s="47" t="str">
        <f t="shared" si="43"/>
        <v/>
      </c>
      <c r="K1926" s="47"/>
      <c r="L1926" s="47"/>
      <c r="N1926" s="47"/>
      <c r="O1926" s="47"/>
      <c r="P1926" s="47"/>
    </row>
    <row r="1927" spans="1:16" x14ac:dyDescent="0.3">
      <c r="A1927" s="1">
        <v>1926</v>
      </c>
      <c r="G1927" s="4"/>
      <c r="H1927" s="4"/>
      <c r="I1927" s="47"/>
      <c r="J1927" s="47" t="str">
        <f t="shared" si="43"/>
        <v/>
      </c>
      <c r="K1927" s="47"/>
      <c r="L1927" s="47"/>
      <c r="N1927" s="47"/>
      <c r="O1927" s="47"/>
      <c r="P1927" s="47"/>
    </row>
    <row r="1928" spans="1:16" x14ac:dyDescent="0.3">
      <c r="A1928" s="1">
        <v>1927</v>
      </c>
      <c r="G1928" s="4"/>
      <c r="H1928" s="4"/>
      <c r="I1928" s="47"/>
      <c r="J1928" s="47" t="str">
        <f t="shared" si="43"/>
        <v/>
      </c>
      <c r="K1928" s="47"/>
      <c r="L1928" s="47"/>
      <c r="N1928" s="47"/>
      <c r="O1928" s="47"/>
      <c r="P1928" s="47"/>
    </row>
    <row r="1929" spans="1:16" x14ac:dyDescent="0.3">
      <c r="A1929" s="1">
        <v>1928</v>
      </c>
      <c r="G1929" s="4"/>
      <c r="H1929" s="4"/>
      <c r="I1929" s="47"/>
      <c r="J1929" s="47" t="str">
        <f t="shared" si="43"/>
        <v/>
      </c>
      <c r="K1929" s="47"/>
      <c r="L1929" s="47"/>
      <c r="N1929" s="47"/>
      <c r="O1929" s="47"/>
      <c r="P1929" s="47"/>
    </row>
    <row r="1930" spans="1:16" x14ac:dyDescent="0.3">
      <c r="A1930" s="1">
        <v>1929</v>
      </c>
      <c r="G1930" s="4"/>
      <c r="H1930" s="4"/>
      <c r="I1930" s="47"/>
      <c r="J1930" s="47" t="str">
        <f t="shared" si="43"/>
        <v/>
      </c>
      <c r="K1930" s="47"/>
      <c r="L1930" s="47"/>
      <c r="N1930" s="47"/>
      <c r="O1930" s="47"/>
      <c r="P1930" s="47"/>
    </row>
    <row r="1931" spans="1:16" x14ac:dyDescent="0.3">
      <c r="A1931" s="1">
        <v>1930</v>
      </c>
      <c r="G1931" s="4"/>
      <c r="H1931" s="4"/>
      <c r="I1931" s="47"/>
      <c r="J1931" s="47" t="str">
        <f t="shared" si="43"/>
        <v/>
      </c>
      <c r="K1931" s="47"/>
      <c r="L1931" s="47"/>
      <c r="N1931" s="47"/>
      <c r="O1931" s="47"/>
      <c r="P1931" s="47"/>
    </row>
    <row r="1932" spans="1:16" x14ac:dyDescent="0.3">
      <c r="A1932" s="1">
        <v>1931</v>
      </c>
      <c r="G1932" s="4"/>
      <c r="H1932" s="4"/>
      <c r="I1932" s="47"/>
      <c r="J1932" s="47" t="str">
        <f t="shared" si="43"/>
        <v/>
      </c>
      <c r="K1932" s="47"/>
      <c r="L1932" s="47"/>
      <c r="N1932" s="47"/>
      <c r="O1932" s="47"/>
      <c r="P1932" s="47"/>
    </row>
    <row r="1933" spans="1:16" x14ac:dyDescent="0.3">
      <c r="A1933" s="1">
        <v>1932</v>
      </c>
      <c r="G1933" s="4"/>
      <c r="H1933" s="4"/>
      <c r="I1933" s="47"/>
      <c r="J1933" s="47" t="str">
        <f t="shared" si="43"/>
        <v/>
      </c>
      <c r="K1933" s="47"/>
      <c r="L1933" s="47"/>
      <c r="N1933" s="47"/>
      <c r="O1933" s="47"/>
      <c r="P1933" s="47"/>
    </row>
    <row r="1934" spans="1:16" x14ac:dyDescent="0.3">
      <c r="A1934" s="1">
        <v>1933</v>
      </c>
      <c r="G1934" s="4"/>
      <c r="H1934" s="4"/>
      <c r="I1934" s="47"/>
      <c r="J1934" s="47" t="str">
        <f t="shared" si="43"/>
        <v/>
      </c>
      <c r="K1934" s="47"/>
      <c r="L1934" s="47"/>
      <c r="N1934" s="47"/>
      <c r="O1934" s="47"/>
      <c r="P1934" s="47"/>
    </row>
    <row r="1935" spans="1:16" x14ac:dyDescent="0.3">
      <c r="A1935" s="1">
        <v>1934</v>
      </c>
      <c r="G1935" s="4"/>
      <c r="H1935" s="4"/>
      <c r="I1935" s="47"/>
      <c r="J1935" s="47" t="str">
        <f t="shared" si="43"/>
        <v/>
      </c>
      <c r="K1935" s="47"/>
      <c r="L1935" s="47"/>
      <c r="N1935" s="47"/>
      <c r="O1935" s="47"/>
      <c r="P1935" s="47"/>
    </row>
    <row r="1936" spans="1:16" x14ac:dyDescent="0.3">
      <c r="A1936" s="1">
        <v>1935</v>
      </c>
      <c r="G1936" s="4"/>
      <c r="H1936" s="4"/>
      <c r="I1936" s="47"/>
      <c r="J1936" s="47" t="str">
        <f t="shared" si="43"/>
        <v/>
      </c>
      <c r="K1936" s="47"/>
      <c r="L1936" s="47"/>
      <c r="N1936" s="47"/>
      <c r="O1936" s="47"/>
      <c r="P1936" s="47"/>
    </row>
    <row r="1937" spans="1:16" x14ac:dyDescent="0.3">
      <c r="A1937" s="1">
        <v>1936</v>
      </c>
      <c r="G1937" s="4"/>
      <c r="H1937" s="4"/>
      <c r="I1937" s="47"/>
      <c r="J1937" s="47" t="str">
        <f t="shared" si="43"/>
        <v/>
      </c>
      <c r="K1937" s="47"/>
      <c r="L1937" s="47"/>
      <c r="N1937" s="47"/>
      <c r="O1937" s="47"/>
      <c r="P1937" s="47"/>
    </row>
    <row r="1938" spans="1:16" x14ac:dyDescent="0.3">
      <c r="A1938" s="1">
        <v>1937</v>
      </c>
      <c r="G1938" s="4"/>
      <c r="H1938" s="4"/>
      <c r="I1938" s="47"/>
      <c r="J1938" s="47" t="str">
        <f t="shared" si="43"/>
        <v/>
      </c>
      <c r="K1938" s="47"/>
      <c r="L1938" s="47"/>
      <c r="N1938" s="47"/>
      <c r="O1938" s="47"/>
      <c r="P1938" s="47"/>
    </row>
    <row r="1939" spans="1:16" x14ac:dyDescent="0.3">
      <c r="A1939" s="1">
        <v>1938</v>
      </c>
      <c r="G1939" s="4"/>
      <c r="H1939" s="4"/>
      <c r="I1939" s="47"/>
      <c r="J1939" s="47" t="str">
        <f t="shared" si="43"/>
        <v/>
      </c>
      <c r="K1939" s="47"/>
      <c r="L1939" s="47"/>
      <c r="N1939" s="47"/>
      <c r="O1939" s="47"/>
      <c r="P1939" s="47"/>
    </row>
    <row r="1940" spans="1:16" x14ac:dyDescent="0.3">
      <c r="A1940" s="1">
        <v>1939</v>
      </c>
      <c r="G1940" s="4"/>
      <c r="H1940" s="4"/>
      <c r="I1940" s="47"/>
      <c r="J1940" s="47" t="str">
        <f t="shared" si="43"/>
        <v/>
      </c>
      <c r="K1940" s="47"/>
      <c r="L1940" s="47"/>
      <c r="N1940" s="47"/>
      <c r="O1940" s="47"/>
      <c r="P1940" s="47"/>
    </row>
    <row r="1941" spans="1:16" x14ac:dyDescent="0.3">
      <c r="A1941" s="1">
        <v>1940</v>
      </c>
      <c r="G1941" s="4"/>
      <c r="H1941" s="4"/>
      <c r="I1941" s="47"/>
      <c r="J1941" s="47" t="str">
        <f t="shared" si="43"/>
        <v/>
      </c>
      <c r="K1941" s="47"/>
      <c r="L1941" s="47"/>
      <c r="N1941" s="47"/>
      <c r="O1941" s="47"/>
      <c r="P1941" s="47"/>
    </row>
    <row r="1942" spans="1:16" x14ac:dyDescent="0.3">
      <c r="A1942" s="1">
        <v>1941</v>
      </c>
      <c r="G1942" s="4"/>
      <c r="H1942" s="4"/>
      <c r="I1942" s="47"/>
      <c r="J1942" s="47" t="str">
        <f t="shared" si="43"/>
        <v/>
      </c>
      <c r="K1942" s="47"/>
      <c r="L1942" s="47"/>
      <c r="N1942" s="47"/>
      <c r="O1942" s="47"/>
      <c r="P1942" s="47"/>
    </row>
    <row r="1943" spans="1:16" x14ac:dyDescent="0.3">
      <c r="A1943" s="1">
        <v>1942</v>
      </c>
      <c r="G1943" s="4"/>
      <c r="H1943" s="4"/>
      <c r="I1943" s="47"/>
      <c r="J1943" s="47" t="str">
        <f t="shared" si="43"/>
        <v/>
      </c>
      <c r="K1943" s="47"/>
      <c r="L1943" s="47"/>
      <c r="N1943" s="47"/>
      <c r="O1943" s="47"/>
      <c r="P1943" s="47"/>
    </row>
    <row r="1944" spans="1:16" x14ac:dyDescent="0.3">
      <c r="A1944" s="1">
        <v>1943</v>
      </c>
      <c r="G1944" s="4"/>
      <c r="H1944" s="4"/>
      <c r="I1944" s="47"/>
      <c r="J1944" s="47" t="str">
        <f t="shared" si="43"/>
        <v/>
      </c>
      <c r="K1944" s="47"/>
      <c r="L1944" s="47"/>
      <c r="N1944" s="47"/>
      <c r="O1944" s="47"/>
      <c r="P1944" s="47"/>
    </row>
    <row r="1945" spans="1:16" x14ac:dyDescent="0.3">
      <c r="A1945" s="1">
        <v>1944</v>
      </c>
      <c r="G1945" s="4"/>
      <c r="H1945" s="4"/>
      <c r="I1945" s="47"/>
      <c r="J1945" s="47" t="str">
        <f t="shared" si="43"/>
        <v/>
      </c>
      <c r="K1945" s="47"/>
      <c r="L1945" s="47"/>
      <c r="N1945" s="47"/>
      <c r="O1945" s="47"/>
      <c r="P1945" s="47"/>
    </row>
    <row r="1946" spans="1:16" x14ac:dyDescent="0.3">
      <c r="A1946" s="1">
        <v>1945</v>
      </c>
      <c r="G1946" s="4"/>
      <c r="H1946" s="4"/>
      <c r="I1946" s="47"/>
      <c r="J1946" s="47" t="str">
        <f t="shared" si="43"/>
        <v/>
      </c>
      <c r="K1946" s="47"/>
      <c r="L1946" s="47"/>
      <c r="N1946" s="47"/>
      <c r="O1946" s="47"/>
      <c r="P1946" s="47"/>
    </row>
    <row r="1947" spans="1:16" x14ac:dyDescent="0.3">
      <c r="A1947" s="1">
        <v>1946</v>
      </c>
      <c r="G1947" s="4"/>
      <c r="H1947" s="4"/>
      <c r="I1947" s="47"/>
      <c r="J1947" s="47" t="str">
        <f t="shared" si="43"/>
        <v/>
      </c>
      <c r="K1947" s="47"/>
      <c r="L1947" s="47"/>
      <c r="N1947" s="47"/>
      <c r="O1947" s="47"/>
      <c r="P1947" s="47"/>
    </row>
    <row r="1948" spans="1:16" x14ac:dyDescent="0.3">
      <c r="A1948" s="1">
        <v>1947</v>
      </c>
      <c r="G1948" s="4"/>
      <c r="H1948" s="4"/>
      <c r="I1948" s="47"/>
      <c r="J1948" s="47" t="str">
        <f t="shared" si="43"/>
        <v/>
      </c>
      <c r="K1948" s="47"/>
      <c r="L1948" s="47"/>
      <c r="N1948" s="47"/>
      <c r="O1948" s="47"/>
      <c r="P1948" s="47"/>
    </row>
    <row r="1949" spans="1:16" x14ac:dyDescent="0.3">
      <c r="A1949" s="1">
        <v>1948</v>
      </c>
      <c r="G1949" s="4"/>
      <c r="H1949" s="4"/>
      <c r="I1949" s="47"/>
      <c r="J1949" s="47" t="str">
        <f t="shared" si="43"/>
        <v/>
      </c>
      <c r="K1949" s="47"/>
      <c r="L1949" s="47"/>
      <c r="N1949" s="47"/>
      <c r="O1949" s="47"/>
      <c r="P1949" s="47"/>
    </row>
    <row r="1950" spans="1:16" x14ac:dyDescent="0.3">
      <c r="A1950" s="1">
        <v>1949</v>
      </c>
      <c r="G1950" s="4"/>
      <c r="H1950" s="4"/>
      <c r="I1950" s="47"/>
      <c r="J1950" s="47" t="str">
        <f t="shared" si="43"/>
        <v/>
      </c>
      <c r="K1950" s="47"/>
      <c r="L1950" s="47"/>
      <c r="N1950" s="47"/>
      <c r="O1950" s="47"/>
      <c r="P1950" s="47"/>
    </row>
    <row r="1951" spans="1:16" x14ac:dyDescent="0.3">
      <c r="A1951" s="1">
        <v>1950</v>
      </c>
      <c r="G1951" s="4"/>
      <c r="H1951" s="4"/>
      <c r="I1951" s="47"/>
      <c r="J1951" s="47" t="str">
        <f t="shared" si="43"/>
        <v/>
      </c>
      <c r="K1951" s="47"/>
      <c r="L1951" s="47"/>
      <c r="N1951" s="47"/>
      <c r="O1951" s="47"/>
      <c r="P1951" s="47"/>
    </row>
    <row r="1952" spans="1:16" x14ac:dyDescent="0.3">
      <c r="A1952" s="1">
        <v>1951</v>
      </c>
      <c r="G1952" s="4"/>
      <c r="H1952" s="4"/>
      <c r="I1952" s="47"/>
      <c r="J1952" s="47" t="str">
        <f t="shared" si="43"/>
        <v/>
      </c>
      <c r="K1952" s="47"/>
      <c r="L1952" s="47"/>
      <c r="N1952" s="47"/>
      <c r="O1952" s="47"/>
      <c r="P1952" s="47"/>
    </row>
    <row r="1953" spans="1:16" x14ac:dyDescent="0.3">
      <c r="A1953" s="1">
        <v>1952</v>
      </c>
      <c r="G1953" s="4"/>
      <c r="H1953" s="4"/>
      <c r="I1953" s="47"/>
      <c r="J1953" s="47" t="str">
        <f t="shared" si="43"/>
        <v/>
      </c>
      <c r="K1953" s="47"/>
      <c r="L1953" s="47"/>
      <c r="N1953" s="47"/>
      <c r="O1953" s="47"/>
      <c r="P1953" s="47"/>
    </row>
    <row r="1954" spans="1:16" x14ac:dyDescent="0.3">
      <c r="A1954" s="1">
        <v>1953</v>
      </c>
      <c r="G1954" s="4"/>
      <c r="H1954" s="4"/>
      <c r="I1954" s="47"/>
      <c r="J1954" s="47" t="str">
        <f t="shared" si="43"/>
        <v/>
      </c>
      <c r="K1954" s="47"/>
      <c r="L1954" s="47"/>
      <c r="N1954" s="47"/>
      <c r="O1954" s="47"/>
      <c r="P1954" s="47"/>
    </row>
    <row r="1955" spans="1:16" x14ac:dyDescent="0.3">
      <c r="A1955" s="1">
        <v>1954</v>
      </c>
      <c r="G1955" s="4"/>
      <c r="H1955" s="4"/>
      <c r="I1955" s="47"/>
      <c r="J1955" s="47" t="str">
        <f t="shared" si="43"/>
        <v/>
      </c>
      <c r="K1955" s="47"/>
      <c r="L1955" s="47"/>
      <c r="N1955" s="47"/>
      <c r="O1955" s="47"/>
      <c r="P1955" s="47"/>
    </row>
    <row r="1956" spans="1:16" x14ac:dyDescent="0.3">
      <c r="A1956" s="1">
        <v>1955</v>
      </c>
      <c r="G1956" s="4"/>
      <c r="H1956" s="4"/>
      <c r="I1956" s="47"/>
      <c r="J1956" s="47" t="str">
        <f t="shared" si="43"/>
        <v/>
      </c>
      <c r="K1956" s="47"/>
      <c r="L1956" s="47"/>
      <c r="N1956" s="47"/>
      <c r="O1956" s="47"/>
      <c r="P1956" s="47"/>
    </row>
    <row r="1957" spans="1:16" x14ac:dyDescent="0.3">
      <c r="A1957" s="1">
        <v>1956</v>
      </c>
      <c r="G1957" s="4"/>
      <c r="H1957" s="4"/>
      <c r="I1957" s="47"/>
      <c r="J1957" s="47" t="str">
        <f t="shared" si="43"/>
        <v/>
      </c>
      <c r="K1957" s="47"/>
      <c r="L1957" s="47"/>
      <c r="N1957" s="47"/>
      <c r="O1957" s="47"/>
      <c r="P1957" s="47"/>
    </row>
    <row r="1958" spans="1:16" x14ac:dyDescent="0.3">
      <c r="A1958" s="1">
        <v>1957</v>
      </c>
      <c r="G1958" s="4"/>
      <c r="H1958" s="4"/>
      <c r="I1958" s="47"/>
      <c r="J1958" s="47" t="str">
        <f t="shared" si="43"/>
        <v/>
      </c>
      <c r="K1958" s="47"/>
      <c r="L1958" s="47"/>
      <c r="N1958" s="47"/>
      <c r="O1958" s="47"/>
      <c r="P1958" s="47"/>
    </row>
    <row r="1959" spans="1:16" x14ac:dyDescent="0.3">
      <c r="A1959" s="1">
        <v>1958</v>
      </c>
      <c r="G1959" s="4"/>
      <c r="H1959" s="4"/>
      <c r="I1959" s="47"/>
      <c r="J1959" s="47" t="str">
        <f t="shared" si="43"/>
        <v/>
      </c>
      <c r="K1959" s="47"/>
      <c r="L1959" s="47"/>
      <c r="N1959" s="47"/>
      <c r="O1959" s="47"/>
      <c r="P1959" s="47"/>
    </row>
    <row r="1960" spans="1:16" x14ac:dyDescent="0.3">
      <c r="A1960" s="1">
        <v>1959</v>
      </c>
      <c r="G1960" s="4"/>
      <c r="H1960" s="4"/>
      <c r="I1960" s="47"/>
      <c r="J1960" s="47" t="str">
        <f t="shared" si="43"/>
        <v/>
      </c>
      <c r="K1960" s="47"/>
      <c r="L1960" s="47"/>
      <c r="N1960" s="47"/>
      <c r="O1960" s="47"/>
      <c r="P1960" s="47"/>
    </row>
    <row r="1961" spans="1:16" x14ac:dyDescent="0.3">
      <c r="A1961" s="1">
        <v>1960</v>
      </c>
      <c r="G1961" s="4"/>
      <c r="H1961" s="4"/>
      <c r="I1961" s="47"/>
      <c r="J1961" s="47" t="str">
        <f t="shared" si="43"/>
        <v/>
      </c>
      <c r="K1961" s="47"/>
      <c r="L1961" s="47"/>
      <c r="N1961" s="47"/>
      <c r="O1961" s="47"/>
      <c r="P1961" s="47"/>
    </row>
    <row r="1962" spans="1:16" x14ac:dyDescent="0.3">
      <c r="A1962" s="1">
        <v>1961</v>
      </c>
      <c r="G1962" s="4"/>
      <c r="H1962" s="4"/>
      <c r="I1962" s="47"/>
      <c r="J1962" s="47" t="str">
        <f t="shared" si="43"/>
        <v/>
      </c>
      <c r="K1962" s="47"/>
      <c r="L1962" s="47"/>
      <c r="N1962" s="47"/>
      <c r="O1962" s="47"/>
      <c r="P1962" s="47"/>
    </row>
    <row r="1963" spans="1:16" x14ac:dyDescent="0.3">
      <c r="A1963" s="1">
        <v>1962</v>
      </c>
      <c r="G1963" s="4"/>
      <c r="H1963" s="4"/>
      <c r="I1963" s="47"/>
      <c r="J1963" s="47" t="str">
        <f t="shared" si="43"/>
        <v/>
      </c>
      <c r="K1963" s="47"/>
      <c r="L1963" s="47"/>
      <c r="N1963" s="47"/>
      <c r="O1963" s="47"/>
      <c r="P1963" s="47"/>
    </row>
    <row r="1964" spans="1:16" x14ac:dyDescent="0.3">
      <c r="A1964" s="1">
        <v>1963</v>
      </c>
      <c r="G1964" s="4"/>
      <c r="H1964" s="4"/>
      <c r="I1964" s="47"/>
      <c r="J1964" s="47" t="str">
        <f t="shared" si="43"/>
        <v/>
      </c>
      <c r="K1964" s="47"/>
      <c r="L1964" s="47"/>
      <c r="N1964" s="47"/>
      <c r="O1964" s="47"/>
      <c r="P1964" s="47"/>
    </row>
    <row r="1965" spans="1:16" x14ac:dyDescent="0.3">
      <c r="A1965" s="1">
        <v>1964</v>
      </c>
      <c r="G1965" s="4"/>
      <c r="H1965" s="4"/>
      <c r="I1965" s="47"/>
      <c r="J1965" s="47" t="str">
        <f t="shared" si="43"/>
        <v/>
      </c>
      <c r="K1965" s="47"/>
      <c r="L1965" s="47"/>
      <c r="N1965" s="47"/>
      <c r="O1965" s="47"/>
      <c r="P1965" s="47"/>
    </row>
    <row r="1966" spans="1:16" x14ac:dyDescent="0.3">
      <c r="A1966" s="1">
        <v>1965</v>
      </c>
      <c r="G1966" s="4"/>
      <c r="H1966" s="4"/>
      <c r="I1966" s="47"/>
      <c r="J1966" s="47" t="str">
        <f t="shared" si="43"/>
        <v/>
      </c>
      <c r="K1966" s="47"/>
      <c r="L1966" s="47"/>
      <c r="N1966" s="47"/>
      <c r="O1966" s="47"/>
      <c r="P1966" s="47"/>
    </row>
    <row r="1967" spans="1:16" x14ac:dyDescent="0.3">
      <c r="A1967" s="1">
        <v>1966</v>
      </c>
      <c r="G1967" s="4"/>
      <c r="H1967" s="4"/>
      <c r="I1967" s="47"/>
      <c r="J1967" s="47" t="str">
        <f t="shared" si="43"/>
        <v/>
      </c>
      <c r="K1967" s="47"/>
      <c r="L1967" s="47"/>
      <c r="N1967" s="47"/>
      <c r="O1967" s="47"/>
      <c r="P1967" s="47"/>
    </row>
    <row r="1968" spans="1:16" x14ac:dyDescent="0.3">
      <c r="A1968" s="1">
        <v>1967</v>
      </c>
      <c r="G1968" s="4"/>
      <c r="H1968" s="4"/>
      <c r="I1968" s="47"/>
      <c r="J1968" s="47" t="str">
        <f t="shared" si="43"/>
        <v/>
      </c>
      <c r="K1968" s="47"/>
      <c r="L1968" s="47"/>
      <c r="N1968" s="47"/>
      <c r="O1968" s="47"/>
      <c r="P1968" s="47"/>
    </row>
    <row r="1969" spans="1:16" x14ac:dyDescent="0.3">
      <c r="A1969" s="1">
        <v>1968</v>
      </c>
      <c r="G1969" s="4"/>
      <c r="H1969" s="4"/>
      <c r="I1969" s="47"/>
      <c r="J1969" s="47" t="str">
        <f t="shared" si="43"/>
        <v/>
      </c>
      <c r="K1969" s="47"/>
      <c r="L1969" s="47"/>
      <c r="N1969" s="47"/>
      <c r="O1969" s="47"/>
      <c r="P1969" s="47"/>
    </row>
    <row r="1970" spans="1:16" x14ac:dyDescent="0.3">
      <c r="A1970" s="1">
        <v>1969</v>
      </c>
      <c r="G1970" s="4"/>
      <c r="H1970" s="4"/>
      <c r="I1970" s="47"/>
      <c r="J1970" s="47" t="str">
        <f t="shared" si="43"/>
        <v/>
      </c>
      <c r="K1970" s="47"/>
      <c r="L1970" s="47"/>
      <c r="N1970" s="47"/>
      <c r="O1970" s="47"/>
      <c r="P1970" s="47"/>
    </row>
    <row r="1971" spans="1:16" x14ac:dyDescent="0.3">
      <c r="A1971" s="1">
        <v>1970</v>
      </c>
      <c r="G1971" s="4"/>
      <c r="H1971" s="4"/>
      <c r="I1971" s="47"/>
      <c r="J1971" s="47" t="str">
        <f t="shared" si="43"/>
        <v/>
      </c>
      <c r="K1971" s="47"/>
      <c r="L1971" s="47"/>
      <c r="N1971" s="47"/>
      <c r="O1971" s="47"/>
      <c r="P1971" s="47"/>
    </row>
    <row r="1972" spans="1:16" x14ac:dyDescent="0.3">
      <c r="A1972" s="1">
        <v>1971</v>
      </c>
      <c r="G1972" s="4"/>
      <c r="H1972" s="4"/>
      <c r="I1972" s="47"/>
      <c r="J1972" s="47" t="str">
        <f t="shared" si="43"/>
        <v/>
      </c>
      <c r="K1972" s="47"/>
      <c r="L1972" s="47"/>
      <c r="N1972" s="47"/>
      <c r="O1972" s="47"/>
      <c r="P1972" s="47"/>
    </row>
    <row r="1973" spans="1:16" x14ac:dyDescent="0.3">
      <c r="A1973" s="1">
        <v>1972</v>
      </c>
      <c r="G1973" s="4"/>
      <c r="H1973" s="4"/>
      <c r="I1973" s="47"/>
      <c r="J1973" s="47" t="str">
        <f t="shared" si="43"/>
        <v/>
      </c>
      <c r="K1973" s="47"/>
      <c r="L1973" s="47"/>
      <c r="N1973" s="47"/>
      <c r="O1973" s="47"/>
      <c r="P1973" s="47"/>
    </row>
    <row r="1974" spans="1:16" x14ac:dyDescent="0.3">
      <c r="A1974" s="1">
        <v>1973</v>
      </c>
      <c r="G1974" s="4"/>
      <c r="H1974" s="4"/>
      <c r="I1974" s="47"/>
      <c r="J1974" s="47" t="str">
        <f t="shared" si="43"/>
        <v/>
      </c>
      <c r="K1974" s="47"/>
      <c r="L1974" s="47"/>
      <c r="N1974" s="47"/>
      <c r="O1974" s="47"/>
      <c r="P1974" s="47"/>
    </row>
    <row r="1975" spans="1:16" x14ac:dyDescent="0.3">
      <c r="A1975" s="1">
        <v>1974</v>
      </c>
      <c r="G1975" s="4"/>
      <c r="H1975" s="4"/>
      <c r="I1975" s="47"/>
      <c r="J1975" s="47" t="str">
        <f t="shared" si="43"/>
        <v/>
      </c>
      <c r="K1975" s="47"/>
      <c r="L1975" s="47"/>
      <c r="N1975" s="47"/>
      <c r="O1975" s="47"/>
      <c r="P1975" s="47"/>
    </row>
    <row r="1976" spans="1:16" x14ac:dyDescent="0.3">
      <c r="A1976" s="1">
        <v>1975</v>
      </c>
      <c r="G1976" s="4"/>
      <c r="H1976" s="4"/>
      <c r="I1976" s="47"/>
      <c r="J1976" s="47" t="str">
        <f t="shared" si="43"/>
        <v/>
      </c>
      <c r="K1976" s="47"/>
      <c r="L1976" s="47"/>
      <c r="N1976" s="47"/>
      <c r="O1976" s="47"/>
      <c r="P1976" s="47"/>
    </row>
    <row r="1977" spans="1:16" x14ac:dyDescent="0.3">
      <c r="A1977" s="1">
        <v>1976</v>
      </c>
      <c r="G1977" s="4"/>
      <c r="H1977" s="4"/>
      <c r="I1977" s="47"/>
      <c r="J1977" s="47" t="str">
        <f t="shared" si="43"/>
        <v/>
      </c>
      <c r="K1977" s="47"/>
      <c r="L1977" s="47"/>
      <c r="N1977" s="47"/>
      <c r="O1977" s="47"/>
      <c r="P1977" s="47"/>
    </row>
    <row r="1978" spans="1:16" x14ac:dyDescent="0.3">
      <c r="A1978" s="1">
        <v>1977</v>
      </c>
      <c r="G1978" s="4"/>
      <c r="H1978" s="4"/>
      <c r="I1978" s="47"/>
      <c r="J1978" s="47" t="str">
        <f t="shared" si="43"/>
        <v/>
      </c>
      <c r="K1978" s="47"/>
      <c r="L1978" s="47"/>
      <c r="N1978" s="47"/>
      <c r="O1978" s="47"/>
      <c r="P1978" s="47"/>
    </row>
    <row r="1979" spans="1:16" x14ac:dyDescent="0.3">
      <c r="A1979" s="1">
        <v>1978</v>
      </c>
      <c r="G1979" s="4"/>
      <c r="H1979" s="4"/>
      <c r="I1979" s="47"/>
      <c r="J1979" s="47" t="str">
        <f t="shared" si="43"/>
        <v/>
      </c>
      <c r="K1979" s="47"/>
      <c r="L1979" s="47"/>
      <c r="N1979" s="47"/>
      <c r="O1979" s="47"/>
      <c r="P1979" s="47"/>
    </row>
    <row r="1980" spans="1:16" x14ac:dyDescent="0.3">
      <c r="A1980" s="1">
        <v>1979</v>
      </c>
      <c r="G1980" s="4"/>
      <c r="H1980" s="4"/>
      <c r="I1980" s="47"/>
      <c r="J1980" s="47" t="str">
        <f t="shared" si="43"/>
        <v/>
      </c>
      <c r="K1980" s="47"/>
      <c r="L1980" s="47"/>
      <c r="N1980" s="47"/>
      <c r="O1980" s="47"/>
      <c r="P1980" s="47"/>
    </row>
    <row r="1981" spans="1:16" x14ac:dyDescent="0.3">
      <c r="A1981" s="1">
        <v>1980</v>
      </c>
      <c r="G1981" s="4"/>
      <c r="H1981" s="4"/>
      <c r="I1981" s="47"/>
      <c r="J1981" s="47" t="str">
        <f t="shared" si="43"/>
        <v/>
      </c>
      <c r="K1981" s="47"/>
      <c r="L1981" s="47"/>
      <c r="N1981" s="47"/>
      <c r="O1981" s="47"/>
      <c r="P1981" s="47"/>
    </row>
    <row r="1982" spans="1:16" x14ac:dyDescent="0.3">
      <c r="A1982" s="1">
        <v>1981</v>
      </c>
      <c r="G1982" s="4"/>
      <c r="H1982" s="4"/>
      <c r="I1982" s="47"/>
      <c r="J1982" s="47" t="str">
        <f t="shared" si="43"/>
        <v/>
      </c>
      <c r="K1982" s="47"/>
      <c r="L1982" s="47"/>
      <c r="N1982" s="47"/>
      <c r="O1982" s="47"/>
      <c r="P1982" s="47"/>
    </row>
    <row r="1983" spans="1:16" x14ac:dyDescent="0.3">
      <c r="A1983" s="1">
        <v>1982</v>
      </c>
      <c r="G1983" s="4"/>
      <c r="H1983" s="4"/>
      <c r="I1983" s="47"/>
      <c r="J1983" s="47" t="str">
        <f t="shared" si="43"/>
        <v/>
      </c>
      <c r="K1983" s="47"/>
      <c r="L1983" s="47"/>
      <c r="N1983" s="47"/>
      <c r="O1983" s="47"/>
      <c r="P1983" s="47"/>
    </row>
    <row r="1984" spans="1:16" x14ac:dyDescent="0.3">
      <c r="A1984" s="1">
        <v>1983</v>
      </c>
      <c r="G1984" s="4"/>
      <c r="H1984" s="4"/>
      <c r="I1984" s="47"/>
      <c r="J1984" s="47" t="str">
        <f t="shared" si="43"/>
        <v/>
      </c>
      <c r="K1984" s="47"/>
      <c r="L1984" s="47"/>
      <c r="N1984" s="47"/>
      <c r="O1984" s="47"/>
      <c r="P1984" s="47"/>
    </row>
    <row r="1985" spans="1:16" x14ac:dyDescent="0.3">
      <c r="A1985" s="1">
        <v>1984</v>
      </c>
      <c r="G1985" s="4"/>
      <c r="H1985" s="4"/>
      <c r="I1985" s="47"/>
      <c r="J1985" s="47" t="str">
        <f t="shared" si="43"/>
        <v/>
      </c>
      <c r="K1985" s="47"/>
      <c r="L1985" s="47"/>
      <c r="N1985" s="47"/>
      <c r="O1985" s="47"/>
      <c r="P1985" s="47"/>
    </row>
    <row r="1986" spans="1:16" x14ac:dyDescent="0.3">
      <c r="A1986" s="1">
        <v>1985</v>
      </c>
      <c r="G1986" s="4"/>
      <c r="H1986" s="4"/>
      <c r="I1986" s="47"/>
      <c r="J1986" s="47" t="str">
        <f t="shared" si="43"/>
        <v/>
      </c>
      <c r="K1986" s="47"/>
      <c r="L1986" s="47"/>
      <c r="N1986" s="47"/>
      <c r="O1986" s="47"/>
      <c r="P1986" s="47"/>
    </row>
    <row r="1987" spans="1:16" x14ac:dyDescent="0.3">
      <c r="A1987" s="1">
        <v>1986</v>
      </c>
      <c r="G1987" s="4"/>
      <c r="H1987" s="4"/>
      <c r="I1987" s="47"/>
      <c r="J1987" s="47" t="str">
        <f t="shared" ref="J1987:J2050" si="44">+E1987&amp;I1987</f>
        <v/>
      </c>
      <c r="K1987" s="47"/>
      <c r="L1987" s="47"/>
      <c r="N1987" s="47"/>
      <c r="O1987" s="47"/>
      <c r="P1987" s="47"/>
    </row>
    <row r="1988" spans="1:16" x14ac:dyDescent="0.3">
      <c r="A1988" s="1">
        <v>1987</v>
      </c>
      <c r="G1988" s="4"/>
      <c r="H1988" s="4"/>
      <c r="I1988" s="47"/>
      <c r="J1988" s="47" t="str">
        <f t="shared" si="44"/>
        <v/>
      </c>
      <c r="K1988" s="47"/>
      <c r="L1988" s="47"/>
      <c r="N1988" s="47"/>
      <c r="O1988" s="47"/>
      <c r="P1988" s="47"/>
    </row>
    <row r="1989" spans="1:16" x14ac:dyDescent="0.3">
      <c r="A1989" s="1">
        <v>1988</v>
      </c>
      <c r="G1989" s="4"/>
      <c r="H1989" s="4"/>
      <c r="I1989" s="47"/>
      <c r="J1989" s="47" t="str">
        <f t="shared" si="44"/>
        <v/>
      </c>
      <c r="K1989" s="47"/>
      <c r="L1989" s="47"/>
      <c r="N1989" s="47"/>
      <c r="O1989" s="47"/>
      <c r="P1989" s="47"/>
    </row>
    <row r="1990" spans="1:16" x14ac:dyDescent="0.3">
      <c r="A1990" s="1">
        <v>1989</v>
      </c>
      <c r="G1990" s="4"/>
      <c r="H1990" s="4"/>
      <c r="I1990" s="47"/>
      <c r="J1990" s="47" t="str">
        <f t="shared" si="44"/>
        <v/>
      </c>
      <c r="K1990" s="47"/>
      <c r="L1990" s="47"/>
      <c r="N1990" s="47"/>
      <c r="O1990" s="47"/>
      <c r="P1990" s="47"/>
    </row>
    <row r="1991" spans="1:16" x14ac:dyDescent="0.3">
      <c r="A1991" s="1">
        <v>1990</v>
      </c>
      <c r="G1991" s="4"/>
      <c r="H1991" s="4"/>
      <c r="I1991" s="47"/>
      <c r="J1991" s="47" t="str">
        <f t="shared" si="44"/>
        <v/>
      </c>
      <c r="K1991" s="47"/>
      <c r="L1991" s="47"/>
      <c r="N1991" s="47"/>
      <c r="O1991" s="47"/>
      <c r="P1991" s="47"/>
    </row>
    <row r="1992" spans="1:16" x14ac:dyDescent="0.3">
      <c r="A1992" s="1">
        <v>1991</v>
      </c>
      <c r="G1992" s="4"/>
      <c r="H1992" s="4"/>
      <c r="I1992" s="47"/>
      <c r="J1992" s="47" t="str">
        <f t="shared" si="44"/>
        <v/>
      </c>
      <c r="K1992" s="47"/>
      <c r="L1992" s="47"/>
      <c r="N1992" s="47"/>
      <c r="O1992" s="47"/>
      <c r="P1992" s="47"/>
    </row>
    <row r="1993" spans="1:16" x14ac:dyDescent="0.3">
      <c r="A1993" s="1">
        <v>1992</v>
      </c>
      <c r="G1993" s="4"/>
      <c r="H1993" s="4"/>
      <c r="I1993" s="47"/>
      <c r="J1993" s="47" t="str">
        <f t="shared" si="44"/>
        <v/>
      </c>
      <c r="K1993" s="47"/>
      <c r="L1993" s="47"/>
      <c r="N1993" s="47"/>
      <c r="O1993" s="47"/>
      <c r="P1993" s="47"/>
    </row>
    <row r="1994" spans="1:16" x14ac:dyDescent="0.3">
      <c r="A1994" s="1">
        <v>1993</v>
      </c>
      <c r="G1994" s="4"/>
      <c r="H1994" s="4"/>
      <c r="I1994" s="47"/>
      <c r="J1994" s="47" t="str">
        <f t="shared" si="44"/>
        <v/>
      </c>
      <c r="K1994" s="47"/>
      <c r="L1994" s="47"/>
      <c r="N1994" s="47"/>
      <c r="O1994" s="47"/>
      <c r="P1994" s="47"/>
    </row>
    <row r="1995" spans="1:16" x14ac:dyDescent="0.3">
      <c r="A1995" s="1">
        <v>1994</v>
      </c>
      <c r="G1995" s="4"/>
      <c r="H1995" s="4"/>
      <c r="I1995" s="47"/>
      <c r="J1995" s="47" t="str">
        <f t="shared" si="44"/>
        <v/>
      </c>
      <c r="K1995" s="47"/>
      <c r="L1995" s="47"/>
      <c r="N1995" s="47"/>
      <c r="O1995" s="47"/>
      <c r="P1995" s="47"/>
    </row>
    <row r="1996" spans="1:16" x14ac:dyDescent="0.3">
      <c r="A1996" s="1">
        <v>1995</v>
      </c>
      <c r="G1996" s="4"/>
      <c r="H1996" s="4"/>
      <c r="I1996" s="47"/>
      <c r="J1996" s="47" t="str">
        <f t="shared" si="44"/>
        <v/>
      </c>
      <c r="K1996" s="47"/>
      <c r="L1996" s="47"/>
      <c r="N1996" s="47"/>
      <c r="O1996" s="47"/>
      <c r="P1996" s="47"/>
    </row>
    <row r="1997" spans="1:16" x14ac:dyDescent="0.3">
      <c r="A1997" s="1">
        <v>1996</v>
      </c>
      <c r="G1997" s="4"/>
      <c r="H1997" s="4"/>
      <c r="I1997" s="47"/>
      <c r="J1997" s="47" t="str">
        <f t="shared" si="44"/>
        <v/>
      </c>
      <c r="K1997" s="47"/>
      <c r="L1997" s="47"/>
      <c r="N1997" s="47"/>
      <c r="O1997" s="47"/>
      <c r="P1997" s="47"/>
    </row>
    <row r="1998" spans="1:16" x14ac:dyDescent="0.3">
      <c r="A1998" s="1">
        <v>1997</v>
      </c>
      <c r="G1998" s="4"/>
      <c r="H1998" s="4"/>
      <c r="I1998" s="47"/>
      <c r="J1998" s="47" t="str">
        <f t="shared" si="44"/>
        <v/>
      </c>
      <c r="K1998" s="47"/>
      <c r="L1998" s="47"/>
      <c r="N1998" s="47"/>
      <c r="O1998" s="47"/>
      <c r="P1998" s="47"/>
    </row>
    <row r="1999" spans="1:16" x14ac:dyDescent="0.3">
      <c r="A1999" s="1">
        <v>1998</v>
      </c>
      <c r="G1999" s="4"/>
      <c r="H1999" s="4"/>
      <c r="I1999" s="47"/>
      <c r="J1999" s="47" t="str">
        <f t="shared" si="44"/>
        <v/>
      </c>
      <c r="K1999" s="47"/>
      <c r="L1999" s="47"/>
      <c r="N1999" s="47"/>
      <c r="O1999" s="47"/>
      <c r="P1999" s="47"/>
    </row>
    <row r="2000" spans="1:16" x14ac:dyDescent="0.3">
      <c r="A2000" s="1">
        <v>1999</v>
      </c>
      <c r="G2000" s="4"/>
      <c r="H2000" s="4"/>
      <c r="I2000" s="47"/>
      <c r="J2000" s="47" t="str">
        <f t="shared" si="44"/>
        <v/>
      </c>
      <c r="K2000" s="47"/>
      <c r="L2000" s="47"/>
      <c r="N2000" s="47"/>
      <c r="O2000" s="47"/>
      <c r="P2000" s="47"/>
    </row>
    <row r="2001" spans="1:16" x14ac:dyDescent="0.3">
      <c r="A2001" s="1">
        <v>2000</v>
      </c>
      <c r="G2001" s="4"/>
      <c r="H2001" s="4"/>
      <c r="I2001" s="47"/>
      <c r="J2001" s="47" t="str">
        <f t="shared" si="44"/>
        <v/>
      </c>
      <c r="K2001" s="47"/>
      <c r="L2001" s="47"/>
      <c r="N2001" s="47"/>
      <c r="O2001" s="47"/>
      <c r="P2001" s="47"/>
    </row>
    <row r="2002" spans="1:16" x14ac:dyDescent="0.3">
      <c r="A2002" s="1">
        <v>2001</v>
      </c>
      <c r="G2002" s="4"/>
      <c r="H2002" s="4"/>
      <c r="I2002" s="47"/>
      <c r="J2002" s="47" t="str">
        <f t="shared" si="44"/>
        <v/>
      </c>
      <c r="K2002" s="47"/>
      <c r="L2002" s="47"/>
      <c r="N2002" s="47"/>
      <c r="O2002" s="47"/>
      <c r="P2002" s="47"/>
    </row>
    <row r="2003" spans="1:16" x14ac:dyDescent="0.3">
      <c r="A2003" s="1">
        <v>2002</v>
      </c>
      <c r="G2003" s="4"/>
      <c r="H2003" s="4"/>
      <c r="I2003" s="47"/>
      <c r="J2003" s="47" t="str">
        <f t="shared" si="44"/>
        <v/>
      </c>
      <c r="K2003" s="47"/>
      <c r="L2003" s="47"/>
      <c r="N2003" s="47"/>
      <c r="O2003" s="47"/>
      <c r="P2003" s="47"/>
    </row>
    <row r="2004" spans="1:16" x14ac:dyDescent="0.3">
      <c r="A2004" s="1">
        <v>2003</v>
      </c>
      <c r="G2004" s="4"/>
      <c r="H2004" s="4"/>
      <c r="I2004" s="47"/>
      <c r="J2004" s="47" t="str">
        <f t="shared" si="44"/>
        <v/>
      </c>
      <c r="K2004" s="47"/>
      <c r="L2004" s="47"/>
      <c r="N2004" s="47"/>
      <c r="O2004" s="47"/>
      <c r="P2004" s="47"/>
    </row>
    <row r="2005" spans="1:16" x14ac:dyDescent="0.3">
      <c r="A2005" s="1">
        <v>2004</v>
      </c>
      <c r="G2005" s="4"/>
      <c r="H2005" s="4"/>
      <c r="I2005" s="47"/>
      <c r="J2005" s="47" t="str">
        <f t="shared" si="44"/>
        <v/>
      </c>
      <c r="K2005" s="47"/>
      <c r="L2005" s="47"/>
      <c r="N2005" s="47"/>
      <c r="O2005" s="47"/>
      <c r="P2005" s="47"/>
    </row>
    <row r="2006" spans="1:16" x14ac:dyDescent="0.3">
      <c r="A2006" s="1">
        <v>2005</v>
      </c>
      <c r="G2006" s="4"/>
      <c r="H2006" s="4"/>
      <c r="I2006" s="47"/>
      <c r="J2006" s="47" t="str">
        <f t="shared" si="44"/>
        <v/>
      </c>
      <c r="K2006" s="47"/>
      <c r="L2006" s="47"/>
      <c r="N2006" s="47"/>
      <c r="O2006" s="47"/>
      <c r="P2006" s="47"/>
    </row>
    <row r="2007" spans="1:16" x14ac:dyDescent="0.3">
      <c r="A2007" s="1">
        <v>2006</v>
      </c>
      <c r="G2007" s="4"/>
      <c r="H2007" s="4"/>
      <c r="I2007" s="47"/>
      <c r="J2007" s="47" t="str">
        <f t="shared" si="44"/>
        <v/>
      </c>
      <c r="K2007" s="47"/>
      <c r="L2007" s="47"/>
      <c r="N2007" s="47"/>
      <c r="O2007" s="47"/>
      <c r="P2007" s="47"/>
    </row>
    <row r="2008" spans="1:16" x14ac:dyDescent="0.3">
      <c r="A2008" s="1">
        <v>2007</v>
      </c>
      <c r="G2008" s="4"/>
      <c r="H2008" s="4"/>
      <c r="I2008" s="47"/>
      <c r="J2008" s="47" t="str">
        <f t="shared" si="44"/>
        <v/>
      </c>
      <c r="K2008" s="47"/>
      <c r="L2008" s="47"/>
      <c r="N2008" s="47"/>
      <c r="O2008" s="47"/>
      <c r="P2008" s="47"/>
    </row>
    <row r="2009" spans="1:16" x14ac:dyDescent="0.3">
      <c r="A2009" s="1">
        <v>2008</v>
      </c>
      <c r="G2009" s="4"/>
      <c r="H2009" s="4"/>
      <c r="I2009" s="47"/>
      <c r="J2009" s="47" t="str">
        <f t="shared" si="44"/>
        <v/>
      </c>
      <c r="K2009" s="47"/>
      <c r="L2009" s="47"/>
      <c r="N2009" s="47"/>
      <c r="O2009" s="47"/>
      <c r="P2009" s="47"/>
    </row>
    <row r="2010" spans="1:16" x14ac:dyDescent="0.3">
      <c r="A2010" s="1">
        <v>2009</v>
      </c>
      <c r="G2010" s="4"/>
      <c r="H2010" s="4"/>
      <c r="I2010" s="47"/>
      <c r="J2010" s="47" t="str">
        <f t="shared" si="44"/>
        <v/>
      </c>
      <c r="K2010" s="47"/>
      <c r="L2010" s="47"/>
      <c r="N2010" s="47"/>
      <c r="O2010" s="47"/>
      <c r="P2010" s="47"/>
    </row>
    <row r="2011" spans="1:16" x14ac:dyDescent="0.3">
      <c r="A2011" s="1">
        <v>2010</v>
      </c>
      <c r="G2011" s="4"/>
      <c r="H2011" s="4"/>
      <c r="I2011" s="47"/>
      <c r="J2011" s="47" t="str">
        <f t="shared" si="44"/>
        <v/>
      </c>
      <c r="K2011" s="47"/>
      <c r="L2011" s="47"/>
      <c r="N2011" s="47"/>
      <c r="O2011" s="47"/>
      <c r="P2011" s="47"/>
    </row>
    <row r="2012" spans="1:16" x14ac:dyDescent="0.3">
      <c r="A2012" s="1">
        <v>2011</v>
      </c>
      <c r="G2012" s="4"/>
      <c r="H2012" s="4"/>
      <c r="I2012" s="47"/>
      <c r="J2012" s="47" t="str">
        <f t="shared" si="44"/>
        <v/>
      </c>
      <c r="K2012" s="47"/>
      <c r="L2012" s="47"/>
      <c r="N2012" s="47"/>
      <c r="O2012" s="47"/>
      <c r="P2012" s="47"/>
    </row>
    <row r="2013" spans="1:16" x14ac:dyDescent="0.3">
      <c r="A2013" s="1">
        <v>2012</v>
      </c>
      <c r="G2013" s="4"/>
      <c r="H2013" s="4"/>
      <c r="I2013" s="47"/>
      <c r="J2013" s="47" t="str">
        <f t="shared" si="44"/>
        <v/>
      </c>
      <c r="K2013" s="47"/>
      <c r="L2013" s="47"/>
      <c r="N2013" s="47"/>
      <c r="O2013" s="47"/>
      <c r="P2013" s="47"/>
    </row>
    <row r="2014" spans="1:16" x14ac:dyDescent="0.3">
      <c r="A2014" s="1">
        <v>2013</v>
      </c>
      <c r="G2014" s="4"/>
      <c r="H2014" s="4"/>
      <c r="I2014" s="47"/>
      <c r="J2014" s="47" t="str">
        <f t="shared" si="44"/>
        <v/>
      </c>
      <c r="K2014" s="47"/>
      <c r="L2014" s="47"/>
      <c r="N2014" s="47"/>
      <c r="O2014" s="47"/>
      <c r="P2014" s="47"/>
    </row>
    <row r="2015" spans="1:16" x14ac:dyDescent="0.3">
      <c r="A2015" s="1">
        <v>2014</v>
      </c>
      <c r="G2015" s="4"/>
      <c r="H2015" s="4"/>
      <c r="I2015" s="47"/>
      <c r="J2015" s="47" t="str">
        <f t="shared" si="44"/>
        <v/>
      </c>
      <c r="K2015" s="47"/>
      <c r="L2015" s="47"/>
      <c r="N2015" s="47"/>
      <c r="O2015" s="47"/>
      <c r="P2015" s="47"/>
    </row>
    <row r="2016" spans="1:16" x14ac:dyDescent="0.3">
      <c r="A2016" s="1">
        <v>2015</v>
      </c>
      <c r="G2016" s="4"/>
      <c r="H2016" s="4"/>
      <c r="I2016" s="47"/>
      <c r="J2016" s="47" t="str">
        <f t="shared" si="44"/>
        <v/>
      </c>
      <c r="K2016" s="47"/>
      <c r="L2016" s="47"/>
      <c r="N2016" s="47"/>
      <c r="O2016" s="47"/>
      <c r="P2016" s="47"/>
    </row>
    <row r="2017" spans="1:16" x14ac:dyDescent="0.3">
      <c r="A2017" s="1">
        <v>2016</v>
      </c>
      <c r="G2017" s="4"/>
      <c r="H2017" s="4"/>
      <c r="I2017" s="47"/>
      <c r="J2017" s="47" t="str">
        <f t="shared" si="44"/>
        <v/>
      </c>
      <c r="K2017" s="47"/>
      <c r="L2017" s="47"/>
      <c r="N2017" s="47"/>
      <c r="O2017" s="47"/>
      <c r="P2017" s="47"/>
    </row>
    <row r="2018" spans="1:16" x14ac:dyDescent="0.3">
      <c r="A2018" s="1">
        <v>2017</v>
      </c>
      <c r="G2018" s="4"/>
      <c r="H2018" s="4"/>
      <c r="I2018" s="47"/>
      <c r="J2018" s="47" t="str">
        <f t="shared" si="44"/>
        <v/>
      </c>
      <c r="K2018" s="47"/>
      <c r="L2018" s="47"/>
      <c r="N2018" s="47"/>
      <c r="O2018" s="47"/>
      <c r="P2018" s="47"/>
    </row>
    <row r="2019" spans="1:16" x14ac:dyDescent="0.3">
      <c r="A2019" s="1">
        <v>2018</v>
      </c>
      <c r="G2019" s="4"/>
      <c r="H2019" s="4"/>
      <c r="I2019" s="47"/>
      <c r="J2019" s="47" t="str">
        <f t="shared" si="44"/>
        <v/>
      </c>
      <c r="K2019" s="47"/>
      <c r="L2019" s="47"/>
      <c r="N2019" s="47"/>
      <c r="O2019" s="47"/>
      <c r="P2019" s="47"/>
    </row>
    <row r="2020" spans="1:16" x14ac:dyDescent="0.3">
      <c r="A2020" s="1">
        <v>2019</v>
      </c>
      <c r="G2020" s="4"/>
      <c r="H2020" s="4"/>
      <c r="I2020" s="47"/>
      <c r="J2020" s="47" t="str">
        <f t="shared" si="44"/>
        <v/>
      </c>
      <c r="K2020" s="47"/>
      <c r="L2020" s="47"/>
      <c r="N2020" s="47"/>
      <c r="O2020" s="47"/>
      <c r="P2020" s="47"/>
    </row>
    <row r="2021" spans="1:16" x14ac:dyDescent="0.3">
      <c r="A2021" s="1">
        <v>2020</v>
      </c>
      <c r="G2021" s="4"/>
      <c r="H2021" s="4"/>
      <c r="I2021" s="47"/>
      <c r="J2021" s="47" t="str">
        <f t="shared" si="44"/>
        <v/>
      </c>
      <c r="K2021" s="47"/>
      <c r="L2021" s="47"/>
      <c r="N2021" s="47"/>
      <c r="O2021" s="47"/>
      <c r="P2021" s="47"/>
    </row>
    <row r="2022" spans="1:16" x14ac:dyDescent="0.3">
      <c r="A2022" s="1">
        <v>2021</v>
      </c>
      <c r="G2022" s="4"/>
      <c r="H2022" s="4"/>
      <c r="I2022" s="47"/>
      <c r="J2022" s="47" t="str">
        <f t="shared" si="44"/>
        <v/>
      </c>
      <c r="K2022" s="47"/>
      <c r="L2022" s="47"/>
      <c r="N2022" s="47"/>
      <c r="O2022" s="47"/>
      <c r="P2022" s="47"/>
    </row>
    <row r="2023" spans="1:16" x14ac:dyDescent="0.3">
      <c r="A2023" s="1">
        <v>2022</v>
      </c>
      <c r="G2023" s="4"/>
      <c r="H2023" s="4"/>
      <c r="I2023" s="47"/>
      <c r="J2023" s="47" t="str">
        <f t="shared" si="44"/>
        <v/>
      </c>
      <c r="K2023" s="47"/>
      <c r="L2023" s="47"/>
      <c r="N2023" s="47"/>
      <c r="O2023" s="47"/>
      <c r="P2023" s="47"/>
    </row>
    <row r="2024" spans="1:16" x14ac:dyDescent="0.3">
      <c r="A2024" s="1">
        <v>2023</v>
      </c>
      <c r="G2024" s="4"/>
      <c r="H2024" s="4"/>
      <c r="I2024" s="47"/>
      <c r="J2024" s="47" t="str">
        <f t="shared" si="44"/>
        <v/>
      </c>
      <c r="K2024" s="47"/>
      <c r="L2024" s="47"/>
      <c r="N2024" s="47"/>
      <c r="O2024" s="47"/>
      <c r="P2024" s="47"/>
    </row>
    <row r="2025" spans="1:16" x14ac:dyDescent="0.3">
      <c r="A2025" s="1">
        <v>2024</v>
      </c>
      <c r="G2025" s="4"/>
      <c r="H2025" s="4"/>
      <c r="I2025" s="47"/>
      <c r="J2025" s="47" t="str">
        <f t="shared" si="44"/>
        <v/>
      </c>
      <c r="K2025" s="47"/>
      <c r="L2025" s="47"/>
      <c r="N2025" s="47"/>
      <c r="O2025" s="47"/>
      <c r="P2025" s="47"/>
    </row>
    <row r="2026" spans="1:16" x14ac:dyDescent="0.3">
      <c r="A2026" s="1">
        <v>2025</v>
      </c>
      <c r="G2026" s="4"/>
      <c r="H2026" s="4"/>
      <c r="I2026" s="47"/>
      <c r="J2026" s="47" t="str">
        <f t="shared" si="44"/>
        <v/>
      </c>
      <c r="K2026" s="47"/>
      <c r="L2026" s="47"/>
      <c r="N2026" s="47"/>
      <c r="O2026" s="47"/>
      <c r="P2026" s="47"/>
    </row>
    <row r="2027" spans="1:16" x14ac:dyDescent="0.3">
      <c r="A2027" s="1">
        <v>2026</v>
      </c>
      <c r="G2027" s="4"/>
      <c r="H2027" s="4"/>
      <c r="I2027" s="47"/>
      <c r="J2027" s="47" t="str">
        <f t="shared" si="44"/>
        <v/>
      </c>
      <c r="K2027" s="47"/>
      <c r="L2027" s="47"/>
      <c r="N2027" s="47"/>
      <c r="O2027" s="47"/>
      <c r="P2027" s="47"/>
    </row>
    <row r="2028" spans="1:16" x14ac:dyDescent="0.3">
      <c r="A2028" s="1">
        <v>2027</v>
      </c>
      <c r="G2028" s="4"/>
      <c r="H2028" s="4"/>
      <c r="I2028" s="47"/>
      <c r="J2028" s="47" t="str">
        <f t="shared" si="44"/>
        <v/>
      </c>
      <c r="K2028" s="47"/>
      <c r="L2028" s="47"/>
      <c r="N2028" s="47"/>
      <c r="O2028" s="47"/>
      <c r="P2028" s="47"/>
    </row>
    <row r="2029" spans="1:16" x14ac:dyDescent="0.3">
      <c r="A2029" s="1">
        <v>2028</v>
      </c>
      <c r="G2029" s="4"/>
      <c r="H2029" s="4"/>
      <c r="I2029" s="47"/>
      <c r="J2029" s="47" t="str">
        <f t="shared" si="44"/>
        <v/>
      </c>
      <c r="K2029" s="47"/>
      <c r="L2029" s="47"/>
      <c r="N2029" s="47"/>
      <c r="O2029" s="47"/>
      <c r="P2029" s="47"/>
    </row>
    <row r="2030" spans="1:16" x14ac:dyDescent="0.3">
      <c r="A2030" s="1">
        <v>2029</v>
      </c>
      <c r="G2030" s="4"/>
      <c r="H2030" s="4"/>
      <c r="I2030" s="47"/>
      <c r="J2030" s="47" t="str">
        <f t="shared" si="44"/>
        <v/>
      </c>
      <c r="K2030" s="47"/>
      <c r="L2030" s="47"/>
      <c r="N2030" s="47"/>
      <c r="O2030" s="47"/>
      <c r="P2030" s="47"/>
    </row>
    <row r="2031" spans="1:16" x14ac:dyDescent="0.3">
      <c r="A2031" s="1">
        <v>2030</v>
      </c>
      <c r="G2031" s="4"/>
      <c r="H2031" s="4"/>
      <c r="I2031" s="47"/>
      <c r="J2031" s="47" t="str">
        <f t="shared" si="44"/>
        <v/>
      </c>
      <c r="K2031" s="47"/>
      <c r="L2031" s="47"/>
      <c r="N2031" s="47"/>
      <c r="O2031" s="47"/>
      <c r="P2031" s="47"/>
    </row>
    <row r="2032" spans="1:16" x14ac:dyDescent="0.3">
      <c r="A2032" s="1">
        <v>2031</v>
      </c>
      <c r="G2032" s="4"/>
      <c r="H2032" s="4"/>
      <c r="I2032" s="47"/>
      <c r="J2032" s="47" t="str">
        <f t="shared" si="44"/>
        <v/>
      </c>
      <c r="K2032" s="47"/>
      <c r="L2032" s="47"/>
      <c r="N2032" s="47"/>
      <c r="O2032" s="47"/>
      <c r="P2032" s="47"/>
    </row>
    <row r="2033" spans="1:16" x14ac:dyDescent="0.3">
      <c r="A2033" s="1">
        <v>2032</v>
      </c>
      <c r="G2033" s="4"/>
      <c r="H2033" s="4"/>
      <c r="I2033" s="47"/>
      <c r="J2033" s="47" t="str">
        <f t="shared" si="44"/>
        <v/>
      </c>
      <c r="K2033" s="47"/>
      <c r="L2033" s="47"/>
      <c r="N2033" s="47"/>
      <c r="O2033" s="47"/>
      <c r="P2033" s="47"/>
    </row>
    <row r="2034" spans="1:16" x14ac:dyDescent="0.3">
      <c r="A2034" s="1">
        <v>2033</v>
      </c>
      <c r="G2034" s="4"/>
      <c r="H2034" s="4"/>
      <c r="I2034" s="47"/>
      <c r="J2034" s="47" t="str">
        <f t="shared" si="44"/>
        <v/>
      </c>
      <c r="K2034" s="47"/>
      <c r="L2034" s="47"/>
      <c r="N2034" s="47"/>
      <c r="O2034" s="47"/>
      <c r="P2034" s="47"/>
    </row>
    <row r="2035" spans="1:16" x14ac:dyDescent="0.3">
      <c r="A2035" s="1">
        <v>2034</v>
      </c>
      <c r="G2035" s="4"/>
      <c r="H2035" s="4"/>
      <c r="I2035" s="47"/>
      <c r="J2035" s="47" t="str">
        <f t="shared" si="44"/>
        <v/>
      </c>
      <c r="K2035" s="47"/>
      <c r="L2035" s="47"/>
      <c r="N2035" s="47"/>
      <c r="O2035" s="47"/>
      <c r="P2035" s="47"/>
    </row>
    <row r="2036" spans="1:16" x14ac:dyDescent="0.3">
      <c r="A2036" s="1">
        <v>2035</v>
      </c>
      <c r="G2036" s="4"/>
      <c r="H2036" s="4"/>
      <c r="I2036" s="47"/>
      <c r="J2036" s="47" t="str">
        <f t="shared" si="44"/>
        <v/>
      </c>
      <c r="K2036" s="47"/>
      <c r="L2036" s="47"/>
      <c r="N2036" s="47"/>
      <c r="O2036" s="47"/>
      <c r="P2036" s="47"/>
    </row>
    <row r="2037" spans="1:16" x14ac:dyDescent="0.3">
      <c r="A2037" s="1">
        <v>2036</v>
      </c>
      <c r="G2037" s="4"/>
      <c r="H2037" s="4"/>
      <c r="I2037" s="47"/>
      <c r="J2037" s="47" t="str">
        <f t="shared" si="44"/>
        <v/>
      </c>
      <c r="K2037" s="47"/>
      <c r="L2037" s="47"/>
      <c r="N2037" s="47"/>
      <c r="O2037" s="47"/>
      <c r="P2037" s="47"/>
    </row>
    <row r="2038" spans="1:16" x14ac:dyDescent="0.3">
      <c r="A2038" s="1">
        <v>2037</v>
      </c>
      <c r="G2038" s="4"/>
      <c r="H2038" s="4"/>
      <c r="I2038" s="47"/>
      <c r="J2038" s="47" t="str">
        <f t="shared" si="44"/>
        <v/>
      </c>
      <c r="K2038" s="47"/>
      <c r="L2038" s="47"/>
      <c r="N2038" s="47"/>
      <c r="O2038" s="47"/>
      <c r="P2038" s="47"/>
    </row>
    <row r="2039" spans="1:16" x14ac:dyDescent="0.3">
      <c r="A2039" s="1">
        <v>2038</v>
      </c>
      <c r="G2039" s="4"/>
      <c r="H2039" s="4"/>
      <c r="I2039" s="47"/>
      <c r="J2039" s="47" t="str">
        <f t="shared" si="44"/>
        <v/>
      </c>
      <c r="K2039" s="47"/>
      <c r="L2039" s="47"/>
      <c r="N2039" s="47"/>
      <c r="O2039" s="47"/>
      <c r="P2039" s="47"/>
    </row>
    <row r="2040" spans="1:16" x14ac:dyDescent="0.3">
      <c r="A2040" s="1">
        <v>2039</v>
      </c>
      <c r="G2040" s="4"/>
      <c r="H2040" s="4"/>
      <c r="I2040" s="47"/>
      <c r="J2040" s="47" t="str">
        <f t="shared" si="44"/>
        <v/>
      </c>
      <c r="K2040" s="47"/>
      <c r="L2040" s="47"/>
      <c r="N2040" s="47"/>
      <c r="O2040" s="47"/>
      <c r="P2040" s="47"/>
    </row>
    <row r="2041" spans="1:16" x14ac:dyDescent="0.3">
      <c r="A2041" s="1">
        <v>2040</v>
      </c>
      <c r="G2041" s="4"/>
      <c r="H2041" s="4"/>
      <c r="I2041" s="47"/>
      <c r="J2041" s="47" t="str">
        <f t="shared" si="44"/>
        <v/>
      </c>
      <c r="K2041" s="47"/>
      <c r="L2041" s="47"/>
      <c r="N2041" s="47"/>
      <c r="O2041" s="47"/>
      <c r="P2041" s="47"/>
    </row>
    <row r="2042" spans="1:16" x14ac:dyDescent="0.3">
      <c r="A2042" s="1">
        <v>2041</v>
      </c>
      <c r="G2042" s="4"/>
      <c r="H2042" s="4"/>
      <c r="I2042" s="47"/>
      <c r="J2042" s="47" t="str">
        <f t="shared" si="44"/>
        <v/>
      </c>
      <c r="K2042" s="47"/>
      <c r="L2042" s="47"/>
      <c r="N2042" s="47"/>
      <c r="O2042" s="47"/>
      <c r="P2042" s="47"/>
    </row>
    <row r="2043" spans="1:16" x14ac:dyDescent="0.3">
      <c r="A2043" s="1">
        <v>2042</v>
      </c>
      <c r="G2043" s="4"/>
      <c r="H2043" s="4"/>
      <c r="I2043" s="47"/>
      <c r="J2043" s="47" t="str">
        <f t="shared" si="44"/>
        <v/>
      </c>
      <c r="K2043" s="47"/>
      <c r="L2043" s="47"/>
      <c r="N2043" s="47"/>
      <c r="O2043" s="47"/>
      <c r="P2043" s="47"/>
    </row>
    <row r="2044" spans="1:16" x14ac:dyDescent="0.3">
      <c r="A2044" s="1">
        <v>2043</v>
      </c>
      <c r="G2044" s="4"/>
      <c r="H2044" s="4"/>
      <c r="I2044" s="47"/>
      <c r="J2044" s="47" t="str">
        <f t="shared" si="44"/>
        <v/>
      </c>
      <c r="K2044" s="47"/>
      <c r="L2044" s="47"/>
      <c r="N2044" s="47"/>
      <c r="O2044" s="47"/>
      <c r="P2044" s="47"/>
    </row>
    <row r="2045" spans="1:16" x14ac:dyDescent="0.3">
      <c r="A2045" s="1">
        <v>2044</v>
      </c>
      <c r="G2045" s="4"/>
      <c r="H2045" s="4"/>
      <c r="I2045" s="47"/>
      <c r="J2045" s="47" t="str">
        <f t="shared" si="44"/>
        <v/>
      </c>
      <c r="K2045" s="47"/>
      <c r="L2045" s="47"/>
      <c r="N2045" s="47"/>
      <c r="O2045" s="47"/>
      <c r="P2045" s="47"/>
    </row>
    <row r="2046" spans="1:16" x14ac:dyDescent="0.3">
      <c r="A2046" s="1">
        <v>2045</v>
      </c>
      <c r="G2046" s="4"/>
      <c r="H2046" s="4"/>
      <c r="I2046" s="47"/>
      <c r="J2046" s="47" t="str">
        <f t="shared" si="44"/>
        <v/>
      </c>
      <c r="K2046" s="47"/>
      <c r="L2046" s="47"/>
      <c r="N2046" s="47"/>
      <c r="O2046" s="47"/>
      <c r="P2046" s="47"/>
    </row>
    <row r="2047" spans="1:16" x14ac:dyDescent="0.3">
      <c r="A2047" s="1">
        <v>2046</v>
      </c>
      <c r="G2047" s="4"/>
      <c r="H2047" s="4"/>
      <c r="I2047" s="47"/>
      <c r="J2047" s="47" t="str">
        <f t="shared" si="44"/>
        <v/>
      </c>
      <c r="K2047" s="47"/>
      <c r="L2047" s="47"/>
      <c r="N2047" s="47"/>
      <c r="O2047" s="47"/>
      <c r="P2047" s="47"/>
    </row>
    <row r="2048" spans="1:16" x14ac:dyDescent="0.3">
      <c r="A2048" s="1">
        <v>2047</v>
      </c>
      <c r="G2048" s="4"/>
      <c r="H2048" s="4"/>
      <c r="I2048" s="47"/>
      <c r="J2048" s="47" t="str">
        <f t="shared" si="44"/>
        <v/>
      </c>
      <c r="K2048" s="47"/>
      <c r="L2048" s="47"/>
      <c r="N2048" s="47"/>
      <c r="O2048" s="47"/>
      <c r="P2048" s="47"/>
    </row>
    <row r="2049" spans="1:16" x14ac:dyDescent="0.3">
      <c r="A2049" s="1">
        <v>2048</v>
      </c>
      <c r="G2049" s="4"/>
      <c r="H2049" s="4"/>
      <c r="I2049" s="47"/>
      <c r="J2049" s="47" t="str">
        <f t="shared" si="44"/>
        <v/>
      </c>
      <c r="K2049" s="47"/>
      <c r="L2049" s="47"/>
      <c r="N2049" s="47"/>
      <c r="O2049" s="47"/>
      <c r="P2049" s="47"/>
    </row>
    <row r="2050" spans="1:16" x14ac:dyDescent="0.3">
      <c r="A2050" s="1">
        <v>2049</v>
      </c>
      <c r="G2050" s="4"/>
      <c r="H2050" s="4"/>
      <c r="I2050" s="47"/>
      <c r="J2050" s="47" t="str">
        <f t="shared" si="44"/>
        <v/>
      </c>
      <c r="K2050" s="47"/>
      <c r="L2050" s="47"/>
      <c r="N2050" s="47"/>
      <c r="O2050" s="47"/>
      <c r="P2050" s="47"/>
    </row>
    <row r="2051" spans="1:16" x14ac:dyDescent="0.3">
      <c r="A2051" s="1">
        <v>2050</v>
      </c>
      <c r="G2051" s="4"/>
      <c r="H2051" s="4"/>
      <c r="I2051" s="47"/>
      <c r="J2051" s="47" t="str">
        <f t="shared" ref="J2051:J2114" si="45">+E2051&amp;I2051</f>
        <v/>
      </c>
      <c r="K2051" s="47"/>
      <c r="L2051" s="47"/>
      <c r="N2051" s="47"/>
      <c r="O2051" s="47"/>
      <c r="P2051" s="47"/>
    </row>
    <row r="2052" spans="1:16" x14ac:dyDescent="0.3">
      <c r="A2052" s="1">
        <v>2051</v>
      </c>
      <c r="G2052" s="4"/>
      <c r="H2052" s="4"/>
      <c r="I2052" s="47"/>
      <c r="J2052" s="47" t="str">
        <f t="shared" si="45"/>
        <v/>
      </c>
      <c r="K2052" s="47"/>
      <c r="L2052" s="47"/>
      <c r="N2052" s="47"/>
      <c r="O2052" s="47"/>
      <c r="P2052" s="47"/>
    </row>
    <row r="2053" spans="1:16" x14ac:dyDescent="0.3">
      <c r="A2053" s="1">
        <v>2052</v>
      </c>
      <c r="G2053" s="4"/>
      <c r="H2053" s="4"/>
      <c r="I2053" s="47"/>
      <c r="J2053" s="47" t="str">
        <f t="shared" si="45"/>
        <v/>
      </c>
      <c r="K2053" s="47"/>
      <c r="L2053" s="47"/>
      <c r="N2053" s="47"/>
      <c r="O2053" s="47"/>
      <c r="P2053" s="47"/>
    </row>
    <row r="2054" spans="1:16" x14ac:dyDescent="0.3">
      <c r="A2054" s="1">
        <v>2053</v>
      </c>
      <c r="G2054" s="4"/>
      <c r="H2054" s="4"/>
      <c r="I2054" s="47"/>
      <c r="J2054" s="47" t="str">
        <f t="shared" si="45"/>
        <v/>
      </c>
      <c r="K2054" s="47"/>
      <c r="L2054" s="47"/>
      <c r="N2054" s="47"/>
      <c r="O2054" s="47"/>
      <c r="P2054" s="47"/>
    </row>
    <row r="2055" spans="1:16" x14ac:dyDescent="0.3">
      <c r="A2055" s="1">
        <v>2054</v>
      </c>
      <c r="G2055" s="4"/>
      <c r="H2055" s="4"/>
      <c r="I2055" s="47"/>
      <c r="J2055" s="47" t="str">
        <f t="shared" si="45"/>
        <v/>
      </c>
      <c r="K2055" s="47"/>
      <c r="L2055" s="47"/>
      <c r="N2055" s="47"/>
      <c r="O2055" s="47"/>
      <c r="P2055" s="47"/>
    </row>
    <row r="2056" spans="1:16" x14ac:dyDescent="0.3">
      <c r="A2056" s="1">
        <v>2055</v>
      </c>
      <c r="G2056" s="4"/>
      <c r="H2056" s="4"/>
      <c r="I2056" s="47"/>
      <c r="J2056" s="47" t="str">
        <f t="shared" si="45"/>
        <v/>
      </c>
      <c r="K2056" s="47"/>
      <c r="L2056" s="47"/>
      <c r="N2056" s="47"/>
      <c r="O2056" s="47"/>
      <c r="P2056" s="47"/>
    </row>
    <row r="2057" spans="1:16" x14ac:dyDescent="0.3">
      <c r="A2057" s="1">
        <v>2056</v>
      </c>
      <c r="G2057" s="4"/>
      <c r="H2057" s="4"/>
      <c r="I2057" s="47"/>
      <c r="J2057" s="47" t="str">
        <f t="shared" si="45"/>
        <v/>
      </c>
      <c r="K2057" s="47"/>
      <c r="L2057" s="47"/>
      <c r="N2057" s="47"/>
      <c r="O2057" s="47"/>
      <c r="P2057" s="47"/>
    </row>
    <row r="2058" spans="1:16" x14ac:dyDescent="0.3">
      <c r="A2058" s="1">
        <v>2057</v>
      </c>
      <c r="G2058" s="4"/>
      <c r="H2058" s="4"/>
      <c r="I2058" s="47"/>
      <c r="J2058" s="47" t="str">
        <f t="shared" si="45"/>
        <v/>
      </c>
      <c r="K2058" s="47"/>
      <c r="L2058" s="47"/>
      <c r="N2058" s="47"/>
      <c r="O2058" s="47"/>
      <c r="P2058" s="47"/>
    </row>
    <row r="2059" spans="1:16" x14ac:dyDescent="0.3">
      <c r="A2059" s="1">
        <v>2058</v>
      </c>
      <c r="G2059" s="4"/>
      <c r="H2059" s="4"/>
      <c r="I2059" s="47"/>
      <c r="J2059" s="47" t="str">
        <f t="shared" si="45"/>
        <v/>
      </c>
      <c r="K2059" s="47"/>
      <c r="L2059" s="47"/>
      <c r="N2059" s="47"/>
      <c r="O2059" s="47"/>
      <c r="P2059" s="47"/>
    </row>
    <row r="2060" spans="1:16" x14ac:dyDescent="0.3">
      <c r="A2060" s="1">
        <v>2059</v>
      </c>
      <c r="G2060" s="4"/>
      <c r="H2060" s="4"/>
      <c r="I2060" s="47"/>
      <c r="J2060" s="47" t="str">
        <f t="shared" si="45"/>
        <v/>
      </c>
      <c r="K2060" s="47"/>
      <c r="L2060" s="47"/>
      <c r="N2060" s="47"/>
      <c r="O2060" s="47"/>
      <c r="P2060" s="47"/>
    </row>
    <row r="2061" spans="1:16" x14ac:dyDescent="0.3">
      <c r="A2061" s="1">
        <v>2060</v>
      </c>
      <c r="G2061" s="4"/>
      <c r="H2061" s="4"/>
      <c r="I2061" s="47"/>
      <c r="J2061" s="47" t="str">
        <f t="shared" si="45"/>
        <v/>
      </c>
      <c r="K2061" s="47"/>
      <c r="L2061" s="47"/>
      <c r="N2061" s="47"/>
      <c r="O2061" s="47"/>
      <c r="P2061" s="47"/>
    </row>
    <row r="2062" spans="1:16" x14ac:dyDescent="0.3">
      <c r="A2062" s="1">
        <v>2061</v>
      </c>
      <c r="G2062" s="4"/>
      <c r="H2062" s="4"/>
      <c r="I2062" s="47"/>
      <c r="J2062" s="47" t="str">
        <f t="shared" si="45"/>
        <v/>
      </c>
      <c r="K2062" s="47"/>
      <c r="L2062" s="47"/>
      <c r="N2062" s="47"/>
      <c r="O2062" s="47"/>
      <c r="P2062" s="47"/>
    </row>
    <row r="2063" spans="1:16" x14ac:dyDescent="0.3">
      <c r="A2063" s="1">
        <v>2062</v>
      </c>
      <c r="G2063" s="4"/>
      <c r="H2063" s="4"/>
      <c r="I2063" s="47"/>
      <c r="J2063" s="47" t="str">
        <f t="shared" si="45"/>
        <v/>
      </c>
      <c r="K2063" s="47"/>
      <c r="L2063" s="47"/>
      <c r="N2063" s="47"/>
      <c r="O2063" s="47"/>
      <c r="P2063" s="47"/>
    </row>
    <row r="2064" spans="1:16" x14ac:dyDescent="0.3">
      <c r="A2064" s="1">
        <v>2063</v>
      </c>
      <c r="G2064" s="4"/>
      <c r="H2064" s="4"/>
      <c r="I2064" s="47"/>
      <c r="J2064" s="47" t="str">
        <f t="shared" si="45"/>
        <v/>
      </c>
      <c r="K2064" s="47"/>
      <c r="L2064" s="47"/>
      <c r="N2064" s="47"/>
      <c r="O2064" s="47"/>
      <c r="P2064" s="47"/>
    </row>
    <row r="2065" spans="1:16" x14ac:dyDescent="0.3">
      <c r="A2065" s="1">
        <v>2064</v>
      </c>
      <c r="G2065" s="4"/>
      <c r="H2065" s="4"/>
      <c r="I2065" s="47"/>
      <c r="J2065" s="47" t="str">
        <f t="shared" si="45"/>
        <v/>
      </c>
      <c r="K2065" s="47"/>
      <c r="L2065" s="47"/>
      <c r="N2065" s="47"/>
      <c r="O2065" s="47"/>
      <c r="P2065" s="47"/>
    </row>
    <row r="2066" spans="1:16" x14ac:dyDescent="0.3">
      <c r="A2066" s="1">
        <v>2065</v>
      </c>
      <c r="G2066" s="4"/>
      <c r="H2066" s="4"/>
      <c r="I2066" s="47"/>
      <c r="J2066" s="47" t="str">
        <f t="shared" si="45"/>
        <v/>
      </c>
      <c r="K2066" s="47"/>
      <c r="L2066" s="47"/>
      <c r="N2066" s="47"/>
      <c r="O2066" s="47"/>
      <c r="P2066" s="47"/>
    </row>
    <row r="2067" spans="1:16" x14ac:dyDescent="0.3">
      <c r="A2067" s="1">
        <v>2066</v>
      </c>
      <c r="G2067" s="4"/>
      <c r="H2067" s="4"/>
      <c r="I2067" s="47"/>
      <c r="J2067" s="47" t="str">
        <f t="shared" si="45"/>
        <v/>
      </c>
      <c r="K2067" s="47"/>
      <c r="L2067" s="47"/>
      <c r="N2067" s="47"/>
      <c r="O2067" s="47"/>
      <c r="P2067" s="47"/>
    </row>
    <row r="2068" spans="1:16" x14ac:dyDescent="0.3">
      <c r="A2068" s="1">
        <v>2067</v>
      </c>
      <c r="G2068" s="4"/>
      <c r="H2068" s="4"/>
      <c r="I2068" s="47"/>
      <c r="J2068" s="47" t="str">
        <f t="shared" si="45"/>
        <v/>
      </c>
      <c r="K2068" s="47"/>
      <c r="L2068" s="47"/>
      <c r="N2068" s="47"/>
      <c r="O2068" s="47"/>
      <c r="P2068" s="47"/>
    </row>
    <row r="2069" spans="1:16" x14ac:dyDescent="0.3">
      <c r="A2069" s="1">
        <v>2068</v>
      </c>
      <c r="G2069" s="4"/>
      <c r="H2069" s="4"/>
      <c r="I2069" s="47"/>
      <c r="J2069" s="47" t="str">
        <f t="shared" si="45"/>
        <v/>
      </c>
      <c r="K2069" s="47"/>
      <c r="L2069" s="47"/>
      <c r="N2069" s="47"/>
      <c r="O2069" s="47"/>
      <c r="P2069" s="47"/>
    </row>
    <row r="2070" spans="1:16" x14ac:dyDescent="0.3">
      <c r="A2070" s="1">
        <v>2069</v>
      </c>
      <c r="G2070" s="4"/>
      <c r="H2070" s="4"/>
      <c r="I2070" s="47"/>
      <c r="J2070" s="47" t="str">
        <f t="shared" si="45"/>
        <v/>
      </c>
      <c r="K2070" s="47"/>
      <c r="L2070" s="47"/>
      <c r="N2070" s="47"/>
      <c r="O2070" s="47"/>
      <c r="P2070" s="47"/>
    </row>
    <row r="2071" spans="1:16" x14ac:dyDescent="0.3">
      <c r="A2071" s="1">
        <v>2070</v>
      </c>
      <c r="G2071" s="4"/>
      <c r="H2071" s="4"/>
      <c r="I2071" s="47"/>
      <c r="J2071" s="47" t="str">
        <f t="shared" si="45"/>
        <v/>
      </c>
      <c r="K2071" s="47"/>
      <c r="L2071" s="47"/>
      <c r="N2071" s="47"/>
      <c r="O2071" s="47"/>
      <c r="P2071" s="47"/>
    </row>
    <row r="2072" spans="1:16" x14ac:dyDescent="0.3">
      <c r="A2072" s="1">
        <v>2071</v>
      </c>
      <c r="G2072" s="4"/>
      <c r="H2072" s="4"/>
      <c r="I2072" s="47"/>
      <c r="J2072" s="47" t="str">
        <f t="shared" si="45"/>
        <v/>
      </c>
      <c r="K2072" s="47"/>
      <c r="L2072" s="47"/>
      <c r="N2072" s="47"/>
      <c r="O2072" s="47"/>
      <c r="P2072" s="47"/>
    </row>
    <row r="2073" spans="1:16" x14ac:dyDescent="0.3">
      <c r="A2073" s="1">
        <v>2072</v>
      </c>
      <c r="G2073" s="4"/>
      <c r="H2073" s="4"/>
      <c r="I2073" s="47"/>
      <c r="J2073" s="47" t="str">
        <f t="shared" si="45"/>
        <v/>
      </c>
      <c r="K2073" s="47"/>
      <c r="L2073" s="47"/>
      <c r="N2073" s="47"/>
      <c r="O2073" s="47"/>
      <c r="P2073" s="47"/>
    </row>
    <row r="2074" spans="1:16" x14ac:dyDescent="0.3">
      <c r="A2074" s="1">
        <v>2073</v>
      </c>
      <c r="G2074" s="4"/>
      <c r="H2074" s="4"/>
      <c r="I2074" s="47"/>
      <c r="J2074" s="47" t="str">
        <f t="shared" si="45"/>
        <v/>
      </c>
      <c r="K2074" s="47"/>
      <c r="L2074" s="47"/>
      <c r="N2074" s="47"/>
      <c r="O2074" s="47"/>
      <c r="P2074" s="47"/>
    </row>
    <row r="2075" spans="1:16" x14ac:dyDescent="0.3">
      <c r="A2075" s="1">
        <v>2074</v>
      </c>
      <c r="G2075" s="4"/>
      <c r="H2075" s="4"/>
      <c r="I2075" s="47"/>
      <c r="J2075" s="47" t="str">
        <f t="shared" si="45"/>
        <v/>
      </c>
      <c r="K2075" s="47"/>
      <c r="L2075" s="47"/>
      <c r="N2075" s="47"/>
      <c r="O2075" s="47"/>
      <c r="P2075" s="47"/>
    </row>
    <row r="2076" spans="1:16" x14ac:dyDescent="0.3">
      <c r="A2076" s="1">
        <v>2075</v>
      </c>
      <c r="G2076" s="4"/>
      <c r="H2076" s="4"/>
      <c r="I2076" s="47"/>
      <c r="J2076" s="47" t="str">
        <f t="shared" si="45"/>
        <v/>
      </c>
      <c r="K2076" s="47"/>
      <c r="L2076" s="47"/>
      <c r="N2076" s="47"/>
      <c r="O2076" s="47"/>
      <c r="P2076" s="47"/>
    </row>
    <row r="2077" spans="1:16" x14ac:dyDescent="0.3">
      <c r="A2077" s="1">
        <v>2076</v>
      </c>
      <c r="G2077" s="4"/>
      <c r="H2077" s="4"/>
      <c r="I2077" s="47"/>
      <c r="J2077" s="47" t="str">
        <f t="shared" si="45"/>
        <v/>
      </c>
      <c r="K2077" s="47"/>
      <c r="L2077" s="47"/>
      <c r="N2077" s="47"/>
      <c r="O2077" s="47"/>
      <c r="P2077" s="47"/>
    </row>
    <row r="2078" spans="1:16" x14ac:dyDescent="0.3">
      <c r="A2078" s="1">
        <v>2077</v>
      </c>
      <c r="G2078" s="4"/>
      <c r="H2078" s="4"/>
      <c r="I2078" s="47"/>
      <c r="J2078" s="47" t="str">
        <f t="shared" si="45"/>
        <v/>
      </c>
      <c r="K2078" s="47"/>
      <c r="L2078" s="47"/>
      <c r="N2078" s="47"/>
      <c r="O2078" s="47"/>
      <c r="P2078" s="47"/>
    </row>
    <row r="2079" spans="1:16" x14ac:dyDescent="0.3">
      <c r="A2079" s="1">
        <v>2078</v>
      </c>
      <c r="G2079" s="4"/>
      <c r="H2079" s="4"/>
      <c r="I2079" s="47"/>
      <c r="J2079" s="47" t="str">
        <f t="shared" si="45"/>
        <v/>
      </c>
      <c r="K2079" s="47"/>
      <c r="L2079" s="47"/>
      <c r="N2079" s="47"/>
      <c r="O2079" s="47"/>
      <c r="P2079" s="47"/>
    </row>
    <row r="2080" spans="1:16" x14ac:dyDescent="0.3">
      <c r="A2080" s="1">
        <v>2079</v>
      </c>
      <c r="G2080" s="4"/>
      <c r="H2080" s="4"/>
      <c r="I2080" s="47"/>
      <c r="J2080" s="47" t="str">
        <f t="shared" si="45"/>
        <v/>
      </c>
      <c r="K2080" s="47"/>
      <c r="L2080" s="47"/>
      <c r="N2080" s="47"/>
      <c r="O2080" s="47"/>
      <c r="P2080" s="47"/>
    </row>
    <row r="2081" spans="1:16" x14ac:dyDescent="0.3">
      <c r="A2081" s="1">
        <v>2080</v>
      </c>
      <c r="G2081" s="4"/>
      <c r="H2081" s="4"/>
      <c r="I2081" s="47"/>
      <c r="J2081" s="47" t="str">
        <f t="shared" si="45"/>
        <v/>
      </c>
      <c r="K2081" s="47"/>
      <c r="L2081" s="47"/>
      <c r="N2081" s="47"/>
      <c r="O2081" s="47"/>
      <c r="P2081" s="47"/>
    </row>
    <row r="2082" spans="1:16" x14ac:dyDescent="0.3">
      <c r="A2082" s="1">
        <v>2081</v>
      </c>
      <c r="G2082" s="4"/>
      <c r="H2082" s="4"/>
      <c r="I2082" s="47"/>
      <c r="J2082" s="47" t="str">
        <f t="shared" si="45"/>
        <v/>
      </c>
      <c r="K2082" s="47"/>
      <c r="L2082" s="47"/>
      <c r="N2082" s="47"/>
      <c r="O2082" s="47"/>
      <c r="P2082" s="47"/>
    </row>
    <row r="2083" spans="1:16" x14ac:dyDescent="0.3">
      <c r="A2083" s="1">
        <v>2082</v>
      </c>
      <c r="G2083" s="4"/>
      <c r="H2083" s="4"/>
      <c r="I2083" s="47"/>
      <c r="J2083" s="47" t="str">
        <f t="shared" si="45"/>
        <v/>
      </c>
      <c r="K2083" s="47"/>
      <c r="L2083" s="47"/>
      <c r="N2083" s="47"/>
      <c r="O2083" s="47"/>
      <c r="P2083" s="47"/>
    </row>
    <row r="2084" spans="1:16" x14ac:dyDescent="0.3">
      <c r="A2084" s="1">
        <v>2083</v>
      </c>
      <c r="G2084" s="4"/>
      <c r="H2084" s="4"/>
      <c r="I2084" s="47"/>
      <c r="J2084" s="47" t="str">
        <f t="shared" si="45"/>
        <v/>
      </c>
      <c r="K2084" s="47"/>
      <c r="L2084" s="47"/>
      <c r="N2084" s="47"/>
      <c r="O2084" s="47"/>
      <c r="P2084" s="47"/>
    </row>
    <row r="2085" spans="1:16" x14ac:dyDescent="0.3">
      <c r="A2085" s="1">
        <v>2084</v>
      </c>
      <c r="G2085" s="4"/>
      <c r="H2085" s="4"/>
      <c r="I2085" s="47"/>
      <c r="J2085" s="47" t="str">
        <f t="shared" si="45"/>
        <v/>
      </c>
      <c r="K2085" s="47"/>
      <c r="L2085" s="47"/>
      <c r="N2085" s="47"/>
      <c r="O2085" s="47"/>
      <c r="P2085" s="47"/>
    </row>
    <row r="2086" spans="1:16" x14ac:dyDescent="0.3">
      <c r="A2086" s="1">
        <v>2085</v>
      </c>
      <c r="G2086" s="4"/>
      <c r="H2086" s="4"/>
      <c r="I2086" s="47"/>
      <c r="J2086" s="47" t="str">
        <f t="shared" si="45"/>
        <v/>
      </c>
      <c r="K2086" s="47"/>
      <c r="L2086" s="47"/>
      <c r="N2086" s="47"/>
      <c r="O2086" s="47"/>
      <c r="P2086" s="47"/>
    </row>
    <row r="2087" spans="1:16" x14ac:dyDescent="0.3">
      <c r="A2087" s="1">
        <v>2086</v>
      </c>
      <c r="G2087" s="4"/>
      <c r="H2087" s="4"/>
      <c r="I2087" s="47"/>
      <c r="J2087" s="47" t="str">
        <f t="shared" si="45"/>
        <v/>
      </c>
      <c r="K2087" s="47"/>
      <c r="L2087" s="47"/>
      <c r="N2087" s="47"/>
      <c r="O2087" s="47"/>
      <c r="P2087" s="47"/>
    </row>
    <row r="2088" spans="1:16" x14ac:dyDescent="0.3">
      <c r="A2088" s="1">
        <v>2087</v>
      </c>
      <c r="G2088" s="4"/>
      <c r="H2088" s="4"/>
      <c r="I2088" s="47"/>
      <c r="J2088" s="47" t="str">
        <f t="shared" si="45"/>
        <v/>
      </c>
      <c r="K2088" s="47"/>
      <c r="L2088" s="47"/>
      <c r="N2088" s="47"/>
      <c r="O2088" s="47"/>
      <c r="P2088" s="47"/>
    </row>
    <row r="2089" spans="1:16" x14ac:dyDescent="0.3">
      <c r="A2089" s="1">
        <v>2088</v>
      </c>
      <c r="G2089" s="4"/>
      <c r="H2089" s="4"/>
      <c r="I2089" s="47"/>
      <c r="J2089" s="47" t="str">
        <f t="shared" si="45"/>
        <v/>
      </c>
      <c r="K2089" s="47"/>
      <c r="L2089" s="47"/>
      <c r="N2089" s="47"/>
      <c r="O2089" s="47"/>
      <c r="P2089" s="47"/>
    </row>
    <row r="2090" spans="1:16" x14ac:dyDescent="0.3">
      <c r="A2090" s="1">
        <v>2089</v>
      </c>
      <c r="G2090" s="4"/>
      <c r="H2090" s="4"/>
      <c r="I2090" s="47"/>
      <c r="J2090" s="47" t="str">
        <f t="shared" si="45"/>
        <v/>
      </c>
      <c r="K2090" s="47"/>
      <c r="L2090" s="47"/>
      <c r="N2090" s="47"/>
      <c r="O2090" s="47"/>
      <c r="P2090" s="47"/>
    </row>
    <row r="2091" spans="1:16" x14ac:dyDescent="0.3">
      <c r="A2091" s="1">
        <v>2090</v>
      </c>
      <c r="G2091" s="4"/>
      <c r="H2091" s="4"/>
      <c r="I2091" s="47"/>
      <c r="J2091" s="47" t="str">
        <f t="shared" si="45"/>
        <v/>
      </c>
      <c r="K2091" s="47"/>
      <c r="L2091" s="47"/>
      <c r="N2091" s="47"/>
      <c r="O2091" s="47"/>
      <c r="P2091" s="47"/>
    </row>
    <row r="2092" spans="1:16" x14ac:dyDescent="0.3">
      <c r="A2092" s="1">
        <v>2091</v>
      </c>
      <c r="G2092" s="4"/>
      <c r="H2092" s="4"/>
      <c r="I2092" s="47"/>
      <c r="J2092" s="47" t="str">
        <f t="shared" si="45"/>
        <v/>
      </c>
      <c r="K2092" s="47"/>
      <c r="L2092" s="47"/>
      <c r="N2092" s="47"/>
      <c r="O2092" s="47"/>
      <c r="P2092" s="47"/>
    </row>
    <row r="2093" spans="1:16" x14ac:dyDescent="0.3">
      <c r="A2093" s="1">
        <v>2092</v>
      </c>
      <c r="G2093" s="4"/>
      <c r="H2093" s="4"/>
      <c r="I2093" s="47"/>
      <c r="J2093" s="47" t="str">
        <f t="shared" si="45"/>
        <v/>
      </c>
      <c r="K2093" s="47"/>
      <c r="L2093" s="47"/>
      <c r="N2093" s="47"/>
      <c r="O2093" s="47"/>
      <c r="P2093" s="47"/>
    </row>
    <row r="2094" spans="1:16" x14ac:dyDescent="0.3">
      <c r="A2094" s="1">
        <v>2093</v>
      </c>
      <c r="G2094" s="4"/>
      <c r="H2094" s="4"/>
      <c r="I2094" s="47"/>
      <c r="J2094" s="47" t="str">
        <f t="shared" si="45"/>
        <v/>
      </c>
      <c r="K2094" s="47"/>
      <c r="L2094" s="47"/>
      <c r="N2094" s="47"/>
      <c r="O2094" s="47"/>
      <c r="P2094" s="47"/>
    </row>
    <row r="2095" spans="1:16" x14ac:dyDescent="0.3">
      <c r="A2095" s="1">
        <v>2094</v>
      </c>
      <c r="G2095" s="4"/>
      <c r="H2095" s="4"/>
      <c r="I2095" s="47"/>
      <c r="J2095" s="47" t="str">
        <f t="shared" si="45"/>
        <v/>
      </c>
      <c r="K2095" s="47"/>
      <c r="L2095" s="47"/>
      <c r="N2095" s="47"/>
      <c r="O2095" s="47"/>
      <c r="P2095" s="47"/>
    </row>
    <row r="2096" spans="1:16" x14ac:dyDescent="0.3">
      <c r="A2096" s="1">
        <v>2095</v>
      </c>
      <c r="G2096" s="4"/>
      <c r="H2096" s="4"/>
      <c r="I2096" s="47"/>
      <c r="J2096" s="47" t="str">
        <f t="shared" si="45"/>
        <v/>
      </c>
      <c r="K2096" s="47"/>
      <c r="L2096" s="47"/>
      <c r="N2096" s="47"/>
      <c r="O2096" s="47"/>
      <c r="P2096" s="47"/>
    </row>
    <row r="2097" spans="1:16" x14ac:dyDescent="0.3">
      <c r="A2097" s="1">
        <v>2096</v>
      </c>
      <c r="G2097" s="4"/>
      <c r="H2097" s="4"/>
      <c r="I2097" s="47"/>
      <c r="J2097" s="47" t="str">
        <f t="shared" si="45"/>
        <v/>
      </c>
      <c r="K2097" s="47"/>
      <c r="L2097" s="47"/>
      <c r="N2097" s="47"/>
      <c r="O2097" s="47"/>
      <c r="P2097" s="47"/>
    </row>
    <row r="2098" spans="1:16" x14ac:dyDescent="0.3">
      <c r="A2098" s="1">
        <v>2097</v>
      </c>
      <c r="G2098" s="4"/>
      <c r="H2098" s="4"/>
      <c r="I2098" s="47"/>
      <c r="J2098" s="47" t="str">
        <f t="shared" si="45"/>
        <v/>
      </c>
      <c r="K2098" s="47"/>
      <c r="L2098" s="47"/>
      <c r="N2098" s="47"/>
      <c r="O2098" s="47"/>
      <c r="P2098" s="47"/>
    </row>
    <row r="2099" spans="1:16" x14ac:dyDescent="0.3">
      <c r="A2099" s="1">
        <v>2098</v>
      </c>
      <c r="G2099" s="4"/>
      <c r="H2099" s="4"/>
      <c r="I2099" s="47"/>
      <c r="J2099" s="47" t="str">
        <f t="shared" si="45"/>
        <v/>
      </c>
      <c r="K2099" s="47"/>
      <c r="L2099" s="47"/>
      <c r="N2099" s="47"/>
      <c r="O2099" s="47"/>
      <c r="P2099" s="47"/>
    </row>
    <row r="2100" spans="1:16" x14ac:dyDescent="0.3">
      <c r="A2100" s="1">
        <v>2099</v>
      </c>
      <c r="G2100" s="4"/>
      <c r="H2100" s="4"/>
      <c r="I2100" s="47"/>
      <c r="J2100" s="47" t="str">
        <f t="shared" si="45"/>
        <v/>
      </c>
      <c r="K2100" s="47"/>
      <c r="L2100" s="47"/>
      <c r="N2100" s="47"/>
      <c r="O2100" s="47"/>
      <c r="P2100" s="47"/>
    </row>
    <row r="2101" spans="1:16" x14ac:dyDescent="0.3">
      <c r="A2101" s="1">
        <v>2100</v>
      </c>
      <c r="G2101" s="4"/>
      <c r="H2101" s="4"/>
      <c r="I2101" s="47"/>
      <c r="J2101" s="47" t="str">
        <f t="shared" si="45"/>
        <v/>
      </c>
      <c r="K2101" s="47"/>
      <c r="L2101" s="47"/>
      <c r="N2101" s="47"/>
      <c r="O2101" s="47"/>
      <c r="P2101" s="47"/>
    </row>
    <row r="2102" spans="1:16" x14ac:dyDescent="0.3">
      <c r="A2102" s="1">
        <v>2101</v>
      </c>
      <c r="G2102" s="4"/>
      <c r="H2102" s="4"/>
      <c r="I2102" s="47"/>
      <c r="J2102" s="47" t="str">
        <f t="shared" si="45"/>
        <v/>
      </c>
      <c r="K2102" s="47"/>
      <c r="L2102" s="47"/>
      <c r="N2102" s="47"/>
      <c r="O2102" s="47"/>
      <c r="P2102" s="47"/>
    </row>
    <row r="2103" spans="1:16" x14ac:dyDescent="0.3">
      <c r="A2103" s="1">
        <v>2102</v>
      </c>
      <c r="G2103" s="4"/>
      <c r="H2103" s="4"/>
      <c r="I2103" s="47"/>
      <c r="J2103" s="47" t="str">
        <f t="shared" si="45"/>
        <v/>
      </c>
      <c r="K2103" s="47"/>
      <c r="L2103" s="47"/>
      <c r="N2103" s="47"/>
      <c r="O2103" s="47"/>
      <c r="P2103" s="47"/>
    </row>
    <row r="2104" spans="1:16" x14ac:dyDescent="0.3">
      <c r="A2104" s="1">
        <v>2103</v>
      </c>
      <c r="G2104" s="4"/>
      <c r="H2104" s="4"/>
      <c r="I2104" s="47"/>
      <c r="J2104" s="47" t="str">
        <f t="shared" si="45"/>
        <v/>
      </c>
      <c r="K2104" s="47"/>
      <c r="L2104" s="47"/>
      <c r="N2104" s="47"/>
      <c r="O2104" s="47"/>
      <c r="P2104" s="47"/>
    </row>
    <row r="2105" spans="1:16" x14ac:dyDescent="0.3">
      <c r="A2105" s="1">
        <v>2104</v>
      </c>
      <c r="G2105" s="4"/>
      <c r="H2105" s="4"/>
      <c r="I2105" s="47"/>
      <c r="J2105" s="47" t="str">
        <f t="shared" si="45"/>
        <v/>
      </c>
      <c r="K2105" s="47"/>
      <c r="L2105" s="47"/>
      <c r="N2105" s="47"/>
      <c r="O2105" s="47"/>
      <c r="P2105" s="47"/>
    </row>
    <row r="2106" spans="1:16" x14ac:dyDescent="0.3">
      <c r="A2106" s="1">
        <v>2105</v>
      </c>
      <c r="G2106" s="4"/>
      <c r="H2106" s="4"/>
      <c r="I2106" s="47"/>
      <c r="J2106" s="47" t="str">
        <f t="shared" si="45"/>
        <v/>
      </c>
      <c r="K2106" s="47"/>
      <c r="L2106" s="47"/>
      <c r="N2106" s="47"/>
      <c r="O2106" s="47"/>
      <c r="P2106" s="47"/>
    </row>
    <row r="2107" spans="1:16" x14ac:dyDescent="0.3">
      <c r="A2107" s="1">
        <v>2106</v>
      </c>
      <c r="G2107" s="4"/>
      <c r="H2107" s="4"/>
      <c r="I2107" s="47"/>
      <c r="J2107" s="47" t="str">
        <f t="shared" si="45"/>
        <v/>
      </c>
      <c r="K2107" s="47"/>
      <c r="L2107" s="47"/>
      <c r="N2107" s="47"/>
      <c r="O2107" s="47"/>
      <c r="P2107" s="47"/>
    </row>
    <row r="2108" spans="1:16" x14ac:dyDescent="0.3">
      <c r="A2108" s="1">
        <v>2107</v>
      </c>
      <c r="G2108" s="4"/>
      <c r="H2108" s="4"/>
      <c r="I2108" s="47"/>
      <c r="J2108" s="47" t="str">
        <f t="shared" si="45"/>
        <v/>
      </c>
      <c r="K2108" s="47"/>
      <c r="L2108" s="47"/>
      <c r="N2108" s="47"/>
      <c r="O2108" s="47"/>
      <c r="P2108" s="47"/>
    </row>
    <row r="2109" spans="1:16" x14ac:dyDescent="0.3">
      <c r="A2109" s="1">
        <v>2108</v>
      </c>
      <c r="G2109" s="4"/>
      <c r="H2109" s="4"/>
      <c r="I2109" s="47"/>
      <c r="J2109" s="47" t="str">
        <f t="shared" si="45"/>
        <v/>
      </c>
      <c r="K2109" s="47"/>
      <c r="L2109" s="47"/>
      <c r="N2109" s="47"/>
      <c r="O2109" s="47"/>
      <c r="P2109" s="47"/>
    </row>
    <row r="2110" spans="1:16" x14ac:dyDescent="0.3">
      <c r="A2110" s="1">
        <v>2109</v>
      </c>
      <c r="G2110" s="4"/>
      <c r="H2110" s="4"/>
      <c r="I2110" s="47"/>
      <c r="J2110" s="47" t="str">
        <f t="shared" si="45"/>
        <v/>
      </c>
      <c r="K2110" s="47"/>
      <c r="L2110" s="47"/>
      <c r="N2110" s="47"/>
      <c r="O2110" s="47"/>
      <c r="P2110" s="47"/>
    </row>
    <row r="2111" spans="1:16" x14ac:dyDescent="0.3">
      <c r="A2111" s="1">
        <v>2110</v>
      </c>
      <c r="G2111" s="4"/>
      <c r="H2111" s="4"/>
      <c r="I2111" s="47"/>
      <c r="J2111" s="47" t="str">
        <f t="shared" si="45"/>
        <v/>
      </c>
      <c r="K2111" s="47"/>
      <c r="L2111" s="47"/>
      <c r="N2111" s="47"/>
      <c r="O2111" s="47"/>
      <c r="P2111" s="47"/>
    </row>
    <row r="2112" spans="1:16" x14ac:dyDescent="0.3">
      <c r="A2112" s="1">
        <v>2111</v>
      </c>
      <c r="G2112" s="4"/>
      <c r="H2112" s="4"/>
      <c r="I2112" s="47"/>
      <c r="J2112" s="47" t="str">
        <f t="shared" si="45"/>
        <v/>
      </c>
      <c r="K2112" s="47"/>
      <c r="L2112" s="47"/>
      <c r="N2112" s="47"/>
      <c r="O2112" s="47"/>
      <c r="P2112" s="47"/>
    </row>
    <row r="2113" spans="1:16" x14ac:dyDescent="0.3">
      <c r="A2113" s="1">
        <v>2112</v>
      </c>
      <c r="G2113" s="4"/>
      <c r="H2113" s="4"/>
      <c r="I2113" s="47"/>
      <c r="J2113" s="47" t="str">
        <f t="shared" si="45"/>
        <v/>
      </c>
      <c r="K2113" s="47"/>
      <c r="L2113" s="47"/>
      <c r="N2113" s="47"/>
      <c r="O2113" s="47"/>
      <c r="P2113" s="47"/>
    </row>
    <row r="2114" spans="1:16" x14ac:dyDescent="0.3">
      <c r="A2114" s="1">
        <v>2113</v>
      </c>
      <c r="G2114" s="4"/>
      <c r="H2114" s="4"/>
      <c r="I2114" s="47"/>
      <c r="J2114" s="47" t="str">
        <f t="shared" si="45"/>
        <v/>
      </c>
      <c r="K2114" s="47"/>
      <c r="L2114" s="47"/>
      <c r="N2114" s="47"/>
      <c r="O2114" s="47"/>
      <c r="P2114" s="47"/>
    </row>
    <row r="2115" spans="1:16" x14ac:dyDescent="0.3">
      <c r="A2115" s="1">
        <v>2114</v>
      </c>
      <c r="G2115" s="4"/>
      <c r="H2115" s="4"/>
      <c r="I2115" s="47"/>
      <c r="J2115" s="47" t="str">
        <f t="shared" ref="J2115:J2125" si="46">+E2115&amp;I2115</f>
        <v/>
      </c>
      <c r="K2115" s="47"/>
      <c r="L2115" s="47"/>
      <c r="N2115" s="47"/>
      <c r="O2115" s="47"/>
      <c r="P2115" s="47"/>
    </row>
    <row r="2116" spans="1:16" x14ac:dyDescent="0.3">
      <c r="A2116" s="1">
        <v>2115</v>
      </c>
      <c r="G2116" s="4"/>
      <c r="H2116" s="4"/>
      <c r="I2116" s="47"/>
      <c r="J2116" s="47" t="str">
        <f t="shared" si="46"/>
        <v/>
      </c>
      <c r="K2116" s="47"/>
      <c r="L2116" s="47"/>
      <c r="N2116" s="47"/>
      <c r="O2116" s="47"/>
      <c r="P2116" s="47"/>
    </row>
    <row r="2117" spans="1:16" x14ac:dyDescent="0.3">
      <c r="A2117" s="1">
        <v>2116</v>
      </c>
      <c r="G2117" s="4"/>
      <c r="H2117" s="4"/>
      <c r="I2117" s="47"/>
      <c r="J2117" s="47" t="str">
        <f t="shared" si="46"/>
        <v/>
      </c>
      <c r="K2117" s="47"/>
      <c r="L2117" s="47"/>
      <c r="N2117" s="47"/>
      <c r="O2117" s="47"/>
      <c r="P2117" s="47"/>
    </row>
    <row r="2118" spans="1:16" x14ac:dyDescent="0.3">
      <c r="A2118" s="1">
        <v>2117</v>
      </c>
      <c r="G2118" s="4"/>
      <c r="H2118" s="4"/>
      <c r="I2118" s="47"/>
      <c r="J2118" s="47" t="str">
        <f t="shared" si="46"/>
        <v/>
      </c>
      <c r="K2118" s="47"/>
      <c r="L2118" s="47"/>
      <c r="N2118" s="47"/>
      <c r="O2118" s="47"/>
      <c r="P2118" s="47"/>
    </row>
    <row r="2119" spans="1:16" x14ac:dyDescent="0.3">
      <c r="A2119" s="1">
        <v>2118</v>
      </c>
      <c r="G2119" s="4"/>
      <c r="H2119" s="4"/>
      <c r="I2119" s="47"/>
      <c r="J2119" s="47" t="str">
        <f t="shared" si="46"/>
        <v/>
      </c>
      <c r="K2119" s="47"/>
      <c r="L2119" s="47"/>
      <c r="N2119" s="47"/>
      <c r="O2119" s="47"/>
      <c r="P2119" s="47"/>
    </row>
    <row r="2120" spans="1:16" x14ac:dyDescent="0.3">
      <c r="A2120" s="1">
        <v>2119</v>
      </c>
      <c r="G2120" s="4"/>
      <c r="H2120" s="4"/>
      <c r="I2120" s="47"/>
      <c r="J2120" s="47" t="str">
        <f t="shared" si="46"/>
        <v/>
      </c>
      <c r="K2120" s="47"/>
      <c r="L2120" s="47"/>
      <c r="N2120" s="47"/>
      <c r="O2120" s="47"/>
      <c r="P2120" s="47"/>
    </row>
    <row r="2121" spans="1:16" x14ac:dyDescent="0.3">
      <c r="A2121" s="1">
        <v>2120</v>
      </c>
      <c r="G2121" s="4"/>
      <c r="H2121" s="4"/>
      <c r="I2121" s="47"/>
      <c r="J2121" s="47" t="str">
        <f t="shared" si="46"/>
        <v/>
      </c>
      <c r="K2121" s="47"/>
      <c r="L2121" s="47"/>
      <c r="N2121" s="47"/>
      <c r="O2121" s="47"/>
      <c r="P2121" s="47"/>
    </row>
    <row r="2122" spans="1:16" x14ac:dyDescent="0.3">
      <c r="A2122" s="1">
        <v>2121</v>
      </c>
      <c r="G2122" s="4"/>
      <c r="H2122" s="4"/>
      <c r="I2122" s="47"/>
      <c r="J2122" s="47" t="str">
        <f t="shared" si="46"/>
        <v/>
      </c>
      <c r="K2122" s="47"/>
      <c r="L2122" s="47"/>
      <c r="N2122" s="47"/>
      <c r="O2122" s="47"/>
      <c r="P2122" s="47"/>
    </row>
    <row r="2123" spans="1:16" x14ac:dyDescent="0.3">
      <c r="A2123" s="1">
        <v>2122</v>
      </c>
      <c r="G2123" s="4"/>
      <c r="H2123" s="4"/>
      <c r="I2123" s="47"/>
      <c r="J2123" s="47" t="str">
        <f t="shared" si="46"/>
        <v/>
      </c>
      <c r="K2123" s="47"/>
      <c r="L2123" s="47"/>
      <c r="N2123" s="47"/>
      <c r="O2123" s="47"/>
      <c r="P2123" s="47"/>
    </row>
    <row r="2124" spans="1:16" x14ac:dyDescent="0.3">
      <c r="A2124" s="1">
        <v>2123</v>
      </c>
      <c r="G2124" s="4"/>
      <c r="H2124" s="4"/>
      <c r="I2124" s="47"/>
      <c r="J2124" s="47" t="str">
        <f t="shared" si="46"/>
        <v/>
      </c>
      <c r="K2124" s="47"/>
      <c r="L2124" s="47"/>
      <c r="N2124" s="47"/>
      <c r="O2124" s="47"/>
      <c r="P2124" s="47"/>
    </row>
    <row r="2125" spans="1:16" x14ac:dyDescent="0.3">
      <c r="A2125" s="1">
        <v>2124</v>
      </c>
      <c r="G2125" s="4"/>
      <c r="H2125" s="4"/>
      <c r="I2125" s="47"/>
      <c r="J2125" s="47" t="str">
        <f t="shared" si="46"/>
        <v/>
      </c>
      <c r="K2125" s="47"/>
      <c r="L2125" s="47"/>
      <c r="N2125" s="47"/>
      <c r="O2125" s="47"/>
      <c r="P2125" s="47"/>
    </row>
    <row r="2126" spans="1:16" x14ac:dyDescent="0.3">
      <c r="A2126" s="1"/>
      <c r="G2126" s="4"/>
      <c r="H2126" s="4"/>
    </row>
    <row r="2127" spans="1:16" x14ac:dyDescent="0.3">
      <c r="A2127" s="1"/>
      <c r="G2127" s="4"/>
      <c r="H2127" s="4"/>
    </row>
    <row r="2128" spans="1:16" x14ac:dyDescent="0.3">
      <c r="A2128" s="1"/>
      <c r="G2128" s="4"/>
      <c r="H2128" s="4"/>
    </row>
    <row r="2129" spans="1:8" x14ac:dyDescent="0.3">
      <c r="A2129" s="1"/>
      <c r="G2129" s="4"/>
      <c r="H2129" s="4"/>
    </row>
    <row r="2130" spans="1:8" x14ac:dyDescent="0.3">
      <c r="A2130" s="1"/>
      <c r="G2130" s="4"/>
      <c r="H2130" s="4"/>
    </row>
    <row r="2131" spans="1:8" x14ac:dyDescent="0.3">
      <c r="A2131" s="1"/>
      <c r="G2131" s="4"/>
      <c r="H2131" s="4"/>
    </row>
    <row r="2132" spans="1:8" x14ac:dyDescent="0.3">
      <c r="A2132" s="1"/>
      <c r="G2132" s="4"/>
      <c r="H2132" s="4"/>
    </row>
    <row r="2133" spans="1:8" x14ac:dyDescent="0.3">
      <c r="A2133" s="1"/>
      <c r="G2133" s="4"/>
      <c r="H2133" s="4"/>
    </row>
    <row r="2134" spans="1:8" x14ac:dyDescent="0.3">
      <c r="A2134" s="1"/>
      <c r="G2134" s="4"/>
      <c r="H2134" s="4"/>
    </row>
    <row r="2135" spans="1:8" x14ac:dyDescent="0.3">
      <c r="A2135" s="1"/>
      <c r="G2135" s="4"/>
      <c r="H2135" s="4"/>
    </row>
    <row r="2136" spans="1:8" x14ac:dyDescent="0.3">
      <c r="A2136" s="1"/>
      <c r="G2136" s="4"/>
      <c r="H2136" s="4"/>
    </row>
    <row r="2137" spans="1:8" x14ac:dyDescent="0.3">
      <c r="A2137" s="1"/>
      <c r="G2137" s="4"/>
      <c r="H2137" s="4"/>
    </row>
    <row r="2138" spans="1:8" x14ac:dyDescent="0.3">
      <c r="A2138" s="1"/>
      <c r="G2138" s="4"/>
      <c r="H2138" s="4"/>
    </row>
    <row r="2139" spans="1:8" x14ac:dyDescent="0.3">
      <c r="A2139" s="1"/>
      <c r="G2139" s="4"/>
      <c r="H2139" s="4"/>
    </row>
    <row r="2140" spans="1:8" x14ac:dyDescent="0.3">
      <c r="A2140" s="1"/>
      <c r="G2140" s="4"/>
      <c r="H2140" s="4"/>
    </row>
    <row r="2141" spans="1:8" x14ac:dyDescent="0.3">
      <c r="A2141" s="1"/>
      <c r="G2141" s="4"/>
      <c r="H2141" s="4"/>
    </row>
    <row r="2142" spans="1:8" x14ac:dyDescent="0.3">
      <c r="A2142" s="1"/>
      <c r="G2142" s="4"/>
      <c r="H2142" s="4"/>
    </row>
    <row r="2143" spans="1:8" x14ac:dyDescent="0.3">
      <c r="A2143" s="1"/>
      <c r="G2143" s="4"/>
      <c r="H2143" s="4"/>
    </row>
    <row r="2144" spans="1:8" x14ac:dyDescent="0.3">
      <c r="A2144" s="1"/>
      <c r="G2144" s="4"/>
      <c r="H2144" s="4"/>
    </row>
    <row r="2145" spans="1:8" x14ac:dyDescent="0.3">
      <c r="A2145" s="1"/>
      <c r="G2145" s="4"/>
      <c r="H2145" s="4"/>
    </row>
    <row r="2146" spans="1:8" x14ac:dyDescent="0.3">
      <c r="A2146" s="1"/>
      <c r="G2146" s="4"/>
      <c r="H2146" s="4"/>
    </row>
    <row r="2147" spans="1:8" x14ac:dyDescent="0.3">
      <c r="A2147" s="1"/>
      <c r="G2147" s="4"/>
      <c r="H2147" s="4"/>
    </row>
    <row r="2148" spans="1:8" x14ac:dyDescent="0.3">
      <c r="A2148" s="1"/>
      <c r="G2148" s="4"/>
      <c r="H2148" s="4"/>
    </row>
    <row r="2149" spans="1:8" x14ac:dyDescent="0.3">
      <c r="A2149" s="1"/>
      <c r="G2149" s="4"/>
      <c r="H2149" s="4"/>
    </row>
    <row r="2150" spans="1:8" x14ac:dyDescent="0.3">
      <c r="A2150" s="1"/>
      <c r="G2150" s="4"/>
      <c r="H2150" s="4"/>
    </row>
    <row r="2151" spans="1:8" x14ac:dyDescent="0.3">
      <c r="A2151" s="1"/>
      <c r="G2151" s="4"/>
      <c r="H2151" s="4"/>
    </row>
    <row r="2152" spans="1:8" x14ac:dyDescent="0.3">
      <c r="A2152" s="1"/>
      <c r="G2152" s="4"/>
      <c r="H2152" s="4"/>
    </row>
    <row r="2153" spans="1:8" x14ac:dyDescent="0.3">
      <c r="A2153" s="1"/>
      <c r="G2153" s="4"/>
      <c r="H2153" s="4"/>
    </row>
    <row r="2154" spans="1:8" x14ac:dyDescent="0.3">
      <c r="A2154" s="1"/>
      <c r="G2154" s="4"/>
      <c r="H2154" s="4"/>
    </row>
    <row r="2155" spans="1:8" x14ac:dyDescent="0.3">
      <c r="A2155" s="1"/>
      <c r="G2155" s="4"/>
      <c r="H2155" s="4"/>
    </row>
    <row r="2156" spans="1:8" x14ac:dyDescent="0.3">
      <c r="A2156" s="1"/>
      <c r="G2156" s="4"/>
      <c r="H2156" s="4"/>
    </row>
    <row r="2157" spans="1:8" x14ac:dyDescent="0.3">
      <c r="A2157" s="1"/>
      <c r="G2157" s="4"/>
      <c r="H2157" s="4"/>
    </row>
    <row r="2158" spans="1:8" x14ac:dyDescent="0.3">
      <c r="A2158" s="1"/>
      <c r="G2158" s="4"/>
      <c r="H2158" s="4"/>
    </row>
    <row r="2159" spans="1:8" x14ac:dyDescent="0.3">
      <c r="A2159" s="1"/>
      <c r="G2159" s="4"/>
      <c r="H2159" s="4"/>
    </row>
    <row r="2160" spans="1:8" x14ac:dyDescent="0.3">
      <c r="A2160" s="1"/>
      <c r="G2160" s="4"/>
      <c r="H2160" s="4"/>
    </row>
    <row r="2161" spans="1:8" x14ac:dyDescent="0.3">
      <c r="A2161" s="1"/>
      <c r="G2161" s="4"/>
      <c r="H2161" s="4"/>
    </row>
    <row r="2162" spans="1:8" x14ac:dyDescent="0.3">
      <c r="A2162" s="1"/>
      <c r="G2162" s="4"/>
      <c r="H2162" s="4"/>
    </row>
    <row r="2163" spans="1:8" x14ac:dyDescent="0.3">
      <c r="A2163" s="1"/>
      <c r="G2163" s="4"/>
      <c r="H2163" s="4"/>
    </row>
    <row r="2164" spans="1:8" x14ac:dyDescent="0.3">
      <c r="A2164" s="1"/>
      <c r="G2164" s="4"/>
      <c r="H2164" s="4"/>
    </row>
    <row r="2165" spans="1:8" x14ac:dyDescent="0.3">
      <c r="A2165" s="1"/>
      <c r="G2165" s="4"/>
      <c r="H2165" s="4"/>
    </row>
    <row r="2166" spans="1:8" x14ac:dyDescent="0.3">
      <c r="A2166" s="1"/>
      <c r="G2166" s="4"/>
      <c r="H2166" s="4"/>
    </row>
    <row r="2167" spans="1:8" x14ac:dyDescent="0.3">
      <c r="A2167" s="1"/>
      <c r="G2167" s="4"/>
      <c r="H2167" s="4"/>
    </row>
    <row r="2168" spans="1:8" x14ac:dyDescent="0.3">
      <c r="A2168" s="1"/>
      <c r="G2168" s="4"/>
      <c r="H2168" s="4"/>
    </row>
    <row r="2169" spans="1:8" x14ac:dyDescent="0.3">
      <c r="A2169" s="1"/>
      <c r="G2169" s="4"/>
      <c r="H2169" s="4"/>
    </row>
    <row r="2170" spans="1:8" x14ac:dyDescent="0.3">
      <c r="A2170" s="1"/>
      <c r="G2170" s="4"/>
      <c r="H2170" s="4"/>
    </row>
    <row r="2171" spans="1:8" x14ac:dyDescent="0.3">
      <c r="A2171" s="1"/>
      <c r="G2171" s="4"/>
      <c r="H2171" s="4"/>
    </row>
    <row r="2172" spans="1:8" x14ac:dyDescent="0.3">
      <c r="A2172" s="1"/>
      <c r="G2172" s="4"/>
      <c r="H2172" s="4"/>
    </row>
    <row r="2173" spans="1:8" x14ac:dyDescent="0.3">
      <c r="A2173" s="1"/>
      <c r="G2173" s="4"/>
      <c r="H2173" s="4"/>
    </row>
    <row r="2174" spans="1:8" x14ac:dyDescent="0.3">
      <c r="A2174" s="1"/>
      <c r="G2174" s="4"/>
      <c r="H2174" s="4"/>
    </row>
    <row r="2175" spans="1:8" x14ac:dyDescent="0.3">
      <c r="A2175" s="1"/>
      <c r="G2175" s="4"/>
      <c r="H2175" s="4"/>
    </row>
    <row r="2176" spans="1:8" x14ac:dyDescent="0.3">
      <c r="A2176" s="1"/>
      <c r="G2176" s="4"/>
      <c r="H2176" s="4"/>
    </row>
    <row r="2177" spans="1:8" x14ac:dyDescent="0.3">
      <c r="A2177" s="1"/>
      <c r="G2177" s="4"/>
      <c r="H2177" s="4"/>
    </row>
    <row r="2178" spans="1:8" x14ac:dyDescent="0.3">
      <c r="A2178" s="1"/>
      <c r="G2178" s="4"/>
      <c r="H2178" s="4"/>
    </row>
    <row r="2179" spans="1:8" x14ac:dyDescent="0.3">
      <c r="A2179" s="1"/>
      <c r="G2179" s="4"/>
      <c r="H2179" s="4"/>
    </row>
    <row r="2180" spans="1:8" x14ac:dyDescent="0.3">
      <c r="A2180" s="1"/>
      <c r="G2180" s="4"/>
      <c r="H2180" s="4"/>
    </row>
    <row r="2181" spans="1:8" x14ac:dyDescent="0.3">
      <c r="A2181" s="1"/>
      <c r="G2181" s="4"/>
      <c r="H2181" s="4"/>
    </row>
    <row r="2182" spans="1:8" x14ac:dyDescent="0.3">
      <c r="A2182" s="1"/>
      <c r="G2182" s="4"/>
      <c r="H2182" s="4"/>
    </row>
    <row r="2183" spans="1:8" x14ac:dyDescent="0.3">
      <c r="A2183" s="1"/>
      <c r="G2183" s="4"/>
      <c r="H2183" s="4"/>
    </row>
    <row r="2184" spans="1:8" x14ac:dyDescent="0.3">
      <c r="A2184" s="1"/>
      <c r="G2184" s="4"/>
      <c r="H2184" s="4"/>
    </row>
    <row r="2185" spans="1:8" x14ac:dyDescent="0.3">
      <c r="A2185" s="1"/>
      <c r="G2185" s="4"/>
      <c r="H2185" s="4"/>
    </row>
    <row r="2186" spans="1:8" x14ac:dyDescent="0.3">
      <c r="A2186" s="1"/>
      <c r="G2186" s="4"/>
      <c r="H2186" s="4"/>
    </row>
    <row r="2187" spans="1:8" x14ac:dyDescent="0.3">
      <c r="A2187" s="1"/>
      <c r="G2187" s="4"/>
      <c r="H2187" s="4"/>
    </row>
    <row r="2188" spans="1:8" x14ac:dyDescent="0.3">
      <c r="A2188" s="1"/>
      <c r="G2188" s="4"/>
      <c r="H2188" s="4"/>
    </row>
    <row r="2189" spans="1:8" x14ac:dyDescent="0.3">
      <c r="A2189" s="1"/>
      <c r="G2189" s="4"/>
      <c r="H2189" s="4"/>
    </row>
    <row r="2190" spans="1:8" x14ac:dyDescent="0.3">
      <c r="A2190" s="1"/>
      <c r="G2190" s="4"/>
      <c r="H2190" s="4"/>
    </row>
    <row r="2191" spans="1:8" x14ac:dyDescent="0.3">
      <c r="A2191" s="1"/>
      <c r="G2191" s="4"/>
      <c r="H2191" s="4"/>
    </row>
    <row r="2192" spans="1:8" x14ac:dyDescent="0.3">
      <c r="A2192" s="1"/>
      <c r="G2192" s="4"/>
      <c r="H2192" s="4"/>
    </row>
    <row r="2193" spans="1:8" x14ac:dyDescent="0.3">
      <c r="A2193" s="1"/>
      <c r="G2193" s="4"/>
      <c r="H2193" s="4"/>
    </row>
    <row r="2194" spans="1:8" x14ac:dyDescent="0.3">
      <c r="A2194" s="1"/>
      <c r="G2194" s="4"/>
      <c r="H2194" s="4"/>
    </row>
    <row r="2195" spans="1:8" x14ac:dyDescent="0.3">
      <c r="A2195" s="1"/>
      <c r="G2195" s="4"/>
      <c r="H2195" s="4"/>
    </row>
    <row r="2196" spans="1:8" x14ac:dyDescent="0.3">
      <c r="A2196" s="1"/>
      <c r="G2196" s="4"/>
      <c r="H2196" s="4"/>
    </row>
    <row r="2197" spans="1:8" x14ac:dyDescent="0.3">
      <c r="A2197" s="1"/>
      <c r="G2197" s="4"/>
      <c r="H2197" s="4"/>
    </row>
    <row r="2198" spans="1:8" x14ac:dyDescent="0.3">
      <c r="A2198" s="1"/>
      <c r="G2198" s="4"/>
      <c r="H2198" s="4"/>
    </row>
    <row r="2199" spans="1:8" x14ac:dyDescent="0.3">
      <c r="A2199" s="1"/>
      <c r="G2199" s="4"/>
      <c r="H2199" s="4"/>
    </row>
    <row r="2200" spans="1:8" x14ac:dyDescent="0.3">
      <c r="A2200" s="1"/>
      <c r="G2200" s="4"/>
      <c r="H2200" s="4"/>
    </row>
    <row r="2201" spans="1:8" x14ac:dyDescent="0.3">
      <c r="A2201" s="1"/>
      <c r="G2201" s="4"/>
      <c r="H2201" s="4"/>
    </row>
    <row r="2202" spans="1:8" x14ac:dyDescent="0.3">
      <c r="A2202" s="1"/>
      <c r="G2202" s="4"/>
      <c r="H2202" s="4"/>
    </row>
    <row r="2203" spans="1:8" x14ac:dyDescent="0.3">
      <c r="A2203" s="1"/>
      <c r="G2203" s="4"/>
      <c r="H2203" s="4"/>
    </row>
    <row r="2204" spans="1:8" x14ac:dyDescent="0.3">
      <c r="A2204" s="1"/>
      <c r="G2204" s="4"/>
      <c r="H2204" s="4"/>
    </row>
    <row r="2205" spans="1:8" x14ac:dyDescent="0.3">
      <c r="A2205" s="1"/>
      <c r="G2205" s="4"/>
      <c r="H2205" s="4"/>
    </row>
    <row r="2206" spans="1:8" x14ac:dyDescent="0.3">
      <c r="A2206" s="1"/>
      <c r="G2206" s="4"/>
      <c r="H2206" s="4"/>
    </row>
    <row r="2207" spans="1:8" x14ac:dyDescent="0.3">
      <c r="A2207" s="1"/>
      <c r="G2207" s="4"/>
      <c r="H2207" s="4"/>
    </row>
    <row r="2208" spans="1:8" x14ac:dyDescent="0.3">
      <c r="A2208" s="1"/>
      <c r="G2208" s="4"/>
      <c r="H2208" s="4"/>
    </row>
    <row r="2209" spans="1:8" x14ac:dyDescent="0.3">
      <c r="A2209" s="1"/>
      <c r="G2209" s="4"/>
      <c r="H2209" s="4"/>
    </row>
    <row r="2210" spans="1:8" x14ac:dyDescent="0.3">
      <c r="A2210" s="1"/>
      <c r="G2210" s="4"/>
      <c r="H2210" s="4"/>
    </row>
    <row r="2211" spans="1:8" x14ac:dyDescent="0.3">
      <c r="A2211" s="1"/>
      <c r="G2211" s="4"/>
      <c r="H2211" s="4"/>
    </row>
    <row r="2212" spans="1:8" x14ac:dyDescent="0.3">
      <c r="A2212" s="1"/>
      <c r="G2212" s="4"/>
      <c r="H2212" s="4"/>
    </row>
    <row r="2213" spans="1:8" x14ac:dyDescent="0.3">
      <c r="A2213" s="1"/>
      <c r="G2213" s="4"/>
      <c r="H2213" s="4"/>
    </row>
    <row r="2214" spans="1:8" x14ac:dyDescent="0.3">
      <c r="A2214" s="1"/>
      <c r="G2214" s="4"/>
      <c r="H2214" s="4"/>
    </row>
    <row r="2215" spans="1:8" x14ac:dyDescent="0.3">
      <c r="A2215" s="1"/>
      <c r="G2215" s="4"/>
      <c r="H2215" s="4"/>
    </row>
    <row r="2216" spans="1:8" x14ac:dyDescent="0.3">
      <c r="A2216" s="1"/>
      <c r="G2216" s="4"/>
      <c r="H2216" s="4"/>
    </row>
    <row r="2217" spans="1:8" x14ac:dyDescent="0.3">
      <c r="A2217" s="1"/>
      <c r="G2217" s="4"/>
      <c r="H2217" s="4"/>
    </row>
    <row r="2218" spans="1:8" x14ac:dyDescent="0.3">
      <c r="A2218" s="1"/>
      <c r="G2218" s="4"/>
      <c r="H2218" s="4"/>
    </row>
    <row r="2219" spans="1:8" x14ac:dyDescent="0.3">
      <c r="A2219" s="1"/>
      <c r="G2219" s="4"/>
      <c r="H2219" s="4"/>
    </row>
    <row r="2220" spans="1:8" x14ac:dyDescent="0.3">
      <c r="A2220" s="1"/>
      <c r="G2220" s="4"/>
      <c r="H2220" s="4"/>
    </row>
    <row r="2221" spans="1:8" x14ac:dyDescent="0.3">
      <c r="A2221" s="1"/>
      <c r="G2221" s="4"/>
      <c r="H2221" s="4"/>
    </row>
    <row r="2222" spans="1:8" x14ac:dyDescent="0.3">
      <c r="A2222" s="1"/>
      <c r="G2222" s="4"/>
      <c r="H2222" s="4"/>
    </row>
    <row r="2223" spans="1:8" x14ac:dyDescent="0.3">
      <c r="A2223" s="1"/>
      <c r="G2223" s="4"/>
      <c r="H2223" s="4"/>
    </row>
    <row r="2224" spans="1:8" x14ac:dyDescent="0.3">
      <c r="A2224" s="1"/>
      <c r="G2224" s="4"/>
      <c r="H2224" s="4"/>
    </row>
    <row r="2225" spans="1:8" x14ac:dyDescent="0.3">
      <c r="A2225" s="1"/>
      <c r="G2225" s="4"/>
      <c r="H2225" s="4"/>
    </row>
    <row r="2226" spans="1:8" x14ac:dyDescent="0.3">
      <c r="A2226" s="1"/>
      <c r="G2226" s="4"/>
      <c r="H2226" s="4"/>
    </row>
    <row r="2227" spans="1:8" x14ac:dyDescent="0.3">
      <c r="A2227" s="1"/>
      <c r="G2227" s="4"/>
      <c r="H2227" s="4"/>
    </row>
    <row r="2228" spans="1:8" x14ac:dyDescent="0.3">
      <c r="A2228" s="1"/>
      <c r="G2228" s="4"/>
      <c r="H2228" s="4"/>
    </row>
    <row r="2229" spans="1:8" x14ac:dyDescent="0.3">
      <c r="A2229" s="1"/>
      <c r="G2229" s="4"/>
      <c r="H2229" s="4"/>
    </row>
    <row r="2230" spans="1:8" x14ac:dyDescent="0.3">
      <c r="A2230" s="1"/>
      <c r="G2230" s="4"/>
      <c r="H2230" s="4"/>
    </row>
    <row r="2231" spans="1:8" x14ac:dyDescent="0.3">
      <c r="A2231" s="1"/>
      <c r="G2231" s="4"/>
      <c r="H2231" s="4"/>
    </row>
    <row r="2232" spans="1:8" x14ac:dyDescent="0.3">
      <c r="A2232" s="1"/>
      <c r="G2232" s="4"/>
      <c r="H2232" s="4"/>
    </row>
    <row r="2233" spans="1:8" x14ac:dyDescent="0.3">
      <c r="A2233" s="1"/>
      <c r="G2233" s="4"/>
      <c r="H2233" s="4"/>
    </row>
    <row r="2234" spans="1:8" x14ac:dyDescent="0.3">
      <c r="A2234" s="1"/>
      <c r="G2234" s="4"/>
      <c r="H2234" s="4"/>
    </row>
    <row r="2235" spans="1:8" x14ac:dyDescent="0.3">
      <c r="A2235" s="1"/>
      <c r="G2235" s="4"/>
      <c r="H2235" s="4"/>
    </row>
    <row r="2236" spans="1:8" x14ac:dyDescent="0.3">
      <c r="A2236" s="1"/>
      <c r="G2236" s="4"/>
      <c r="H2236" s="4"/>
    </row>
    <row r="2237" spans="1:8" x14ac:dyDescent="0.3">
      <c r="A2237" s="1"/>
      <c r="G2237" s="4"/>
      <c r="H2237" s="4"/>
    </row>
    <row r="2238" spans="1:8" x14ac:dyDescent="0.3">
      <c r="A2238" s="1"/>
      <c r="G2238" s="4"/>
      <c r="H2238" s="4"/>
    </row>
    <row r="2239" spans="1:8" x14ac:dyDescent="0.3">
      <c r="A2239" s="1"/>
      <c r="G2239" s="4"/>
      <c r="H2239" s="4"/>
    </row>
    <row r="2240" spans="1:8" x14ac:dyDescent="0.3">
      <c r="A2240" s="1"/>
      <c r="G2240" s="4"/>
      <c r="H2240" s="4"/>
    </row>
    <row r="2241" spans="1:8" x14ac:dyDescent="0.3">
      <c r="A2241" s="1"/>
      <c r="G2241" s="4"/>
      <c r="H2241" s="4"/>
    </row>
    <row r="2242" spans="1:8" x14ac:dyDescent="0.3">
      <c r="A2242" s="1"/>
      <c r="G2242" s="4"/>
      <c r="H2242" s="4"/>
    </row>
    <row r="2243" spans="1:8" x14ac:dyDescent="0.3">
      <c r="A2243" s="1"/>
      <c r="G2243" s="4"/>
      <c r="H2243" s="4"/>
    </row>
    <row r="2244" spans="1:8" x14ac:dyDescent="0.3">
      <c r="A2244" s="1"/>
      <c r="G2244" s="4"/>
      <c r="H2244" s="4"/>
    </row>
    <row r="2245" spans="1:8" x14ac:dyDescent="0.3">
      <c r="A2245" s="1"/>
      <c r="G2245" s="4"/>
      <c r="H2245" s="4"/>
    </row>
    <row r="2246" spans="1:8" x14ac:dyDescent="0.3">
      <c r="A2246" s="1"/>
      <c r="G2246" s="4"/>
      <c r="H2246" s="4"/>
    </row>
    <row r="2247" spans="1:8" x14ac:dyDescent="0.3">
      <c r="A2247" s="1"/>
      <c r="G2247" s="4"/>
      <c r="H2247" s="4"/>
    </row>
    <row r="2248" spans="1:8" x14ac:dyDescent="0.3">
      <c r="A2248" s="1"/>
      <c r="G2248" s="4"/>
      <c r="H2248" s="4"/>
    </row>
    <row r="2249" spans="1:8" x14ac:dyDescent="0.3">
      <c r="A2249" s="1"/>
      <c r="G2249" s="4"/>
      <c r="H2249" s="4"/>
    </row>
    <row r="2250" spans="1:8" x14ac:dyDescent="0.3">
      <c r="A2250" s="1"/>
      <c r="G2250" s="4"/>
      <c r="H2250" s="4"/>
    </row>
    <row r="2251" spans="1:8" x14ac:dyDescent="0.3">
      <c r="A2251" s="1"/>
      <c r="G2251" s="4"/>
      <c r="H2251" s="4"/>
    </row>
    <row r="2252" spans="1:8" x14ac:dyDescent="0.3">
      <c r="A2252" s="1"/>
      <c r="G2252" s="4"/>
      <c r="H2252" s="4"/>
    </row>
    <row r="2253" spans="1:8" x14ac:dyDescent="0.3">
      <c r="A2253" s="1"/>
      <c r="G2253" s="4"/>
      <c r="H2253" s="4"/>
    </row>
    <row r="2254" spans="1:8" x14ac:dyDescent="0.3">
      <c r="A2254" s="1"/>
      <c r="G2254" s="4"/>
      <c r="H2254" s="4"/>
    </row>
    <row r="2255" spans="1:8" x14ac:dyDescent="0.3">
      <c r="A2255" s="1"/>
      <c r="G2255" s="4"/>
      <c r="H2255" s="4"/>
    </row>
    <row r="2256" spans="1:8" x14ac:dyDescent="0.3">
      <c r="A2256" s="1"/>
      <c r="G2256" s="4"/>
      <c r="H2256" s="4"/>
    </row>
    <row r="2257" spans="1:8" x14ac:dyDescent="0.3">
      <c r="A2257" s="1"/>
      <c r="G2257" s="4"/>
      <c r="H2257" s="4"/>
    </row>
    <row r="2258" spans="1:8" x14ac:dyDescent="0.3">
      <c r="A2258" s="1"/>
      <c r="G2258" s="4"/>
      <c r="H2258" s="4"/>
    </row>
    <row r="2259" spans="1:8" x14ac:dyDescent="0.3">
      <c r="A2259" s="1"/>
      <c r="G2259" s="4"/>
      <c r="H2259" s="4"/>
    </row>
    <row r="2260" spans="1:8" x14ac:dyDescent="0.3">
      <c r="A2260" s="1"/>
      <c r="G2260" s="4"/>
      <c r="H2260" s="4"/>
    </row>
    <row r="2261" spans="1:8" x14ac:dyDescent="0.3">
      <c r="A2261" s="1"/>
      <c r="G2261" s="4"/>
      <c r="H2261" s="4"/>
    </row>
    <row r="2262" spans="1:8" x14ac:dyDescent="0.3">
      <c r="A2262" s="1"/>
      <c r="G2262" s="4"/>
      <c r="H2262" s="4"/>
    </row>
    <row r="2263" spans="1:8" x14ac:dyDescent="0.3">
      <c r="A2263" s="1"/>
      <c r="G2263" s="4"/>
      <c r="H2263" s="4"/>
    </row>
    <row r="2264" spans="1:8" x14ac:dyDescent="0.3">
      <c r="A2264" s="1"/>
      <c r="G2264" s="4"/>
      <c r="H2264" s="4"/>
    </row>
    <row r="2265" spans="1:8" x14ac:dyDescent="0.3">
      <c r="A2265" s="1"/>
      <c r="G2265" s="4"/>
      <c r="H2265" s="4"/>
    </row>
    <row r="2266" spans="1:8" x14ac:dyDescent="0.3">
      <c r="A2266" s="1"/>
      <c r="G2266" s="4"/>
      <c r="H2266" s="4"/>
    </row>
    <row r="2267" spans="1:8" x14ac:dyDescent="0.3">
      <c r="A2267" s="1"/>
      <c r="G2267" s="4"/>
      <c r="H2267" s="4"/>
    </row>
    <row r="2268" spans="1:8" x14ac:dyDescent="0.3">
      <c r="A2268" s="1"/>
      <c r="G2268" s="4"/>
      <c r="H2268" s="4"/>
    </row>
    <row r="2269" spans="1:8" x14ac:dyDescent="0.3">
      <c r="A2269" s="1"/>
      <c r="G2269" s="4"/>
      <c r="H2269" s="4"/>
    </row>
    <row r="2270" spans="1:8" x14ac:dyDescent="0.3">
      <c r="A2270" s="1"/>
      <c r="G2270" s="4"/>
      <c r="H2270" s="4"/>
    </row>
    <row r="2271" spans="1:8" x14ac:dyDescent="0.3">
      <c r="A2271" s="1"/>
      <c r="G2271" s="4"/>
      <c r="H2271" s="4"/>
    </row>
    <row r="2272" spans="1:8" x14ac:dyDescent="0.3">
      <c r="A2272" s="1"/>
      <c r="G2272" s="4"/>
      <c r="H2272" s="4"/>
    </row>
    <row r="2273" spans="1:8" x14ac:dyDescent="0.3">
      <c r="A2273" s="1"/>
      <c r="G2273" s="4"/>
      <c r="H2273" s="4"/>
    </row>
    <row r="2274" spans="1:8" x14ac:dyDescent="0.3">
      <c r="A2274" s="1"/>
      <c r="G2274" s="4"/>
      <c r="H2274" s="4"/>
    </row>
    <row r="2275" spans="1:8" x14ac:dyDescent="0.3">
      <c r="A2275" s="1"/>
      <c r="G2275" s="4"/>
      <c r="H2275" s="4"/>
    </row>
    <row r="2276" spans="1:8" x14ac:dyDescent="0.3">
      <c r="A2276" s="1"/>
      <c r="G2276" s="4"/>
      <c r="H2276" s="4"/>
    </row>
    <row r="2277" spans="1:8" x14ac:dyDescent="0.3">
      <c r="A2277" s="1"/>
      <c r="G2277" s="4"/>
      <c r="H2277" s="4"/>
    </row>
    <row r="2278" spans="1:8" x14ac:dyDescent="0.3">
      <c r="A2278" s="1"/>
      <c r="G2278" s="4"/>
      <c r="H2278" s="4"/>
    </row>
    <row r="2279" spans="1:8" x14ac:dyDescent="0.3">
      <c r="A2279" s="1"/>
      <c r="G2279" s="4"/>
      <c r="H2279" s="4"/>
    </row>
    <row r="2280" spans="1:8" x14ac:dyDescent="0.3">
      <c r="A2280" s="1"/>
      <c r="G2280" s="4"/>
      <c r="H2280" s="4"/>
    </row>
    <row r="2281" spans="1:8" x14ac:dyDescent="0.3">
      <c r="A2281" s="1"/>
      <c r="G2281" s="4"/>
      <c r="H2281" s="4"/>
    </row>
    <row r="2282" spans="1:8" x14ac:dyDescent="0.3">
      <c r="A2282" s="1"/>
      <c r="G2282" s="4"/>
      <c r="H2282" s="4"/>
    </row>
    <row r="2283" spans="1:8" x14ac:dyDescent="0.3">
      <c r="A2283" s="1"/>
      <c r="G2283" s="4"/>
      <c r="H2283" s="4"/>
    </row>
    <row r="2284" spans="1:8" x14ac:dyDescent="0.3">
      <c r="A2284" s="1"/>
      <c r="G2284" s="4"/>
      <c r="H2284" s="4"/>
    </row>
    <row r="2285" spans="1:8" x14ac:dyDescent="0.3">
      <c r="A2285" s="1"/>
      <c r="G2285" s="4"/>
      <c r="H2285" s="4"/>
    </row>
    <row r="2286" spans="1:8" x14ac:dyDescent="0.3">
      <c r="A2286" s="1"/>
      <c r="G2286" s="4"/>
      <c r="H2286" s="4"/>
    </row>
    <row r="2287" spans="1:8" x14ac:dyDescent="0.3">
      <c r="A2287" s="1"/>
      <c r="G2287" s="4"/>
      <c r="H2287" s="4"/>
    </row>
    <row r="2288" spans="1:8" x14ac:dyDescent="0.3">
      <c r="A2288" s="1"/>
      <c r="G2288" s="4"/>
      <c r="H2288" s="4"/>
    </row>
    <row r="2289" spans="1:8" x14ac:dyDescent="0.3">
      <c r="A2289" s="1"/>
      <c r="G2289" s="4"/>
      <c r="H2289" s="4"/>
    </row>
    <row r="2290" spans="1:8" x14ac:dyDescent="0.3">
      <c r="A2290" s="1"/>
      <c r="G2290" s="4"/>
      <c r="H2290" s="4"/>
    </row>
    <row r="2291" spans="1:8" x14ac:dyDescent="0.3">
      <c r="A2291" s="1"/>
      <c r="G2291" s="4"/>
      <c r="H2291" s="4"/>
    </row>
    <row r="2292" spans="1:8" x14ac:dyDescent="0.3">
      <c r="A2292" s="1"/>
      <c r="G2292" s="4"/>
      <c r="H2292" s="4"/>
    </row>
    <row r="2293" spans="1:8" x14ac:dyDescent="0.3">
      <c r="A2293" s="1"/>
      <c r="G2293" s="4"/>
      <c r="H2293" s="4"/>
    </row>
    <row r="2294" spans="1:8" x14ac:dyDescent="0.3">
      <c r="A2294" s="1"/>
      <c r="G2294" s="4"/>
      <c r="H2294" s="4"/>
    </row>
    <row r="2295" spans="1:8" x14ac:dyDescent="0.3">
      <c r="A2295" s="1"/>
      <c r="G2295" s="4"/>
      <c r="H2295" s="4"/>
    </row>
    <row r="2296" spans="1:8" x14ac:dyDescent="0.3">
      <c r="A2296" s="1"/>
      <c r="G2296" s="4"/>
      <c r="H2296" s="4"/>
    </row>
    <row r="2297" spans="1:8" x14ac:dyDescent="0.3">
      <c r="A2297" s="1"/>
      <c r="G2297" s="4"/>
      <c r="H2297" s="4"/>
    </row>
    <row r="2298" spans="1:8" x14ac:dyDescent="0.3">
      <c r="A2298" s="1"/>
      <c r="G2298" s="4"/>
      <c r="H2298" s="4"/>
    </row>
    <row r="2299" spans="1:8" x14ac:dyDescent="0.3">
      <c r="A2299" s="1"/>
      <c r="G2299" s="4"/>
      <c r="H2299" s="4"/>
    </row>
    <row r="2300" spans="1:8" x14ac:dyDescent="0.3">
      <c r="A2300" s="1"/>
      <c r="G2300" s="4"/>
      <c r="H2300" s="4"/>
    </row>
    <row r="2301" spans="1:8" x14ac:dyDescent="0.3">
      <c r="A2301" s="1"/>
      <c r="G2301" s="4"/>
      <c r="H2301" s="4"/>
    </row>
    <row r="2302" spans="1:8" x14ac:dyDescent="0.3">
      <c r="A2302" s="1"/>
      <c r="G2302" s="4"/>
      <c r="H2302" s="4"/>
    </row>
    <row r="2303" spans="1:8" x14ac:dyDescent="0.3">
      <c r="A2303" s="1"/>
      <c r="G2303" s="4"/>
      <c r="H2303" s="4"/>
    </row>
    <row r="2304" spans="1:8" x14ac:dyDescent="0.3">
      <c r="A2304" s="1"/>
      <c r="G2304" s="4"/>
      <c r="H2304" s="4"/>
    </row>
    <row r="2305" spans="1:8" x14ac:dyDescent="0.3">
      <c r="A2305" s="1"/>
      <c r="G2305" s="4"/>
      <c r="H2305" s="4"/>
    </row>
    <row r="2306" spans="1:8" x14ac:dyDescent="0.3">
      <c r="A2306" s="1"/>
      <c r="G2306" s="4"/>
      <c r="H2306" s="4"/>
    </row>
    <row r="2307" spans="1:8" x14ac:dyDescent="0.3">
      <c r="A2307" s="1"/>
      <c r="G2307" s="4"/>
      <c r="H2307" s="4"/>
    </row>
    <row r="2308" spans="1:8" x14ac:dyDescent="0.3">
      <c r="A2308" s="1"/>
      <c r="G2308" s="4"/>
      <c r="H2308" s="4"/>
    </row>
    <row r="2309" spans="1:8" x14ac:dyDescent="0.3">
      <c r="A2309" s="1"/>
      <c r="G2309" s="4"/>
      <c r="H2309" s="4"/>
    </row>
    <row r="2310" spans="1:8" x14ac:dyDescent="0.3">
      <c r="A2310" s="1"/>
      <c r="G2310" s="4"/>
      <c r="H2310" s="4"/>
    </row>
    <row r="2311" spans="1:8" x14ac:dyDescent="0.3">
      <c r="A2311" s="1"/>
      <c r="G2311" s="4"/>
      <c r="H2311" s="4"/>
    </row>
    <row r="2312" spans="1:8" x14ac:dyDescent="0.3">
      <c r="A2312" s="1"/>
      <c r="G2312" s="4"/>
      <c r="H2312" s="4"/>
    </row>
    <row r="2313" spans="1:8" x14ac:dyDescent="0.3">
      <c r="A2313" s="1"/>
      <c r="G2313" s="4"/>
      <c r="H2313" s="4"/>
    </row>
    <row r="2314" spans="1:8" x14ac:dyDescent="0.3">
      <c r="A2314" s="1"/>
      <c r="G2314" s="4"/>
      <c r="H2314" s="4"/>
    </row>
    <row r="2315" spans="1:8" x14ac:dyDescent="0.3">
      <c r="A2315" s="1"/>
      <c r="G2315" s="4"/>
      <c r="H2315" s="4"/>
    </row>
    <row r="2316" spans="1:8" x14ac:dyDescent="0.3">
      <c r="A2316" s="1"/>
      <c r="G2316" s="4"/>
      <c r="H2316" s="4"/>
    </row>
    <row r="2317" spans="1:8" x14ac:dyDescent="0.3">
      <c r="A2317" s="1"/>
      <c r="G2317" s="4"/>
      <c r="H2317" s="4"/>
    </row>
    <row r="2318" spans="1:8" x14ac:dyDescent="0.3">
      <c r="A2318" s="1"/>
      <c r="G2318" s="4"/>
      <c r="H2318" s="4"/>
    </row>
    <row r="2319" spans="1:8" x14ac:dyDescent="0.3">
      <c r="A2319" s="1"/>
      <c r="G2319" s="4"/>
      <c r="H2319" s="4"/>
    </row>
    <row r="2320" spans="1:8" x14ac:dyDescent="0.3">
      <c r="A2320" s="1"/>
      <c r="G2320" s="4"/>
      <c r="H2320" s="4"/>
    </row>
    <row r="2321" spans="1:8" x14ac:dyDescent="0.3">
      <c r="A2321" s="1"/>
      <c r="G2321" s="4"/>
      <c r="H2321" s="4"/>
    </row>
    <row r="2322" spans="1:8" x14ac:dyDescent="0.3">
      <c r="A2322" s="1"/>
      <c r="G2322" s="4"/>
      <c r="H2322" s="4"/>
    </row>
    <row r="2323" spans="1:8" x14ac:dyDescent="0.3">
      <c r="A2323" s="1"/>
      <c r="G2323" s="4"/>
      <c r="H2323" s="4"/>
    </row>
    <row r="2324" spans="1:8" x14ac:dyDescent="0.3">
      <c r="A2324" s="1"/>
      <c r="G2324" s="4"/>
      <c r="H2324" s="4"/>
    </row>
    <row r="2325" spans="1:8" x14ac:dyDescent="0.3">
      <c r="A2325" s="1"/>
      <c r="G2325" s="4"/>
      <c r="H2325" s="4"/>
    </row>
    <row r="2326" spans="1:8" x14ac:dyDescent="0.3">
      <c r="A2326" s="1"/>
      <c r="G2326" s="4"/>
      <c r="H2326" s="4"/>
    </row>
    <row r="2327" spans="1:8" x14ac:dyDescent="0.3">
      <c r="A2327" s="1"/>
      <c r="G2327" s="4"/>
      <c r="H2327" s="4"/>
    </row>
    <row r="2328" spans="1:8" x14ac:dyDescent="0.3">
      <c r="A2328" s="1"/>
      <c r="G2328" s="4"/>
      <c r="H2328" s="4"/>
    </row>
    <row r="2329" spans="1:8" x14ac:dyDescent="0.3">
      <c r="A2329" s="1"/>
      <c r="G2329" s="4"/>
      <c r="H2329" s="4"/>
    </row>
    <row r="2330" spans="1:8" x14ac:dyDescent="0.3">
      <c r="A2330" s="1"/>
      <c r="G2330" s="4"/>
      <c r="H2330" s="4"/>
    </row>
    <row r="2331" spans="1:8" x14ac:dyDescent="0.3">
      <c r="A2331" s="1"/>
      <c r="G2331" s="4"/>
      <c r="H2331" s="4"/>
    </row>
    <row r="2332" spans="1:8" x14ac:dyDescent="0.3">
      <c r="A2332" s="1"/>
      <c r="G2332" s="4"/>
      <c r="H2332" s="4"/>
    </row>
    <row r="2333" spans="1:8" x14ac:dyDescent="0.3">
      <c r="A2333" s="1"/>
      <c r="G2333" s="4"/>
      <c r="H2333" s="4"/>
    </row>
    <row r="2334" spans="1:8" x14ac:dyDescent="0.3">
      <c r="A2334" s="1"/>
      <c r="G2334" s="4"/>
      <c r="H2334" s="4"/>
    </row>
    <row r="2335" spans="1:8" x14ac:dyDescent="0.3">
      <c r="A2335" s="1"/>
      <c r="G2335" s="4"/>
      <c r="H2335" s="4"/>
    </row>
    <row r="2336" spans="1:8" x14ac:dyDescent="0.3">
      <c r="A2336" s="1"/>
      <c r="G2336" s="4"/>
      <c r="H2336" s="4"/>
    </row>
    <row r="2337" spans="1:8" x14ac:dyDescent="0.3">
      <c r="A2337" s="1"/>
      <c r="G2337" s="4"/>
      <c r="H2337" s="4"/>
    </row>
    <row r="2338" spans="1:8" x14ac:dyDescent="0.3">
      <c r="A2338" s="1"/>
      <c r="G2338" s="4"/>
      <c r="H2338" s="4"/>
    </row>
    <row r="2339" spans="1:8" x14ac:dyDescent="0.3">
      <c r="A2339" s="1"/>
      <c r="G2339" s="4"/>
      <c r="H2339" s="4"/>
    </row>
    <row r="2340" spans="1:8" x14ac:dyDescent="0.3">
      <c r="A2340" s="1"/>
      <c r="G2340" s="4"/>
      <c r="H2340" s="4"/>
    </row>
    <row r="2341" spans="1:8" x14ac:dyDescent="0.3">
      <c r="A2341" s="1"/>
      <c r="G2341" s="4"/>
      <c r="H2341" s="4"/>
    </row>
    <row r="2342" spans="1:8" x14ac:dyDescent="0.3">
      <c r="A2342" s="1"/>
      <c r="G2342" s="4"/>
      <c r="H2342" s="4"/>
    </row>
    <row r="2343" spans="1:8" x14ac:dyDescent="0.3">
      <c r="A2343" s="1"/>
      <c r="G2343" s="4"/>
      <c r="H2343" s="4"/>
    </row>
    <row r="2344" spans="1:8" x14ac:dyDescent="0.3">
      <c r="A2344" s="1"/>
      <c r="G2344" s="4"/>
      <c r="H2344" s="4"/>
    </row>
    <row r="2345" spans="1:8" x14ac:dyDescent="0.3">
      <c r="A2345" s="1"/>
      <c r="G2345" s="4"/>
      <c r="H2345" s="4"/>
    </row>
    <row r="2346" spans="1:8" x14ac:dyDescent="0.3">
      <c r="A2346" s="1"/>
      <c r="G2346" s="4"/>
      <c r="H2346" s="4"/>
    </row>
    <row r="2347" spans="1:8" x14ac:dyDescent="0.3">
      <c r="A2347" s="1"/>
      <c r="G2347" s="4"/>
      <c r="H2347" s="4"/>
    </row>
    <row r="2348" spans="1:8" x14ac:dyDescent="0.3">
      <c r="A2348" s="1"/>
      <c r="G2348" s="4"/>
      <c r="H2348" s="4"/>
    </row>
    <row r="2349" spans="1:8" x14ac:dyDescent="0.3">
      <c r="A2349" s="1"/>
      <c r="G2349" s="4"/>
      <c r="H2349" s="4"/>
    </row>
    <row r="2350" spans="1:8" x14ac:dyDescent="0.3">
      <c r="A2350" s="1"/>
      <c r="G2350" s="4"/>
      <c r="H2350" s="4"/>
    </row>
    <row r="2351" spans="1:8" x14ac:dyDescent="0.3">
      <c r="A2351" s="1"/>
      <c r="G2351" s="4"/>
      <c r="H2351" s="4"/>
    </row>
    <row r="2352" spans="1:8" x14ac:dyDescent="0.3">
      <c r="A2352" s="1"/>
      <c r="G2352" s="4"/>
      <c r="H2352" s="4"/>
    </row>
    <row r="2353" spans="1:8" x14ac:dyDescent="0.3">
      <c r="A2353" s="1"/>
      <c r="G2353" s="4"/>
      <c r="H2353" s="4"/>
    </row>
    <row r="2354" spans="1:8" x14ac:dyDescent="0.3">
      <c r="A2354" s="1"/>
      <c r="G2354" s="4"/>
      <c r="H2354" s="4"/>
    </row>
    <row r="2355" spans="1:8" x14ac:dyDescent="0.3">
      <c r="A2355" s="1"/>
      <c r="G2355" s="4"/>
      <c r="H2355" s="4"/>
    </row>
    <row r="2356" spans="1:8" x14ac:dyDescent="0.3">
      <c r="A2356" s="1"/>
      <c r="G2356" s="4"/>
      <c r="H2356" s="4"/>
    </row>
    <row r="2357" spans="1:8" x14ac:dyDescent="0.3">
      <c r="A2357" s="1"/>
      <c r="G2357" s="4"/>
      <c r="H2357" s="4"/>
    </row>
    <row r="2358" spans="1:8" x14ac:dyDescent="0.3">
      <c r="A2358" s="1"/>
      <c r="G2358" s="4"/>
      <c r="H2358" s="4"/>
    </row>
    <row r="2359" spans="1:8" x14ac:dyDescent="0.3">
      <c r="A2359" s="1"/>
      <c r="G2359" s="4"/>
      <c r="H2359" s="4"/>
    </row>
    <row r="2360" spans="1:8" x14ac:dyDescent="0.3">
      <c r="A2360" s="1"/>
      <c r="G2360" s="4"/>
      <c r="H2360" s="4"/>
    </row>
    <row r="2361" spans="1:8" x14ac:dyDescent="0.3">
      <c r="A2361" s="1"/>
      <c r="G2361" s="4"/>
      <c r="H2361" s="4"/>
    </row>
    <row r="2362" spans="1:8" x14ac:dyDescent="0.3">
      <c r="A2362" s="1"/>
      <c r="G2362" s="4"/>
      <c r="H2362" s="4"/>
    </row>
    <row r="2363" spans="1:8" x14ac:dyDescent="0.3">
      <c r="A2363" s="1"/>
      <c r="G2363" s="4"/>
      <c r="H2363" s="4"/>
    </row>
    <row r="2364" spans="1:8" x14ac:dyDescent="0.3">
      <c r="A2364" s="1"/>
      <c r="G2364" s="4"/>
      <c r="H2364" s="4"/>
    </row>
    <row r="2365" spans="1:8" x14ac:dyDescent="0.3">
      <c r="A2365" s="1"/>
      <c r="G2365" s="4"/>
      <c r="H2365" s="4"/>
    </row>
    <row r="2366" spans="1:8" x14ac:dyDescent="0.3">
      <c r="A2366" s="1"/>
      <c r="G2366" s="4"/>
      <c r="H2366" s="4"/>
    </row>
    <row r="2367" spans="1:8" x14ac:dyDescent="0.3">
      <c r="A2367" s="1"/>
      <c r="G2367" s="4"/>
      <c r="H2367" s="4"/>
    </row>
    <row r="2368" spans="1:8" x14ac:dyDescent="0.3">
      <c r="A2368" s="1"/>
      <c r="G2368" s="4"/>
      <c r="H2368" s="4"/>
    </row>
    <row r="2369" spans="1:8" x14ac:dyDescent="0.3">
      <c r="A2369" s="1"/>
      <c r="G2369" s="4"/>
      <c r="H2369" s="4"/>
    </row>
    <row r="2370" spans="1:8" x14ac:dyDescent="0.3">
      <c r="A2370" s="1"/>
      <c r="G2370" s="4"/>
      <c r="H2370" s="4"/>
    </row>
    <row r="2371" spans="1:8" x14ac:dyDescent="0.3">
      <c r="A2371" s="1"/>
      <c r="G2371" s="4"/>
      <c r="H2371" s="4"/>
    </row>
    <row r="2372" spans="1:8" x14ac:dyDescent="0.3">
      <c r="A2372" s="1"/>
      <c r="G2372" s="4"/>
      <c r="H2372" s="4"/>
    </row>
    <row r="2373" spans="1:8" x14ac:dyDescent="0.3">
      <c r="A2373" s="1"/>
      <c r="G2373" s="4"/>
      <c r="H2373" s="4"/>
    </row>
    <row r="2374" spans="1:8" x14ac:dyDescent="0.3">
      <c r="A2374" s="1"/>
      <c r="G2374" s="4"/>
      <c r="H2374" s="4"/>
    </row>
    <row r="2375" spans="1:8" x14ac:dyDescent="0.3">
      <c r="A2375" s="1"/>
      <c r="G2375" s="4"/>
      <c r="H2375" s="4"/>
    </row>
    <row r="2376" spans="1:8" x14ac:dyDescent="0.3">
      <c r="A2376" s="1"/>
      <c r="G2376" s="4"/>
      <c r="H2376" s="4"/>
    </row>
    <row r="2377" spans="1:8" x14ac:dyDescent="0.3">
      <c r="A2377" s="1"/>
      <c r="G2377" s="4"/>
      <c r="H2377" s="4"/>
    </row>
    <row r="2378" spans="1:8" x14ac:dyDescent="0.3">
      <c r="A2378" s="1"/>
      <c r="G2378" s="4"/>
      <c r="H2378" s="4"/>
    </row>
    <row r="2379" spans="1:8" x14ac:dyDescent="0.3">
      <c r="A2379" s="1"/>
      <c r="G2379" s="4"/>
      <c r="H2379" s="4"/>
    </row>
    <row r="2380" spans="1:8" x14ac:dyDescent="0.3">
      <c r="A2380" s="1"/>
      <c r="G2380" s="4"/>
      <c r="H2380" s="4"/>
    </row>
    <row r="2381" spans="1:8" x14ac:dyDescent="0.3">
      <c r="A2381" s="1"/>
      <c r="G2381" s="4"/>
      <c r="H2381" s="4"/>
    </row>
    <row r="2382" spans="1:8" x14ac:dyDescent="0.3">
      <c r="A2382" s="1"/>
      <c r="G2382" s="4"/>
      <c r="H2382" s="4"/>
    </row>
    <row r="2383" spans="1:8" x14ac:dyDescent="0.3">
      <c r="A2383" s="1"/>
      <c r="G2383" s="4"/>
      <c r="H2383" s="4"/>
    </row>
    <row r="2384" spans="1:8" x14ac:dyDescent="0.3">
      <c r="A2384" s="1"/>
      <c r="G2384" s="4"/>
      <c r="H2384" s="4"/>
    </row>
    <row r="2385" spans="1:8" x14ac:dyDescent="0.3">
      <c r="A2385" s="1"/>
      <c r="G2385" s="4"/>
      <c r="H2385" s="4"/>
    </row>
    <row r="2386" spans="1:8" x14ac:dyDescent="0.3">
      <c r="A2386" s="1"/>
      <c r="G2386" s="4"/>
      <c r="H2386" s="4"/>
    </row>
    <row r="2387" spans="1:8" x14ac:dyDescent="0.3">
      <c r="A2387" s="1"/>
      <c r="G2387" s="4"/>
      <c r="H2387" s="4"/>
    </row>
    <row r="2388" spans="1:8" x14ac:dyDescent="0.3">
      <c r="A2388" s="1"/>
      <c r="G2388" s="4"/>
      <c r="H2388" s="4"/>
    </row>
    <row r="2389" spans="1:8" x14ac:dyDescent="0.3">
      <c r="A2389" s="1"/>
      <c r="G2389" s="4"/>
      <c r="H2389" s="4"/>
    </row>
    <row r="2390" spans="1:8" x14ac:dyDescent="0.3">
      <c r="A2390" s="1"/>
      <c r="G2390" s="4"/>
      <c r="H2390" s="4"/>
    </row>
    <row r="2391" spans="1:8" x14ac:dyDescent="0.3">
      <c r="A2391" s="1"/>
      <c r="G2391" s="4"/>
      <c r="H2391" s="4"/>
    </row>
    <row r="2392" spans="1:8" x14ac:dyDescent="0.3">
      <c r="A2392" s="1"/>
      <c r="G2392" s="4"/>
      <c r="H2392" s="4"/>
    </row>
    <row r="2393" spans="1:8" x14ac:dyDescent="0.3">
      <c r="A2393" s="1"/>
      <c r="G2393" s="4"/>
      <c r="H2393" s="4"/>
    </row>
    <row r="2394" spans="1:8" x14ac:dyDescent="0.3">
      <c r="A2394" s="1"/>
      <c r="G2394" s="4"/>
      <c r="H2394" s="4"/>
    </row>
    <row r="2395" spans="1:8" x14ac:dyDescent="0.3">
      <c r="A2395" s="1"/>
      <c r="G2395" s="4"/>
      <c r="H2395" s="4"/>
    </row>
    <row r="2396" spans="1:8" x14ac:dyDescent="0.3">
      <c r="A2396" s="1"/>
      <c r="G2396" s="4"/>
      <c r="H2396" s="4"/>
    </row>
    <row r="2397" spans="1:8" x14ac:dyDescent="0.3">
      <c r="A2397" s="1"/>
      <c r="G2397" s="4"/>
      <c r="H2397" s="4"/>
    </row>
    <row r="2398" spans="1:8" x14ac:dyDescent="0.3">
      <c r="A2398" s="1"/>
      <c r="G2398" s="4"/>
      <c r="H2398" s="4"/>
    </row>
    <row r="2399" spans="1:8" x14ac:dyDescent="0.3">
      <c r="A2399" s="1"/>
      <c r="G2399" s="4"/>
      <c r="H2399" s="4"/>
    </row>
    <row r="2400" spans="1:8" x14ac:dyDescent="0.3">
      <c r="A2400" s="1"/>
      <c r="G2400" s="4"/>
      <c r="H2400" s="4"/>
    </row>
    <row r="2401" spans="1:8" x14ac:dyDescent="0.3">
      <c r="A2401" s="1"/>
      <c r="G2401" s="4"/>
      <c r="H2401" s="4"/>
    </row>
    <row r="2402" spans="1:8" x14ac:dyDescent="0.3">
      <c r="A2402" s="1"/>
      <c r="G2402" s="4"/>
      <c r="H2402" s="4"/>
    </row>
    <row r="2403" spans="1:8" x14ac:dyDescent="0.3">
      <c r="A2403" s="1"/>
      <c r="G2403" s="4"/>
      <c r="H2403" s="4"/>
    </row>
    <row r="2404" spans="1:8" x14ac:dyDescent="0.3">
      <c r="A2404" s="1"/>
      <c r="G2404" s="4"/>
      <c r="H2404" s="4"/>
    </row>
    <row r="2405" spans="1:8" x14ac:dyDescent="0.3">
      <c r="A2405" s="1"/>
      <c r="G2405" s="4"/>
      <c r="H2405" s="4"/>
    </row>
    <row r="2406" spans="1:8" x14ac:dyDescent="0.3">
      <c r="A2406" s="1"/>
      <c r="G2406" s="4"/>
      <c r="H2406" s="4"/>
    </row>
    <row r="2407" spans="1:8" x14ac:dyDescent="0.3">
      <c r="A2407" s="1"/>
      <c r="G2407" s="4"/>
      <c r="H2407" s="4"/>
    </row>
    <row r="2408" spans="1:8" x14ac:dyDescent="0.3">
      <c r="A2408" s="1"/>
      <c r="G2408" s="4"/>
      <c r="H2408" s="4"/>
    </row>
    <row r="2409" spans="1:8" x14ac:dyDescent="0.3">
      <c r="A2409" s="1"/>
      <c r="G2409" s="4"/>
      <c r="H2409" s="4"/>
    </row>
    <row r="2410" spans="1:8" x14ac:dyDescent="0.3">
      <c r="A2410" s="1"/>
      <c r="G2410" s="4"/>
      <c r="H2410" s="4"/>
    </row>
    <row r="2411" spans="1:8" x14ac:dyDescent="0.3">
      <c r="A2411" s="1"/>
      <c r="G2411" s="4"/>
      <c r="H2411" s="4"/>
    </row>
    <row r="2412" spans="1:8" x14ac:dyDescent="0.3">
      <c r="A2412" s="1"/>
      <c r="G2412" s="4"/>
      <c r="H2412" s="4"/>
    </row>
    <row r="2413" spans="1:8" x14ac:dyDescent="0.3">
      <c r="A2413" s="1"/>
      <c r="G2413" s="4"/>
      <c r="H2413" s="4"/>
    </row>
    <row r="2414" spans="1:8" x14ac:dyDescent="0.3">
      <c r="A2414" s="1"/>
      <c r="G2414" s="4"/>
      <c r="H2414" s="4"/>
    </row>
    <row r="2415" spans="1:8" x14ac:dyDescent="0.3">
      <c r="A2415" s="1"/>
      <c r="G2415" s="4"/>
      <c r="H2415" s="4"/>
    </row>
    <row r="2416" spans="1:8" x14ac:dyDescent="0.3">
      <c r="A2416" s="1"/>
      <c r="G2416" s="4"/>
      <c r="H2416" s="4"/>
    </row>
    <row r="2417" spans="1:8" x14ac:dyDescent="0.3">
      <c r="A2417" s="1"/>
      <c r="G2417" s="4"/>
      <c r="H2417" s="4"/>
    </row>
    <row r="2418" spans="1:8" x14ac:dyDescent="0.3">
      <c r="A2418" s="1"/>
      <c r="G2418" s="4"/>
      <c r="H2418" s="4"/>
    </row>
    <row r="2419" spans="1:8" x14ac:dyDescent="0.3">
      <c r="A2419" s="1"/>
      <c r="G2419" s="4"/>
      <c r="H2419" s="4"/>
    </row>
    <row r="2420" spans="1:8" x14ac:dyDescent="0.3">
      <c r="A2420" s="1"/>
      <c r="G2420" s="4"/>
      <c r="H2420" s="4"/>
    </row>
    <row r="2421" spans="1:8" x14ac:dyDescent="0.3">
      <c r="A2421" s="1"/>
      <c r="G2421" s="4"/>
      <c r="H2421" s="4"/>
    </row>
    <row r="2422" spans="1:8" x14ac:dyDescent="0.3">
      <c r="A2422" s="1"/>
      <c r="G2422" s="4"/>
      <c r="H2422" s="4"/>
    </row>
    <row r="2423" spans="1:8" x14ac:dyDescent="0.3">
      <c r="A2423" s="1"/>
      <c r="G2423" s="4"/>
      <c r="H2423" s="4"/>
    </row>
    <row r="2424" spans="1:8" x14ac:dyDescent="0.3">
      <c r="A2424" s="1"/>
      <c r="G2424" s="4"/>
      <c r="H2424" s="4"/>
    </row>
    <row r="2425" spans="1:8" x14ac:dyDescent="0.3">
      <c r="A2425" s="1"/>
      <c r="G2425" s="4"/>
      <c r="H2425" s="4"/>
    </row>
    <row r="2426" spans="1:8" x14ac:dyDescent="0.3">
      <c r="A2426" s="1"/>
      <c r="G2426" s="4"/>
      <c r="H2426" s="4"/>
    </row>
    <row r="2427" spans="1:8" x14ac:dyDescent="0.3">
      <c r="A2427" s="1"/>
      <c r="G2427" s="4"/>
      <c r="H2427" s="4"/>
    </row>
    <row r="2428" spans="1:8" x14ac:dyDescent="0.3">
      <c r="A2428" s="1"/>
      <c r="G2428" s="4"/>
      <c r="H2428" s="4"/>
    </row>
    <row r="2429" spans="1:8" x14ac:dyDescent="0.3">
      <c r="A2429" s="1"/>
      <c r="G2429" s="4"/>
      <c r="H2429" s="4"/>
    </row>
    <row r="2430" spans="1:8" x14ac:dyDescent="0.3">
      <c r="A2430" s="1"/>
      <c r="G2430" s="4"/>
      <c r="H2430" s="4"/>
    </row>
    <row r="2431" spans="1:8" x14ac:dyDescent="0.3">
      <c r="A2431" s="1"/>
      <c r="G2431" s="4"/>
      <c r="H2431" s="4"/>
    </row>
    <row r="2432" spans="1:8" x14ac:dyDescent="0.3">
      <c r="A2432" s="1"/>
      <c r="G2432" s="4"/>
      <c r="H2432" s="4"/>
    </row>
    <row r="2433" spans="1:8" x14ac:dyDescent="0.3">
      <c r="A2433" s="1"/>
      <c r="G2433" s="4"/>
      <c r="H2433" s="4"/>
    </row>
    <row r="2434" spans="1:8" x14ac:dyDescent="0.3">
      <c r="A2434" s="1"/>
      <c r="G2434" s="4"/>
      <c r="H2434" s="4"/>
    </row>
    <row r="2435" spans="1:8" x14ac:dyDescent="0.3">
      <c r="A2435" s="1"/>
      <c r="G2435" s="4"/>
      <c r="H2435" s="4"/>
    </row>
    <row r="2436" spans="1:8" x14ac:dyDescent="0.3">
      <c r="A2436" s="1"/>
      <c r="G2436" s="4"/>
      <c r="H2436" s="4"/>
    </row>
    <row r="2437" spans="1:8" x14ac:dyDescent="0.3">
      <c r="A2437" s="1"/>
      <c r="G2437" s="4"/>
      <c r="H2437" s="4"/>
    </row>
    <row r="2438" spans="1:8" x14ac:dyDescent="0.3">
      <c r="A2438" s="1"/>
      <c r="G2438" s="4"/>
      <c r="H2438" s="4"/>
    </row>
    <row r="2439" spans="1:8" x14ac:dyDescent="0.3">
      <c r="A2439" s="1"/>
      <c r="G2439" s="4"/>
      <c r="H2439" s="4"/>
    </row>
    <row r="2440" spans="1:8" x14ac:dyDescent="0.3">
      <c r="A2440" s="1"/>
      <c r="G2440" s="4"/>
      <c r="H2440" s="4"/>
    </row>
    <row r="2441" spans="1:8" x14ac:dyDescent="0.3">
      <c r="A2441" s="1"/>
      <c r="G2441" s="4"/>
      <c r="H2441" s="4"/>
    </row>
    <row r="2442" spans="1:8" x14ac:dyDescent="0.3">
      <c r="A2442" s="1"/>
      <c r="G2442" s="4"/>
      <c r="H2442" s="4"/>
    </row>
    <row r="2443" spans="1:8" x14ac:dyDescent="0.3">
      <c r="A2443" s="1"/>
      <c r="G2443" s="4"/>
      <c r="H2443" s="4"/>
    </row>
    <row r="2444" spans="1:8" x14ac:dyDescent="0.3">
      <c r="A2444" s="1"/>
      <c r="G2444" s="4"/>
      <c r="H2444" s="4"/>
    </row>
    <row r="2445" spans="1:8" x14ac:dyDescent="0.3">
      <c r="A2445" s="1"/>
      <c r="G2445" s="4"/>
      <c r="H2445" s="4"/>
    </row>
    <row r="2446" spans="1:8" x14ac:dyDescent="0.3">
      <c r="A2446" s="1"/>
      <c r="G2446" s="4"/>
      <c r="H2446" s="4"/>
    </row>
    <row r="2447" spans="1:8" x14ac:dyDescent="0.3">
      <c r="A2447" s="1"/>
      <c r="G2447" s="4"/>
      <c r="H2447" s="4"/>
    </row>
    <row r="2448" spans="1:8" x14ac:dyDescent="0.3">
      <c r="A2448" s="1"/>
      <c r="G2448" s="4"/>
      <c r="H2448" s="4"/>
    </row>
    <row r="2449" spans="1:8" x14ac:dyDescent="0.3">
      <c r="A2449" s="1"/>
      <c r="G2449" s="4"/>
      <c r="H2449" s="4"/>
    </row>
    <row r="2450" spans="1:8" x14ac:dyDescent="0.3">
      <c r="A2450" s="1"/>
      <c r="G2450" s="4"/>
      <c r="H2450" s="4"/>
    </row>
    <row r="2451" spans="1:8" x14ac:dyDescent="0.3">
      <c r="A2451" s="1"/>
      <c r="G2451" s="4"/>
      <c r="H2451" s="4"/>
    </row>
    <row r="2452" spans="1:8" x14ac:dyDescent="0.3">
      <c r="A2452" s="1"/>
      <c r="G2452" s="4"/>
      <c r="H2452" s="4"/>
    </row>
    <row r="2453" spans="1:8" x14ac:dyDescent="0.3">
      <c r="A2453" s="1"/>
      <c r="G2453" s="4"/>
      <c r="H2453" s="4"/>
    </row>
    <row r="2454" spans="1:8" x14ac:dyDescent="0.3">
      <c r="A2454" s="1"/>
      <c r="G2454" s="4"/>
      <c r="H2454" s="4"/>
    </row>
    <row r="2455" spans="1:8" x14ac:dyDescent="0.3">
      <c r="A2455" s="1"/>
      <c r="G2455" s="4"/>
      <c r="H2455" s="4"/>
    </row>
    <row r="2456" spans="1:8" x14ac:dyDescent="0.3">
      <c r="A2456" s="1"/>
      <c r="G2456" s="4"/>
      <c r="H2456" s="4"/>
    </row>
    <row r="2457" spans="1:8" x14ac:dyDescent="0.3">
      <c r="A2457" s="1"/>
      <c r="G2457" s="4"/>
      <c r="H2457" s="4"/>
    </row>
    <row r="2458" spans="1:8" x14ac:dyDescent="0.3">
      <c r="A2458" s="1"/>
      <c r="G2458" s="4"/>
      <c r="H2458" s="4"/>
    </row>
    <row r="2459" spans="1:8" x14ac:dyDescent="0.3">
      <c r="A2459" s="1"/>
      <c r="G2459" s="4"/>
      <c r="H2459" s="4"/>
    </row>
    <row r="2460" spans="1:8" x14ac:dyDescent="0.3">
      <c r="A2460" s="1"/>
      <c r="G2460" s="4"/>
      <c r="H2460" s="4"/>
    </row>
    <row r="2461" spans="1:8" x14ac:dyDescent="0.3">
      <c r="A2461" s="1"/>
      <c r="G2461" s="4"/>
      <c r="H2461" s="4"/>
    </row>
    <row r="2462" spans="1:8" x14ac:dyDescent="0.3">
      <c r="A2462" s="1"/>
      <c r="G2462" s="4"/>
      <c r="H2462" s="4"/>
    </row>
    <row r="2463" spans="1:8" x14ac:dyDescent="0.3">
      <c r="A2463" s="1"/>
      <c r="G2463" s="4"/>
      <c r="H2463" s="4"/>
    </row>
    <row r="2464" spans="1:8" x14ac:dyDescent="0.3">
      <c r="A2464" s="1"/>
      <c r="G2464" s="4"/>
      <c r="H2464" s="4"/>
    </row>
    <row r="2465" spans="1:8" x14ac:dyDescent="0.3">
      <c r="A2465" s="1"/>
      <c r="G2465" s="4"/>
      <c r="H2465" s="4"/>
    </row>
    <row r="2466" spans="1:8" x14ac:dyDescent="0.3">
      <c r="A2466" s="1"/>
      <c r="G2466" s="4"/>
      <c r="H2466" s="4"/>
    </row>
    <row r="2467" spans="1:8" x14ac:dyDescent="0.3">
      <c r="A2467" s="1"/>
      <c r="G2467" s="4"/>
      <c r="H2467" s="4"/>
    </row>
    <row r="2468" spans="1:8" x14ac:dyDescent="0.3">
      <c r="A2468" s="1"/>
      <c r="G2468" s="4"/>
      <c r="H2468" s="4"/>
    </row>
    <row r="2469" spans="1:8" x14ac:dyDescent="0.3">
      <c r="A2469" s="1"/>
      <c r="G2469" s="4"/>
      <c r="H2469" s="4"/>
    </row>
    <row r="2470" spans="1:8" x14ac:dyDescent="0.3">
      <c r="A2470" s="1"/>
      <c r="G2470" s="4"/>
      <c r="H2470" s="4"/>
    </row>
    <row r="2471" spans="1:8" x14ac:dyDescent="0.3">
      <c r="A2471" s="1"/>
      <c r="G2471" s="4"/>
      <c r="H2471" s="4"/>
    </row>
    <row r="2472" spans="1:8" x14ac:dyDescent="0.3">
      <c r="A2472" s="1"/>
      <c r="G2472" s="4"/>
      <c r="H2472" s="4"/>
    </row>
    <row r="2473" spans="1:8" x14ac:dyDescent="0.3">
      <c r="A2473" s="1"/>
      <c r="G2473" s="4"/>
      <c r="H2473" s="4"/>
    </row>
    <row r="2474" spans="1:8" x14ac:dyDescent="0.3">
      <c r="A2474" s="1"/>
      <c r="G2474" s="4"/>
      <c r="H2474" s="4"/>
    </row>
    <row r="2475" spans="1:8" x14ac:dyDescent="0.3">
      <c r="A2475" s="1"/>
      <c r="G2475" s="4"/>
      <c r="H2475" s="4"/>
    </row>
    <row r="2476" spans="1:8" x14ac:dyDescent="0.3">
      <c r="A2476" s="1"/>
      <c r="G2476" s="4"/>
      <c r="H2476" s="4"/>
    </row>
    <row r="2477" spans="1:8" x14ac:dyDescent="0.3">
      <c r="A2477" s="1"/>
      <c r="G2477" s="4"/>
      <c r="H2477" s="4"/>
    </row>
    <row r="2478" spans="1:8" x14ac:dyDescent="0.3">
      <c r="A2478" s="1"/>
      <c r="G2478" s="4"/>
      <c r="H2478" s="4"/>
    </row>
    <row r="2479" spans="1:8" x14ac:dyDescent="0.3">
      <c r="A2479" s="1"/>
      <c r="G2479" s="4"/>
      <c r="H2479" s="4"/>
    </row>
    <row r="2480" spans="1:8" x14ac:dyDescent="0.3">
      <c r="A2480" s="1"/>
      <c r="G2480" s="4"/>
      <c r="H2480" s="4"/>
    </row>
    <row r="2481" spans="1:8" x14ac:dyDescent="0.3">
      <c r="A2481" s="1"/>
      <c r="G2481" s="4"/>
      <c r="H2481" s="4"/>
    </row>
    <row r="2482" spans="1:8" x14ac:dyDescent="0.3">
      <c r="A2482" s="1"/>
      <c r="G2482" s="4"/>
      <c r="H2482" s="4"/>
    </row>
    <row r="2483" spans="1:8" x14ac:dyDescent="0.3">
      <c r="A2483" s="1"/>
      <c r="G2483" s="4"/>
      <c r="H2483" s="4"/>
    </row>
    <row r="2484" spans="1:8" x14ac:dyDescent="0.3">
      <c r="A2484" s="1"/>
      <c r="G2484" s="4"/>
      <c r="H2484" s="4"/>
    </row>
    <row r="2485" spans="1:8" x14ac:dyDescent="0.3">
      <c r="A2485" s="1"/>
      <c r="G2485" s="4"/>
      <c r="H2485" s="4"/>
    </row>
    <row r="2486" spans="1:8" x14ac:dyDescent="0.3">
      <c r="A2486" s="1"/>
      <c r="G2486" s="4"/>
      <c r="H2486" s="4"/>
    </row>
    <row r="2487" spans="1:8" x14ac:dyDescent="0.3">
      <c r="A2487" s="1"/>
      <c r="G2487" s="4"/>
      <c r="H2487" s="4"/>
    </row>
    <row r="2488" spans="1:8" x14ac:dyDescent="0.3">
      <c r="A2488" s="1"/>
      <c r="G2488" s="4"/>
      <c r="H2488" s="4"/>
    </row>
    <row r="2489" spans="1:8" x14ac:dyDescent="0.3">
      <c r="A2489" s="1"/>
      <c r="G2489" s="4"/>
      <c r="H2489" s="4"/>
    </row>
    <row r="2490" spans="1:8" x14ac:dyDescent="0.3">
      <c r="A2490" s="1"/>
      <c r="G2490" s="4"/>
      <c r="H2490" s="4"/>
    </row>
    <row r="2491" spans="1:8" x14ac:dyDescent="0.3">
      <c r="A2491" s="1"/>
      <c r="G2491" s="4"/>
      <c r="H2491" s="4"/>
    </row>
    <row r="2492" spans="1:8" x14ac:dyDescent="0.3">
      <c r="A2492" s="1"/>
      <c r="G2492" s="4"/>
      <c r="H2492" s="4"/>
    </row>
    <row r="2493" spans="1:8" x14ac:dyDescent="0.3">
      <c r="A2493" s="1"/>
      <c r="G2493" s="4"/>
      <c r="H2493" s="4"/>
    </row>
    <row r="2494" spans="1:8" x14ac:dyDescent="0.3">
      <c r="A2494" s="1"/>
      <c r="G2494" s="4"/>
      <c r="H2494" s="4"/>
    </row>
    <row r="2495" spans="1:8" x14ac:dyDescent="0.3">
      <c r="A2495" s="1"/>
      <c r="G2495" s="4"/>
      <c r="H2495" s="4"/>
    </row>
    <row r="2496" spans="1:8" x14ac:dyDescent="0.3">
      <c r="A2496" s="1"/>
      <c r="G2496" s="4"/>
      <c r="H2496" s="4"/>
    </row>
    <row r="2497" spans="1:8" x14ac:dyDescent="0.3">
      <c r="A2497" s="1"/>
      <c r="G2497" s="4"/>
      <c r="H2497" s="4"/>
    </row>
    <row r="2498" spans="1:8" x14ac:dyDescent="0.3">
      <c r="A2498" s="1"/>
      <c r="G2498" s="4"/>
      <c r="H2498" s="4"/>
    </row>
    <row r="2499" spans="1:8" x14ac:dyDescent="0.3">
      <c r="A2499" s="1"/>
      <c r="G2499" s="4"/>
      <c r="H2499" s="4"/>
    </row>
    <row r="2500" spans="1:8" x14ac:dyDescent="0.3">
      <c r="A2500" s="1"/>
      <c r="G2500" s="4"/>
      <c r="H2500" s="4"/>
    </row>
    <row r="2501" spans="1:8" x14ac:dyDescent="0.3">
      <c r="A2501" s="1"/>
      <c r="G2501" s="4"/>
      <c r="H2501" s="4"/>
    </row>
    <row r="2502" spans="1:8" x14ac:dyDescent="0.3">
      <c r="A2502" s="1"/>
      <c r="G2502" s="4"/>
      <c r="H2502" s="4"/>
    </row>
    <row r="2503" spans="1:8" x14ac:dyDescent="0.3">
      <c r="A2503" s="1"/>
      <c r="G2503" s="4"/>
      <c r="H2503" s="4"/>
    </row>
    <row r="2504" spans="1:8" x14ac:dyDescent="0.3">
      <c r="A2504" s="1"/>
      <c r="G2504" s="4"/>
      <c r="H2504" s="4"/>
    </row>
    <row r="2505" spans="1:8" x14ac:dyDescent="0.3">
      <c r="A2505" s="1"/>
      <c r="G2505" s="4"/>
      <c r="H2505" s="4"/>
    </row>
    <row r="2506" spans="1:8" x14ac:dyDescent="0.3">
      <c r="A2506" s="1"/>
      <c r="G2506" s="4"/>
      <c r="H2506" s="4"/>
    </row>
    <row r="2507" spans="1:8" x14ac:dyDescent="0.3">
      <c r="A2507" s="1"/>
      <c r="G2507" s="4"/>
      <c r="H2507" s="4"/>
    </row>
    <row r="2508" spans="1:8" x14ac:dyDescent="0.3">
      <c r="A2508" s="1"/>
      <c r="G2508" s="4"/>
      <c r="H2508" s="4"/>
    </row>
    <row r="2509" spans="1:8" x14ac:dyDescent="0.3">
      <c r="A2509" s="1"/>
      <c r="G2509" s="4"/>
      <c r="H2509" s="4"/>
    </row>
    <row r="2510" spans="1:8" x14ac:dyDescent="0.3">
      <c r="A2510" s="1"/>
      <c r="G2510" s="4"/>
      <c r="H2510" s="4"/>
    </row>
    <row r="2511" spans="1:8" x14ac:dyDescent="0.3">
      <c r="A2511" s="1"/>
      <c r="G2511" s="4"/>
      <c r="H2511" s="4"/>
    </row>
    <row r="2512" spans="1:8" x14ac:dyDescent="0.3">
      <c r="A2512" s="1"/>
      <c r="G2512" s="4"/>
      <c r="H2512" s="4"/>
    </row>
    <row r="2513" spans="1:8" x14ac:dyDescent="0.3">
      <c r="A2513" s="1"/>
      <c r="G2513" s="4"/>
      <c r="H2513" s="4"/>
    </row>
    <row r="2514" spans="1:8" x14ac:dyDescent="0.3">
      <c r="A2514" s="1"/>
      <c r="G2514" s="4"/>
      <c r="H2514" s="4"/>
    </row>
    <row r="2515" spans="1:8" x14ac:dyDescent="0.3">
      <c r="A2515" s="1"/>
      <c r="G2515" s="4"/>
      <c r="H2515" s="4"/>
    </row>
    <row r="2516" spans="1:8" x14ac:dyDescent="0.3">
      <c r="A2516" s="1"/>
      <c r="G2516" s="4"/>
      <c r="H2516" s="4"/>
    </row>
    <row r="2517" spans="1:8" x14ac:dyDescent="0.3">
      <c r="A2517" s="1"/>
      <c r="G2517" s="4"/>
      <c r="H2517" s="4"/>
    </row>
    <row r="2518" spans="1:8" x14ac:dyDescent="0.3">
      <c r="A2518" s="1"/>
      <c r="G2518" s="4"/>
      <c r="H2518" s="4"/>
    </row>
    <row r="2519" spans="1:8" x14ac:dyDescent="0.3">
      <c r="A2519" s="1"/>
      <c r="G2519" s="4"/>
      <c r="H2519" s="4"/>
    </row>
    <row r="2520" spans="1:8" x14ac:dyDescent="0.3">
      <c r="A2520" s="1"/>
      <c r="G2520" s="4"/>
      <c r="H2520" s="4"/>
    </row>
    <row r="2521" spans="1:8" x14ac:dyDescent="0.3">
      <c r="A2521" s="1"/>
      <c r="G2521" s="4"/>
      <c r="H2521" s="4"/>
    </row>
    <row r="2522" spans="1:8" x14ac:dyDescent="0.3">
      <c r="A2522" s="1"/>
      <c r="G2522" s="4"/>
      <c r="H2522" s="4"/>
    </row>
    <row r="2523" spans="1:8" x14ac:dyDescent="0.3">
      <c r="A2523" s="1"/>
      <c r="G2523" s="4"/>
      <c r="H2523" s="4"/>
    </row>
    <row r="2524" spans="1:8" x14ac:dyDescent="0.3">
      <c r="A2524" s="1"/>
      <c r="G2524" s="4"/>
      <c r="H2524" s="4"/>
    </row>
    <row r="2525" spans="1:8" x14ac:dyDescent="0.3">
      <c r="A2525" s="1"/>
      <c r="G2525" s="4"/>
      <c r="H2525" s="4"/>
    </row>
    <row r="2526" spans="1:8" x14ac:dyDescent="0.3">
      <c r="A2526" s="1"/>
      <c r="G2526" s="4"/>
      <c r="H2526" s="4"/>
    </row>
    <row r="2527" spans="1:8" x14ac:dyDescent="0.3">
      <c r="A2527" s="1"/>
      <c r="G2527" s="4"/>
      <c r="H2527" s="4"/>
    </row>
    <row r="2528" spans="1:8" x14ac:dyDescent="0.3">
      <c r="A2528" s="1"/>
      <c r="G2528" s="4"/>
      <c r="H2528" s="4"/>
    </row>
    <row r="2529" spans="1:8" x14ac:dyDescent="0.3">
      <c r="A2529" s="1"/>
      <c r="G2529" s="4"/>
      <c r="H2529" s="4"/>
    </row>
    <row r="2530" spans="1:8" x14ac:dyDescent="0.3">
      <c r="A2530" s="1"/>
      <c r="G2530" s="4"/>
      <c r="H2530" s="4"/>
    </row>
    <row r="2531" spans="1:8" x14ac:dyDescent="0.3">
      <c r="A2531" s="1"/>
      <c r="G2531" s="4"/>
      <c r="H2531" s="4"/>
    </row>
    <row r="2532" spans="1:8" x14ac:dyDescent="0.3">
      <c r="A2532" s="1"/>
      <c r="G2532" s="4"/>
      <c r="H2532" s="4"/>
    </row>
    <row r="2533" spans="1:8" x14ac:dyDescent="0.3">
      <c r="A2533" s="1"/>
      <c r="G2533" s="4"/>
      <c r="H2533" s="4"/>
    </row>
    <row r="2534" spans="1:8" x14ac:dyDescent="0.3">
      <c r="A2534" s="1"/>
      <c r="G2534" s="4"/>
      <c r="H2534" s="4"/>
    </row>
    <row r="2535" spans="1:8" x14ac:dyDescent="0.3">
      <c r="A2535" s="1"/>
      <c r="G2535" s="4"/>
      <c r="H2535" s="4"/>
    </row>
    <row r="2536" spans="1:8" x14ac:dyDescent="0.3">
      <c r="A2536" s="1"/>
      <c r="G2536" s="4"/>
      <c r="H2536" s="4"/>
    </row>
    <row r="2537" spans="1:8" x14ac:dyDescent="0.3">
      <c r="A2537" s="1"/>
      <c r="G2537" s="4"/>
      <c r="H2537" s="4"/>
    </row>
    <row r="2538" spans="1:8" x14ac:dyDescent="0.3">
      <c r="A2538" s="1"/>
      <c r="G2538" s="4"/>
      <c r="H2538" s="4"/>
    </row>
    <row r="2539" spans="1:8" x14ac:dyDescent="0.3">
      <c r="A2539" s="1"/>
      <c r="G2539" s="4"/>
      <c r="H2539" s="4"/>
    </row>
    <row r="2540" spans="1:8" x14ac:dyDescent="0.3">
      <c r="A2540" s="1"/>
      <c r="G2540" s="4"/>
      <c r="H2540" s="4"/>
    </row>
    <row r="2541" spans="1:8" x14ac:dyDescent="0.3">
      <c r="A2541" s="1"/>
      <c r="G2541" s="4"/>
      <c r="H2541" s="4"/>
    </row>
    <row r="2542" spans="1:8" x14ac:dyDescent="0.3">
      <c r="A2542" s="1"/>
      <c r="G2542" s="4"/>
      <c r="H2542" s="4"/>
    </row>
    <row r="2543" spans="1:8" x14ac:dyDescent="0.3">
      <c r="A2543" s="1"/>
      <c r="G2543" s="4"/>
      <c r="H2543" s="4"/>
    </row>
    <row r="2544" spans="1:8" x14ac:dyDescent="0.3">
      <c r="A2544" s="1"/>
      <c r="G2544" s="4"/>
      <c r="H2544" s="4"/>
    </row>
    <row r="2545" spans="1:8" x14ac:dyDescent="0.3">
      <c r="A2545" s="1"/>
      <c r="G2545" s="4"/>
      <c r="H2545" s="4"/>
    </row>
    <row r="2546" spans="1:8" x14ac:dyDescent="0.3">
      <c r="A2546" s="1"/>
      <c r="G2546" s="4"/>
      <c r="H2546" s="4"/>
    </row>
    <row r="2547" spans="1:8" x14ac:dyDescent="0.3">
      <c r="A2547" s="1"/>
      <c r="G2547" s="4"/>
      <c r="H2547" s="4"/>
    </row>
    <row r="2548" spans="1:8" x14ac:dyDescent="0.3">
      <c r="A2548" s="1"/>
      <c r="G2548" s="4"/>
      <c r="H2548" s="4"/>
    </row>
    <row r="2549" spans="1:8" x14ac:dyDescent="0.3">
      <c r="A2549" s="1"/>
      <c r="G2549" s="4"/>
      <c r="H2549" s="4"/>
    </row>
    <row r="2550" spans="1:8" x14ac:dyDescent="0.3">
      <c r="A2550" s="1"/>
      <c r="G2550" s="4"/>
      <c r="H2550" s="4"/>
    </row>
    <row r="2551" spans="1:8" x14ac:dyDescent="0.3">
      <c r="A2551" s="1"/>
      <c r="G2551" s="4"/>
      <c r="H2551" s="4"/>
    </row>
    <row r="2552" spans="1:8" x14ac:dyDescent="0.3">
      <c r="A2552" s="1"/>
      <c r="G2552" s="4"/>
      <c r="H2552" s="4"/>
    </row>
    <row r="2553" spans="1:8" x14ac:dyDescent="0.3">
      <c r="A2553" s="1"/>
      <c r="G2553" s="4"/>
      <c r="H2553" s="4"/>
    </row>
    <row r="2554" spans="1:8" x14ac:dyDescent="0.3">
      <c r="A2554" s="1"/>
      <c r="G2554" s="4"/>
      <c r="H2554" s="4"/>
    </row>
    <row r="2555" spans="1:8" x14ac:dyDescent="0.3">
      <c r="A2555" s="1"/>
      <c r="G2555" s="4"/>
      <c r="H2555" s="4"/>
    </row>
    <row r="2556" spans="1:8" x14ac:dyDescent="0.3">
      <c r="A2556" s="1"/>
      <c r="G2556" s="4"/>
      <c r="H2556" s="4"/>
    </row>
    <row r="2557" spans="1:8" x14ac:dyDescent="0.3">
      <c r="A2557" s="1"/>
      <c r="G2557" s="4"/>
      <c r="H2557" s="4"/>
    </row>
    <row r="2558" spans="1:8" x14ac:dyDescent="0.3">
      <c r="A2558" s="1"/>
      <c r="G2558" s="4"/>
      <c r="H2558" s="4"/>
    </row>
    <row r="2559" spans="1:8" x14ac:dyDescent="0.3">
      <c r="A2559" s="1"/>
      <c r="G2559" s="4"/>
      <c r="H2559" s="4"/>
    </row>
    <row r="2560" spans="1:8" x14ac:dyDescent="0.3">
      <c r="A2560" s="1"/>
      <c r="G2560" s="4"/>
      <c r="H2560" s="4"/>
    </row>
    <row r="2561" spans="1:8" x14ac:dyDescent="0.3">
      <c r="A2561" s="1"/>
      <c r="G2561" s="4"/>
      <c r="H2561" s="4"/>
    </row>
    <row r="2562" spans="1:8" x14ac:dyDescent="0.3">
      <c r="A2562" s="1"/>
      <c r="G2562" s="4"/>
      <c r="H2562" s="4"/>
    </row>
    <row r="2563" spans="1:8" x14ac:dyDescent="0.3">
      <c r="A2563" s="1"/>
      <c r="G2563" s="4"/>
      <c r="H2563" s="4"/>
    </row>
    <row r="2564" spans="1:8" x14ac:dyDescent="0.3">
      <c r="A2564" s="1"/>
      <c r="G2564" s="4"/>
      <c r="H2564" s="4"/>
    </row>
    <row r="2565" spans="1:8" x14ac:dyDescent="0.3">
      <c r="A2565" s="1"/>
      <c r="G2565" s="4"/>
      <c r="H2565" s="4"/>
    </row>
    <row r="2566" spans="1:8" x14ac:dyDescent="0.3">
      <c r="A2566" s="1"/>
      <c r="G2566" s="4"/>
      <c r="H2566" s="4"/>
    </row>
    <row r="2567" spans="1:8" x14ac:dyDescent="0.3">
      <c r="A2567" s="1"/>
      <c r="G2567" s="4"/>
      <c r="H2567" s="4"/>
    </row>
    <row r="2568" spans="1:8" x14ac:dyDescent="0.3">
      <c r="A2568" s="1"/>
      <c r="G2568" s="4"/>
      <c r="H2568" s="4"/>
    </row>
    <row r="2569" spans="1:8" x14ac:dyDescent="0.3">
      <c r="A2569" s="1"/>
      <c r="G2569" s="4"/>
      <c r="H2569" s="4"/>
    </row>
    <row r="2570" spans="1:8" x14ac:dyDescent="0.3">
      <c r="A2570" s="1"/>
      <c r="G2570" s="4"/>
      <c r="H2570" s="4"/>
    </row>
    <row r="2571" spans="1:8" x14ac:dyDescent="0.3">
      <c r="A2571" s="1"/>
      <c r="G2571" s="4"/>
      <c r="H2571" s="4"/>
    </row>
    <row r="2572" spans="1:8" x14ac:dyDescent="0.3">
      <c r="A2572" s="1"/>
      <c r="G2572" s="4"/>
      <c r="H2572" s="4"/>
    </row>
    <row r="2573" spans="1:8" x14ac:dyDescent="0.3">
      <c r="A2573" s="1"/>
      <c r="G2573" s="4"/>
      <c r="H2573" s="4"/>
    </row>
    <row r="2574" spans="1:8" x14ac:dyDescent="0.3">
      <c r="A2574" s="1"/>
      <c r="G2574" s="4"/>
      <c r="H2574" s="4"/>
    </row>
    <row r="2575" spans="1:8" x14ac:dyDescent="0.3">
      <c r="A2575" s="1"/>
      <c r="G2575" s="4"/>
      <c r="H2575" s="4"/>
    </row>
    <row r="2576" spans="1:8" x14ac:dyDescent="0.3">
      <c r="A2576" s="1"/>
      <c r="G2576" s="4"/>
      <c r="H2576" s="4"/>
    </row>
    <row r="2577" spans="1:8" x14ac:dyDescent="0.3">
      <c r="A2577" s="1"/>
      <c r="G2577" s="4"/>
      <c r="H2577" s="4"/>
    </row>
    <row r="2578" spans="1:8" x14ac:dyDescent="0.3">
      <c r="A2578" s="1"/>
      <c r="G2578" s="4"/>
      <c r="H2578" s="4"/>
    </row>
    <row r="2579" spans="1:8" x14ac:dyDescent="0.3">
      <c r="A2579" s="1"/>
      <c r="G2579" s="4"/>
      <c r="H2579" s="4"/>
    </row>
    <row r="2580" spans="1:8" x14ac:dyDescent="0.3">
      <c r="A2580" s="1"/>
      <c r="G2580" s="4"/>
      <c r="H2580" s="4"/>
    </row>
    <row r="2581" spans="1:8" x14ac:dyDescent="0.3">
      <c r="A2581" s="1"/>
      <c r="G2581" s="4"/>
      <c r="H2581" s="4"/>
    </row>
    <row r="2582" spans="1:8" x14ac:dyDescent="0.3">
      <c r="A2582" s="1"/>
      <c r="G2582" s="4"/>
      <c r="H2582" s="4"/>
    </row>
    <row r="2583" spans="1:8" x14ac:dyDescent="0.3">
      <c r="A2583" s="1"/>
      <c r="G2583" s="4"/>
      <c r="H2583" s="4"/>
    </row>
    <row r="2584" spans="1:8" x14ac:dyDescent="0.3">
      <c r="A2584" s="1"/>
      <c r="G2584" s="4"/>
      <c r="H2584" s="4"/>
    </row>
    <row r="2585" spans="1:8" x14ac:dyDescent="0.3">
      <c r="A2585" s="1"/>
      <c r="G2585" s="4"/>
      <c r="H2585" s="4"/>
    </row>
    <row r="2586" spans="1:8" x14ac:dyDescent="0.3">
      <c r="A2586" s="1"/>
      <c r="G2586" s="4"/>
      <c r="H2586" s="4"/>
    </row>
    <row r="2587" spans="1:8" x14ac:dyDescent="0.3">
      <c r="A2587" s="1"/>
      <c r="G2587" s="4"/>
      <c r="H2587" s="4"/>
    </row>
    <row r="2588" spans="1:8" x14ac:dyDescent="0.3">
      <c r="A2588" s="1"/>
      <c r="G2588" s="4"/>
      <c r="H2588" s="4"/>
    </row>
    <row r="2589" spans="1:8" x14ac:dyDescent="0.3">
      <c r="A2589" s="1"/>
      <c r="G2589" s="4"/>
      <c r="H2589" s="4"/>
    </row>
    <row r="2590" spans="1:8" x14ac:dyDescent="0.3">
      <c r="A2590" s="1"/>
      <c r="G2590" s="4"/>
      <c r="H2590" s="4"/>
    </row>
    <row r="2591" spans="1:8" x14ac:dyDescent="0.3">
      <c r="A2591" s="1"/>
      <c r="G2591" s="4"/>
      <c r="H2591" s="4"/>
    </row>
    <row r="2592" spans="1:8" x14ac:dyDescent="0.3">
      <c r="A2592" s="1"/>
      <c r="G2592" s="4"/>
      <c r="H2592" s="4"/>
    </row>
    <row r="2593" spans="1:8" x14ac:dyDescent="0.3">
      <c r="A2593" s="1"/>
      <c r="G2593" s="4"/>
      <c r="H2593" s="4"/>
    </row>
    <row r="2594" spans="1:8" x14ac:dyDescent="0.3">
      <c r="A2594" s="1"/>
      <c r="G2594" s="4"/>
      <c r="H2594" s="4"/>
    </row>
    <row r="2595" spans="1:8" x14ac:dyDescent="0.3">
      <c r="A2595" s="1"/>
      <c r="G2595" s="4"/>
      <c r="H2595" s="4"/>
    </row>
    <row r="2596" spans="1:8" x14ac:dyDescent="0.3">
      <c r="A2596" s="1"/>
      <c r="G2596" s="4"/>
      <c r="H2596" s="4"/>
    </row>
    <row r="2597" spans="1:8" x14ac:dyDescent="0.3">
      <c r="A2597" s="1"/>
      <c r="G2597" s="4"/>
      <c r="H2597" s="4"/>
    </row>
    <row r="2598" spans="1:8" x14ac:dyDescent="0.3">
      <c r="A2598" s="1"/>
      <c r="G2598" s="4"/>
      <c r="H2598" s="4"/>
    </row>
    <row r="2599" spans="1:8" x14ac:dyDescent="0.3">
      <c r="A2599" s="1"/>
      <c r="G2599" s="4"/>
      <c r="H2599" s="4"/>
    </row>
    <row r="2600" spans="1:8" x14ac:dyDescent="0.3">
      <c r="A2600" s="1"/>
      <c r="G2600" s="4"/>
      <c r="H2600" s="4"/>
    </row>
    <row r="2601" spans="1:8" x14ac:dyDescent="0.3">
      <c r="A2601" s="1"/>
      <c r="G2601" s="4"/>
      <c r="H2601" s="4"/>
    </row>
    <row r="2602" spans="1:8" x14ac:dyDescent="0.3">
      <c r="A2602" s="1"/>
      <c r="G2602" s="4"/>
      <c r="H2602" s="4"/>
    </row>
    <row r="2603" spans="1:8" x14ac:dyDescent="0.3">
      <c r="A2603" s="1"/>
      <c r="G2603" s="4"/>
      <c r="H2603" s="4"/>
    </row>
    <row r="2604" spans="1:8" x14ac:dyDescent="0.3">
      <c r="A2604" s="1"/>
      <c r="G2604" s="4"/>
      <c r="H2604" s="4"/>
    </row>
    <row r="2605" spans="1:8" x14ac:dyDescent="0.3">
      <c r="A2605" s="1"/>
      <c r="G2605" s="4"/>
      <c r="H2605" s="4"/>
    </row>
    <row r="2606" spans="1:8" x14ac:dyDescent="0.3">
      <c r="A2606" s="1"/>
      <c r="G2606" s="4"/>
      <c r="H2606" s="4"/>
    </row>
    <row r="2607" spans="1:8" x14ac:dyDescent="0.3">
      <c r="A2607" s="1"/>
      <c r="G2607" s="4"/>
      <c r="H2607" s="4"/>
    </row>
    <row r="2608" spans="1:8" x14ac:dyDescent="0.3">
      <c r="A2608" s="1"/>
      <c r="G2608" s="4"/>
      <c r="H2608" s="4"/>
    </row>
    <row r="2609" spans="1:8" x14ac:dyDescent="0.3">
      <c r="A2609" s="1"/>
      <c r="G2609" s="4"/>
      <c r="H2609" s="4"/>
    </row>
    <row r="2610" spans="1:8" x14ac:dyDescent="0.3">
      <c r="A2610" s="1"/>
      <c r="G2610" s="4"/>
      <c r="H2610" s="4"/>
    </row>
    <row r="2611" spans="1:8" x14ac:dyDescent="0.3">
      <c r="A2611" s="1"/>
      <c r="G2611" s="4"/>
      <c r="H2611" s="4"/>
    </row>
    <row r="2612" spans="1:8" x14ac:dyDescent="0.3">
      <c r="A2612" s="1"/>
      <c r="G2612" s="4"/>
      <c r="H2612" s="4"/>
    </row>
    <row r="2613" spans="1:8" x14ac:dyDescent="0.3">
      <c r="A2613" s="1"/>
      <c r="G2613" s="4"/>
      <c r="H2613" s="4"/>
    </row>
    <row r="2614" spans="1:8" x14ac:dyDescent="0.3">
      <c r="A2614" s="1"/>
      <c r="G2614" s="4"/>
      <c r="H2614" s="4"/>
    </row>
    <row r="2615" spans="1:8" x14ac:dyDescent="0.3">
      <c r="A2615" s="1"/>
      <c r="G2615" s="4"/>
      <c r="H2615" s="4"/>
    </row>
    <row r="2616" spans="1:8" x14ac:dyDescent="0.3">
      <c r="A2616" s="1"/>
      <c r="G2616" s="4"/>
      <c r="H2616" s="4"/>
    </row>
    <row r="2617" spans="1:8" x14ac:dyDescent="0.3">
      <c r="A2617" s="1"/>
      <c r="G2617" s="4"/>
      <c r="H2617" s="4"/>
    </row>
    <row r="2618" spans="1:8" x14ac:dyDescent="0.3">
      <c r="A2618" s="1"/>
      <c r="G2618" s="4"/>
      <c r="H2618" s="4"/>
    </row>
    <row r="2619" spans="1:8" x14ac:dyDescent="0.3">
      <c r="A2619" s="1"/>
      <c r="G2619" s="4"/>
      <c r="H2619" s="4"/>
    </row>
    <row r="2620" spans="1:8" x14ac:dyDescent="0.3">
      <c r="A2620" s="1"/>
      <c r="G2620" s="4"/>
      <c r="H2620" s="4"/>
    </row>
    <row r="2621" spans="1:8" x14ac:dyDescent="0.3">
      <c r="A2621" s="1"/>
      <c r="G2621" s="4"/>
      <c r="H2621" s="4"/>
    </row>
    <row r="2622" spans="1:8" x14ac:dyDescent="0.3">
      <c r="A2622" s="1"/>
      <c r="G2622" s="4"/>
      <c r="H2622" s="4"/>
    </row>
    <row r="2623" spans="1:8" x14ac:dyDescent="0.3">
      <c r="A2623" s="1"/>
      <c r="G2623" s="4"/>
      <c r="H2623" s="4"/>
    </row>
    <row r="2624" spans="1:8" x14ac:dyDescent="0.3">
      <c r="A2624" s="1"/>
      <c r="G2624" s="4"/>
      <c r="H2624" s="4"/>
    </row>
    <row r="2625" spans="1:8" x14ac:dyDescent="0.3">
      <c r="A2625" s="1"/>
      <c r="G2625" s="4"/>
      <c r="H2625" s="4"/>
    </row>
    <row r="2626" spans="1:8" x14ac:dyDescent="0.3">
      <c r="A2626" s="1"/>
      <c r="G2626" s="4"/>
      <c r="H2626" s="4"/>
    </row>
    <row r="2627" spans="1:8" x14ac:dyDescent="0.3">
      <c r="A2627" s="1"/>
      <c r="G2627" s="4"/>
      <c r="H2627" s="4"/>
    </row>
    <row r="2628" spans="1:8" x14ac:dyDescent="0.3">
      <c r="A2628" s="1"/>
      <c r="G2628" s="4"/>
      <c r="H2628" s="4"/>
    </row>
    <row r="2629" spans="1:8" x14ac:dyDescent="0.3">
      <c r="A2629" s="1"/>
      <c r="G2629" s="4"/>
      <c r="H2629" s="4"/>
    </row>
    <row r="2630" spans="1:8" x14ac:dyDescent="0.3">
      <c r="A2630" s="1"/>
      <c r="G2630" s="4"/>
      <c r="H2630" s="4"/>
    </row>
    <row r="2631" spans="1:8" x14ac:dyDescent="0.3">
      <c r="A2631" s="1"/>
      <c r="G2631" s="4"/>
      <c r="H2631" s="4"/>
    </row>
    <row r="2632" spans="1:8" x14ac:dyDescent="0.3">
      <c r="A2632" s="1"/>
      <c r="G2632" s="4"/>
      <c r="H2632" s="4"/>
    </row>
    <row r="2633" spans="1:8" x14ac:dyDescent="0.3">
      <c r="A2633" s="1"/>
      <c r="G2633" s="4"/>
      <c r="H2633" s="4"/>
    </row>
    <row r="2634" spans="1:8" x14ac:dyDescent="0.3">
      <c r="A2634" s="1"/>
      <c r="G2634" s="4"/>
      <c r="H2634" s="4"/>
    </row>
    <row r="2635" spans="1:8" x14ac:dyDescent="0.3">
      <c r="A2635" s="1"/>
      <c r="G2635" s="4"/>
      <c r="H2635" s="4"/>
    </row>
    <row r="2636" spans="1:8" x14ac:dyDescent="0.3">
      <c r="A2636" s="1"/>
      <c r="G2636" s="4"/>
      <c r="H2636" s="4"/>
    </row>
    <row r="2637" spans="1:8" x14ac:dyDescent="0.3">
      <c r="A2637" s="1"/>
      <c r="G2637" s="4"/>
      <c r="H2637" s="4"/>
    </row>
    <row r="2638" spans="1:8" x14ac:dyDescent="0.3">
      <c r="A2638" s="1"/>
      <c r="G2638" s="4"/>
      <c r="H2638" s="4"/>
    </row>
    <row r="2639" spans="1:8" x14ac:dyDescent="0.3">
      <c r="A2639" s="1"/>
      <c r="G2639" s="4"/>
      <c r="H2639" s="4"/>
    </row>
    <row r="2640" spans="1:8" x14ac:dyDescent="0.3">
      <c r="A2640" s="1"/>
      <c r="G2640" s="4"/>
      <c r="H2640" s="4"/>
    </row>
    <row r="2641" spans="1:8" x14ac:dyDescent="0.3">
      <c r="A2641" s="1"/>
      <c r="G2641" s="4"/>
      <c r="H2641" s="4"/>
    </row>
    <row r="2642" spans="1:8" x14ac:dyDescent="0.3">
      <c r="A2642" s="1"/>
      <c r="G2642" s="4"/>
      <c r="H2642" s="4"/>
    </row>
    <row r="2643" spans="1:8" x14ac:dyDescent="0.3">
      <c r="A2643" s="1"/>
      <c r="G2643" s="4"/>
      <c r="H2643" s="4"/>
    </row>
    <row r="2644" spans="1:8" x14ac:dyDescent="0.3">
      <c r="A2644" s="1"/>
      <c r="G2644" s="4"/>
      <c r="H2644" s="4"/>
    </row>
    <row r="2645" spans="1:8" x14ac:dyDescent="0.3">
      <c r="A2645" s="1"/>
      <c r="G2645" s="4"/>
      <c r="H2645" s="4"/>
    </row>
    <row r="2646" spans="1:8" x14ac:dyDescent="0.3">
      <c r="A2646" s="1"/>
      <c r="G2646" s="4"/>
      <c r="H2646" s="4"/>
    </row>
    <row r="2647" spans="1:8" x14ac:dyDescent="0.3">
      <c r="A2647" s="1"/>
      <c r="G2647" s="4"/>
      <c r="H2647" s="4"/>
    </row>
    <row r="2648" spans="1:8" x14ac:dyDescent="0.3">
      <c r="A2648" s="1"/>
      <c r="G2648" s="4"/>
      <c r="H2648" s="4"/>
    </row>
    <row r="2649" spans="1:8" x14ac:dyDescent="0.3">
      <c r="A2649" s="1"/>
      <c r="G2649" s="4"/>
      <c r="H2649" s="4"/>
    </row>
    <row r="2650" spans="1:8" x14ac:dyDescent="0.3">
      <c r="A2650" s="1"/>
      <c r="G2650" s="4"/>
      <c r="H2650" s="4"/>
    </row>
    <row r="2651" spans="1:8" x14ac:dyDescent="0.3">
      <c r="A2651" s="1"/>
      <c r="G2651" s="4"/>
      <c r="H2651" s="4"/>
    </row>
    <row r="2652" spans="1:8" x14ac:dyDescent="0.3">
      <c r="A2652" s="1"/>
      <c r="G2652" s="4"/>
      <c r="H2652" s="4"/>
    </row>
    <row r="2653" spans="1:8" x14ac:dyDescent="0.3">
      <c r="A2653" s="1"/>
      <c r="G2653" s="4"/>
      <c r="H2653" s="4"/>
    </row>
    <row r="2654" spans="1:8" x14ac:dyDescent="0.3">
      <c r="A2654" s="1"/>
      <c r="G2654" s="4"/>
      <c r="H2654" s="4"/>
    </row>
    <row r="2655" spans="1:8" x14ac:dyDescent="0.3">
      <c r="A2655" s="1"/>
      <c r="G2655" s="4"/>
      <c r="H2655" s="4"/>
    </row>
    <row r="2656" spans="1:8" x14ac:dyDescent="0.3">
      <c r="A2656" s="1"/>
      <c r="G2656" s="4"/>
      <c r="H2656" s="4"/>
    </row>
    <row r="2657" spans="1:8" x14ac:dyDescent="0.3">
      <c r="A2657" s="1"/>
      <c r="G2657" s="4"/>
      <c r="H2657" s="4"/>
    </row>
    <row r="2658" spans="1:8" x14ac:dyDescent="0.3">
      <c r="A2658" s="1"/>
      <c r="G2658" s="4"/>
      <c r="H2658" s="4"/>
    </row>
    <row r="2659" spans="1:8" x14ac:dyDescent="0.3">
      <c r="A2659" s="1"/>
      <c r="G2659" s="4"/>
      <c r="H2659" s="4"/>
    </row>
    <row r="2660" spans="1:8" x14ac:dyDescent="0.3">
      <c r="A2660" s="1"/>
      <c r="G2660" s="4"/>
      <c r="H2660" s="4"/>
    </row>
    <row r="2661" spans="1:8" x14ac:dyDescent="0.3">
      <c r="A2661" s="1"/>
      <c r="G2661" s="4"/>
      <c r="H2661" s="4"/>
    </row>
    <row r="2662" spans="1:8" x14ac:dyDescent="0.3">
      <c r="A2662" s="1"/>
      <c r="G2662" s="4"/>
      <c r="H2662" s="4"/>
    </row>
    <row r="2663" spans="1:8" x14ac:dyDescent="0.3">
      <c r="A2663" s="1"/>
      <c r="G2663" s="4"/>
      <c r="H2663" s="4"/>
    </row>
    <row r="2664" spans="1:8" x14ac:dyDescent="0.3">
      <c r="A2664" s="1"/>
      <c r="G2664" s="4"/>
      <c r="H2664" s="4"/>
    </row>
    <row r="2665" spans="1:8" x14ac:dyDescent="0.3">
      <c r="A2665" s="1"/>
      <c r="G2665" s="4"/>
      <c r="H2665" s="4"/>
    </row>
    <row r="2666" spans="1:8" x14ac:dyDescent="0.3">
      <c r="A2666" s="1"/>
      <c r="G2666" s="4"/>
      <c r="H2666" s="4"/>
    </row>
    <row r="2667" spans="1:8" x14ac:dyDescent="0.3">
      <c r="A2667" s="1"/>
      <c r="G2667" s="4"/>
      <c r="H2667" s="4"/>
    </row>
    <row r="2668" spans="1:8" x14ac:dyDescent="0.3">
      <c r="A2668" s="1"/>
      <c r="G2668" s="4"/>
      <c r="H2668" s="4"/>
    </row>
    <row r="2669" spans="1:8" x14ac:dyDescent="0.3">
      <c r="A2669" s="1"/>
      <c r="G2669" s="4"/>
      <c r="H2669" s="4"/>
    </row>
    <row r="2670" spans="1:8" x14ac:dyDescent="0.3">
      <c r="A2670" s="1"/>
      <c r="G2670" s="4"/>
      <c r="H2670" s="4"/>
    </row>
    <row r="2671" spans="1:8" x14ac:dyDescent="0.3">
      <c r="A2671" s="1"/>
      <c r="G2671" s="4"/>
      <c r="H2671" s="4"/>
    </row>
    <row r="2672" spans="1:8" x14ac:dyDescent="0.3">
      <c r="A2672" s="1"/>
      <c r="G2672" s="4"/>
      <c r="H2672" s="4"/>
    </row>
    <row r="2673" spans="1:8" x14ac:dyDescent="0.3">
      <c r="A2673" s="1"/>
      <c r="G2673" s="4"/>
      <c r="H2673" s="4"/>
    </row>
    <row r="2674" spans="1:8" x14ac:dyDescent="0.3">
      <c r="A2674" s="1"/>
      <c r="G2674" s="4"/>
      <c r="H2674" s="4"/>
    </row>
    <row r="2675" spans="1:8" x14ac:dyDescent="0.3">
      <c r="A2675" s="1"/>
      <c r="G2675" s="4"/>
      <c r="H2675" s="4"/>
    </row>
    <row r="2676" spans="1:8" x14ac:dyDescent="0.3">
      <c r="A2676" s="1"/>
      <c r="G2676" s="4"/>
      <c r="H2676" s="4"/>
    </row>
    <row r="2677" spans="1:8" x14ac:dyDescent="0.3">
      <c r="A2677" s="1"/>
      <c r="G2677" s="4"/>
      <c r="H2677" s="4"/>
    </row>
    <row r="2678" spans="1:8" x14ac:dyDescent="0.3">
      <c r="A2678" s="1"/>
      <c r="G2678" s="4"/>
      <c r="H2678" s="4"/>
    </row>
    <row r="2679" spans="1:8" x14ac:dyDescent="0.3">
      <c r="A2679" s="1"/>
      <c r="G2679" s="4"/>
      <c r="H2679" s="4"/>
    </row>
    <row r="2680" spans="1:8" x14ac:dyDescent="0.3">
      <c r="A2680" s="1"/>
      <c r="G2680" s="4"/>
      <c r="H2680" s="4"/>
    </row>
    <row r="2681" spans="1:8" x14ac:dyDescent="0.3">
      <c r="A2681" s="1"/>
      <c r="G2681" s="4"/>
      <c r="H2681" s="4"/>
    </row>
    <row r="2682" spans="1:8" x14ac:dyDescent="0.3">
      <c r="A2682" s="1"/>
      <c r="G2682" s="4"/>
      <c r="H2682" s="4"/>
    </row>
    <row r="2683" spans="1:8" x14ac:dyDescent="0.3">
      <c r="A2683" s="1"/>
      <c r="G2683" s="4"/>
      <c r="H2683" s="4"/>
    </row>
    <row r="2684" spans="1:8" x14ac:dyDescent="0.3">
      <c r="A2684" s="1"/>
      <c r="G2684" s="4"/>
      <c r="H2684" s="4"/>
    </row>
    <row r="2685" spans="1:8" x14ac:dyDescent="0.3">
      <c r="A2685" s="1"/>
      <c r="G2685" s="4"/>
      <c r="H2685" s="4"/>
    </row>
    <row r="2686" spans="1:8" x14ac:dyDescent="0.3">
      <c r="A2686" s="1"/>
      <c r="G2686" s="4"/>
      <c r="H2686" s="4"/>
    </row>
    <row r="2687" spans="1:8" x14ac:dyDescent="0.3">
      <c r="A2687" s="1"/>
      <c r="G2687" s="4"/>
      <c r="H2687" s="4"/>
    </row>
    <row r="2688" spans="1:8" x14ac:dyDescent="0.3">
      <c r="A2688" s="1"/>
      <c r="G2688" s="4"/>
      <c r="H2688" s="4"/>
    </row>
    <row r="2689" spans="1:8" x14ac:dyDescent="0.3">
      <c r="A2689" s="1"/>
      <c r="G2689" s="4"/>
      <c r="H2689" s="4"/>
    </row>
    <row r="2690" spans="1:8" x14ac:dyDescent="0.3">
      <c r="A2690" s="1"/>
      <c r="G2690" s="4"/>
      <c r="H2690" s="4"/>
    </row>
    <row r="2691" spans="1:8" x14ac:dyDescent="0.3">
      <c r="A2691" s="1"/>
      <c r="G2691" s="4"/>
      <c r="H2691" s="4"/>
    </row>
    <row r="2692" spans="1:8" x14ac:dyDescent="0.3">
      <c r="A2692" s="1"/>
      <c r="G2692" s="4"/>
      <c r="H2692" s="4"/>
    </row>
    <row r="2693" spans="1:8" x14ac:dyDescent="0.3">
      <c r="A2693" s="1"/>
      <c r="G2693" s="4"/>
      <c r="H2693" s="4"/>
    </row>
    <row r="2694" spans="1:8" x14ac:dyDescent="0.3">
      <c r="A2694" s="1"/>
      <c r="G2694" s="4"/>
      <c r="H2694" s="4"/>
    </row>
    <row r="2695" spans="1:8" x14ac:dyDescent="0.3">
      <c r="A2695" s="1"/>
      <c r="G2695" s="4"/>
      <c r="H2695" s="4"/>
    </row>
    <row r="2696" spans="1:8" x14ac:dyDescent="0.3">
      <c r="A2696" s="1"/>
      <c r="G2696" s="4"/>
      <c r="H2696" s="4"/>
    </row>
    <row r="2697" spans="1:8" x14ac:dyDescent="0.3">
      <c r="A2697" s="1"/>
      <c r="G2697" s="4"/>
      <c r="H2697" s="4"/>
    </row>
    <row r="2698" spans="1:8" x14ac:dyDescent="0.3">
      <c r="A2698" s="1"/>
      <c r="G2698" s="4"/>
      <c r="H2698" s="4"/>
    </row>
    <row r="2699" spans="1:8" x14ac:dyDescent="0.3">
      <c r="A2699" s="1"/>
      <c r="G2699" s="4"/>
      <c r="H2699" s="4"/>
    </row>
    <row r="2700" spans="1:8" x14ac:dyDescent="0.3">
      <c r="A2700" s="1"/>
      <c r="G2700" s="4"/>
      <c r="H2700" s="4"/>
    </row>
    <row r="2701" spans="1:8" x14ac:dyDescent="0.3">
      <c r="A2701" s="1"/>
      <c r="G2701" s="4"/>
      <c r="H2701" s="4"/>
    </row>
    <row r="2702" spans="1:8" x14ac:dyDescent="0.3">
      <c r="A2702" s="1"/>
      <c r="G2702" s="4"/>
      <c r="H2702" s="4"/>
    </row>
    <row r="2703" spans="1:8" x14ac:dyDescent="0.3">
      <c r="A2703" s="1"/>
      <c r="G2703" s="4"/>
      <c r="H2703" s="4"/>
    </row>
    <row r="2704" spans="1:8" x14ac:dyDescent="0.3">
      <c r="A2704" s="1"/>
      <c r="G2704" s="4"/>
      <c r="H2704" s="4"/>
    </row>
    <row r="2705" spans="1:8" x14ac:dyDescent="0.3">
      <c r="A2705" s="1"/>
      <c r="G2705" s="4"/>
      <c r="H2705" s="4"/>
    </row>
    <row r="2706" spans="1:8" x14ac:dyDescent="0.3">
      <c r="A2706" s="1"/>
      <c r="G2706" s="4"/>
      <c r="H2706" s="4"/>
    </row>
    <row r="2707" spans="1:8" x14ac:dyDescent="0.3">
      <c r="A2707" s="1"/>
      <c r="G2707" s="4"/>
      <c r="H2707" s="4"/>
    </row>
    <row r="2708" spans="1:8" x14ac:dyDescent="0.3">
      <c r="A2708" s="1"/>
      <c r="G2708" s="4"/>
      <c r="H2708" s="4"/>
    </row>
    <row r="2709" spans="1:8" x14ac:dyDescent="0.3">
      <c r="A2709" s="1"/>
      <c r="G2709" s="4"/>
      <c r="H2709" s="4"/>
    </row>
    <row r="2710" spans="1:8" x14ac:dyDescent="0.3">
      <c r="A2710" s="1"/>
      <c r="G2710" s="4"/>
      <c r="H2710" s="4"/>
    </row>
    <row r="2711" spans="1:8" x14ac:dyDescent="0.3">
      <c r="A2711" s="1"/>
      <c r="G2711" s="4"/>
      <c r="H2711" s="4"/>
    </row>
    <row r="2712" spans="1:8" x14ac:dyDescent="0.3">
      <c r="A2712" s="1"/>
      <c r="G2712" s="4"/>
      <c r="H2712" s="4"/>
    </row>
    <row r="2713" spans="1:8" x14ac:dyDescent="0.3">
      <c r="A2713" s="1"/>
      <c r="G2713" s="4"/>
      <c r="H2713" s="4"/>
    </row>
    <row r="2714" spans="1:8" x14ac:dyDescent="0.3">
      <c r="A2714" s="1"/>
      <c r="G2714" s="4"/>
      <c r="H2714" s="4"/>
    </row>
    <row r="2715" spans="1:8" x14ac:dyDescent="0.3">
      <c r="A2715" s="1"/>
      <c r="G2715" s="4"/>
      <c r="H2715" s="4"/>
    </row>
    <row r="2716" spans="1:8" x14ac:dyDescent="0.3">
      <c r="A2716" s="1"/>
      <c r="G2716" s="4"/>
      <c r="H2716" s="4"/>
    </row>
    <row r="2717" spans="1:8" x14ac:dyDescent="0.3">
      <c r="A2717" s="1"/>
      <c r="G2717" s="4"/>
      <c r="H2717" s="4"/>
    </row>
    <row r="2718" spans="1:8" x14ac:dyDescent="0.3">
      <c r="A2718" s="1"/>
      <c r="G2718" s="4"/>
      <c r="H2718" s="4"/>
    </row>
    <row r="2719" spans="1:8" x14ac:dyDescent="0.3">
      <c r="A2719" s="1"/>
      <c r="G2719" s="4"/>
      <c r="H2719" s="4"/>
    </row>
    <row r="2720" spans="1:8" x14ac:dyDescent="0.3">
      <c r="A2720" s="1"/>
      <c r="G2720" s="4"/>
      <c r="H2720" s="4"/>
    </row>
    <row r="2721" spans="1:8" x14ac:dyDescent="0.3">
      <c r="A2721" s="1"/>
      <c r="G2721" s="4"/>
      <c r="H2721" s="4"/>
    </row>
    <row r="2722" spans="1:8" x14ac:dyDescent="0.3">
      <c r="A2722" s="1"/>
      <c r="G2722" s="4"/>
      <c r="H2722" s="4"/>
    </row>
    <row r="2723" spans="1:8" x14ac:dyDescent="0.3">
      <c r="A2723" s="1"/>
      <c r="G2723" s="4"/>
      <c r="H2723" s="4"/>
    </row>
    <row r="2724" spans="1:8" x14ac:dyDescent="0.3">
      <c r="A2724" s="1"/>
      <c r="G2724" s="4"/>
      <c r="H2724" s="4"/>
    </row>
    <row r="2725" spans="1:8" x14ac:dyDescent="0.3">
      <c r="A2725" s="1"/>
      <c r="G2725" s="4"/>
      <c r="H2725" s="4"/>
    </row>
    <row r="2726" spans="1:8" x14ac:dyDescent="0.3">
      <c r="A2726" s="1"/>
      <c r="G2726" s="4"/>
      <c r="H2726" s="4"/>
    </row>
    <row r="2727" spans="1:8" x14ac:dyDescent="0.3">
      <c r="A2727" s="1"/>
      <c r="G2727" s="4"/>
      <c r="H2727" s="4"/>
    </row>
    <row r="2728" spans="1:8" x14ac:dyDescent="0.3">
      <c r="A2728" s="1"/>
      <c r="G2728" s="4"/>
      <c r="H2728" s="4"/>
    </row>
    <row r="2729" spans="1:8" x14ac:dyDescent="0.3">
      <c r="A2729" s="1"/>
      <c r="G2729" s="4"/>
      <c r="H2729" s="4"/>
    </row>
    <row r="2730" spans="1:8" x14ac:dyDescent="0.3">
      <c r="A2730" s="1"/>
      <c r="G2730" s="4"/>
      <c r="H2730" s="4"/>
    </row>
    <row r="2731" spans="1:8" x14ac:dyDescent="0.3">
      <c r="A2731" s="1"/>
      <c r="G2731" s="4"/>
      <c r="H2731" s="4"/>
    </row>
    <row r="2732" spans="1:8" x14ac:dyDescent="0.3">
      <c r="A2732" s="1"/>
      <c r="G2732" s="4"/>
      <c r="H2732" s="4"/>
    </row>
    <row r="2733" spans="1:8" x14ac:dyDescent="0.3">
      <c r="A2733" s="1"/>
      <c r="G2733" s="4"/>
      <c r="H2733" s="4"/>
    </row>
    <row r="2734" spans="1:8" x14ac:dyDescent="0.3">
      <c r="A2734" s="1"/>
      <c r="G2734" s="4"/>
      <c r="H2734" s="4"/>
    </row>
    <row r="2735" spans="1:8" x14ac:dyDescent="0.3">
      <c r="A2735" s="1"/>
      <c r="G2735" s="4"/>
      <c r="H2735" s="4"/>
    </row>
    <row r="2736" spans="1:8" x14ac:dyDescent="0.3">
      <c r="A2736" s="1"/>
      <c r="G2736" s="4"/>
      <c r="H2736" s="4"/>
    </row>
    <row r="2737" spans="1:8" x14ac:dyDescent="0.3">
      <c r="A2737" s="1"/>
      <c r="G2737" s="4"/>
      <c r="H2737" s="4"/>
    </row>
    <row r="2738" spans="1:8" x14ac:dyDescent="0.3">
      <c r="A2738" s="1"/>
      <c r="G2738" s="4"/>
      <c r="H2738" s="4"/>
    </row>
    <row r="2739" spans="1:8" x14ac:dyDescent="0.3">
      <c r="A2739" s="1"/>
      <c r="G2739" s="4"/>
      <c r="H2739" s="4"/>
    </row>
    <row r="2740" spans="1:8" x14ac:dyDescent="0.3">
      <c r="A2740" s="1"/>
      <c r="G2740" s="4"/>
      <c r="H2740" s="4"/>
    </row>
    <row r="2741" spans="1:8" x14ac:dyDescent="0.3">
      <c r="A2741" s="1"/>
      <c r="G2741" s="4"/>
      <c r="H2741" s="4"/>
    </row>
    <row r="2742" spans="1:8" x14ac:dyDescent="0.3">
      <c r="A2742" s="1"/>
      <c r="G2742" s="4"/>
      <c r="H2742" s="4"/>
    </row>
    <row r="2743" spans="1:8" x14ac:dyDescent="0.3">
      <c r="A2743" s="1"/>
      <c r="G2743" s="4"/>
      <c r="H2743" s="4"/>
    </row>
    <row r="2744" spans="1:8" x14ac:dyDescent="0.3">
      <c r="A2744" s="1"/>
      <c r="G2744" s="4"/>
      <c r="H2744" s="4"/>
    </row>
    <row r="2745" spans="1:8" x14ac:dyDescent="0.3">
      <c r="A2745" s="1"/>
      <c r="G2745" s="4"/>
      <c r="H2745" s="4"/>
    </row>
    <row r="2746" spans="1:8" x14ac:dyDescent="0.3">
      <c r="A2746" s="1"/>
      <c r="G2746" s="4"/>
      <c r="H2746" s="4"/>
    </row>
    <row r="2747" spans="1:8" x14ac:dyDescent="0.3">
      <c r="A2747" s="1"/>
      <c r="G2747" s="4"/>
      <c r="H2747" s="4"/>
    </row>
    <row r="2748" spans="1:8" x14ac:dyDescent="0.3">
      <c r="A2748" s="1"/>
      <c r="G2748" s="4"/>
      <c r="H2748" s="4"/>
    </row>
    <row r="2749" spans="1:8" x14ac:dyDescent="0.3">
      <c r="A2749" s="1"/>
      <c r="G2749" s="4"/>
      <c r="H2749" s="4"/>
    </row>
    <row r="2750" spans="1:8" x14ac:dyDescent="0.3">
      <c r="A2750" s="1"/>
      <c r="G2750" s="4"/>
      <c r="H2750" s="4"/>
    </row>
    <row r="2751" spans="1:8" x14ac:dyDescent="0.3">
      <c r="A2751" s="1"/>
      <c r="G2751" s="4"/>
      <c r="H2751" s="4"/>
    </row>
    <row r="2752" spans="1:8" x14ac:dyDescent="0.3">
      <c r="A2752" s="1"/>
      <c r="G2752" s="4"/>
      <c r="H2752" s="4"/>
    </row>
    <row r="2753" spans="1:8" x14ac:dyDescent="0.3">
      <c r="A2753" s="1"/>
      <c r="G2753" s="4"/>
      <c r="H2753" s="4"/>
    </row>
    <row r="2754" spans="1:8" x14ac:dyDescent="0.3">
      <c r="A2754" s="1"/>
      <c r="G2754" s="4"/>
      <c r="H2754" s="4"/>
    </row>
    <row r="2755" spans="1:8" x14ac:dyDescent="0.3">
      <c r="A2755" s="1"/>
      <c r="G2755" s="4"/>
      <c r="H2755" s="4"/>
    </row>
    <row r="2756" spans="1:8" x14ac:dyDescent="0.3">
      <c r="A2756" s="1"/>
      <c r="G2756" s="4"/>
      <c r="H2756" s="4"/>
    </row>
    <row r="2757" spans="1:8" x14ac:dyDescent="0.3">
      <c r="A2757" s="1"/>
      <c r="G2757" s="4"/>
      <c r="H2757" s="4"/>
    </row>
    <row r="2758" spans="1:8" x14ac:dyDescent="0.3">
      <c r="A2758" s="1"/>
      <c r="G2758" s="4"/>
      <c r="H2758" s="4"/>
    </row>
    <row r="2759" spans="1:8" x14ac:dyDescent="0.3">
      <c r="A2759" s="1"/>
      <c r="G2759" s="4"/>
      <c r="H2759" s="4"/>
    </row>
    <row r="2760" spans="1:8" x14ac:dyDescent="0.3">
      <c r="A2760" s="1"/>
      <c r="G2760" s="4"/>
      <c r="H2760" s="4"/>
    </row>
    <row r="2761" spans="1:8" x14ac:dyDescent="0.3">
      <c r="A2761" s="1"/>
      <c r="G2761" s="4"/>
      <c r="H2761" s="4"/>
    </row>
    <row r="2762" spans="1:8" x14ac:dyDescent="0.3">
      <c r="A2762" s="1"/>
      <c r="G2762" s="4"/>
      <c r="H2762" s="4"/>
    </row>
    <row r="2763" spans="1:8" x14ac:dyDescent="0.3">
      <c r="A2763" s="1"/>
      <c r="G2763" s="4"/>
      <c r="H2763" s="4"/>
    </row>
    <row r="2764" spans="1:8" x14ac:dyDescent="0.3">
      <c r="A2764" s="1"/>
      <c r="G2764" s="4"/>
      <c r="H2764" s="4"/>
    </row>
    <row r="2765" spans="1:8" x14ac:dyDescent="0.3">
      <c r="A2765" s="1"/>
      <c r="G2765" s="4"/>
      <c r="H2765" s="4"/>
    </row>
    <row r="2766" spans="1:8" x14ac:dyDescent="0.3">
      <c r="A2766" s="1"/>
      <c r="G2766" s="4"/>
      <c r="H2766" s="4"/>
    </row>
    <row r="2767" spans="1:8" x14ac:dyDescent="0.3">
      <c r="A2767" s="1"/>
      <c r="G2767" s="4"/>
      <c r="H2767" s="4"/>
    </row>
    <row r="2768" spans="1:8" x14ac:dyDescent="0.3">
      <c r="A2768" s="1"/>
      <c r="G2768" s="4"/>
      <c r="H2768" s="4"/>
    </row>
    <row r="2769" spans="1:8" x14ac:dyDescent="0.3">
      <c r="A2769" s="1"/>
      <c r="G2769" s="4"/>
      <c r="H2769" s="4"/>
    </row>
    <row r="2770" spans="1:8" x14ac:dyDescent="0.3">
      <c r="A2770" s="1"/>
      <c r="G2770" s="4"/>
      <c r="H2770" s="4"/>
    </row>
    <row r="2771" spans="1:8" x14ac:dyDescent="0.3">
      <c r="A2771" s="1"/>
      <c r="G2771" s="4"/>
      <c r="H2771" s="4"/>
    </row>
    <row r="2772" spans="1:8" x14ac:dyDescent="0.3">
      <c r="A2772" s="1"/>
      <c r="G2772" s="4"/>
      <c r="H2772" s="4"/>
    </row>
    <row r="2773" spans="1:8" x14ac:dyDescent="0.3">
      <c r="A2773" s="1"/>
      <c r="G2773" s="4"/>
      <c r="H2773" s="4"/>
    </row>
    <row r="2774" spans="1:8" x14ac:dyDescent="0.3">
      <c r="A2774" s="1"/>
      <c r="G2774" s="4"/>
      <c r="H2774" s="4"/>
    </row>
    <row r="2775" spans="1:8" x14ac:dyDescent="0.3">
      <c r="A2775" s="1"/>
      <c r="G2775" s="4"/>
      <c r="H2775" s="4"/>
    </row>
    <row r="2776" spans="1:8" x14ac:dyDescent="0.3">
      <c r="A2776" s="1"/>
      <c r="G2776" s="4"/>
      <c r="H2776" s="4"/>
    </row>
    <row r="2777" spans="1:8" x14ac:dyDescent="0.3">
      <c r="A2777" s="1"/>
      <c r="G2777" s="4"/>
      <c r="H2777" s="4"/>
    </row>
    <row r="2778" spans="1:8" x14ac:dyDescent="0.3">
      <c r="A2778" s="1"/>
      <c r="G2778" s="4"/>
      <c r="H2778" s="4"/>
    </row>
    <row r="2779" spans="1:8" x14ac:dyDescent="0.3">
      <c r="A2779" s="1"/>
      <c r="G2779" s="4"/>
      <c r="H2779" s="4"/>
    </row>
    <row r="2780" spans="1:8" x14ac:dyDescent="0.3">
      <c r="A2780" s="1"/>
      <c r="G2780" s="4"/>
      <c r="H2780" s="4"/>
    </row>
    <row r="2781" spans="1:8" x14ac:dyDescent="0.3">
      <c r="A2781" s="1"/>
      <c r="G2781" s="4"/>
      <c r="H2781" s="4"/>
    </row>
    <row r="2782" spans="1:8" x14ac:dyDescent="0.3">
      <c r="A2782" s="1"/>
      <c r="G2782" s="4"/>
      <c r="H2782" s="4"/>
    </row>
    <row r="2783" spans="1:8" x14ac:dyDescent="0.3">
      <c r="A2783" s="1"/>
      <c r="G2783" s="4"/>
      <c r="H2783" s="4"/>
    </row>
    <row r="2784" spans="1:8" x14ac:dyDescent="0.3">
      <c r="A2784" s="1"/>
      <c r="G2784" s="4"/>
      <c r="H2784" s="4"/>
    </row>
    <row r="2785" spans="1:8" x14ac:dyDescent="0.3">
      <c r="A2785" s="1"/>
      <c r="G2785" s="4"/>
      <c r="H2785" s="4"/>
    </row>
    <row r="2786" spans="1:8" x14ac:dyDescent="0.3">
      <c r="A2786" s="1"/>
      <c r="G2786" s="4"/>
      <c r="H2786" s="4"/>
    </row>
    <row r="2787" spans="1:8" x14ac:dyDescent="0.3">
      <c r="A2787" s="1"/>
      <c r="G2787" s="4"/>
      <c r="H2787" s="4"/>
    </row>
    <row r="2788" spans="1:8" x14ac:dyDescent="0.3">
      <c r="A2788" s="1"/>
      <c r="G2788" s="4"/>
      <c r="H2788" s="4"/>
    </row>
    <row r="2789" spans="1:8" x14ac:dyDescent="0.3">
      <c r="A2789" s="1"/>
      <c r="G2789" s="4"/>
      <c r="H2789" s="4"/>
    </row>
    <row r="2790" spans="1:8" x14ac:dyDescent="0.3">
      <c r="A2790" s="1"/>
      <c r="G2790" s="4"/>
      <c r="H2790" s="4"/>
    </row>
    <row r="2791" spans="1:8" x14ac:dyDescent="0.3">
      <c r="A2791" s="1"/>
      <c r="G2791" s="4"/>
      <c r="H2791" s="4"/>
    </row>
    <row r="2792" spans="1:8" x14ac:dyDescent="0.3">
      <c r="A2792" s="1"/>
      <c r="G2792" s="4"/>
      <c r="H2792" s="4"/>
    </row>
    <row r="2793" spans="1:8" x14ac:dyDescent="0.3">
      <c r="A2793" s="1"/>
      <c r="G2793" s="4"/>
      <c r="H2793" s="4"/>
    </row>
    <row r="2794" spans="1:8" x14ac:dyDescent="0.3">
      <c r="A2794" s="1"/>
      <c r="G2794" s="4"/>
      <c r="H2794" s="4"/>
    </row>
    <row r="2795" spans="1:8" x14ac:dyDescent="0.3">
      <c r="A2795" s="1"/>
      <c r="G2795" s="4"/>
      <c r="H2795" s="4"/>
    </row>
    <row r="2796" spans="1:8" x14ac:dyDescent="0.3">
      <c r="A2796" s="1"/>
      <c r="G2796" s="4"/>
      <c r="H2796" s="4"/>
    </row>
    <row r="2797" spans="1:8" x14ac:dyDescent="0.3">
      <c r="A2797" s="1"/>
      <c r="G2797" s="4"/>
      <c r="H2797" s="4"/>
    </row>
    <row r="2798" spans="1:8" x14ac:dyDescent="0.3">
      <c r="A2798" s="1"/>
      <c r="G2798" s="4"/>
      <c r="H2798" s="4"/>
    </row>
    <row r="2799" spans="1:8" x14ac:dyDescent="0.3">
      <c r="A2799" s="1"/>
      <c r="G2799" s="4"/>
      <c r="H2799" s="4"/>
    </row>
    <row r="2800" spans="1:8" x14ac:dyDescent="0.3">
      <c r="A2800" s="1"/>
      <c r="G2800" s="4"/>
      <c r="H2800" s="4"/>
    </row>
    <row r="2801" spans="1:8" x14ac:dyDescent="0.3">
      <c r="A2801" s="1"/>
      <c r="G2801" s="4"/>
      <c r="H2801" s="4"/>
    </row>
    <row r="2802" spans="1:8" x14ac:dyDescent="0.3">
      <c r="A2802" s="1"/>
      <c r="G2802" s="4"/>
      <c r="H2802" s="4"/>
    </row>
    <row r="2803" spans="1:8" x14ac:dyDescent="0.3">
      <c r="A2803" s="1"/>
      <c r="G2803" s="4"/>
      <c r="H2803" s="4"/>
    </row>
    <row r="2804" spans="1:8" x14ac:dyDescent="0.3">
      <c r="A2804" s="1"/>
      <c r="G2804" s="4"/>
      <c r="H2804" s="4"/>
    </row>
    <row r="2805" spans="1:8" x14ac:dyDescent="0.3">
      <c r="A2805" s="1"/>
      <c r="G2805" s="4"/>
      <c r="H2805" s="4"/>
    </row>
    <row r="2806" spans="1:8" x14ac:dyDescent="0.3">
      <c r="A2806" s="1"/>
      <c r="G2806" s="4"/>
      <c r="H2806" s="4"/>
    </row>
    <row r="2807" spans="1:8" x14ac:dyDescent="0.3">
      <c r="A2807" s="1"/>
      <c r="G2807" s="4"/>
      <c r="H2807" s="4"/>
    </row>
    <row r="2808" spans="1:8" x14ac:dyDescent="0.3">
      <c r="A2808" s="1"/>
      <c r="G2808" s="4"/>
      <c r="H2808" s="4"/>
    </row>
    <row r="2809" spans="1:8" x14ac:dyDescent="0.3">
      <c r="A2809" s="1"/>
      <c r="G2809" s="4"/>
      <c r="H2809" s="4"/>
    </row>
    <row r="2810" spans="1:8" x14ac:dyDescent="0.3">
      <c r="A2810" s="1"/>
      <c r="G2810" s="4"/>
      <c r="H2810" s="4"/>
    </row>
    <row r="2811" spans="1:8" x14ac:dyDescent="0.3">
      <c r="A2811" s="1"/>
      <c r="G2811" s="4"/>
      <c r="H2811" s="4"/>
    </row>
    <row r="2812" spans="1:8" x14ac:dyDescent="0.3">
      <c r="A2812" s="1"/>
      <c r="G2812" s="4"/>
      <c r="H2812" s="4"/>
    </row>
    <row r="2813" spans="1:8" x14ac:dyDescent="0.3">
      <c r="A2813" s="1"/>
      <c r="G2813" s="4"/>
      <c r="H2813" s="4"/>
    </row>
    <row r="2814" spans="1:8" x14ac:dyDescent="0.3">
      <c r="A2814" s="1"/>
      <c r="G2814" s="4"/>
      <c r="H2814" s="4"/>
    </row>
    <row r="2815" spans="1:8" x14ac:dyDescent="0.3">
      <c r="A2815" s="1"/>
      <c r="G2815" s="4"/>
      <c r="H2815" s="4"/>
    </row>
    <row r="2816" spans="1:8" x14ac:dyDescent="0.3">
      <c r="A2816" s="1"/>
      <c r="G2816" s="4"/>
      <c r="H2816" s="4"/>
    </row>
    <row r="2817" spans="1:8" x14ac:dyDescent="0.3">
      <c r="A2817" s="1"/>
      <c r="G2817" s="4"/>
      <c r="H2817" s="4"/>
    </row>
    <row r="2818" spans="1:8" x14ac:dyDescent="0.3">
      <c r="A2818" s="1"/>
      <c r="G2818" s="4"/>
      <c r="H2818" s="4"/>
    </row>
    <row r="2819" spans="1:8" x14ac:dyDescent="0.3">
      <c r="A2819" s="1"/>
      <c r="G2819" s="4"/>
      <c r="H2819" s="4"/>
    </row>
    <row r="2820" spans="1:8" x14ac:dyDescent="0.3">
      <c r="A2820" s="1"/>
      <c r="G2820" s="4"/>
      <c r="H2820" s="4"/>
    </row>
    <row r="2821" spans="1:8" x14ac:dyDescent="0.3">
      <c r="A2821" s="1"/>
      <c r="G2821" s="4"/>
      <c r="H2821" s="4"/>
    </row>
    <row r="2822" spans="1:8" x14ac:dyDescent="0.3">
      <c r="A2822" s="1"/>
      <c r="G2822" s="4"/>
      <c r="H2822" s="4"/>
    </row>
    <row r="2823" spans="1:8" x14ac:dyDescent="0.3">
      <c r="A2823" s="1"/>
      <c r="G2823" s="4"/>
      <c r="H2823" s="4"/>
    </row>
    <row r="2824" spans="1:8" x14ac:dyDescent="0.3">
      <c r="A2824" s="1"/>
      <c r="G2824" s="4"/>
      <c r="H2824" s="4"/>
    </row>
    <row r="2825" spans="1:8" x14ac:dyDescent="0.3">
      <c r="A2825" s="1"/>
      <c r="G2825" s="4"/>
      <c r="H2825" s="4"/>
    </row>
    <row r="2826" spans="1:8" x14ac:dyDescent="0.3">
      <c r="A2826" s="1"/>
      <c r="G2826" s="4"/>
      <c r="H2826" s="4"/>
    </row>
    <row r="2827" spans="1:8" x14ac:dyDescent="0.3">
      <c r="A2827" s="1"/>
      <c r="G2827" s="4"/>
      <c r="H2827" s="4"/>
    </row>
    <row r="2828" spans="1:8" x14ac:dyDescent="0.3">
      <c r="A2828" s="1"/>
      <c r="G2828" s="4"/>
      <c r="H2828" s="4"/>
    </row>
    <row r="2829" spans="1:8" x14ac:dyDescent="0.3">
      <c r="A2829" s="1"/>
      <c r="G2829" s="4"/>
      <c r="H2829" s="4"/>
    </row>
    <row r="2830" spans="1:8" x14ac:dyDescent="0.3">
      <c r="A2830" s="1"/>
      <c r="G2830" s="4"/>
      <c r="H2830" s="4"/>
    </row>
    <row r="2831" spans="1:8" x14ac:dyDescent="0.3">
      <c r="A2831" s="1"/>
      <c r="G2831" s="4"/>
      <c r="H2831" s="4"/>
    </row>
    <row r="2832" spans="1:8" x14ac:dyDescent="0.3">
      <c r="A2832" s="1"/>
      <c r="G2832" s="4"/>
      <c r="H2832" s="4"/>
    </row>
    <row r="2833" spans="1:8" x14ac:dyDescent="0.3">
      <c r="A2833" s="1"/>
      <c r="G2833" s="4"/>
      <c r="H2833" s="4"/>
    </row>
    <row r="2834" spans="1:8" x14ac:dyDescent="0.3">
      <c r="A2834" s="1"/>
      <c r="G2834" s="4"/>
      <c r="H2834" s="4"/>
    </row>
    <row r="2835" spans="1:8" x14ac:dyDescent="0.3">
      <c r="A2835" s="1"/>
      <c r="G2835" s="4"/>
      <c r="H2835" s="4"/>
    </row>
    <row r="2836" spans="1:8" x14ac:dyDescent="0.3">
      <c r="A2836" s="1"/>
      <c r="G2836" s="4"/>
      <c r="H2836" s="4"/>
    </row>
    <row r="2837" spans="1:8" x14ac:dyDescent="0.3">
      <c r="A2837" s="1"/>
      <c r="G2837" s="4"/>
      <c r="H2837" s="4"/>
    </row>
    <row r="2838" spans="1:8" x14ac:dyDescent="0.3">
      <c r="A2838" s="1"/>
      <c r="G2838" s="4"/>
      <c r="H2838" s="4"/>
    </row>
    <row r="2839" spans="1:8" x14ac:dyDescent="0.3">
      <c r="A2839" s="1"/>
      <c r="G2839" s="4"/>
      <c r="H2839" s="4"/>
    </row>
    <row r="2840" spans="1:8" x14ac:dyDescent="0.3">
      <c r="A2840" s="1"/>
      <c r="G2840" s="4"/>
      <c r="H2840" s="4"/>
    </row>
    <row r="2841" spans="1:8" x14ac:dyDescent="0.3">
      <c r="A2841" s="1"/>
      <c r="G2841" s="4"/>
      <c r="H2841" s="4"/>
    </row>
    <row r="2842" spans="1:8" x14ac:dyDescent="0.3">
      <c r="A2842" s="1"/>
      <c r="G2842" s="4"/>
      <c r="H2842" s="4"/>
    </row>
    <row r="2843" spans="1:8" x14ac:dyDescent="0.3">
      <c r="A2843" s="1"/>
      <c r="G2843" s="4"/>
      <c r="H2843" s="4"/>
    </row>
    <row r="2844" spans="1:8" x14ac:dyDescent="0.3">
      <c r="A2844" s="1"/>
      <c r="G2844" s="4"/>
      <c r="H2844" s="4"/>
    </row>
    <row r="2845" spans="1:8" x14ac:dyDescent="0.3">
      <c r="A2845" s="1"/>
      <c r="G2845" s="4"/>
      <c r="H2845" s="4"/>
    </row>
    <row r="2846" spans="1:8" x14ac:dyDescent="0.3">
      <c r="A2846" s="1"/>
      <c r="G2846" s="4"/>
      <c r="H2846" s="4"/>
    </row>
    <row r="2847" spans="1:8" x14ac:dyDescent="0.3">
      <c r="A2847" s="1"/>
      <c r="G2847" s="4"/>
      <c r="H2847" s="4"/>
    </row>
    <row r="2848" spans="1:8" x14ac:dyDescent="0.3">
      <c r="A2848" s="1"/>
      <c r="G2848" s="4"/>
      <c r="H2848" s="4"/>
    </row>
    <row r="2849" spans="1:8" x14ac:dyDescent="0.3">
      <c r="A2849" s="1"/>
      <c r="G2849" s="4"/>
      <c r="H2849" s="4"/>
    </row>
    <row r="2850" spans="1:8" x14ac:dyDescent="0.3">
      <c r="A2850" s="1"/>
      <c r="G2850" s="4"/>
      <c r="H2850" s="4"/>
    </row>
    <row r="2851" spans="1:8" x14ac:dyDescent="0.3">
      <c r="A2851" s="1"/>
      <c r="G2851" s="4"/>
      <c r="H2851" s="4"/>
    </row>
    <row r="2852" spans="1:8" x14ac:dyDescent="0.3">
      <c r="A2852" s="1"/>
      <c r="G2852" s="4"/>
      <c r="H2852" s="4"/>
    </row>
    <row r="2853" spans="1:8" x14ac:dyDescent="0.3">
      <c r="A2853" s="1"/>
      <c r="G2853" s="4"/>
      <c r="H2853" s="4"/>
    </row>
    <row r="2854" spans="1:8" x14ac:dyDescent="0.3">
      <c r="A2854" s="1"/>
      <c r="G2854" s="4"/>
      <c r="H2854" s="4"/>
    </row>
    <row r="2855" spans="1:8" x14ac:dyDescent="0.3">
      <c r="A2855" s="1"/>
      <c r="G2855" s="4"/>
      <c r="H2855" s="4"/>
    </row>
    <row r="2856" spans="1:8" x14ac:dyDescent="0.3">
      <c r="A2856" s="1"/>
      <c r="G2856" s="4"/>
      <c r="H2856" s="4"/>
    </row>
    <row r="2857" spans="1:8" x14ac:dyDescent="0.3">
      <c r="A2857" s="1"/>
      <c r="G2857" s="4"/>
      <c r="H2857" s="4"/>
    </row>
    <row r="2858" spans="1:8" x14ac:dyDescent="0.3">
      <c r="A2858" s="1"/>
      <c r="G2858" s="4"/>
      <c r="H2858" s="4"/>
    </row>
    <row r="2859" spans="1:8" x14ac:dyDescent="0.3">
      <c r="A2859" s="1"/>
      <c r="G2859" s="4"/>
      <c r="H2859" s="4"/>
    </row>
    <row r="2860" spans="1:8" x14ac:dyDescent="0.3">
      <c r="A2860" s="1"/>
      <c r="G2860" s="4"/>
      <c r="H2860" s="4"/>
    </row>
    <row r="2861" spans="1:8" x14ac:dyDescent="0.3">
      <c r="A2861" s="1"/>
      <c r="G2861" s="4"/>
      <c r="H2861" s="4"/>
    </row>
    <row r="2862" spans="1:8" x14ac:dyDescent="0.3">
      <c r="A2862" s="1"/>
      <c r="G2862" s="4"/>
      <c r="H2862" s="4"/>
    </row>
    <row r="2863" spans="1:8" x14ac:dyDescent="0.3">
      <c r="A2863" s="1"/>
      <c r="G2863" s="4"/>
      <c r="H2863" s="4"/>
    </row>
    <row r="2864" spans="1:8" x14ac:dyDescent="0.3">
      <c r="A2864" s="1"/>
      <c r="G2864" s="4"/>
      <c r="H2864" s="4"/>
    </row>
    <row r="2865" spans="1:8" x14ac:dyDescent="0.3">
      <c r="A2865" s="1"/>
      <c r="G2865" s="4"/>
      <c r="H2865" s="4"/>
    </row>
    <row r="2866" spans="1:8" x14ac:dyDescent="0.3">
      <c r="A2866" s="1"/>
      <c r="G2866" s="4"/>
      <c r="H2866" s="4"/>
    </row>
    <row r="2867" spans="1:8" x14ac:dyDescent="0.3">
      <c r="A2867" s="1"/>
      <c r="G2867" s="4"/>
      <c r="H2867" s="4"/>
    </row>
    <row r="2868" spans="1:8" x14ac:dyDescent="0.3">
      <c r="A2868" s="1"/>
      <c r="G2868" s="4"/>
      <c r="H2868" s="4"/>
    </row>
    <row r="2869" spans="1:8" x14ac:dyDescent="0.3">
      <c r="A2869" s="1"/>
      <c r="G2869" s="4"/>
      <c r="H2869" s="4"/>
    </row>
    <row r="2870" spans="1:8" x14ac:dyDescent="0.3">
      <c r="A2870" s="1"/>
      <c r="G2870" s="4"/>
      <c r="H2870" s="4"/>
    </row>
    <row r="2871" spans="1:8" x14ac:dyDescent="0.3">
      <c r="A2871" s="1"/>
      <c r="G2871" s="4"/>
      <c r="H2871" s="4"/>
    </row>
    <row r="2872" spans="1:8" x14ac:dyDescent="0.3">
      <c r="A2872" s="1"/>
      <c r="G2872" s="4"/>
      <c r="H2872" s="4"/>
    </row>
    <row r="2873" spans="1:8" x14ac:dyDescent="0.3">
      <c r="A2873" s="1"/>
      <c r="G2873" s="4"/>
      <c r="H2873" s="4"/>
    </row>
    <row r="2874" spans="1:8" x14ac:dyDescent="0.3">
      <c r="A2874" s="1"/>
      <c r="G2874" s="4"/>
      <c r="H2874" s="4"/>
    </row>
    <row r="2875" spans="1:8" x14ac:dyDescent="0.3">
      <c r="A2875" s="1"/>
      <c r="G2875" s="4"/>
      <c r="H2875" s="4"/>
    </row>
    <row r="2876" spans="1:8" x14ac:dyDescent="0.3">
      <c r="A2876" s="1"/>
      <c r="G2876" s="4"/>
      <c r="H2876" s="4"/>
    </row>
    <row r="2877" spans="1:8" x14ac:dyDescent="0.3">
      <c r="A2877" s="1"/>
      <c r="G2877" s="4"/>
      <c r="H2877" s="4"/>
    </row>
    <row r="2878" spans="1:8" x14ac:dyDescent="0.3">
      <c r="A2878" s="1"/>
      <c r="G2878" s="4"/>
      <c r="H2878" s="4"/>
    </row>
    <row r="2879" spans="1:8" x14ac:dyDescent="0.3">
      <c r="A2879" s="1"/>
      <c r="G2879" s="4"/>
      <c r="H2879" s="4"/>
    </row>
    <row r="2880" spans="1:8" x14ac:dyDescent="0.3">
      <c r="A2880" s="1"/>
      <c r="G2880" s="4"/>
      <c r="H2880" s="4"/>
    </row>
    <row r="2881" spans="1:8" x14ac:dyDescent="0.3">
      <c r="A2881" s="1"/>
      <c r="G2881" s="4"/>
      <c r="H2881" s="4"/>
    </row>
    <row r="2882" spans="1:8" x14ac:dyDescent="0.3">
      <c r="A2882" s="1"/>
      <c r="G2882" s="4"/>
      <c r="H2882" s="4"/>
    </row>
    <row r="2883" spans="1:8" x14ac:dyDescent="0.3">
      <c r="A2883" s="1"/>
      <c r="G2883" s="4"/>
      <c r="H2883" s="4"/>
    </row>
    <row r="2884" spans="1:8" x14ac:dyDescent="0.3">
      <c r="A2884" s="1"/>
      <c r="G2884" s="4"/>
      <c r="H2884" s="4"/>
    </row>
    <row r="2885" spans="1:8" x14ac:dyDescent="0.3">
      <c r="A2885" s="1"/>
      <c r="G2885" s="4"/>
      <c r="H2885" s="4"/>
    </row>
    <row r="2886" spans="1:8" x14ac:dyDescent="0.3">
      <c r="A2886" s="1"/>
      <c r="G2886" s="4"/>
      <c r="H2886" s="4"/>
    </row>
    <row r="2887" spans="1:8" x14ac:dyDescent="0.3">
      <c r="A2887" s="1"/>
      <c r="G2887" s="4"/>
      <c r="H2887" s="4"/>
    </row>
    <row r="2888" spans="1:8" x14ac:dyDescent="0.3">
      <c r="A2888" s="1"/>
      <c r="G2888" s="4"/>
      <c r="H2888" s="4"/>
    </row>
    <row r="2889" spans="1:8" x14ac:dyDescent="0.3">
      <c r="A2889" s="1"/>
      <c r="G2889" s="4"/>
      <c r="H2889" s="4"/>
    </row>
    <row r="2890" spans="1:8" x14ac:dyDescent="0.3">
      <c r="A2890" s="1"/>
      <c r="G2890" s="4"/>
      <c r="H2890" s="4"/>
    </row>
    <row r="2891" spans="1:8" x14ac:dyDescent="0.3">
      <c r="A2891" s="1"/>
      <c r="G2891" s="4"/>
      <c r="H2891" s="4"/>
    </row>
    <row r="2892" spans="1:8" x14ac:dyDescent="0.3">
      <c r="A2892" s="1"/>
      <c r="G2892" s="4"/>
      <c r="H2892" s="4"/>
    </row>
    <row r="2893" spans="1:8" x14ac:dyDescent="0.3">
      <c r="A2893" s="1"/>
      <c r="G2893" s="4"/>
      <c r="H2893" s="4"/>
    </row>
    <row r="2894" spans="1:8" x14ac:dyDescent="0.3">
      <c r="A2894" s="1"/>
      <c r="G2894" s="4"/>
      <c r="H2894" s="4"/>
    </row>
    <row r="2895" spans="1:8" x14ac:dyDescent="0.3">
      <c r="A2895" s="1"/>
      <c r="G2895" s="4"/>
      <c r="H2895" s="4"/>
    </row>
    <row r="2896" spans="1:8" x14ac:dyDescent="0.3">
      <c r="A2896" s="1"/>
      <c r="G2896" s="4"/>
      <c r="H2896" s="4"/>
    </row>
    <row r="2897" spans="1:8" x14ac:dyDescent="0.3">
      <c r="A2897" s="1"/>
      <c r="G2897" s="4"/>
      <c r="H2897" s="4"/>
    </row>
    <row r="2898" spans="1:8" x14ac:dyDescent="0.3">
      <c r="A2898" s="1"/>
      <c r="G2898" s="4"/>
      <c r="H2898" s="4"/>
    </row>
    <row r="2899" spans="1:8" x14ac:dyDescent="0.3">
      <c r="A2899" s="1"/>
      <c r="G2899" s="4"/>
      <c r="H2899" s="4"/>
    </row>
    <row r="2900" spans="1:8" x14ac:dyDescent="0.3">
      <c r="A2900" s="1"/>
      <c r="G2900" s="4"/>
      <c r="H2900" s="4"/>
    </row>
    <row r="2901" spans="1:8" x14ac:dyDescent="0.3">
      <c r="A2901" s="1"/>
      <c r="G2901" s="4"/>
      <c r="H2901" s="4"/>
    </row>
    <row r="2902" spans="1:8" x14ac:dyDescent="0.3">
      <c r="A2902" s="1"/>
      <c r="G2902" s="4"/>
      <c r="H2902" s="4"/>
    </row>
    <row r="2903" spans="1:8" x14ac:dyDescent="0.3">
      <c r="A2903" s="1"/>
      <c r="G2903" s="4"/>
      <c r="H2903" s="4"/>
    </row>
    <row r="2904" spans="1:8" x14ac:dyDescent="0.3">
      <c r="A2904" s="1"/>
      <c r="G2904" s="4"/>
      <c r="H2904" s="4"/>
    </row>
    <row r="2905" spans="1:8" x14ac:dyDescent="0.3">
      <c r="A2905" s="1"/>
      <c r="G2905" s="4"/>
      <c r="H2905" s="4"/>
    </row>
    <row r="2906" spans="1:8" x14ac:dyDescent="0.3">
      <c r="A2906" s="1"/>
      <c r="G2906" s="4"/>
      <c r="H2906" s="4"/>
    </row>
    <row r="2907" spans="1:8" x14ac:dyDescent="0.3">
      <c r="A2907" s="1"/>
      <c r="G2907" s="4"/>
      <c r="H2907" s="4"/>
    </row>
    <row r="2908" spans="1:8" x14ac:dyDescent="0.3">
      <c r="A2908" s="1"/>
      <c r="G2908" s="4"/>
      <c r="H2908" s="4"/>
    </row>
    <row r="2909" spans="1:8" x14ac:dyDescent="0.3">
      <c r="A2909" s="1"/>
      <c r="G2909" s="4"/>
      <c r="H2909" s="4"/>
    </row>
    <row r="2910" spans="1:8" x14ac:dyDescent="0.3">
      <c r="A2910" s="1"/>
      <c r="G2910" s="4"/>
      <c r="H2910" s="4"/>
    </row>
    <row r="2911" spans="1:8" x14ac:dyDescent="0.3">
      <c r="A2911" s="1"/>
      <c r="G2911" s="4"/>
      <c r="H2911" s="4"/>
    </row>
    <row r="2912" spans="1:8" x14ac:dyDescent="0.3">
      <c r="A2912" s="1"/>
      <c r="G2912" s="4"/>
      <c r="H2912" s="4"/>
    </row>
    <row r="2913" spans="1:8" x14ac:dyDescent="0.3">
      <c r="A2913" s="1"/>
      <c r="G2913" s="4"/>
      <c r="H2913" s="4"/>
    </row>
    <row r="2914" spans="1:8" x14ac:dyDescent="0.3">
      <c r="A2914" s="1"/>
      <c r="G2914" s="4"/>
      <c r="H2914" s="4"/>
    </row>
    <row r="2915" spans="1:8" x14ac:dyDescent="0.3">
      <c r="A2915" s="1"/>
      <c r="G2915" s="4"/>
      <c r="H2915" s="4"/>
    </row>
    <row r="2916" spans="1:8" x14ac:dyDescent="0.3">
      <c r="A2916" s="1"/>
      <c r="G2916" s="4"/>
      <c r="H2916" s="4"/>
    </row>
    <row r="2917" spans="1:8" x14ac:dyDescent="0.3">
      <c r="A2917" s="1"/>
      <c r="G2917" s="4"/>
      <c r="H2917" s="4"/>
    </row>
    <row r="2918" spans="1:8" x14ac:dyDescent="0.3">
      <c r="A2918" s="1"/>
      <c r="G2918" s="4"/>
      <c r="H2918" s="4"/>
    </row>
    <row r="2919" spans="1:8" x14ac:dyDescent="0.3">
      <c r="A2919" s="1"/>
      <c r="G2919" s="4"/>
      <c r="H2919" s="4"/>
    </row>
    <row r="2920" spans="1:8" x14ac:dyDescent="0.3">
      <c r="A2920" s="1"/>
      <c r="G2920" s="4"/>
      <c r="H2920" s="4"/>
    </row>
    <row r="2921" spans="1:8" x14ac:dyDescent="0.3">
      <c r="A2921" s="1"/>
      <c r="G2921" s="4"/>
      <c r="H2921" s="4"/>
    </row>
    <row r="2922" spans="1:8" x14ac:dyDescent="0.3">
      <c r="A2922" s="1"/>
      <c r="G2922" s="4"/>
      <c r="H2922" s="4"/>
    </row>
    <row r="2923" spans="1:8" x14ac:dyDescent="0.3">
      <c r="A2923" s="1"/>
      <c r="G2923" s="4"/>
      <c r="H2923" s="4"/>
    </row>
    <row r="2924" spans="1:8" x14ac:dyDescent="0.3">
      <c r="A2924" s="1"/>
      <c r="G2924" s="4"/>
      <c r="H2924" s="4"/>
    </row>
    <row r="2925" spans="1:8" x14ac:dyDescent="0.3">
      <c r="A2925" s="1"/>
      <c r="G2925" s="4"/>
      <c r="H2925" s="4"/>
    </row>
    <row r="2926" spans="1:8" x14ac:dyDescent="0.3">
      <c r="A2926" s="1"/>
      <c r="G2926" s="4"/>
      <c r="H2926" s="4"/>
    </row>
    <row r="2927" spans="1:8" x14ac:dyDescent="0.3">
      <c r="A2927" s="1"/>
      <c r="G2927" s="4"/>
      <c r="H2927" s="4"/>
    </row>
    <row r="2928" spans="1:8" x14ac:dyDescent="0.3">
      <c r="A2928" s="1"/>
      <c r="G2928" s="4"/>
      <c r="H2928" s="4"/>
    </row>
    <row r="2929" spans="1:8" x14ac:dyDescent="0.3">
      <c r="A2929" s="1"/>
      <c r="G2929" s="4"/>
      <c r="H2929" s="4"/>
    </row>
    <row r="2930" spans="1:8" x14ac:dyDescent="0.3">
      <c r="A2930" s="1"/>
      <c r="G2930" s="4"/>
      <c r="H2930" s="4"/>
    </row>
    <row r="2931" spans="1:8" x14ac:dyDescent="0.3">
      <c r="A2931" s="1"/>
      <c r="G2931" s="4"/>
      <c r="H2931" s="4"/>
    </row>
    <row r="2932" spans="1:8" x14ac:dyDescent="0.3">
      <c r="A2932" s="1"/>
      <c r="G2932" s="4"/>
      <c r="H2932" s="4"/>
    </row>
    <row r="2933" spans="1:8" x14ac:dyDescent="0.3">
      <c r="A2933" s="1"/>
      <c r="G2933" s="4"/>
      <c r="H2933" s="4"/>
    </row>
    <row r="2934" spans="1:8" x14ac:dyDescent="0.3">
      <c r="A2934" s="1"/>
      <c r="G2934" s="4"/>
      <c r="H2934" s="4"/>
    </row>
    <row r="2935" spans="1:8" x14ac:dyDescent="0.3">
      <c r="A2935" s="1"/>
      <c r="G2935" s="4"/>
      <c r="H2935" s="4"/>
    </row>
    <row r="2936" spans="1:8" x14ac:dyDescent="0.3">
      <c r="A2936" s="1"/>
      <c r="G2936" s="4"/>
      <c r="H2936" s="4"/>
    </row>
    <row r="2937" spans="1:8" x14ac:dyDescent="0.3">
      <c r="A2937" s="1"/>
      <c r="G2937" s="4"/>
      <c r="H2937" s="4"/>
    </row>
    <row r="2938" spans="1:8" x14ac:dyDescent="0.3">
      <c r="A2938" s="1"/>
      <c r="G2938" s="4"/>
      <c r="H2938" s="4"/>
    </row>
    <row r="2939" spans="1:8" x14ac:dyDescent="0.3">
      <c r="A2939" s="1"/>
      <c r="G2939" s="4"/>
      <c r="H2939" s="4"/>
    </row>
    <row r="2940" spans="1:8" x14ac:dyDescent="0.3">
      <c r="A2940" s="1"/>
      <c r="G2940" s="4"/>
      <c r="H2940" s="4"/>
    </row>
    <row r="2941" spans="1:8" x14ac:dyDescent="0.3">
      <c r="A2941" s="1"/>
      <c r="G2941" s="4"/>
      <c r="H2941" s="4"/>
    </row>
    <row r="2942" spans="1:8" x14ac:dyDescent="0.3">
      <c r="A2942" s="1"/>
      <c r="G2942" s="4"/>
      <c r="H2942" s="4"/>
    </row>
    <row r="2943" spans="1:8" x14ac:dyDescent="0.3">
      <c r="A2943" s="1"/>
      <c r="G2943" s="4"/>
      <c r="H2943" s="4"/>
    </row>
    <row r="2944" spans="1:8" x14ac:dyDescent="0.3">
      <c r="A2944" s="1"/>
      <c r="G2944" s="4"/>
      <c r="H2944" s="4"/>
    </row>
    <row r="2945" spans="1:8" x14ac:dyDescent="0.3">
      <c r="A2945" s="1"/>
      <c r="G2945" s="4"/>
      <c r="H2945" s="4"/>
    </row>
    <row r="2946" spans="1:8" x14ac:dyDescent="0.3">
      <c r="A2946" s="1"/>
      <c r="G2946" s="4"/>
      <c r="H2946" s="4"/>
    </row>
    <row r="2947" spans="1:8" x14ac:dyDescent="0.3">
      <c r="A2947" s="1"/>
      <c r="G2947" s="4"/>
      <c r="H2947" s="4"/>
    </row>
    <row r="2948" spans="1:8" x14ac:dyDescent="0.3">
      <c r="A2948" s="1"/>
      <c r="G2948" s="4"/>
      <c r="H2948" s="4"/>
    </row>
    <row r="2949" spans="1:8" x14ac:dyDescent="0.3">
      <c r="A2949" s="1"/>
      <c r="G2949" s="4"/>
      <c r="H2949" s="4"/>
    </row>
    <row r="2950" spans="1:8" x14ac:dyDescent="0.3">
      <c r="A2950" s="1"/>
      <c r="G2950" s="4"/>
      <c r="H2950" s="4"/>
    </row>
    <row r="2951" spans="1:8" x14ac:dyDescent="0.3">
      <c r="A2951" s="1"/>
      <c r="G2951" s="4"/>
      <c r="H2951" s="4"/>
    </row>
    <row r="2952" spans="1:8" x14ac:dyDescent="0.3">
      <c r="A2952" s="1"/>
      <c r="G2952" s="4"/>
      <c r="H2952" s="4"/>
    </row>
    <row r="2953" spans="1:8" x14ac:dyDescent="0.3">
      <c r="A2953" s="1"/>
      <c r="G2953" s="4"/>
      <c r="H2953" s="4"/>
    </row>
    <row r="2954" spans="1:8" x14ac:dyDescent="0.3">
      <c r="A2954" s="1"/>
      <c r="G2954" s="4"/>
      <c r="H2954" s="4"/>
    </row>
    <row r="2955" spans="1:8" x14ac:dyDescent="0.3">
      <c r="A2955" s="1"/>
      <c r="G2955" s="4"/>
      <c r="H2955" s="4"/>
    </row>
    <row r="2956" spans="1:8" x14ac:dyDescent="0.3">
      <c r="A2956" s="1"/>
      <c r="G2956" s="4"/>
      <c r="H2956" s="4"/>
    </row>
    <row r="2957" spans="1:8" x14ac:dyDescent="0.3">
      <c r="A2957" s="1"/>
      <c r="G2957" s="4"/>
      <c r="H2957" s="4"/>
    </row>
    <row r="2958" spans="1:8" x14ac:dyDescent="0.3">
      <c r="A2958" s="1"/>
      <c r="G2958" s="4"/>
      <c r="H2958" s="4"/>
    </row>
    <row r="2959" spans="1:8" x14ac:dyDescent="0.3">
      <c r="A2959" s="1"/>
      <c r="G2959" s="4"/>
      <c r="H2959" s="4"/>
    </row>
    <row r="2960" spans="1:8" x14ac:dyDescent="0.3">
      <c r="A2960" s="1"/>
      <c r="G2960" s="4"/>
      <c r="H2960" s="4"/>
    </row>
    <row r="2961" spans="1:8" x14ac:dyDescent="0.3">
      <c r="A2961" s="1"/>
      <c r="G2961" s="4"/>
      <c r="H2961" s="4"/>
    </row>
    <row r="2962" spans="1:8" x14ac:dyDescent="0.3">
      <c r="A2962" s="1"/>
      <c r="G2962" s="4"/>
      <c r="H2962" s="4"/>
    </row>
    <row r="2963" spans="1:8" x14ac:dyDescent="0.3">
      <c r="A2963" s="1"/>
      <c r="G2963" s="4"/>
      <c r="H2963" s="4"/>
    </row>
    <row r="2964" spans="1:8" x14ac:dyDescent="0.3">
      <c r="A2964" s="1"/>
      <c r="G2964" s="4"/>
      <c r="H2964" s="4"/>
    </row>
    <row r="2965" spans="1:8" x14ac:dyDescent="0.3">
      <c r="A2965" s="1"/>
      <c r="G2965" s="4"/>
      <c r="H2965" s="4"/>
    </row>
    <row r="2966" spans="1:8" x14ac:dyDescent="0.3">
      <c r="A2966" s="1"/>
      <c r="G2966" s="4"/>
      <c r="H2966" s="4"/>
    </row>
    <row r="2967" spans="1:8" x14ac:dyDescent="0.3">
      <c r="A2967" s="1"/>
      <c r="G2967" s="4"/>
      <c r="H2967" s="4"/>
    </row>
    <row r="2968" spans="1:8" x14ac:dyDescent="0.3">
      <c r="A2968" s="1"/>
      <c r="G2968" s="4"/>
      <c r="H2968" s="4"/>
    </row>
    <row r="2969" spans="1:8" x14ac:dyDescent="0.3">
      <c r="A2969" s="1"/>
      <c r="G2969" s="4"/>
      <c r="H2969" s="4"/>
    </row>
    <row r="2970" spans="1:8" x14ac:dyDescent="0.3">
      <c r="A2970" s="1"/>
      <c r="G2970" s="4"/>
      <c r="H2970" s="4"/>
    </row>
    <row r="2971" spans="1:8" x14ac:dyDescent="0.3">
      <c r="A2971" s="1"/>
      <c r="G2971" s="4"/>
      <c r="H2971" s="4"/>
    </row>
    <row r="2972" spans="1:8" x14ac:dyDescent="0.3">
      <c r="A2972" s="1"/>
      <c r="G2972" s="4"/>
      <c r="H2972" s="4"/>
    </row>
    <row r="2973" spans="1:8" x14ac:dyDescent="0.3">
      <c r="A2973" s="1"/>
      <c r="G2973" s="4"/>
      <c r="H2973" s="4"/>
    </row>
    <row r="2974" spans="1:8" x14ac:dyDescent="0.3">
      <c r="A2974" s="1"/>
      <c r="G2974" s="4"/>
      <c r="H2974" s="4"/>
    </row>
    <row r="2975" spans="1:8" x14ac:dyDescent="0.3">
      <c r="A2975" s="1"/>
      <c r="G2975" s="4"/>
      <c r="H2975" s="4"/>
    </row>
    <row r="2976" spans="1:8" x14ac:dyDescent="0.3">
      <c r="A2976" s="1"/>
      <c r="G2976" s="4"/>
      <c r="H2976" s="4"/>
    </row>
    <row r="2977" spans="1:8" x14ac:dyDescent="0.3">
      <c r="A2977" s="1"/>
      <c r="G2977" s="4"/>
      <c r="H2977" s="4"/>
    </row>
    <row r="2978" spans="1:8" x14ac:dyDescent="0.3">
      <c r="A2978" s="1"/>
      <c r="G2978" s="4"/>
      <c r="H2978" s="4"/>
    </row>
    <row r="2979" spans="1:8" x14ac:dyDescent="0.3">
      <c r="A2979" s="1"/>
      <c r="G2979" s="4"/>
      <c r="H2979" s="4"/>
    </row>
    <row r="2980" spans="1:8" x14ac:dyDescent="0.3">
      <c r="A2980" s="1"/>
      <c r="G2980" s="4"/>
      <c r="H2980" s="4"/>
    </row>
    <row r="2981" spans="1:8" x14ac:dyDescent="0.3">
      <c r="A2981" s="1"/>
      <c r="G2981" s="4"/>
      <c r="H2981" s="4"/>
    </row>
    <row r="2982" spans="1:8" x14ac:dyDescent="0.3">
      <c r="A2982" s="1"/>
      <c r="G2982" s="4"/>
      <c r="H2982" s="4"/>
    </row>
    <row r="2983" spans="1:8" x14ac:dyDescent="0.3">
      <c r="A2983" s="1"/>
      <c r="G2983" s="4"/>
      <c r="H2983" s="4"/>
    </row>
    <row r="2984" spans="1:8" x14ac:dyDescent="0.3">
      <c r="A2984" s="1"/>
      <c r="G2984" s="4"/>
      <c r="H2984" s="4"/>
    </row>
    <row r="2985" spans="1:8" x14ac:dyDescent="0.3">
      <c r="A2985" s="1"/>
      <c r="G2985" s="4"/>
      <c r="H2985" s="4"/>
    </row>
    <row r="2986" spans="1:8" x14ac:dyDescent="0.3">
      <c r="A2986" s="1"/>
      <c r="G2986" s="4"/>
      <c r="H2986" s="4"/>
    </row>
    <row r="2987" spans="1:8" x14ac:dyDescent="0.3">
      <c r="A2987" s="1"/>
      <c r="G2987" s="4"/>
      <c r="H2987" s="4"/>
    </row>
    <row r="2988" spans="1:8" x14ac:dyDescent="0.3">
      <c r="A2988" s="1"/>
      <c r="G2988" s="4"/>
      <c r="H2988" s="4"/>
    </row>
    <row r="2989" spans="1:8" x14ac:dyDescent="0.3">
      <c r="A2989" s="1"/>
      <c r="G2989" s="4"/>
      <c r="H2989" s="4"/>
    </row>
    <row r="2990" spans="1:8" x14ac:dyDescent="0.3">
      <c r="A2990" s="1"/>
      <c r="G2990" s="4"/>
      <c r="H2990" s="4"/>
    </row>
    <row r="2991" spans="1:8" x14ac:dyDescent="0.3">
      <c r="A2991" s="1"/>
      <c r="G2991" s="4"/>
      <c r="H2991" s="4"/>
    </row>
    <row r="2992" spans="1:8" x14ac:dyDescent="0.3">
      <c r="A2992" s="1"/>
      <c r="G2992" s="4"/>
      <c r="H2992" s="4"/>
    </row>
    <row r="2993" spans="1:8" x14ac:dyDescent="0.3">
      <c r="A2993" s="1"/>
      <c r="G2993" s="4"/>
      <c r="H2993" s="4"/>
    </row>
    <row r="2994" spans="1:8" x14ac:dyDescent="0.3">
      <c r="A2994" s="1"/>
      <c r="G2994" s="4"/>
      <c r="H2994" s="4"/>
    </row>
    <row r="2995" spans="1:8" x14ac:dyDescent="0.3">
      <c r="A2995" s="1"/>
      <c r="G2995" s="4"/>
      <c r="H2995" s="4"/>
    </row>
    <row r="2996" spans="1:8" x14ac:dyDescent="0.3">
      <c r="A2996" s="1"/>
      <c r="G2996" s="4"/>
      <c r="H2996" s="4"/>
    </row>
    <row r="2997" spans="1:8" x14ac:dyDescent="0.3">
      <c r="A2997" s="1"/>
      <c r="G2997" s="4"/>
      <c r="H2997" s="4"/>
    </row>
    <row r="2998" spans="1:8" x14ac:dyDescent="0.3">
      <c r="A2998" s="1"/>
      <c r="G2998" s="4"/>
      <c r="H2998" s="4"/>
    </row>
    <row r="2999" spans="1:8" x14ac:dyDescent="0.3">
      <c r="A2999" s="1"/>
      <c r="G2999" s="4"/>
      <c r="H2999" s="4"/>
    </row>
    <row r="3000" spans="1:8" x14ac:dyDescent="0.3">
      <c r="A3000" s="1"/>
      <c r="G3000" s="4"/>
      <c r="H3000" s="4"/>
    </row>
    <row r="3001" spans="1:8" x14ac:dyDescent="0.3">
      <c r="A3001" s="1"/>
      <c r="G3001" s="4"/>
      <c r="H3001" s="4"/>
    </row>
    <row r="3002" spans="1:8" x14ac:dyDescent="0.3">
      <c r="A3002" s="1"/>
      <c r="G3002" s="4"/>
      <c r="H3002" s="4"/>
    </row>
    <row r="3003" spans="1:8" x14ac:dyDescent="0.3">
      <c r="A3003" s="1"/>
      <c r="G3003" s="4"/>
      <c r="H3003" s="4"/>
    </row>
    <row r="3004" spans="1:8" x14ac:dyDescent="0.3">
      <c r="A3004" s="1"/>
      <c r="G3004" s="4"/>
      <c r="H3004" s="4"/>
    </row>
    <row r="3005" spans="1:8" x14ac:dyDescent="0.3">
      <c r="A3005" s="1"/>
      <c r="G3005" s="4"/>
      <c r="H3005" s="4"/>
    </row>
    <row r="3006" spans="1:8" x14ac:dyDescent="0.3">
      <c r="A3006" s="1"/>
      <c r="G3006" s="4"/>
      <c r="H3006" s="4"/>
    </row>
    <row r="3007" spans="1:8" x14ac:dyDescent="0.3">
      <c r="A3007" s="1"/>
      <c r="G3007" s="4"/>
      <c r="H3007" s="4"/>
    </row>
    <row r="3008" spans="1:8" x14ac:dyDescent="0.3">
      <c r="A3008" s="1"/>
      <c r="G3008" s="4"/>
      <c r="H3008" s="4"/>
    </row>
    <row r="3009" spans="1:8" x14ac:dyDescent="0.3">
      <c r="A3009" s="1"/>
      <c r="G3009" s="4"/>
      <c r="H3009" s="4"/>
    </row>
    <row r="3010" spans="1:8" x14ac:dyDescent="0.3">
      <c r="A3010" s="1"/>
      <c r="G3010" s="4"/>
      <c r="H3010" s="4"/>
    </row>
    <row r="3011" spans="1:8" x14ac:dyDescent="0.3">
      <c r="A3011" s="1"/>
      <c r="G3011" s="4"/>
      <c r="H3011" s="4"/>
    </row>
    <row r="3012" spans="1:8" x14ac:dyDescent="0.3">
      <c r="A3012" s="1"/>
      <c r="G3012" s="4"/>
      <c r="H3012" s="4"/>
    </row>
    <row r="3013" spans="1:8" x14ac:dyDescent="0.3">
      <c r="A3013" s="1"/>
      <c r="G3013" s="4"/>
      <c r="H3013" s="4"/>
    </row>
    <row r="3014" spans="1:8" x14ac:dyDescent="0.3">
      <c r="A3014" s="1"/>
      <c r="G3014" s="4"/>
      <c r="H3014" s="4"/>
    </row>
    <row r="3015" spans="1:8" x14ac:dyDescent="0.3">
      <c r="A3015" s="1"/>
      <c r="G3015" s="4"/>
      <c r="H3015" s="4"/>
    </row>
    <row r="3016" spans="1:8" x14ac:dyDescent="0.3">
      <c r="A3016" s="1"/>
      <c r="G3016" s="4"/>
      <c r="H3016" s="4"/>
    </row>
    <row r="3017" spans="1:8" x14ac:dyDescent="0.3">
      <c r="A3017" s="1"/>
      <c r="G3017" s="4"/>
      <c r="H3017" s="4"/>
    </row>
    <row r="3018" spans="1:8" x14ac:dyDescent="0.3">
      <c r="A3018" s="1"/>
      <c r="G3018" s="4"/>
      <c r="H3018" s="4"/>
    </row>
    <row r="3019" spans="1:8" x14ac:dyDescent="0.3">
      <c r="A3019" s="1"/>
      <c r="G3019" s="4"/>
      <c r="H3019" s="4"/>
    </row>
    <row r="3020" spans="1:8" x14ac:dyDescent="0.3">
      <c r="A3020" s="1"/>
      <c r="G3020" s="4"/>
      <c r="H3020" s="4"/>
    </row>
    <row r="3021" spans="1:8" x14ac:dyDescent="0.3">
      <c r="A3021" s="1"/>
      <c r="G3021" s="4"/>
      <c r="H3021" s="4"/>
    </row>
    <row r="3022" spans="1:8" x14ac:dyDescent="0.3">
      <c r="A3022" s="1"/>
      <c r="G3022" s="4"/>
      <c r="H3022" s="4"/>
    </row>
    <row r="3023" spans="1:8" x14ac:dyDescent="0.3">
      <c r="A3023" s="1"/>
      <c r="G3023" s="4"/>
      <c r="H3023" s="4"/>
    </row>
    <row r="3024" spans="1:8" x14ac:dyDescent="0.3">
      <c r="A3024" s="1"/>
      <c r="G3024" s="4"/>
      <c r="H3024" s="4"/>
    </row>
    <row r="3025" spans="1:8" x14ac:dyDescent="0.3">
      <c r="A3025" s="1"/>
      <c r="G3025" s="4"/>
      <c r="H3025" s="4"/>
    </row>
    <row r="3026" spans="1:8" x14ac:dyDescent="0.3">
      <c r="A3026" s="1"/>
      <c r="G3026" s="4"/>
      <c r="H3026" s="4"/>
    </row>
    <row r="3027" spans="1:8" x14ac:dyDescent="0.3">
      <c r="A3027" s="1"/>
      <c r="G3027" s="4"/>
      <c r="H3027" s="4"/>
    </row>
    <row r="3028" spans="1:8" x14ac:dyDescent="0.3">
      <c r="A3028" s="1"/>
      <c r="G3028" s="4"/>
      <c r="H3028" s="4"/>
    </row>
    <row r="3029" spans="1:8" x14ac:dyDescent="0.3">
      <c r="A3029" s="1"/>
      <c r="G3029" s="4"/>
      <c r="H3029" s="4"/>
    </row>
    <row r="3030" spans="1:8" x14ac:dyDescent="0.3">
      <c r="A3030" s="1"/>
      <c r="G3030" s="4"/>
      <c r="H3030" s="4"/>
    </row>
    <row r="3031" spans="1:8" x14ac:dyDescent="0.3">
      <c r="A3031" s="1"/>
      <c r="G3031" s="4"/>
      <c r="H3031" s="4"/>
    </row>
    <row r="3032" spans="1:8" x14ac:dyDescent="0.3">
      <c r="A3032" s="1"/>
      <c r="G3032" s="4"/>
      <c r="H3032" s="4"/>
    </row>
    <row r="3033" spans="1:8" x14ac:dyDescent="0.3">
      <c r="A3033" s="1"/>
      <c r="G3033" s="4"/>
      <c r="H3033" s="4"/>
    </row>
    <row r="3034" spans="1:8" x14ac:dyDescent="0.3">
      <c r="A3034" s="1"/>
      <c r="G3034" s="4"/>
      <c r="H3034" s="4"/>
    </row>
    <row r="3035" spans="1:8" x14ac:dyDescent="0.3">
      <c r="A3035" s="1"/>
      <c r="G3035" s="4"/>
      <c r="H3035" s="4"/>
    </row>
    <row r="3036" spans="1:8" x14ac:dyDescent="0.3">
      <c r="A3036" s="1"/>
      <c r="G3036" s="4"/>
      <c r="H3036" s="4"/>
    </row>
    <row r="3037" spans="1:8" x14ac:dyDescent="0.3">
      <c r="A3037" s="1"/>
      <c r="G3037" s="4"/>
      <c r="H3037" s="4"/>
    </row>
    <row r="3038" spans="1:8" x14ac:dyDescent="0.3">
      <c r="A3038" s="1"/>
      <c r="G3038" s="4"/>
      <c r="H3038" s="4"/>
    </row>
    <row r="3039" spans="1:8" x14ac:dyDescent="0.3">
      <c r="A3039" s="1"/>
      <c r="G3039" s="4"/>
      <c r="H3039" s="4"/>
    </row>
    <row r="3040" spans="1:8" x14ac:dyDescent="0.3">
      <c r="A3040" s="1"/>
      <c r="G3040" s="4"/>
      <c r="H3040" s="4"/>
    </row>
    <row r="3041" spans="1:8" x14ac:dyDescent="0.3">
      <c r="A3041" s="1"/>
      <c r="G3041" s="4"/>
      <c r="H3041" s="4"/>
    </row>
    <row r="3042" spans="1:8" x14ac:dyDescent="0.3">
      <c r="A3042" s="1"/>
      <c r="G3042" s="4"/>
      <c r="H3042" s="4"/>
    </row>
    <row r="3043" spans="1:8" x14ac:dyDescent="0.3">
      <c r="A3043" s="1"/>
      <c r="G3043" s="4"/>
      <c r="H3043" s="4"/>
    </row>
    <row r="3044" spans="1:8" x14ac:dyDescent="0.3">
      <c r="A3044" s="1"/>
      <c r="G3044" s="4"/>
      <c r="H3044" s="4"/>
    </row>
    <row r="3045" spans="1:8" x14ac:dyDescent="0.3">
      <c r="A3045" s="1"/>
      <c r="G3045" s="4"/>
      <c r="H3045" s="4"/>
    </row>
    <row r="3046" spans="1:8" x14ac:dyDescent="0.3">
      <c r="A3046" s="1"/>
      <c r="G3046" s="4"/>
      <c r="H3046" s="4"/>
    </row>
    <row r="3047" spans="1:8" x14ac:dyDescent="0.3">
      <c r="A3047" s="1"/>
      <c r="G3047" s="4"/>
      <c r="H3047" s="4"/>
    </row>
    <row r="3048" spans="1:8" x14ac:dyDescent="0.3">
      <c r="A3048" s="1"/>
      <c r="G3048" s="4"/>
      <c r="H3048" s="4"/>
    </row>
    <row r="3049" spans="1:8" x14ac:dyDescent="0.3">
      <c r="A3049" s="1"/>
      <c r="G3049" s="4"/>
      <c r="H3049" s="4"/>
    </row>
    <row r="3050" spans="1:8" x14ac:dyDescent="0.3">
      <c r="A3050" s="1"/>
      <c r="G3050" s="4"/>
      <c r="H3050" s="4"/>
    </row>
    <row r="3051" spans="1:8" x14ac:dyDescent="0.3">
      <c r="A3051" s="1"/>
      <c r="G3051" s="4"/>
      <c r="H3051" s="4"/>
    </row>
    <row r="3052" spans="1:8" x14ac:dyDescent="0.3">
      <c r="A3052" s="1"/>
      <c r="G3052" s="4"/>
      <c r="H3052" s="4"/>
    </row>
    <row r="3053" spans="1:8" x14ac:dyDescent="0.3">
      <c r="A3053" s="1"/>
      <c r="G3053" s="4"/>
      <c r="H3053" s="4"/>
    </row>
    <row r="3054" spans="1:8" x14ac:dyDescent="0.3">
      <c r="A3054" s="1"/>
      <c r="G3054" s="4"/>
      <c r="H3054" s="4"/>
    </row>
    <row r="3055" spans="1:8" x14ac:dyDescent="0.3">
      <c r="A3055" s="1"/>
      <c r="G3055" s="4"/>
      <c r="H3055" s="4"/>
    </row>
    <row r="3056" spans="1:8" x14ac:dyDescent="0.3">
      <c r="A3056" s="1"/>
      <c r="G3056" s="4"/>
      <c r="H3056" s="4"/>
    </row>
    <row r="3057" spans="1:8" x14ac:dyDescent="0.3">
      <c r="A3057" s="1"/>
      <c r="G3057" s="4"/>
      <c r="H3057" s="4"/>
    </row>
    <row r="3058" spans="1:8" x14ac:dyDescent="0.3">
      <c r="A3058" s="1"/>
      <c r="G3058" s="4"/>
      <c r="H3058" s="4"/>
    </row>
    <row r="3059" spans="1:8" x14ac:dyDescent="0.3">
      <c r="A3059" s="1"/>
      <c r="G3059" s="4"/>
      <c r="H3059" s="4"/>
    </row>
    <row r="3060" spans="1:8" x14ac:dyDescent="0.3">
      <c r="A3060" s="1"/>
      <c r="G3060" s="4"/>
      <c r="H3060" s="4"/>
    </row>
    <row r="3061" spans="1:8" x14ac:dyDescent="0.3">
      <c r="A3061" s="1"/>
      <c r="G3061" s="4"/>
      <c r="H3061" s="4"/>
    </row>
    <row r="3062" spans="1:8" x14ac:dyDescent="0.3">
      <c r="A3062" s="1"/>
      <c r="G3062" s="4"/>
      <c r="H3062" s="4"/>
    </row>
    <row r="3063" spans="1:8" x14ac:dyDescent="0.3">
      <c r="A3063" s="1"/>
      <c r="G3063" s="4"/>
      <c r="H3063" s="4"/>
    </row>
    <row r="3064" spans="1:8" x14ac:dyDescent="0.3">
      <c r="A3064" s="1"/>
      <c r="G3064" s="4"/>
      <c r="H3064" s="4"/>
    </row>
    <row r="3065" spans="1:8" x14ac:dyDescent="0.3">
      <c r="A3065" s="1"/>
      <c r="G3065" s="4"/>
      <c r="H3065" s="4"/>
    </row>
    <row r="3066" spans="1:8" x14ac:dyDescent="0.3">
      <c r="A3066" s="1"/>
      <c r="G3066" s="4"/>
      <c r="H3066" s="4"/>
    </row>
    <row r="3067" spans="1:8" x14ac:dyDescent="0.3">
      <c r="A3067" s="1"/>
      <c r="G3067" s="4"/>
      <c r="H3067" s="4"/>
    </row>
    <row r="3068" spans="1:8" x14ac:dyDescent="0.3">
      <c r="A3068" s="1"/>
      <c r="G3068" s="4"/>
      <c r="H3068" s="4"/>
    </row>
    <row r="3069" spans="1:8" x14ac:dyDescent="0.3">
      <c r="A3069" s="1"/>
      <c r="G3069" s="4"/>
      <c r="H3069" s="4"/>
    </row>
    <row r="3070" spans="1:8" x14ac:dyDescent="0.3">
      <c r="A3070" s="1"/>
      <c r="G3070" s="4"/>
      <c r="H3070" s="4"/>
    </row>
    <row r="3071" spans="1:8" x14ac:dyDescent="0.3">
      <c r="A3071" s="1"/>
      <c r="G3071" s="4"/>
      <c r="H3071" s="4"/>
    </row>
    <row r="3072" spans="1:8" x14ac:dyDescent="0.3">
      <c r="A3072" s="1"/>
      <c r="G3072" s="4"/>
      <c r="H3072" s="4"/>
    </row>
    <row r="3073" spans="1:8" x14ac:dyDescent="0.3">
      <c r="A3073" s="1"/>
      <c r="G3073" s="4"/>
      <c r="H3073" s="4"/>
    </row>
    <row r="3074" spans="1:8" x14ac:dyDescent="0.3">
      <c r="A3074" s="1"/>
      <c r="G3074" s="4"/>
      <c r="H3074" s="4"/>
    </row>
    <row r="3075" spans="1:8" x14ac:dyDescent="0.3">
      <c r="A3075" s="1"/>
      <c r="G3075" s="4"/>
      <c r="H3075" s="4"/>
    </row>
    <row r="3076" spans="1:8" x14ac:dyDescent="0.3">
      <c r="A3076" s="1"/>
      <c r="G3076" s="4"/>
      <c r="H3076" s="4"/>
    </row>
    <row r="3077" spans="1:8" x14ac:dyDescent="0.3">
      <c r="A3077" s="1"/>
      <c r="G3077" s="4"/>
      <c r="H3077" s="4"/>
    </row>
    <row r="3078" spans="1:8" x14ac:dyDescent="0.3">
      <c r="A3078" s="1"/>
      <c r="G3078" s="4"/>
      <c r="H3078" s="4"/>
    </row>
    <row r="3079" spans="1:8" x14ac:dyDescent="0.3">
      <c r="A3079" s="1"/>
      <c r="G3079" s="4"/>
      <c r="H3079" s="4"/>
    </row>
    <row r="3080" spans="1:8" x14ac:dyDescent="0.3">
      <c r="A3080" s="1"/>
      <c r="G3080" s="4"/>
      <c r="H3080" s="4"/>
    </row>
    <row r="3081" spans="1:8" x14ac:dyDescent="0.3">
      <c r="A3081" s="1"/>
      <c r="G3081" s="4"/>
      <c r="H3081" s="4"/>
    </row>
    <row r="3082" spans="1:8" x14ac:dyDescent="0.3">
      <c r="A3082" s="1"/>
      <c r="G3082" s="4"/>
      <c r="H3082" s="4"/>
    </row>
    <row r="3083" spans="1:8" x14ac:dyDescent="0.3">
      <c r="A3083" s="1"/>
      <c r="G3083" s="4"/>
      <c r="H3083" s="4"/>
    </row>
    <row r="3084" spans="1:8" x14ac:dyDescent="0.3">
      <c r="A3084" s="1"/>
      <c r="G3084" s="4"/>
      <c r="H3084" s="4"/>
    </row>
    <row r="3085" spans="1:8" x14ac:dyDescent="0.3">
      <c r="A3085" s="1"/>
      <c r="G3085" s="4"/>
      <c r="H3085" s="4"/>
    </row>
    <row r="3086" spans="1:8" x14ac:dyDescent="0.3">
      <c r="A3086" s="1"/>
      <c r="G3086" s="4"/>
      <c r="H3086" s="4"/>
    </row>
    <row r="3087" spans="1:8" x14ac:dyDescent="0.3">
      <c r="A3087" s="1"/>
      <c r="G3087" s="4"/>
      <c r="H3087" s="4"/>
    </row>
    <row r="3088" spans="1:8" x14ac:dyDescent="0.3">
      <c r="A3088" s="1"/>
      <c r="G3088" s="4"/>
      <c r="H3088" s="4"/>
    </row>
    <row r="3089" spans="1:8" x14ac:dyDescent="0.3">
      <c r="A3089" s="1"/>
      <c r="G3089" s="4"/>
      <c r="H3089" s="4"/>
    </row>
    <row r="3090" spans="1:8" x14ac:dyDescent="0.3">
      <c r="A3090" s="1"/>
      <c r="G3090" s="4"/>
      <c r="H3090" s="4"/>
    </row>
    <row r="3091" spans="1:8" x14ac:dyDescent="0.3">
      <c r="A3091" s="1"/>
      <c r="G3091" s="4"/>
      <c r="H3091" s="4"/>
    </row>
    <row r="3092" spans="1:8" x14ac:dyDescent="0.3">
      <c r="A3092" s="1"/>
      <c r="G3092" s="4"/>
      <c r="H3092" s="4"/>
    </row>
    <row r="3093" spans="1:8" x14ac:dyDescent="0.3">
      <c r="A3093" s="1"/>
      <c r="G3093" s="4"/>
      <c r="H3093" s="4"/>
    </row>
    <row r="3094" spans="1:8" x14ac:dyDescent="0.3">
      <c r="A3094" s="1"/>
      <c r="G3094" s="4"/>
      <c r="H3094" s="4"/>
    </row>
    <row r="3095" spans="1:8" x14ac:dyDescent="0.3">
      <c r="A3095" s="1"/>
      <c r="G3095" s="4"/>
      <c r="H3095" s="4"/>
    </row>
    <row r="3096" spans="1:8" x14ac:dyDescent="0.3">
      <c r="A3096" s="1"/>
      <c r="G3096" s="4"/>
      <c r="H3096" s="4"/>
    </row>
    <row r="3097" spans="1:8" x14ac:dyDescent="0.3">
      <c r="A3097" s="1"/>
      <c r="G3097" s="4"/>
      <c r="H3097" s="4"/>
    </row>
    <row r="3098" spans="1:8" x14ac:dyDescent="0.3">
      <c r="A3098" s="1"/>
      <c r="G3098" s="4"/>
      <c r="H3098" s="4"/>
    </row>
    <row r="3099" spans="1:8" x14ac:dyDescent="0.3">
      <c r="A3099" s="1"/>
      <c r="G3099" s="4"/>
      <c r="H3099" s="4"/>
    </row>
    <row r="3100" spans="1:8" x14ac:dyDescent="0.3">
      <c r="A3100" s="1"/>
      <c r="G3100" s="4"/>
      <c r="H3100" s="4"/>
    </row>
    <row r="3101" spans="1:8" x14ac:dyDescent="0.3">
      <c r="A3101" s="1"/>
      <c r="G3101" s="4"/>
      <c r="H3101" s="4"/>
    </row>
    <row r="3102" spans="1:8" x14ac:dyDescent="0.3">
      <c r="A3102" s="1"/>
      <c r="G3102" s="4"/>
      <c r="H3102" s="4"/>
    </row>
    <row r="3103" spans="1:8" x14ac:dyDescent="0.3">
      <c r="A3103" s="1"/>
      <c r="G3103" s="4"/>
      <c r="H3103" s="4"/>
    </row>
    <row r="3104" spans="1:8" x14ac:dyDescent="0.3">
      <c r="A3104" s="1"/>
      <c r="G3104" s="4"/>
      <c r="H3104" s="4"/>
    </row>
    <row r="3105" spans="1:8" x14ac:dyDescent="0.3">
      <c r="A3105" s="1"/>
      <c r="G3105" s="4"/>
      <c r="H3105" s="4"/>
    </row>
    <row r="3106" spans="1:8" x14ac:dyDescent="0.3">
      <c r="A3106" s="1"/>
      <c r="G3106" s="4"/>
      <c r="H3106" s="4"/>
    </row>
    <row r="3107" spans="1:8" x14ac:dyDescent="0.3">
      <c r="A3107" s="1"/>
      <c r="G3107" s="4"/>
      <c r="H3107" s="4"/>
    </row>
    <row r="3108" spans="1:8" x14ac:dyDescent="0.3">
      <c r="A3108" s="1"/>
      <c r="G3108" s="4"/>
      <c r="H3108" s="4"/>
    </row>
    <row r="3109" spans="1:8" x14ac:dyDescent="0.3">
      <c r="A3109" s="1"/>
      <c r="G3109" s="4"/>
      <c r="H3109" s="4"/>
    </row>
    <row r="3110" spans="1:8" x14ac:dyDescent="0.3">
      <c r="A3110" s="1"/>
      <c r="G3110" s="4"/>
      <c r="H3110" s="4"/>
    </row>
    <row r="3111" spans="1:8" x14ac:dyDescent="0.3">
      <c r="A3111" s="1"/>
      <c r="G3111" s="4"/>
      <c r="H3111" s="4"/>
    </row>
    <row r="3112" spans="1:8" x14ac:dyDescent="0.3">
      <c r="A3112" s="1"/>
      <c r="G3112" s="4"/>
      <c r="H3112" s="4"/>
    </row>
    <row r="3113" spans="1:8" x14ac:dyDescent="0.3">
      <c r="A3113" s="1"/>
      <c r="G3113" s="4"/>
      <c r="H3113" s="4"/>
    </row>
    <row r="3114" spans="1:8" x14ac:dyDescent="0.3">
      <c r="A3114" s="1"/>
      <c r="G3114" s="4"/>
      <c r="H3114" s="4"/>
    </row>
    <row r="3115" spans="1:8" x14ac:dyDescent="0.3">
      <c r="A3115" s="1"/>
      <c r="G3115" s="4"/>
      <c r="H3115" s="4"/>
    </row>
    <row r="3116" spans="1:8" x14ac:dyDescent="0.3">
      <c r="A3116" s="1"/>
      <c r="G3116" s="4"/>
      <c r="H3116" s="4"/>
    </row>
    <row r="3117" spans="1:8" x14ac:dyDescent="0.3">
      <c r="A3117" s="1"/>
      <c r="G3117" s="4"/>
      <c r="H3117" s="4"/>
    </row>
    <row r="3118" spans="1:8" x14ac:dyDescent="0.3">
      <c r="A3118" s="1"/>
      <c r="G3118" s="4"/>
      <c r="H3118" s="4"/>
    </row>
    <row r="3119" spans="1:8" x14ac:dyDescent="0.3">
      <c r="A3119" s="1"/>
      <c r="G3119" s="4"/>
      <c r="H3119" s="4"/>
    </row>
    <row r="3120" spans="1:8" x14ac:dyDescent="0.3">
      <c r="A3120" s="1"/>
      <c r="G3120" s="4"/>
      <c r="H3120" s="4"/>
    </row>
    <row r="3121" spans="1:8" x14ac:dyDescent="0.3">
      <c r="A3121" s="1"/>
      <c r="G3121" s="4"/>
      <c r="H3121" s="4"/>
    </row>
    <row r="3122" spans="1:8" x14ac:dyDescent="0.3">
      <c r="A3122" s="1"/>
      <c r="G3122" s="4"/>
      <c r="H3122" s="4"/>
    </row>
    <row r="3123" spans="1:8" x14ac:dyDescent="0.3">
      <c r="A3123" s="1"/>
      <c r="G3123" s="4"/>
      <c r="H3123" s="4"/>
    </row>
    <row r="3124" spans="1:8" x14ac:dyDescent="0.3">
      <c r="A3124" s="1"/>
      <c r="G3124" s="4"/>
      <c r="H3124" s="4"/>
    </row>
    <row r="3125" spans="1:8" x14ac:dyDescent="0.3">
      <c r="A3125" s="1"/>
      <c r="G3125" s="4"/>
      <c r="H3125" s="4"/>
    </row>
    <row r="3126" spans="1:8" x14ac:dyDescent="0.3">
      <c r="A3126" s="1"/>
      <c r="G3126" s="4"/>
      <c r="H3126" s="4"/>
    </row>
    <row r="3127" spans="1:8" x14ac:dyDescent="0.3">
      <c r="A3127" s="1"/>
      <c r="G3127" s="4"/>
      <c r="H3127" s="4"/>
    </row>
    <row r="3128" spans="1:8" x14ac:dyDescent="0.3">
      <c r="A3128" s="1"/>
      <c r="G3128" s="4"/>
      <c r="H3128" s="4"/>
    </row>
    <row r="3129" spans="1:8" x14ac:dyDescent="0.3">
      <c r="A3129" s="1"/>
      <c r="G3129" s="4"/>
      <c r="H3129" s="4"/>
    </row>
    <row r="3130" spans="1:8" x14ac:dyDescent="0.3">
      <c r="A3130" s="1"/>
      <c r="G3130" s="4"/>
      <c r="H3130" s="4"/>
    </row>
    <row r="3131" spans="1:8" x14ac:dyDescent="0.3">
      <c r="A3131" s="1"/>
      <c r="G3131" s="4"/>
      <c r="H3131" s="4"/>
    </row>
    <row r="3132" spans="1:8" x14ac:dyDescent="0.3">
      <c r="A3132" s="1"/>
      <c r="G3132" s="4"/>
      <c r="H3132" s="4"/>
    </row>
    <row r="3133" spans="1:8" x14ac:dyDescent="0.3">
      <c r="A3133" s="1"/>
      <c r="G3133" s="4"/>
      <c r="H3133" s="4"/>
    </row>
    <row r="3134" spans="1:8" x14ac:dyDescent="0.3">
      <c r="A3134" s="1"/>
      <c r="G3134" s="4"/>
      <c r="H3134" s="4"/>
    </row>
    <row r="3135" spans="1:8" x14ac:dyDescent="0.3">
      <c r="A3135" s="1"/>
      <c r="G3135" s="4"/>
      <c r="H3135" s="4"/>
    </row>
    <row r="3136" spans="1:8" x14ac:dyDescent="0.3">
      <c r="A3136" s="1"/>
      <c r="G3136" s="4"/>
      <c r="H3136" s="4"/>
    </row>
    <row r="3137" spans="1:8" x14ac:dyDescent="0.3">
      <c r="A3137" s="1"/>
      <c r="G3137" s="4"/>
      <c r="H3137" s="4"/>
    </row>
    <row r="3138" spans="1:8" x14ac:dyDescent="0.3">
      <c r="A3138" s="1"/>
      <c r="G3138" s="4"/>
      <c r="H3138" s="4"/>
    </row>
    <row r="3139" spans="1:8" x14ac:dyDescent="0.3">
      <c r="A3139" s="1"/>
      <c r="G3139" s="4"/>
      <c r="H3139" s="4"/>
    </row>
    <row r="3140" spans="1:8" x14ac:dyDescent="0.3">
      <c r="A3140" s="1"/>
      <c r="G3140" s="4"/>
      <c r="H3140" s="4"/>
    </row>
    <row r="3141" spans="1:8" x14ac:dyDescent="0.3">
      <c r="A3141" s="1"/>
      <c r="G3141" s="4"/>
      <c r="H3141" s="4"/>
    </row>
    <row r="3142" spans="1:8" x14ac:dyDescent="0.3">
      <c r="A3142" s="1"/>
      <c r="G3142" s="4"/>
      <c r="H3142" s="4"/>
    </row>
    <row r="3143" spans="1:8" x14ac:dyDescent="0.3">
      <c r="A3143" s="1"/>
      <c r="G3143" s="4"/>
      <c r="H3143" s="4"/>
    </row>
    <row r="3144" spans="1:8" x14ac:dyDescent="0.3">
      <c r="A3144" s="1"/>
      <c r="G3144" s="4"/>
      <c r="H3144" s="4"/>
    </row>
    <row r="3145" spans="1:8" x14ac:dyDescent="0.3">
      <c r="A3145" s="1"/>
      <c r="G3145" s="4"/>
      <c r="H3145" s="4"/>
    </row>
    <row r="3146" spans="1:8" x14ac:dyDescent="0.3">
      <c r="A3146" s="1"/>
      <c r="G3146" s="4"/>
      <c r="H3146" s="4"/>
    </row>
    <row r="3147" spans="1:8" x14ac:dyDescent="0.3">
      <c r="A3147" s="1"/>
      <c r="G3147" s="4"/>
      <c r="H3147" s="4"/>
    </row>
    <row r="3148" spans="1:8" x14ac:dyDescent="0.3">
      <c r="A3148" s="1"/>
      <c r="G3148" s="4"/>
      <c r="H3148" s="4"/>
    </row>
    <row r="3149" spans="1:8" x14ac:dyDescent="0.3">
      <c r="A3149" s="1"/>
      <c r="G3149" s="4"/>
      <c r="H3149" s="4"/>
    </row>
    <row r="3150" spans="1:8" x14ac:dyDescent="0.3">
      <c r="A3150" s="1"/>
      <c r="G3150" s="4"/>
      <c r="H3150" s="4"/>
    </row>
    <row r="3151" spans="1:8" x14ac:dyDescent="0.3">
      <c r="A3151" s="1"/>
      <c r="G3151" s="4"/>
      <c r="H3151" s="4"/>
    </row>
    <row r="3152" spans="1:8" x14ac:dyDescent="0.3">
      <c r="A3152" s="1"/>
      <c r="G3152" s="4"/>
      <c r="H3152" s="4"/>
    </row>
    <row r="3153" spans="1:8" x14ac:dyDescent="0.3">
      <c r="A3153" s="1"/>
      <c r="G3153" s="4"/>
      <c r="H3153" s="4"/>
    </row>
    <row r="3154" spans="1:8" x14ac:dyDescent="0.3">
      <c r="A3154" s="1"/>
      <c r="G3154" s="4"/>
      <c r="H3154" s="4"/>
    </row>
    <row r="3155" spans="1:8" x14ac:dyDescent="0.3">
      <c r="A3155" s="1"/>
      <c r="G3155" s="4"/>
      <c r="H3155" s="4"/>
    </row>
    <row r="3156" spans="1:8" x14ac:dyDescent="0.3">
      <c r="A3156" s="1"/>
      <c r="G3156" s="4"/>
      <c r="H3156" s="4"/>
    </row>
    <row r="3157" spans="1:8" x14ac:dyDescent="0.3">
      <c r="A3157" s="1"/>
      <c r="G3157" s="4"/>
      <c r="H3157" s="4"/>
    </row>
    <row r="3158" spans="1:8" x14ac:dyDescent="0.3">
      <c r="A3158" s="1"/>
      <c r="G3158" s="4"/>
      <c r="H3158" s="4"/>
    </row>
    <row r="3159" spans="1:8" x14ac:dyDescent="0.3">
      <c r="A3159" s="1"/>
      <c r="G3159" s="4"/>
      <c r="H3159" s="4"/>
    </row>
    <row r="3160" spans="1:8" x14ac:dyDescent="0.3">
      <c r="A3160" s="1"/>
      <c r="G3160" s="4"/>
      <c r="H3160" s="4"/>
    </row>
    <row r="3161" spans="1:8" x14ac:dyDescent="0.3">
      <c r="A3161" s="1"/>
      <c r="G3161" s="4"/>
      <c r="H3161" s="4"/>
    </row>
    <row r="3162" spans="1:8" x14ac:dyDescent="0.3">
      <c r="A3162" s="1"/>
      <c r="G3162" s="4"/>
      <c r="H3162" s="4"/>
    </row>
    <row r="3163" spans="1:8" x14ac:dyDescent="0.3">
      <c r="A3163" s="1"/>
      <c r="G3163" s="4"/>
      <c r="H3163" s="4"/>
    </row>
    <row r="3164" spans="1:8" x14ac:dyDescent="0.3">
      <c r="A3164" s="1"/>
      <c r="G3164" s="4"/>
      <c r="H3164" s="4"/>
    </row>
    <row r="3165" spans="1:8" x14ac:dyDescent="0.3">
      <c r="A3165" s="1"/>
      <c r="G3165" s="4"/>
      <c r="H3165" s="4"/>
    </row>
    <row r="3166" spans="1:8" x14ac:dyDescent="0.3">
      <c r="A3166" s="1"/>
      <c r="G3166" s="4"/>
      <c r="H3166" s="4"/>
    </row>
    <row r="3167" spans="1:8" x14ac:dyDescent="0.3">
      <c r="A3167" s="1"/>
      <c r="G3167" s="4"/>
      <c r="H3167" s="4"/>
    </row>
    <row r="3168" spans="1:8" x14ac:dyDescent="0.3">
      <c r="A3168" s="1"/>
      <c r="G3168" s="4"/>
      <c r="H3168" s="4"/>
    </row>
    <row r="3169" spans="1:8" x14ac:dyDescent="0.3">
      <c r="A3169" s="1"/>
      <c r="G3169" s="4"/>
      <c r="H3169" s="4"/>
    </row>
    <row r="3170" spans="1:8" x14ac:dyDescent="0.3">
      <c r="A3170" s="1"/>
      <c r="G3170" s="4"/>
      <c r="H3170" s="4"/>
    </row>
    <row r="3171" spans="1:8" x14ac:dyDescent="0.3">
      <c r="A3171" s="1"/>
      <c r="G3171" s="4"/>
      <c r="H3171" s="4"/>
    </row>
    <row r="3172" spans="1:8" x14ac:dyDescent="0.3">
      <c r="A3172" s="1"/>
      <c r="G3172" s="4"/>
      <c r="H3172" s="4"/>
    </row>
    <row r="3173" spans="1:8" x14ac:dyDescent="0.3">
      <c r="A3173" s="1"/>
      <c r="G3173" s="4"/>
      <c r="H3173" s="4"/>
    </row>
    <row r="3174" spans="1:8" x14ac:dyDescent="0.3">
      <c r="A3174" s="1"/>
      <c r="G3174" s="4"/>
      <c r="H3174" s="4"/>
    </row>
    <row r="3175" spans="1:8" x14ac:dyDescent="0.3">
      <c r="A3175" s="1"/>
      <c r="G3175" s="4"/>
      <c r="H3175" s="4"/>
    </row>
    <row r="3176" spans="1:8" x14ac:dyDescent="0.3">
      <c r="A3176" s="1"/>
      <c r="G3176" s="4"/>
      <c r="H3176" s="4"/>
    </row>
    <row r="3177" spans="1:8" x14ac:dyDescent="0.3">
      <c r="A3177" s="1"/>
      <c r="G3177" s="4"/>
      <c r="H3177" s="4"/>
    </row>
    <row r="3178" spans="1:8" x14ac:dyDescent="0.3">
      <c r="A3178" s="1"/>
      <c r="G3178" s="4"/>
      <c r="H3178" s="4"/>
    </row>
    <row r="3179" spans="1:8" x14ac:dyDescent="0.3">
      <c r="A3179" s="1"/>
      <c r="G3179" s="4"/>
      <c r="H3179" s="4"/>
    </row>
    <row r="3180" spans="1:8" x14ac:dyDescent="0.3">
      <c r="A3180" s="1"/>
      <c r="G3180" s="4"/>
      <c r="H3180" s="4"/>
    </row>
    <row r="3181" spans="1:8" x14ac:dyDescent="0.3">
      <c r="A3181" s="1"/>
      <c r="G3181" s="4"/>
      <c r="H3181" s="4"/>
    </row>
    <row r="3182" spans="1:8" x14ac:dyDescent="0.3">
      <c r="A3182" s="1"/>
      <c r="G3182" s="4"/>
      <c r="H3182" s="4"/>
    </row>
    <row r="3183" spans="1:8" x14ac:dyDescent="0.3">
      <c r="A3183" s="1"/>
      <c r="G3183" s="4"/>
      <c r="H3183" s="4"/>
    </row>
    <row r="3184" spans="1:8" x14ac:dyDescent="0.3">
      <c r="A3184" s="1"/>
      <c r="G3184" s="4"/>
      <c r="H3184" s="4"/>
    </row>
    <row r="3185" spans="1:8" x14ac:dyDescent="0.3">
      <c r="A3185" s="1"/>
      <c r="G3185" s="4"/>
      <c r="H3185" s="4"/>
    </row>
    <row r="3186" spans="1:8" x14ac:dyDescent="0.3">
      <c r="A3186" s="1"/>
      <c r="G3186" s="4"/>
      <c r="H3186" s="4"/>
    </row>
    <row r="3187" spans="1:8" x14ac:dyDescent="0.3">
      <c r="A3187" s="1"/>
      <c r="G3187" s="4"/>
      <c r="H3187" s="4"/>
    </row>
    <row r="3188" spans="1:8" x14ac:dyDescent="0.3">
      <c r="A3188" s="1"/>
      <c r="G3188" s="4"/>
      <c r="H3188" s="4"/>
    </row>
    <row r="3189" spans="1:8" x14ac:dyDescent="0.3">
      <c r="A3189" s="1"/>
      <c r="G3189" s="4"/>
      <c r="H3189" s="4"/>
    </row>
    <row r="3190" spans="1:8" x14ac:dyDescent="0.3">
      <c r="A3190" s="1"/>
      <c r="G3190" s="4"/>
      <c r="H3190" s="4"/>
    </row>
    <row r="3191" spans="1:8" x14ac:dyDescent="0.3">
      <c r="A3191" s="1"/>
      <c r="G3191" s="4"/>
      <c r="H3191" s="4"/>
    </row>
    <row r="3192" spans="1:8" x14ac:dyDescent="0.3">
      <c r="A3192" s="1"/>
      <c r="G3192" s="4"/>
      <c r="H3192" s="4"/>
    </row>
    <row r="3193" spans="1:8" x14ac:dyDescent="0.3">
      <c r="A3193" s="1"/>
      <c r="G3193" s="4"/>
      <c r="H3193" s="4"/>
    </row>
    <row r="3194" spans="1:8" x14ac:dyDescent="0.3">
      <c r="A3194" s="1"/>
      <c r="G3194" s="4"/>
      <c r="H3194" s="4"/>
    </row>
    <row r="3195" spans="1:8" x14ac:dyDescent="0.3">
      <c r="A3195" s="1"/>
      <c r="G3195" s="4"/>
      <c r="H3195" s="4"/>
    </row>
    <row r="3196" spans="1:8" x14ac:dyDescent="0.3">
      <c r="A3196" s="1"/>
      <c r="G3196" s="4"/>
      <c r="H3196" s="4"/>
    </row>
    <row r="3197" spans="1:8" x14ac:dyDescent="0.3">
      <c r="A3197" s="1"/>
      <c r="G3197" s="4"/>
      <c r="H3197" s="4"/>
    </row>
    <row r="3198" spans="1:8" x14ac:dyDescent="0.3">
      <c r="A3198" s="1"/>
      <c r="G3198" s="4"/>
      <c r="H3198" s="4"/>
    </row>
    <row r="3199" spans="1:8" x14ac:dyDescent="0.3">
      <c r="A3199" s="1"/>
      <c r="G3199" s="4"/>
      <c r="H3199" s="4"/>
    </row>
    <row r="3200" spans="1:8" x14ac:dyDescent="0.3">
      <c r="A3200" s="1"/>
      <c r="G3200" s="4"/>
      <c r="H3200" s="4"/>
    </row>
    <row r="3201" spans="1:8" x14ac:dyDescent="0.3">
      <c r="A3201" s="1"/>
      <c r="G3201" s="4"/>
      <c r="H3201" s="4"/>
    </row>
    <row r="3202" spans="1:8" x14ac:dyDescent="0.3">
      <c r="A3202" s="1"/>
      <c r="G3202" s="4"/>
      <c r="H3202" s="4"/>
    </row>
    <row r="3203" spans="1:8" x14ac:dyDescent="0.3">
      <c r="A3203" s="1"/>
      <c r="G3203" s="4"/>
      <c r="H3203" s="4"/>
    </row>
    <row r="3204" spans="1:8" x14ac:dyDescent="0.3">
      <c r="A3204" s="1"/>
      <c r="G3204" s="4"/>
      <c r="H3204" s="4"/>
    </row>
    <row r="3205" spans="1:8" x14ac:dyDescent="0.3">
      <c r="A3205" s="1"/>
      <c r="G3205" s="4"/>
      <c r="H3205" s="4"/>
    </row>
    <row r="3206" spans="1:8" x14ac:dyDescent="0.3">
      <c r="A3206" s="1"/>
      <c r="G3206" s="4"/>
      <c r="H3206" s="4"/>
    </row>
    <row r="3207" spans="1:8" x14ac:dyDescent="0.3">
      <c r="A3207" s="1"/>
      <c r="G3207" s="4"/>
      <c r="H3207" s="4"/>
    </row>
    <row r="3208" spans="1:8" x14ac:dyDescent="0.3">
      <c r="A3208" s="1"/>
      <c r="G3208" s="4"/>
      <c r="H3208" s="4"/>
    </row>
    <row r="3209" spans="1:8" x14ac:dyDescent="0.3">
      <c r="A3209" s="1"/>
      <c r="G3209" s="4"/>
      <c r="H3209" s="4"/>
    </row>
    <row r="3210" spans="1:8" x14ac:dyDescent="0.3">
      <c r="A3210" s="1"/>
      <c r="G3210" s="4"/>
      <c r="H3210" s="4"/>
    </row>
    <row r="3211" spans="1:8" x14ac:dyDescent="0.3">
      <c r="A3211" s="1"/>
      <c r="G3211" s="4"/>
      <c r="H3211" s="4"/>
    </row>
    <row r="3212" spans="1:8" x14ac:dyDescent="0.3">
      <c r="A3212" s="1"/>
      <c r="G3212" s="4"/>
      <c r="H3212" s="4"/>
    </row>
    <row r="3213" spans="1:8" x14ac:dyDescent="0.3">
      <c r="A3213" s="1"/>
      <c r="G3213" s="4"/>
      <c r="H3213" s="4"/>
    </row>
    <row r="3214" spans="1:8" x14ac:dyDescent="0.3">
      <c r="A3214" s="1"/>
      <c r="G3214" s="4"/>
      <c r="H3214" s="4"/>
    </row>
    <row r="3215" spans="1:8" x14ac:dyDescent="0.3">
      <c r="A3215" s="1"/>
      <c r="G3215" s="4"/>
      <c r="H3215" s="4"/>
    </row>
    <row r="3216" spans="1:8" x14ac:dyDescent="0.3">
      <c r="A3216" s="1"/>
      <c r="G3216" s="4"/>
      <c r="H3216" s="4"/>
    </row>
    <row r="3217" spans="1:8" x14ac:dyDescent="0.3">
      <c r="A3217" s="1"/>
      <c r="G3217" s="4"/>
      <c r="H3217" s="4"/>
    </row>
    <row r="3218" spans="1:8" x14ac:dyDescent="0.3">
      <c r="A3218" s="1"/>
      <c r="G3218" s="4"/>
      <c r="H3218" s="4"/>
    </row>
    <row r="3219" spans="1:8" x14ac:dyDescent="0.3">
      <c r="A3219" s="1"/>
      <c r="G3219" s="4"/>
      <c r="H3219" s="4"/>
    </row>
    <row r="3220" spans="1:8" x14ac:dyDescent="0.3">
      <c r="A3220" s="1"/>
      <c r="G3220" s="4"/>
      <c r="H3220" s="4"/>
    </row>
    <row r="3221" spans="1:8" x14ac:dyDescent="0.3">
      <c r="A3221" s="1"/>
      <c r="G3221" s="4"/>
      <c r="H3221" s="4"/>
    </row>
    <row r="3222" spans="1:8" x14ac:dyDescent="0.3">
      <c r="A3222" s="1"/>
      <c r="G3222" s="4"/>
      <c r="H3222" s="4"/>
    </row>
    <row r="3223" spans="1:8" x14ac:dyDescent="0.3">
      <c r="A3223" s="1"/>
      <c r="G3223" s="4"/>
      <c r="H3223" s="4"/>
    </row>
    <row r="3224" spans="1:8" x14ac:dyDescent="0.3">
      <c r="A3224" s="1"/>
      <c r="G3224" s="4"/>
      <c r="H3224" s="4"/>
    </row>
    <row r="3225" spans="1:8" x14ac:dyDescent="0.3">
      <c r="A3225" s="1"/>
      <c r="G3225" s="4"/>
      <c r="H3225" s="4"/>
    </row>
    <row r="3226" spans="1:8" x14ac:dyDescent="0.3">
      <c r="A3226" s="1"/>
      <c r="G3226" s="4"/>
      <c r="H3226" s="4"/>
    </row>
    <row r="3227" spans="1:8" x14ac:dyDescent="0.3">
      <c r="A3227" s="1"/>
      <c r="G3227" s="4"/>
      <c r="H3227" s="4"/>
    </row>
    <row r="3228" spans="1:8" x14ac:dyDescent="0.3">
      <c r="A3228" s="1"/>
      <c r="G3228" s="4"/>
      <c r="H3228" s="4"/>
    </row>
    <row r="3229" spans="1:8" x14ac:dyDescent="0.3">
      <c r="A3229" s="1"/>
      <c r="G3229" s="4"/>
      <c r="H3229" s="4"/>
    </row>
    <row r="3230" spans="1:8" x14ac:dyDescent="0.3">
      <c r="A3230" s="1"/>
      <c r="G3230" s="4"/>
      <c r="H3230" s="4"/>
    </row>
    <row r="3231" spans="1:8" x14ac:dyDescent="0.3">
      <c r="A3231" s="1"/>
      <c r="G3231" s="4"/>
      <c r="H3231" s="4"/>
    </row>
    <row r="3232" spans="1:8" x14ac:dyDescent="0.3">
      <c r="A3232" s="1"/>
      <c r="G3232" s="4"/>
      <c r="H3232" s="4"/>
    </row>
    <row r="3233" spans="1:8" x14ac:dyDescent="0.3">
      <c r="A3233" s="1"/>
      <c r="G3233" s="4"/>
      <c r="H3233" s="4"/>
    </row>
    <row r="3234" spans="1:8" x14ac:dyDescent="0.3">
      <c r="A3234" s="1"/>
      <c r="G3234" s="4"/>
      <c r="H3234" s="4"/>
    </row>
    <row r="3235" spans="1:8" x14ac:dyDescent="0.3">
      <c r="A3235" s="1"/>
      <c r="G3235" s="4"/>
      <c r="H3235" s="4"/>
    </row>
    <row r="3236" spans="1:8" x14ac:dyDescent="0.3">
      <c r="A3236" s="1"/>
      <c r="G3236" s="4"/>
      <c r="H3236" s="4"/>
    </row>
    <row r="3237" spans="1:8" x14ac:dyDescent="0.3">
      <c r="A3237" s="1"/>
      <c r="G3237" s="4"/>
      <c r="H3237" s="4"/>
    </row>
    <row r="3238" spans="1:8" x14ac:dyDescent="0.3">
      <c r="A3238" s="1"/>
      <c r="G3238" s="4"/>
      <c r="H3238" s="4"/>
    </row>
    <row r="3239" spans="1:8" x14ac:dyDescent="0.3">
      <c r="A3239" s="1"/>
      <c r="G3239" s="4"/>
      <c r="H3239" s="4"/>
    </row>
    <row r="3240" spans="1:8" x14ac:dyDescent="0.3">
      <c r="A3240" s="1"/>
      <c r="G3240" s="4"/>
      <c r="H3240" s="4"/>
    </row>
    <row r="3241" spans="1:8" x14ac:dyDescent="0.3">
      <c r="A3241" s="1"/>
      <c r="G3241" s="4"/>
      <c r="H3241" s="4"/>
    </row>
    <row r="3242" spans="1:8" x14ac:dyDescent="0.3">
      <c r="A3242" s="1"/>
      <c r="G3242" s="4"/>
      <c r="H3242" s="4"/>
    </row>
    <row r="3243" spans="1:8" x14ac:dyDescent="0.3">
      <c r="A3243" s="1"/>
      <c r="G3243" s="4"/>
      <c r="H3243" s="4"/>
    </row>
    <row r="3244" spans="1:8" x14ac:dyDescent="0.3">
      <c r="A3244" s="1"/>
      <c r="G3244" s="4"/>
      <c r="H3244" s="4"/>
    </row>
    <row r="3245" spans="1:8" x14ac:dyDescent="0.3">
      <c r="A3245" s="1"/>
      <c r="G3245" s="4"/>
      <c r="H3245" s="4"/>
    </row>
    <row r="3246" spans="1:8" x14ac:dyDescent="0.3">
      <c r="A3246" s="1"/>
      <c r="G3246" s="4"/>
      <c r="H3246" s="4"/>
    </row>
    <row r="3247" spans="1:8" x14ac:dyDescent="0.3">
      <c r="A3247" s="1"/>
      <c r="G3247" s="4"/>
      <c r="H3247" s="4"/>
    </row>
    <row r="3248" spans="1:8" x14ac:dyDescent="0.3">
      <c r="A3248" s="1"/>
      <c r="G3248" s="4"/>
      <c r="H3248" s="4"/>
    </row>
    <row r="3249" spans="1:8" x14ac:dyDescent="0.3">
      <c r="A3249" s="1"/>
      <c r="G3249" s="4"/>
      <c r="H3249" s="4"/>
    </row>
    <row r="3250" spans="1:8" x14ac:dyDescent="0.3">
      <c r="A3250" s="1"/>
      <c r="G3250" s="4"/>
      <c r="H3250" s="4"/>
    </row>
    <row r="3251" spans="1:8" x14ac:dyDescent="0.3">
      <c r="A3251" s="1"/>
      <c r="G3251" s="4"/>
      <c r="H3251" s="4"/>
    </row>
    <row r="3252" spans="1:8" x14ac:dyDescent="0.3">
      <c r="A3252" s="1"/>
      <c r="G3252" s="4"/>
      <c r="H3252" s="4"/>
    </row>
    <row r="3253" spans="1:8" x14ac:dyDescent="0.3">
      <c r="A3253" s="1"/>
      <c r="G3253" s="4"/>
      <c r="H3253" s="4"/>
    </row>
    <row r="3254" spans="1:8" x14ac:dyDescent="0.3">
      <c r="A3254" s="1"/>
      <c r="G3254" s="4"/>
      <c r="H3254" s="4"/>
    </row>
    <row r="3255" spans="1:8" x14ac:dyDescent="0.3">
      <c r="A3255" s="1"/>
      <c r="G3255" s="4"/>
      <c r="H3255" s="4"/>
    </row>
    <row r="3256" spans="1:8" x14ac:dyDescent="0.3">
      <c r="A3256" s="1"/>
      <c r="G3256" s="4"/>
      <c r="H3256" s="4"/>
    </row>
    <row r="3257" spans="1:8" x14ac:dyDescent="0.3">
      <c r="A3257" s="1"/>
      <c r="G3257" s="4"/>
      <c r="H3257" s="4"/>
    </row>
    <row r="3258" spans="1:8" x14ac:dyDescent="0.3">
      <c r="A3258" s="1"/>
      <c r="G3258" s="4"/>
      <c r="H3258" s="4"/>
    </row>
    <row r="3259" spans="1:8" x14ac:dyDescent="0.3">
      <c r="A3259" s="1"/>
      <c r="G3259" s="4"/>
      <c r="H3259" s="4"/>
    </row>
    <row r="3260" spans="1:8" x14ac:dyDescent="0.3">
      <c r="A3260" s="1"/>
      <c r="G3260" s="4"/>
      <c r="H3260" s="4"/>
    </row>
    <row r="3261" spans="1:8" x14ac:dyDescent="0.3">
      <c r="A3261" s="1"/>
      <c r="G3261" s="4"/>
      <c r="H3261" s="4"/>
    </row>
    <row r="3262" spans="1:8" x14ac:dyDescent="0.3">
      <c r="A3262" s="1"/>
      <c r="G3262" s="4"/>
      <c r="H3262" s="4"/>
    </row>
    <row r="3263" spans="1:8" x14ac:dyDescent="0.3">
      <c r="A3263" s="1"/>
      <c r="G3263" s="4"/>
      <c r="H3263" s="4"/>
    </row>
    <row r="3264" spans="1:8" x14ac:dyDescent="0.3">
      <c r="A3264" s="1"/>
      <c r="G3264" s="4"/>
      <c r="H3264" s="4"/>
    </row>
    <row r="3265" spans="1:8" x14ac:dyDescent="0.3">
      <c r="A3265" s="1"/>
      <c r="G3265" s="4"/>
      <c r="H3265" s="4"/>
    </row>
    <row r="3266" spans="1:8" x14ac:dyDescent="0.3">
      <c r="A3266" s="1"/>
      <c r="G3266" s="4"/>
      <c r="H3266" s="4"/>
    </row>
    <row r="3267" spans="1:8" x14ac:dyDescent="0.3">
      <c r="A3267" s="1"/>
      <c r="G3267" s="4"/>
      <c r="H3267" s="4"/>
    </row>
    <row r="3268" spans="1:8" x14ac:dyDescent="0.3">
      <c r="A3268" s="1"/>
      <c r="G3268" s="4"/>
      <c r="H3268" s="4"/>
    </row>
    <row r="3269" spans="1:8" x14ac:dyDescent="0.3">
      <c r="A3269" s="1"/>
      <c r="G3269" s="4"/>
      <c r="H3269" s="4"/>
    </row>
    <row r="3270" spans="1:8" x14ac:dyDescent="0.3">
      <c r="A3270" s="1"/>
      <c r="G3270" s="4"/>
      <c r="H3270" s="4"/>
    </row>
    <row r="3271" spans="1:8" x14ac:dyDescent="0.3">
      <c r="A3271" s="1"/>
      <c r="G3271" s="4"/>
      <c r="H3271" s="4"/>
    </row>
    <row r="3272" spans="1:8" x14ac:dyDescent="0.3">
      <c r="A3272" s="1"/>
      <c r="G3272" s="4"/>
      <c r="H3272" s="4"/>
    </row>
    <row r="3273" spans="1:8" x14ac:dyDescent="0.3">
      <c r="A3273" s="1"/>
      <c r="G3273" s="4"/>
      <c r="H3273" s="4"/>
    </row>
    <row r="3274" spans="1:8" x14ac:dyDescent="0.3">
      <c r="A3274" s="1"/>
      <c r="G3274" s="4"/>
      <c r="H3274" s="4"/>
    </row>
    <row r="3275" spans="1:8" x14ac:dyDescent="0.3">
      <c r="A3275" s="1"/>
      <c r="G3275" s="4"/>
      <c r="H3275" s="4"/>
    </row>
    <row r="3276" spans="1:8" x14ac:dyDescent="0.3">
      <c r="A3276" s="1"/>
      <c r="G3276" s="4"/>
      <c r="H3276" s="4"/>
    </row>
    <row r="3277" spans="1:8" x14ac:dyDescent="0.3">
      <c r="A3277" s="1"/>
      <c r="G3277" s="4"/>
      <c r="H3277" s="4"/>
    </row>
    <row r="3278" spans="1:8" x14ac:dyDescent="0.3">
      <c r="A3278" s="1"/>
      <c r="G3278" s="4"/>
      <c r="H3278" s="4"/>
    </row>
    <row r="3279" spans="1:8" x14ac:dyDescent="0.3">
      <c r="A3279" s="1"/>
      <c r="G3279" s="4"/>
      <c r="H3279" s="4"/>
    </row>
    <row r="3280" spans="1:8" x14ac:dyDescent="0.3">
      <c r="A3280" s="1"/>
      <c r="G3280" s="4"/>
      <c r="H3280" s="4"/>
    </row>
    <row r="3281" spans="1:8" x14ac:dyDescent="0.3">
      <c r="A3281" s="1"/>
      <c r="G3281" s="4"/>
      <c r="H3281" s="4"/>
    </row>
    <row r="3282" spans="1:8" x14ac:dyDescent="0.3">
      <c r="A3282" s="1"/>
      <c r="G3282" s="4"/>
      <c r="H3282" s="4"/>
    </row>
    <row r="3283" spans="1:8" x14ac:dyDescent="0.3">
      <c r="A3283" s="1"/>
      <c r="G3283" s="4"/>
      <c r="H3283" s="4"/>
    </row>
    <row r="3284" spans="1:8" x14ac:dyDescent="0.3">
      <c r="A3284" s="1"/>
      <c r="G3284" s="4"/>
      <c r="H3284" s="4"/>
    </row>
    <row r="3285" spans="1:8" x14ac:dyDescent="0.3">
      <c r="A3285" s="1"/>
      <c r="G3285" s="4"/>
      <c r="H3285" s="4"/>
    </row>
    <row r="3286" spans="1:8" x14ac:dyDescent="0.3">
      <c r="A3286" s="1"/>
      <c r="G3286" s="4"/>
      <c r="H3286" s="4"/>
    </row>
    <row r="3287" spans="1:8" x14ac:dyDescent="0.3">
      <c r="A3287" s="1"/>
      <c r="G3287" s="4"/>
      <c r="H3287" s="4"/>
    </row>
    <row r="3288" spans="1:8" x14ac:dyDescent="0.3">
      <c r="A3288" s="1"/>
      <c r="G3288" s="4"/>
      <c r="H3288" s="4"/>
    </row>
    <row r="3289" spans="1:8" x14ac:dyDescent="0.3">
      <c r="A3289" s="1"/>
      <c r="G3289" s="4"/>
      <c r="H3289" s="4"/>
    </row>
    <row r="3290" spans="1:8" x14ac:dyDescent="0.3">
      <c r="A3290" s="1"/>
      <c r="G3290" s="4"/>
      <c r="H3290" s="4"/>
    </row>
    <row r="3291" spans="1:8" x14ac:dyDescent="0.3">
      <c r="A3291" s="1"/>
      <c r="G3291" s="4"/>
      <c r="H3291" s="4"/>
    </row>
    <row r="3292" spans="1:8" x14ac:dyDescent="0.3">
      <c r="A3292" s="1"/>
      <c r="G3292" s="4"/>
      <c r="H3292" s="4"/>
    </row>
    <row r="3293" spans="1:8" x14ac:dyDescent="0.3">
      <c r="A3293" s="1"/>
      <c r="G3293" s="4"/>
      <c r="H3293" s="4"/>
    </row>
    <row r="3294" spans="1:8" x14ac:dyDescent="0.3">
      <c r="A3294" s="1"/>
      <c r="G3294" s="4"/>
      <c r="H3294" s="4"/>
    </row>
    <row r="3295" spans="1:8" x14ac:dyDescent="0.3">
      <c r="A3295" s="1"/>
      <c r="G3295" s="4"/>
      <c r="H3295" s="4"/>
    </row>
    <row r="3296" spans="1:8" x14ac:dyDescent="0.3">
      <c r="A3296" s="1"/>
      <c r="G3296" s="4"/>
      <c r="H3296" s="4"/>
    </row>
    <row r="3297" spans="1:8" x14ac:dyDescent="0.3">
      <c r="A3297" s="1"/>
      <c r="G3297" s="4"/>
      <c r="H3297" s="4"/>
    </row>
    <row r="3298" spans="1:8" x14ac:dyDescent="0.3">
      <c r="A3298" s="1"/>
      <c r="G3298" s="4"/>
      <c r="H3298" s="4"/>
    </row>
    <row r="3299" spans="1:8" x14ac:dyDescent="0.3">
      <c r="A3299" s="1"/>
      <c r="G3299" s="4"/>
      <c r="H3299" s="4"/>
    </row>
    <row r="3300" spans="1:8" x14ac:dyDescent="0.3">
      <c r="A3300" s="1"/>
      <c r="G3300" s="4"/>
      <c r="H3300" s="4"/>
    </row>
    <row r="3301" spans="1:8" x14ac:dyDescent="0.3">
      <c r="A3301" s="1"/>
      <c r="G3301" s="4"/>
      <c r="H3301" s="4"/>
    </row>
    <row r="3302" spans="1:8" x14ac:dyDescent="0.3">
      <c r="A3302" s="1"/>
      <c r="G3302" s="4"/>
      <c r="H3302" s="4"/>
    </row>
    <row r="3303" spans="1:8" x14ac:dyDescent="0.3">
      <c r="A3303" s="1"/>
      <c r="G3303" s="4"/>
      <c r="H3303" s="4"/>
    </row>
    <row r="3304" spans="1:8" x14ac:dyDescent="0.3">
      <c r="A3304" s="1"/>
      <c r="G3304" s="4"/>
      <c r="H3304" s="4"/>
    </row>
    <row r="3305" spans="1:8" x14ac:dyDescent="0.3">
      <c r="A3305" s="1"/>
      <c r="G3305" s="4"/>
      <c r="H3305" s="4"/>
    </row>
    <row r="3306" spans="1:8" x14ac:dyDescent="0.3">
      <c r="A3306" s="1"/>
      <c r="G3306" s="4"/>
      <c r="H3306" s="4"/>
    </row>
    <row r="3307" spans="1:8" x14ac:dyDescent="0.3">
      <c r="A3307" s="1"/>
      <c r="G3307" s="4"/>
      <c r="H3307" s="4"/>
    </row>
    <row r="3308" spans="1:8" x14ac:dyDescent="0.3">
      <c r="A3308" s="1"/>
      <c r="G3308" s="4"/>
      <c r="H3308" s="4"/>
    </row>
    <row r="3309" spans="1:8" x14ac:dyDescent="0.3">
      <c r="A3309" s="1"/>
      <c r="G3309" s="4"/>
      <c r="H3309" s="4"/>
    </row>
    <row r="3310" spans="1:8" x14ac:dyDescent="0.3">
      <c r="A3310" s="1"/>
      <c r="G3310" s="4"/>
      <c r="H3310" s="4"/>
    </row>
    <row r="3311" spans="1:8" x14ac:dyDescent="0.3">
      <c r="A3311" s="1"/>
      <c r="G3311" s="4"/>
      <c r="H3311" s="4"/>
    </row>
    <row r="3312" spans="1:8" x14ac:dyDescent="0.3">
      <c r="A3312" s="1"/>
      <c r="G3312" s="4"/>
      <c r="H3312" s="4"/>
    </row>
    <row r="3313" spans="1:8" x14ac:dyDescent="0.3">
      <c r="A3313" s="1"/>
      <c r="G3313" s="4"/>
      <c r="H3313" s="4"/>
    </row>
    <row r="3314" spans="1:8" x14ac:dyDescent="0.3">
      <c r="A3314" s="1"/>
      <c r="G3314" s="4"/>
      <c r="H3314" s="4"/>
    </row>
    <row r="3315" spans="1:8" x14ac:dyDescent="0.3">
      <c r="A3315" s="1"/>
      <c r="G3315" s="4"/>
      <c r="H3315" s="4"/>
    </row>
    <row r="3316" spans="1:8" x14ac:dyDescent="0.3">
      <c r="A3316" s="1"/>
      <c r="G3316" s="4"/>
      <c r="H3316" s="4"/>
    </row>
    <row r="3317" spans="1:8" x14ac:dyDescent="0.3">
      <c r="A3317" s="1"/>
      <c r="G3317" s="4"/>
      <c r="H3317" s="4"/>
    </row>
    <row r="3318" spans="1:8" x14ac:dyDescent="0.3">
      <c r="A3318" s="1"/>
      <c r="G3318" s="4"/>
      <c r="H3318" s="4"/>
    </row>
    <row r="3319" spans="1:8" x14ac:dyDescent="0.3">
      <c r="A3319" s="1"/>
      <c r="G3319" s="4"/>
      <c r="H3319" s="4"/>
    </row>
    <row r="3320" spans="1:8" x14ac:dyDescent="0.3">
      <c r="A3320" s="1"/>
      <c r="G3320" s="4"/>
      <c r="H3320" s="4"/>
    </row>
    <row r="3321" spans="1:8" x14ac:dyDescent="0.3">
      <c r="A3321" s="1"/>
      <c r="G3321" s="4"/>
      <c r="H3321" s="4"/>
    </row>
    <row r="3322" spans="1:8" x14ac:dyDescent="0.3">
      <c r="A3322" s="1"/>
      <c r="G3322" s="4"/>
      <c r="H3322" s="4"/>
    </row>
    <row r="3323" spans="1:8" x14ac:dyDescent="0.3">
      <c r="A3323" s="1"/>
      <c r="G3323" s="4"/>
      <c r="H3323" s="4"/>
    </row>
    <row r="3324" spans="1:8" x14ac:dyDescent="0.3">
      <c r="A3324" s="1"/>
      <c r="G3324" s="4"/>
      <c r="H3324" s="4"/>
    </row>
    <row r="3325" spans="1:8" x14ac:dyDescent="0.3">
      <c r="A3325" s="1"/>
      <c r="G3325" s="4"/>
      <c r="H3325" s="4"/>
    </row>
    <row r="3326" spans="1:8" x14ac:dyDescent="0.3">
      <c r="A3326" s="1"/>
      <c r="G3326" s="4"/>
      <c r="H3326" s="4"/>
    </row>
    <row r="3327" spans="1:8" x14ac:dyDescent="0.3">
      <c r="A3327" s="1"/>
      <c r="G3327" s="4"/>
      <c r="H3327" s="4"/>
    </row>
    <row r="3328" spans="1:8" x14ac:dyDescent="0.3">
      <c r="A3328" s="1"/>
      <c r="G3328" s="4"/>
      <c r="H3328" s="4"/>
    </row>
    <row r="3329" spans="1:8" x14ac:dyDescent="0.3">
      <c r="A3329" s="1"/>
      <c r="G3329" s="4"/>
      <c r="H3329" s="4"/>
    </row>
    <row r="3330" spans="1:8" x14ac:dyDescent="0.3">
      <c r="A3330" s="1"/>
      <c r="G3330" s="4"/>
      <c r="H3330" s="4"/>
    </row>
    <row r="3331" spans="1:8" x14ac:dyDescent="0.3">
      <c r="A3331" s="1"/>
      <c r="G3331" s="4"/>
      <c r="H3331" s="4"/>
    </row>
    <row r="3332" spans="1:8" x14ac:dyDescent="0.3">
      <c r="A3332" s="1"/>
      <c r="G3332" s="4"/>
      <c r="H3332" s="4"/>
    </row>
    <row r="3333" spans="1:8" x14ac:dyDescent="0.3">
      <c r="A3333" s="1"/>
      <c r="G3333" s="4"/>
      <c r="H3333" s="4"/>
    </row>
    <row r="3334" spans="1:8" x14ac:dyDescent="0.3">
      <c r="A3334" s="1"/>
      <c r="G3334" s="4"/>
      <c r="H3334" s="4"/>
    </row>
    <row r="3335" spans="1:8" x14ac:dyDescent="0.3">
      <c r="A3335" s="1"/>
      <c r="G3335" s="4"/>
      <c r="H3335" s="4"/>
    </row>
    <row r="3336" spans="1:8" x14ac:dyDescent="0.3">
      <c r="A3336" s="1"/>
      <c r="G3336" s="4"/>
      <c r="H3336" s="4"/>
    </row>
    <row r="3337" spans="1:8" x14ac:dyDescent="0.3">
      <c r="A3337" s="1"/>
      <c r="G3337" s="4"/>
      <c r="H3337" s="4"/>
    </row>
    <row r="3338" spans="1:8" x14ac:dyDescent="0.3">
      <c r="A3338" s="1"/>
      <c r="G3338" s="4"/>
      <c r="H3338" s="4"/>
    </row>
    <row r="3339" spans="1:8" x14ac:dyDescent="0.3">
      <c r="A3339" s="1"/>
      <c r="G3339" s="4"/>
      <c r="H3339" s="4"/>
    </row>
    <row r="3340" spans="1:8" x14ac:dyDescent="0.3">
      <c r="A3340" s="1"/>
      <c r="G3340" s="4"/>
      <c r="H3340" s="4"/>
    </row>
    <row r="3341" spans="1:8" x14ac:dyDescent="0.3">
      <c r="A3341" s="1"/>
      <c r="G3341" s="4"/>
      <c r="H3341" s="4"/>
    </row>
    <row r="3342" spans="1:8" x14ac:dyDescent="0.3">
      <c r="A3342" s="1"/>
      <c r="G3342" s="4"/>
      <c r="H3342" s="4"/>
    </row>
    <row r="3343" spans="1:8" x14ac:dyDescent="0.3">
      <c r="A3343" s="1"/>
      <c r="G3343" s="4"/>
      <c r="H3343" s="4"/>
    </row>
    <row r="3344" spans="1:8" x14ac:dyDescent="0.3">
      <c r="A3344" s="1"/>
      <c r="G3344" s="4"/>
      <c r="H3344" s="4"/>
    </row>
    <row r="3345" spans="1:8" x14ac:dyDescent="0.3">
      <c r="A3345" s="1"/>
      <c r="G3345" s="4"/>
      <c r="H3345" s="4"/>
    </row>
    <row r="3346" spans="1:8" x14ac:dyDescent="0.3">
      <c r="A3346" s="1"/>
      <c r="G3346" s="4"/>
      <c r="H3346" s="4"/>
    </row>
    <row r="3347" spans="1:8" x14ac:dyDescent="0.3">
      <c r="A3347" s="1"/>
      <c r="G3347" s="4"/>
      <c r="H3347" s="4"/>
    </row>
    <row r="3348" spans="1:8" x14ac:dyDescent="0.3">
      <c r="A3348" s="1"/>
      <c r="G3348" s="4"/>
      <c r="H3348" s="4"/>
    </row>
    <row r="3349" spans="1:8" x14ac:dyDescent="0.3">
      <c r="A3349" s="1"/>
      <c r="G3349" s="4"/>
      <c r="H3349" s="4"/>
    </row>
    <row r="3350" spans="1:8" x14ac:dyDescent="0.3">
      <c r="A3350" s="1"/>
      <c r="G3350" s="4"/>
      <c r="H3350" s="4"/>
    </row>
    <row r="3351" spans="1:8" x14ac:dyDescent="0.3">
      <c r="A3351" s="1"/>
      <c r="G3351" s="4"/>
      <c r="H3351" s="4"/>
    </row>
    <row r="3352" spans="1:8" x14ac:dyDescent="0.3">
      <c r="A3352" s="1"/>
      <c r="G3352" s="4"/>
      <c r="H3352" s="4"/>
    </row>
    <row r="3353" spans="1:8" x14ac:dyDescent="0.3">
      <c r="A3353" s="1"/>
      <c r="G3353" s="4"/>
      <c r="H3353" s="4"/>
    </row>
    <row r="3354" spans="1:8" x14ac:dyDescent="0.3">
      <c r="A3354" s="1"/>
      <c r="G3354" s="4"/>
      <c r="H3354" s="4"/>
    </row>
    <row r="3355" spans="1:8" x14ac:dyDescent="0.3">
      <c r="A3355" s="1"/>
      <c r="G3355" s="4"/>
      <c r="H3355" s="4"/>
    </row>
    <row r="3356" spans="1:8" x14ac:dyDescent="0.3">
      <c r="A3356" s="1"/>
      <c r="G3356" s="4"/>
      <c r="H3356" s="4"/>
    </row>
    <row r="3357" spans="1:8" x14ac:dyDescent="0.3">
      <c r="A3357" s="1"/>
      <c r="G3357" s="4"/>
      <c r="H3357" s="4"/>
    </row>
    <row r="3358" spans="1:8" x14ac:dyDescent="0.3">
      <c r="A3358" s="1"/>
      <c r="G3358" s="4"/>
      <c r="H3358" s="4"/>
    </row>
    <row r="3359" spans="1:8" x14ac:dyDescent="0.3">
      <c r="A3359" s="1"/>
      <c r="G3359" s="4"/>
      <c r="H3359" s="4"/>
    </row>
    <row r="3360" spans="1:8" x14ac:dyDescent="0.3">
      <c r="A3360" s="1"/>
      <c r="G3360" s="4"/>
      <c r="H3360" s="4"/>
    </row>
    <row r="3361" spans="1:8" x14ac:dyDescent="0.3">
      <c r="A3361" s="1"/>
      <c r="G3361" s="4"/>
      <c r="H3361" s="4"/>
    </row>
    <row r="3362" spans="1:8" x14ac:dyDescent="0.3">
      <c r="A3362" s="1"/>
      <c r="G3362" s="4"/>
      <c r="H3362" s="4"/>
    </row>
    <row r="3363" spans="1:8" x14ac:dyDescent="0.3">
      <c r="A3363" s="1"/>
      <c r="G3363" s="4"/>
      <c r="H3363" s="4"/>
    </row>
    <row r="3364" spans="1:8" x14ac:dyDescent="0.3">
      <c r="A3364" s="1"/>
      <c r="G3364" s="4"/>
      <c r="H3364" s="4"/>
    </row>
    <row r="3365" spans="1:8" x14ac:dyDescent="0.3">
      <c r="A3365" s="1"/>
      <c r="G3365" s="4"/>
      <c r="H3365" s="4"/>
    </row>
    <row r="3366" spans="1:8" x14ac:dyDescent="0.3">
      <c r="A3366" s="1"/>
      <c r="G3366" s="4"/>
      <c r="H3366" s="4"/>
    </row>
    <row r="3367" spans="1:8" x14ac:dyDescent="0.3">
      <c r="A3367" s="1"/>
      <c r="G3367" s="4"/>
      <c r="H3367" s="4"/>
    </row>
    <row r="3368" spans="1:8" x14ac:dyDescent="0.3">
      <c r="A3368" s="1"/>
      <c r="G3368" s="4"/>
      <c r="H3368" s="4"/>
    </row>
    <row r="3369" spans="1:8" x14ac:dyDescent="0.3">
      <c r="A3369" s="1"/>
      <c r="G3369" s="4"/>
      <c r="H3369" s="4"/>
    </row>
    <row r="3370" spans="1:8" x14ac:dyDescent="0.3">
      <c r="A3370" s="1"/>
      <c r="G3370" s="4"/>
      <c r="H3370" s="4"/>
    </row>
    <row r="3371" spans="1:8" x14ac:dyDescent="0.3">
      <c r="A3371" s="1"/>
      <c r="G3371" s="4"/>
      <c r="H3371" s="4"/>
    </row>
    <row r="3372" spans="1:8" x14ac:dyDescent="0.3">
      <c r="A3372" s="1"/>
      <c r="G3372" s="4"/>
      <c r="H3372" s="4"/>
    </row>
    <row r="3373" spans="1:8" x14ac:dyDescent="0.3">
      <c r="A3373" s="1"/>
      <c r="G3373" s="4"/>
      <c r="H3373" s="4"/>
    </row>
    <row r="3374" spans="1:8" x14ac:dyDescent="0.3">
      <c r="A3374" s="1"/>
      <c r="G3374" s="4"/>
      <c r="H3374" s="4"/>
    </row>
    <row r="3375" spans="1:8" x14ac:dyDescent="0.3">
      <c r="A3375" s="1"/>
      <c r="G3375" s="4"/>
      <c r="H3375" s="4"/>
    </row>
    <row r="3376" spans="1:8" x14ac:dyDescent="0.3">
      <c r="A3376" s="1"/>
      <c r="G3376" s="4"/>
      <c r="H3376" s="4"/>
    </row>
    <row r="3377" spans="1:8" x14ac:dyDescent="0.3">
      <c r="A3377" s="1"/>
      <c r="G3377" s="4"/>
      <c r="H3377" s="4"/>
    </row>
    <row r="3378" spans="1:8" x14ac:dyDescent="0.3">
      <c r="A3378" s="1"/>
      <c r="G3378" s="4"/>
      <c r="H3378" s="4"/>
    </row>
    <row r="3379" spans="1:8" x14ac:dyDescent="0.3">
      <c r="A3379" s="1"/>
      <c r="G3379" s="4"/>
      <c r="H3379" s="4"/>
    </row>
    <row r="3380" spans="1:8" x14ac:dyDescent="0.3">
      <c r="A3380" s="1"/>
      <c r="G3380" s="4"/>
      <c r="H3380" s="4"/>
    </row>
    <row r="3381" spans="1:8" x14ac:dyDescent="0.3">
      <c r="A3381" s="1"/>
      <c r="G3381" s="4"/>
      <c r="H3381" s="4"/>
    </row>
    <row r="3382" spans="1:8" x14ac:dyDescent="0.3">
      <c r="A3382" s="1"/>
      <c r="G3382" s="4"/>
      <c r="H3382" s="4"/>
    </row>
    <row r="3383" spans="1:8" x14ac:dyDescent="0.3">
      <c r="A3383" s="1"/>
      <c r="G3383" s="4"/>
      <c r="H3383" s="4"/>
    </row>
    <row r="3384" spans="1:8" x14ac:dyDescent="0.3">
      <c r="A3384" s="1"/>
      <c r="G3384" s="4"/>
      <c r="H3384" s="4"/>
    </row>
    <row r="3385" spans="1:8" x14ac:dyDescent="0.3">
      <c r="A3385" s="1"/>
      <c r="G3385" s="4"/>
      <c r="H3385" s="4"/>
    </row>
    <row r="3386" spans="1:8" x14ac:dyDescent="0.3">
      <c r="A3386" s="1"/>
      <c r="G3386" s="4"/>
      <c r="H3386" s="4"/>
    </row>
    <row r="3387" spans="1:8" x14ac:dyDescent="0.3">
      <c r="A3387" s="1"/>
      <c r="G3387" s="4"/>
      <c r="H3387" s="4"/>
    </row>
    <row r="3388" spans="1:8" x14ac:dyDescent="0.3">
      <c r="A3388" s="1"/>
      <c r="G3388" s="4"/>
      <c r="H3388" s="4"/>
    </row>
    <row r="3389" spans="1:8" x14ac:dyDescent="0.3">
      <c r="A3389" s="1"/>
      <c r="G3389" s="4"/>
      <c r="H3389" s="4"/>
    </row>
    <row r="3390" spans="1:8" x14ac:dyDescent="0.3">
      <c r="A3390" s="1"/>
      <c r="G3390" s="4"/>
      <c r="H3390" s="4"/>
    </row>
    <row r="3391" spans="1:8" x14ac:dyDescent="0.3">
      <c r="A3391" s="1"/>
      <c r="G3391" s="4"/>
      <c r="H3391" s="4"/>
    </row>
    <row r="3392" spans="1:8" x14ac:dyDescent="0.3">
      <c r="A3392" s="1"/>
      <c r="G3392" s="4"/>
      <c r="H3392" s="4"/>
    </row>
    <row r="3393" spans="1:8" x14ac:dyDescent="0.3">
      <c r="A3393" s="1"/>
      <c r="G3393" s="4"/>
      <c r="H3393" s="4"/>
    </row>
    <row r="3394" spans="1:8" x14ac:dyDescent="0.3">
      <c r="A3394" s="1"/>
      <c r="G3394" s="4"/>
      <c r="H3394" s="4"/>
    </row>
    <row r="3395" spans="1:8" x14ac:dyDescent="0.3">
      <c r="A3395" s="1"/>
      <c r="G3395" s="4"/>
      <c r="H3395" s="4"/>
    </row>
    <row r="3396" spans="1:8" x14ac:dyDescent="0.3">
      <c r="A3396" s="1"/>
      <c r="G3396" s="4"/>
      <c r="H3396" s="4"/>
    </row>
    <row r="3397" spans="1:8" x14ac:dyDescent="0.3">
      <c r="A3397" s="1"/>
      <c r="G3397" s="4"/>
      <c r="H3397" s="4"/>
    </row>
    <row r="3398" spans="1:8" x14ac:dyDescent="0.3">
      <c r="A3398" s="1"/>
      <c r="G3398" s="4"/>
      <c r="H3398" s="4"/>
    </row>
    <row r="3399" spans="1:8" x14ac:dyDescent="0.3">
      <c r="A3399" s="1"/>
      <c r="G3399" s="4"/>
      <c r="H3399" s="4"/>
    </row>
    <row r="3400" spans="1:8" x14ac:dyDescent="0.3">
      <c r="A3400" s="1"/>
      <c r="G3400" s="4"/>
      <c r="H3400" s="4"/>
    </row>
    <row r="3401" spans="1:8" x14ac:dyDescent="0.3">
      <c r="A3401" s="1"/>
      <c r="G3401" s="4"/>
      <c r="H3401" s="4"/>
    </row>
    <row r="3402" spans="1:8" x14ac:dyDescent="0.3">
      <c r="A3402" s="1"/>
      <c r="G3402" s="4"/>
      <c r="H3402" s="4"/>
    </row>
    <row r="3403" spans="1:8" x14ac:dyDescent="0.3">
      <c r="A3403" s="1"/>
      <c r="G3403" s="4"/>
      <c r="H3403" s="4"/>
    </row>
    <row r="3404" spans="1:8" x14ac:dyDescent="0.3">
      <c r="A3404" s="1"/>
      <c r="G3404" s="4"/>
      <c r="H3404" s="4"/>
    </row>
    <row r="3405" spans="1:8" x14ac:dyDescent="0.3">
      <c r="A3405" s="1"/>
      <c r="G3405" s="4"/>
      <c r="H3405" s="4"/>
    </row>
    <row r="3406" spans="1:8" x14ac:dyDescent="0.3">
      <c r="A3406" s="1"/>
      <c r="G3406" s="4"/>
      <c r="H3406" s="4"/>
    </row>
    <row r="3407" spans="1:8" x14ac:dyDescent="0.3">
      <c r="A3407" s="1"/>
      <c r="G3407" s="4"/>
      <c r="H3407" s="4"/>
    </row>
    <row r="3408" spans="1:8" x14ac:dyDescent="0.3">
      <c r="A3408" s="1"/>
      <c r="G3408" s="4"/>
      <c r="H3408" s="4"/>
    </row>
    <row r="3409" spans="1:8" x14ac:dyDescent="0.3">
      <c r="A3409" s="1"/>
      <c r="G3409" s="4"/>
      <c r="H3409" s="4"/>
    </row>
    <row r="3410" spans="1:8" x14ac:dyDescent="0.3">
      <c r="A3410" s="1"/>
      <c r="G3410" s="4"/>
      <c r="H3410" s="4"/>
    </row>
    <row r="3411" spans="1:8" x14ac:dyDescent="0.3">
      <c r="A3411" s="1"/>
      <c r="G3411" s="4"/>
      <c r="H3411" s="4"/>
    </row>
    <row r="3412" spans="1:8" x14ac:dyDescent="0.3">
      <c r="A3412" s="1"/>
      <c r="G3412" s="4"/>
      <c r="H3412" s="4"/>
    </row>
    <row r="3413" spans="1:8" x14ac:dyDescent="0.3">
      <c r="A3413" s="1"/>
      <c r="G3413" s="4"/>
      <c r="H3413" s="4"/>
    </row>
    <row r="3414" spans="1:8" x14ac:dyDescent="0.3">
      <c r="A3414" s="1"/>
      <c r="G3414" s="4"/>
      <c r="H3414" s="4"/>
    </row>
    <row r="3415" spans="1:8" x14ac:dyDescent="0.3">
      <c r="A3415" s="1"/>
      <c r="G3415" s="4"/>
      <c r="H3415" s="4"/>
    </row>
    <row r="3416" spans="1:8" x14ac:dyDescent="0.3">
      <c r="A3416" s="1"/>
      <c r="G3416" s="4"/>
      <c r="H3416" s="4"/>
    </row>
    <row r="3417" spans="1:8" x14ac:dyDescent="0.3">
      <c r="A3417" s="1"/>
      <c r="G3417" s="4"/>
      <c r="H3417" s="4"/>
    </row>
    <row r="3418" spans="1:8" x14ac:dyDescent="0.3">
      <c r="A3418" s="1"/>
      <c r="G3418" s="4"/>
      <c r="H3418" s="4"/>
    </row>
    <row r="3419" spans="1:8" x14ac:dyDescent="0.3">
      <c r="A3419" s="1"/>
      <c r="G3419" s="4"/>
      <c r="H3419" s="4"/>
    </row>
    <row r="3420" spans="1:8" x14ac:dyDescent="0.3">
      <c r="A3420" s="1"/>
      <c r="G3420" s="4"/>
      <c r="H3420" s="4"/>
    </row>
    <row r="3421" spans="1:8" x14ac:dyDescent="0.3">
      <c r="A3421" s="1"/>
      <c r="G3421" s="4"/>
      <c r="H3421" s="4"/>
    </row>
    <row r="3422" spans="1:8" x14ac:dyDescent="0.3">
      <c r="A3422" s="1"/>
      <c r="G3422" s="4"/>
      <c r="H3422" s="4"/>
    </row>
    <row r="3423" spans="1:8" x14ac:dyDescent="0.3">
      <c r="A3423" s="1"/>
      <c r="G3423" s="4"/>
      <c r="H3423" s="4"/>
    </row>
    <row r="3424" spans="1:8" x14ac:dyDescent="0.3">
      <c r="A3424" s="1"/>
      <c r="G3424" s="4"/>
      <c r="H3424" s="4"/>
    </row>
    <row r="3425" spans="1:8" x14ac:dyDescent="0.3">
      <c r="A3425" s="1"/>
      <c r="G3425" s="4"/>
      <c r="H3425" s="4"/>
    </row>
    <row r="3426" spans="1:8" x14ac:dyDescent="0.3">
      <c r="A3426" s="1"/>
      <c r="G3426" s="4"/>
      <c r="H3426" s="4"/>
    </row>
    <row r="3427" spans="1:8" x14ac:dyDescent="0.3">
      <c r="A3427" s="1"/>
      <c r="G3427" s="4"/>
      <c r="H3427" s="4"/>
    </row>
    <row r="3428" spans="1:8" x14ac:dyDescent="0.3">
      <c r="A3428" s="1"/>
      <c r="G3428" s="4"/>
      <c r="H3428" s="4"/>
    </row>
    <row r="3429" spans="1:8" x14ac:dyDescent="0.3">
      <c r="A3429" s="1"/>
      <c r="G3429" s="4"/>
      <c r="H3429" s="4"/>
    </row>
    <row r="3430" spans="1:8" x14ac:dyDescent="0.3">
      <c r="A3430" s="1"/>
      <c r="G3430" s="4"/>
      <c r="H3430" s="4"/>
    </row>
    <row r="3431" spans="1:8" x14ac:dyDescent="0.3">
      <c r="A3431" s="1"/>
      <c r="G3431" s="4"/>
      <c r="H3431" s="4"/>
    </row>
    <row r="3432" spans="1:8" x14ac:dyDescent="0.3">
      <c r="A3432" s="1"/>
      <c r="G3432" s="4"/>
      <c r="H3432" s="4"/>
    </row>
    <row r="3433" spans="1:8" x14ac:dyDescent="0.3">
      <c r="A3433" s="1"/>
      <c r="G3433" s="4"/>
      <c r="H3433" s="4"/>
    </row>
    <row r="3434" spans="1:8" x14ac:dyDescent="0.3">
      <c r="A3434" s="1"/>
      <c r="G3434" s="4"/>
      <c r="H3434" s="4"/>
    </row>
    <row r="3435" spans="1:8" x14ac:dyDescent="0.3">
      <c r="A3435" s="1"/>
      <c r="G3435" s="4"/>
      <c r="H3435" s="4"/>
    </row>
    <row r="3436" spans="1:8" x14ac:dyDescent="0.3">
      <c r="A3436" s="1"/>
      <c r="G3436" s="4"/>
      <c r="H3436" s="4"/>
    </row>
    <row r="3437" spans="1:8" x14ac:dyDescent="0.3">
      <c r="A3437" s="1"/>
      <c r="G3437" s="4"/>
      <c r="H3437" s="4"/>
    </row>
    <row r="3438" spans="1:8" x14ac:dyDescent="0.3">
      <c r="A3438" s="1"/>
      <c r="G3438" s="4"/>
      <c r="H3438" s="4"/>
    </row>
    <row r="3439" spans="1:8" x14ac:dyDescent="0.3">
      <c r="A3439" s="1"/>
      <c r="G3439" s="4"/>
      <c r="H3439" s="4"/>
    </row>
    <row r="3440" spans="1:8" x14ac:dyDescent="0.3">
      <c r="A3440" s="1"/>
      <c r="G3440" s="4"/>
      <c r="H3440" s="4"/>
    </row>
    <row r="3441" spans="1:8" x14ac:dyDescent="0.3">
      <c r="A3441" s="1"/>
      <c r="G3441" s="4"/>
      <c r="H3441" s="4"/>
    </row>
    <row r="3442" spans="1:8" x14ac:dyDescent="0.3">
      <c r="A3442" s="1"/>
      <c r="G3442" s="4"/>
      <c r="H3442" s="4"/>
    </row>
    <row r="3443" spans="1:8" x14ac:dyDescent="0.3">
      <c r="A3443" s="1"/>
      <c r="G3443" s="4"/>
      <c r="H3443" s="4"/>
    </row>
    <row r="3444" spans="1:8" x14ac:dyDescent="0.3">
      <c r="A3444" s="1"/>
      <c r="G3444" s="4"/>
      <c r="H3444" s="4"/>
    </row>
    <row r="3445" spans="1:8" x14ac:dyDescent="0.3">
      <c r="A3445" s="1"/>
      <c r="G3445" s="4"/>
      <c r="H3445" s="4"/>
    </row>
    <row r="3446" spans="1:8" x14ac:dyDescent="0.3">
      <c r="A3446" s="1"/>
      <c r="G3446" s="4"/>
      <c r="H3446" s="4"/>
    </row>
    <row r="3447" spans="1:8" x14ac:dyDescent="0.3">
      <c r="A3447" s="1"/>
      <c r="G3447" s="4"/>
      <c r="H3447" s="4"/>
    </row>
    <row r="3448" spans="1:8" x14ac:dyDescent="0.3">
      <c r="A3448" s="1"/>
      <c r="G3448" s="4"/>
      <c r="H3448" s="4"/>
    </row>
    <row r="3449" spans="1:8" x14ac:dyDescent="0.3">
      <c r="A3449" s="1"/>
      <c r="G3449" s="4"/>
      <c r="H3449" s="4"/>
    </row>
    <row r="3450" spans="1:8" x14ac:dyDescent="0.3">
      <c r="A3450" s="1"/>
      <c r="G3450" s="4"/>
      <c r="H3450" s="4"/>
    </row>
    <row r="3451" spans="1:8" x14ac:dyDescent="0.3">
      <c r="A3451" s="1"/>
      <c r="G3451" s="4"/>
      <c r="H3451" s="4"/>
    </row>
    <row r="3452" spans="1:8" x14ac:dyDescent="0.3">
      <c r="A3452" s="1"/>
      <c r="G3452" s="4"/>
      <c r="H3452" s="4"/>
    </row>
    <row r="3453" spans="1:8" x14ac:dyDescent="0.3">
      <c r="A3453" s="1"/>
      <c r="G3453" s="4"/>
      <c r="H3453" s="4"/>
    </row>
    <row r="3454" spans="1:8" x14ac:dyDescent="0.3">
      <c r="A3454" s="1"/>
      <c r="G3454" s="4"/>
      <c r="H3454" s="4"/>
    </row>
    <row r="3455" spans="1:8" x14ac:dyDescent="0.3">
      <c r="A3455" s="1"/>
      <c r="G3455" s="4"/>
      <c r="H3455" s="4"/>
    </row>
    <row r="3456" spans="1:8" x14ac:dyDescent="0.3">
      <c r="A3456" s="1"/>
      <c r="G3456" s="4"/>
      <c r="H3456" s="4"/>
    </row>
    <row r="3457" spans="1:8" x14ac:dyDescent="0.3">
      <c r="A3457" s="1"/>
      <c r="G3457" s="4"/>
      <c r="H3457" s="4"/>
    </row>
    <row r="3458" spans="1:8" x14ac:dyDescent="0.3">
      <c r="A3458" s="1"/>
      <c r="G3458" s="4"/>
      <c r="H3458" s="4"/>
    </row>
    <row r="3459" spans="1:8" x14ac:dyDescent="0.3">
      <c r="A3459" s="1"/>
      <c r="G3459" s="4"/>
      <c r="H3459" s="4"/>
    </row>
    <row r="3460" spans="1:8" x14ac:dyDescent="0.3">
      <c r="A3460" s="1"/>
      <c r="G3460" s="4"/>
      <c r="H3460" s="4"/>
    </row>
    <row r="3461" spans="1:8" x14ac:dyDescent="0.3">
      <c r="A3461" s="1"/>
      <c r="G3461" s="4"/>
      <c r="H3461" s="4"/>
    </row>
    <row r="3462" spans="1:8" x14ac:dyDescent="0.3">
      <c r="A3462" s="1"/>
      <c r="G3462" s="4"/>
      <c r="H3462" s="4"/>
    </row>
    <row r="3463" spans="1:8" x14ac:dyDescent="0.3">
      <c r="A3463" s="1"/>
      <c r="G3463" s="4"/>
      <c r="H3463" s="4"/>
    </row>
    <row r="3464" spans="1:8" x14ac:dyDescent="0.3">
      <c r="A3464" s="1"/>
      <c r="G3464" s="4"/>
      <c r="H3464" s="4"/>
    </row>
    <row r="3465" spans="1:8" x14ac:dyDescent="0.3">
      <c r="A3465" s="1"/>
      <c r="G3465" s="4"/>
      <c r="H3465" s="4"/>
    </row>
    <row r="3466" spans="1:8" x14ac:dyDescent="0.3">
      <c r="A3466" s="1"/>
      <c r="G3466" s="4"/>
      <c r="H3466" s="4"/>
    </row>
    <row r="3467" spans="1:8" x14ac:dyDescent="0.3">
      <c r="A3467" s="1"/>
      <c r="G3467" s="4"/>
      <c r="H3467" s="4"/>
    </row>
    <row r="3468" spans="1:8" x14ac:dyDescent="0.3">
      <c r="A3468" s="1"/>
      <c r="G3468" s="4"/>
      <c r="H3468" s="4"/>
    </row>
    <row r="3469" spans="1:8" x14ac:dyDescent="0.3">
      <c r="A3469" s="1"/>
      <c r="G3469" s="4"/>
      <c r="H3469" s="4"/>
    </row>
    <row r="3470" spans="1:8" x14ac:dyDescent="0.3">
      <c r="A3470" s="1"/>
      <c r="G3470" s="4"/>
      <c r="H3470" s="4"/>
    </row>
    <row r="3471" spans="1:8" x14ac:dyDescent="0.3">
      <c r="A3471" s="1"/>
      <c r="G3471" s="4"/>
      <c r="H3471" s="4"/>
    </row>
    <row r="3472" spans="1:8" x14ac:dyDescent="0.3">
      <c r="A3472" s="1"/>
      <c r="G3472" s="4"/>
      <c r="H3472" s="4"/>
    </row>
    <row r="3473" spans="1:8" x14ac:dyDescent="0.3">
      <c r="A3473" s="1"/>
      <c r="G3473" s="4"/>
      <c r="H3473" s="4"/>
    </row>
    <row r="3474" spans="1:8" x14ac:dyDescent="0.3">
      <c r="A3474" s="1"/>
      <c r="G3474" s="4"/>
      <c r="H3474" s="4"/>
    </row>
    <row r="3475" spans="1:8" x14ac:dyDescent="0.3">
      <c r="A3475" s="1"/>
      <c r="G3475" s="4"/>
      <c r="H3475" s="4"/>
    </row>
    <row r="3476" spans="1:8" x14ac:dyDescent="0.3">
      <c r="A3476" s="1"/>
      <c r="G3476" s="4"/>
      <c r="H3476" s="4"/>
    </row>
    <row r="3477" spans="1:8" x14ac:dyDescent="0.3">
      <c r="A3477" s="1"/>
      <c r="G3477" s="4"/>
      <c r="H3477" s="4"/>
    </row>
    <row r="3478" spans="1:8" x14ac:dyDescent="0.3">
      <c r="A3478" s="1"/>
      <c r="G3478" s="4"/>
      <c r="H3478" s="4"/>
    </row>
    <row r="3479" spans="1:8" x14ac:dyDescent="0.3">
      <c r="A3479" s="1"/>
      <c r="G3479" s="4"/>
      <c r="H3479" s="4"/>
    </row>
    <row r="3480" spans="1:8" x14ac:dyDescent="0.3">
      <c r="A3480" s="1"/>
      <c r="G3480" s="4"/>
      <c r="H3480" s="4"/>
    </row>
    <row r="3481" spans="1:8" x14ac:dyDescent="0.3">
      <c r="A3481" s="1"/>
      <c r="G3481" s="4"/>
      <c r="H3481" s="4"/>
    </row>
    <row r="3482" spans="1:8" x14ac:dyDescent="0.3">
      <c r="A3482" s="1"/>
      <c r="G3482" s="4"/>
      <c r="H3482" s="4"/>
    </row>
    <row r="3483" spans="1:8" x14ac:dyDescent="0.3">
      <c r="A3483" s="1"/>
      <c r="G3483" s="4"/>
      <c r="H3483" s="4"/>
    </row>
    <row r="3484" spans="1:8" x14ac:dyDescent="0.3">
      <c r="A3484" s="1"/>
      <c r="G3484" s="4"/>
      <c r="H3484" s="4"/>
    </row>
    <row r="3485" spans="1:8" x14ac:dyDescent="0.3">
      <c r="A3485" s="1"/>
      <c r="G3485" s="4"/>
      <c r="H3485" s="4"/>
    </row>
    <row r="3486" spans="1:8" x14ac:dyDescent="0.3">
      <c r="A3486" s="1"/>
      <c r="G3486" s="4"/>
      <c r="H3486" s="4"/>
    </row>
    <row r="3487" spans="1:8" x14ac:dyDescent="0.3">
      <c r="A3487" s="1"/>
      <c r="G3487" s="4"/>
      <c r="H3487" s="4"/>
    </row>
    <row r="3488" spans="1:8" x14ac:dyDescent="0.3">
      <c r="A3488" s="1"/>
      <c r="G3488" s="4"/>
      <c r="H3488" s="4"/>
    </row>
    <row r="3489" spans="1:8" x14ac:dyDescent="0.3">
      <c r="A3489" s="1"/>
      <c r="G3489" s="4"/>
      <c r="H3489" s="4"/>
    </row>
    <row r="3490" spans="1:8" x14ac:dyDescent="0.3">
      <c r="A3490" s="1"/>
      <c r="G3490" s="4"/>
      <c r="H3490" s="4"/>
    </row>
    <row r="3491" spans="1:8" x14ac:dyDescent="0.3">
      <c r="A3491" s="1"/>
      <c r="G3491" s="4"/>
      <c r="H3491" s="4"/>
    </row>
    <row r="3492" spans="1:8" x14ac:dyDescent="0.3">
      <c r="A3492" s="1"/>
      <c r="G3492" s="4"/>
      <c r="H3492" s="4"/>
    </row>
    <row r="3493" spans="1:8" x14ac:dyDescent="0.3">
      <c r="A3493" s="1"/>
      <c r="G3493" s="4"/>
      <c r="H3493" s="4"/>
    </row>
    <row r="3494" spans="1:8" x14ac:dyDescent="0.3">
      <c r="A3494" s="1"/>
      <c r="G3494" s="4"/>
      <c r="H3494" s="4"/>
    </row>
    <row r="3495" spans="1:8" x14ac:dyDescent="0.3">
      <c r="A3495" s="1"/>
      <c r="G3495" s="4"/>
      <c r="H3495" s="4"/>
    </row>
    <row r="3496" spans="1:8" x14ac:dyDescent="0.3">
      <c r="A3496" s="1"/>
      <c r="G3496" s="4"/>
      <c r="H3496" s="4"/>
    </row>
    <row r="3497" spans="1:8" x14ac:dyDescent="0.3">
      <c r="A3497" s="1"/>
      <c r="G3497" s="4"/>
      <c r="H3497" s="4"/>
    </row>
    <row r="3498" spans="1:8" x14ac:dyDescent="0.3">
      <c r="A3498" s="1"/>
      <c r="G3498" s="4"/>
      <c r="H3498" s="4"/>
    </row>
    <row r="3499" spans="1:8" x14ac:dyDescent="0.3">
      <c r="A3499" s="1"/>
      <c r="G3499" s="4"/>
      <c r="H3499" s="4"/>
    </row>
    <row r="3500" spans="1:8" x14ac:dyDescent="0.3">
      <c r="A3500" s="1"/>
      <c r="G3500" s="4"/>
      <c r="H3500" s="4"/>
    </row>
    <row r="3501" spans="1:8" x14ac:dyDescent="0.3">
      <c r="A3501" s="1"/>
      <c r="G3501" s="4"/>
      <c r="H3501" s="4"/>
    </row>
    <row r="3502" spans="1:8" x14ac:dyDescent="0.3">
      <c r="A3502" s="1"/>
      <c r="G3502" s="4"/>
      <c r="H3502" s="4"/>
    </row>
    <row r="3503" spans="1:8" x14ac:dyDescent="0.3">
      <c r="A3503" s="1"/>
      <c r="G3503" s="4"/>
      <c r="H3503" s="4"/>
    </row>
    <row r="3504" spans="1:8" x14ac:dyDescent="0.3">
      <c r="A3504" s="1"/>
      <c r="G3504" s="4"/>
      <c r="H3504" s="4"/>
    </row>
    <row r="3505" spans="1:8" x14ac:dyDescent="0.3">
      <c r="A3505" s="1"/>
      <c r="G3505" s="4"/>
      <c r="H3505" s="4"/>
    </row>
    <row r="3506" spans="1:8" x14ac:dyDescent="0.3">
      <c r="A3506" s="1"/>
      <c r="G3506" s="4"/>
      <c r="H3506" s="4"/>
    </row>
    <row r="3507" spans="1:8" x14ac:dyDescent="0.3">
      <c r="A3507" s="1"/>
      <c r="G3507" s="4"/>
      <c r="H3507" s="4"/>
    </row>
    <row r="3508" spans="1:8" x14ac:dyDescent="0.3">
      <c r="A3508" s="1"/>
      <c r="G3508" s="4"/>
      <c r="H3508" s="4"/>
    </row>
    <row r="3509" spans="1:8" x14ac:dyDescent="0.3">
      <c r="A3509" s="1"/>
      <c r="G3509" s="4"/>
      <c r="H3509" s="4"/>
    </row>
    <row r="3510" spans="1:8" x14ac:dyDescent="0.3">
      <c r="A3510" s="1"/>
      <c r="G3510" s="4"/>
      <c r="H3510" s="4"/>
    </row>
    <row r="3511" spans="1:8" x14ac:dyDescent="0.3">
      <c r="A3511" s="1"/>
      <c r="G3511" s="4"/>
      <c r="H3511" s="4"/>
    </row>
    <row r="3512" spans="1:8" x14ac:dyDescent="0.3">
      <c r="A3512" s="1"/>
      <c r="G3512" s="4"/>
      <c r="H3512" s="4"/>
    </row>
    <row r="3513" spans="1:8" x14ac:dyDescent="0.3">
      <c r="A3513" s="1"/>
      <c r="G3513" s="4"/>
      <c r="H3513" s="4"/>
    </row>
    <row r="3514" spans="1:8" x14ac:dyDescent="0.3">
      <c r="A3514" s="1"/>
      <c r="G3514" s="4"/>
      <c r="H3514" s="4"/>
    </row>
    <row r="3515" spans="1:8" x14ac:dyDescent="0.3">
      <c r="A3515" s="1"/>
      <c r="G3515" s="4"/>
      <c r="H3515" s="4"/>
    </row>
    <row r="3516" spans="1:8" x14ac:dyDescent="0.3">
      <c r="A3516" s="1"/>
      <c r="G3516" s="4"/>
      <c r="H3516" s="4"/>
    </row>
    <row r="3517" spans="1:8" x14ac:dyDescent="0.3">
      <c r="A3517" s="1"/>
      <c r="G3517" s="4"/>
      <c r="H3517" s="4"/>
    </row>
    <row r="3518" spans="1:8" x14ac:dyDescent="0.3">
      <c r="A3518" s="1"/>
      <c r="G3518" s="4"/>
      <c r="H3518" s="4"/>
    </row>
    <row r="3519" spans="1:8" x14ac:dyDescent="0.3">
      <c r="A3519" s="1"/>
      <c r="G3519" s="4"/>
      <c r="H3519" s="4"/>
    </row>
    <row r="3520" spans="1:8" x14ac:dyDescent="0.3">
      <c r="A3520" s="1"/>
      <c r="G3520" s="4"/>
      <c r="H3520" s="4"/>
    </row>
    <row r="3521" spans="1:8" x14ac:dyDescent="0.3">
      <c r="A3521" s="1"/>
      <c r="G3521" s="4"/>
      <c r="H3521" s="4"/>
    </row>
    <row r="3522" spans="1:8" x14ac:dyDescent="0.3">
      <c r="A3522" s="1"/>
      <c r="G3522" s="4"/>
      <c r="H3522" s="4"/>
    </row>
    <row r="3523" spans="1:8" x14ac:dyDescent="0.3">
      <c r="A3523" s="1"/>
      <c r="G3523" s="4"/>
      <c r="H3523" s="4"/>
    </row>
    <row r="3524" spans="1:8" x14ac:dyDescent="0.3">
      <c r="A3524" s="1"/>
      <c r="G3524" s="4"/>
      <c r="H3524" s="4"/>
    </row>
    <row r="3525" spans="1:8" x14ac:dyDescent="0.3">
      <c r="A3525" s="1"/>
      <c r="G3525" s="4"/>
      <c r="H3525" s="4"/>
    </row>
    <row r="3526" spans="1:8" x14ac:dyDescent="0.3">
      <c r="A3526" s="1"/>
      <c r="G3526" s="4"/>
      <c r="H3526" s="4"/>
    </row>
    <row r="3527" spans="1:8" x14ac:dyDescent="0.3">
      <c r="A3527" s="1"/>
      <c r="G3527" s="4"/>
      <c r="H3527" s="4"/>
    </row>
    <row r="3528" spans="1:8" x14ac:dyDescent="0.3">
      <c r="A3528" s="1"/>
      <c r="G3528" s="4"/>
      <c r="H3528" s="4"/>
    </row>
    <row r="3529" spans="1:8" x14ac:dyDescent="0.3">
      <c r="A3529" s="1"/>
      <c r="G3529" s="4"/>
      <c r="H3529" s="4"/>
    </row>
    <row r="3530" spans="1:8" x14ac:dyDescent="0.3">
      <c r="A3530" s="1"/>
      <c r="G3530" s="4"/>
      <c r="H3530" s="4"/>
    </row>
    <row r="3531" spans="1:8" x14ac:dyDescent="0.3">
      <c r="A3531" s="1"/>
      <c r="G3531" s="4"/>
      <c r="H3531" s="4"/>
    </row>
    <row r="3532" spans="1:8" x14ac:dyDescent="0.3">
      <c r="A3532" s="1"/>
      <c r="G3532" s="4"/>
      <c r="H3532" s="4"/>
    </row>
    <row r="3533" spans="1:8" x14ac:dyDescent="0.3">
      <c r="A3533" s="1"/>
      <c r="G3533" s="4"/>
      <c r="H3533" s="4"/>
    </row>
    <row r="3534" spans="1:8" x14ac:dyDescent="0.3">
      <c r="A3534" s="1"/>
      <c r="G3534" s="4"/>
      <c r="H3534" s="4"/>
    </row>
    <row r="3535" spans="1:8" x14ac:dyDescent="0.3">
      <c r="A3535" s="1"/>
      <c r="G3535" s="4"/>
      <c r="H3535" s="4"/>
    </row>
    <row r="3536" spans="1:8" x14ac:dyDescent="0.3">
      <c r="A3536" s="1"/>
      <c r="G3536" s="4"/>
      <c r="H3536" s="4"/>
    </row>
    <row r="3537" spans="1:8" x14ac:dyDescent="0.3">
      <c r="A3537" s="1"/>
      <c r="G3537" s="4"/>
      <c r="H3537" s="4"/>
    </row>
    <row r="3538" spans="1:8" x14ac:dyDescent="0.3">
      <c r="A3538" s="1"/>
      <c r="G3538" s="4"/>
      <c r="H3538" s="4"/>
    </row>
    <row r="3539" spans="1:8" x14ac:dyDescent="0.3">
      <c r="A3539" s="1"/>
      <c r="G3539" s="4"/>
      <c r="H3539" s="4"/>
    </row>
    <row r="3540" spans="1:8" x14ac:dyDescent="0.3">
      <c r="A3540" s="1"/>
      <c r="G3540" s="4"/>
      <c r="H3540" s="4"/>
    </row>
    <row r="3541" spans="1:8" x14ac:dyDescent="0.3">
      <c r="A3541" s="1"/>
      <c r="G3541" s="4"/>
      <c r="H3541" s="4"/>
    </row>
    <row r="3542" spans="1:8" x14ac:dyDescent="0.3">
      <c r="A3542" s="1"/>
      <c r="G3542" s="4"/>
      <c r="H3542" s="4"/>
    </row>
    <row r="3543" spans="1:8" x14ac:dyDescent="0.3">
      <c r="A3543" s="1"/>
      <c r="G3543" s="4"/>
      <c r="H3543" s="4"/>
    </row>
    <row r="3544" spans="1:8" x14ac:dyDescent="0.3">
      <c r="A3544" s="1"/>
      <c r="G3544" s="4"/>
      <c r="H3544" s="4"/>
    </row>
    <row r="3545" spans="1:8" x14ac:dyDescent="0.3">
      <c r="A3545" s="1"/>
      <c r="G3545" s="4"/>
      <c r="H3545" s="4"/>
    </row>
    <row r="3546" spans="1:8" x14ac:dyDescent="0.3">
      <c r="A3546" s="1"/>
      <c r="G3546" s="4"/>
      <c r="H3546" s="4"/>
    </row>
    <row r="3547" spans="1:8" x14ac:dyDescent="0.3">
      <c r="A3547" s="1"/>
      <c r="G3547" s="4"/>
      <c r="H3547" s="4"/>
    </row>
    <row r="3548" spans="1:8" x14ac:dyDescent="0.3">
      <c r="A3548" s="1"/>
      <c r="G3548" s="4"/>
      <c r="H3548" s="4"/>
    </row>
    <row r="3549" spans="1:8" x14ac:dyDescent="0.3">
      <c r="A3549" s="1"/>
      <c r="G3549" s="4"/>
      <c r="H3549" s="4"/>
    </row>
    <row r="3550" spans="1:8" x14ac:dyDescent="0.3">
      <c r="A3550" s="1"/>
      <c r="G3550" s="4"/>
      <c r="H3550" s="4"/>
    </row>
    <row r="3551" spans="1:8" x14ac:dyDescent="0.3">
      <c r="A3551" s="1"/>
      <c r="G3551" s="4"/>
      <c r="H3551" s="4"/>
    </row>
    <row r="3552" spans="1:8" x14ac:dyDescent="0.3">
      <c r="A3552" s="1"/>
      <c r="G3552" s="4"/>
      <c r="H3552" s="4"/>
    </row>
    <row r="3553" spans="1:8" x14ac:dyDescent="0.3">
      <c r="A3553" s="1"/>
      <c r="G3553" s="4"/>
      <c r="H3553" s="4"/>
    </row>
    <row r="3554" spans="1:8" x14ac:dyDescent="0.3">
      <c r="A3554" s="1"/>
      <c r="G3554" s="4"/>
      <c r="H3554" s="4"/>
    </row>
    <row r="3555" spans="1:8" x14ac:dyDescent="0.3">
      <c r="A3555" s="1"/>
      <c r="G3555" s="4"/>
      <c r="H3555" s="4"/>
    </row>
    <row r="3556" spans="1:8" x14ac:dyDescent="0.3">
      <c r="A3556" s="1"/>
      <c r="G3556" s="4"/>
      <c r="H3556" s="4"/>
    </row>
    <row r="3557" spans="1:8" x14ac:dyDescent="0.3">
      <c r="A3557" s="1"/>
      <c r="G3557" s="4"/>
      <c r="H3557" s="4"/>
    </row>
    <row r="3558" spans="1:8" x14ac:dyDescent="0.3">
      <c r="A3558" s="1"/>
      <c r="G3558" s="4"/>
      <c r="H3558" s="4"/>
    </row>
    <row r="3559" spans="1:8" x14ac:dyDescent="0.3">
      <c r="A3559" s="1"/>
      <c r="G3559" s="4"/>
      <c r="H3559" s="4"/>
    </row>
    <row r="3560" spans="1:8" x14ac:dyDescent="0.3">
      <c r="A3560" s="1"/>
      <c r="G3560" s="4"/>
      <c r="H3560" s="4"/>
    </row>
    <row r="3561" spans="1:8" x14ac:dyDescent="0.3">
      <c r="A3561" s="1"/>
      <c r="G3561" s="4"/>
      <c r="H3561" s="4"/>
    </row>
    <row r="3562" spans="1:8" x14ac:dyDescent="0.3">
      <c r="A3562" s="1"/>
      <c r="G3562" s="4"/>
      <c r="H3562" s="4"/>
    </row>
    <row r="3563" spans="1:8" x14ac:dyDescent="0.3">
      <c r="A3563" s="1"/>
      <c r="G3563" s="4"/>
      <c r="H3563" s="4"/>
    </row>
    <row r="3564" spans="1:8" x14ac:dyDescent="0.3">
      <c r="A3564" s="1"/>
      <c r="G3564" s="4"/>
      <c r="H3564" s="4"/>
    </row>
    <row r="3565" spans="1:8" x14ac:dyDescent="0.3">
      <c r="A3565" s="1"/>
      <c r="G3565" s="4"/>
      <c r="H3565" s="4"/>
    </row>
    <row r="3566" spans="1:8" x14ac:dyDescent="0.3">
      <c r="A3566" s="1"/>
      <c r="G3566" s="4"/>
      <c r="H3566" s="4"/>
    </row>
    <row r="3567" spans="1:8" x14ac:dyDescent="0.3">
      <c r="A3567" s="1"/>
      <c r="G3567" s="4"/>
      <c r="H3567" s="4"/>
    </row>
    <row r="3568" spans="1:8" x14ac:dyDescent="0.3">
      <c r="A3568" s="1"/>
      <c r="G3568" s="4"/>
      <c r="H3568" s="4"/>
    </row>
    <row r="3569" spans="1:8" x14ac:dyDescent="0.3">
      <c r="A3569" s="1"/>
      <c r="G3569" s="4"/>
      <c r="H3569" s="4"/>
    </row>
    <row r="3570" spans="1:8" x14ac:dyDescent="0.3">
      <c r="A3570" s="1"/>
      <c r="G3570" s="4"/>
      <c r="H3570" s="4"/>
    </row>
    <row r="3571" spans="1:8" x14ac:dyDescent="0.3">
      <c r="A3571" s="1"/>
      <c r="G3571" s="4"/>
      <c r="H3571" s="4"/>
    </row>
    <row r="3572" spans="1:8" x14ac:dyDescent="0.3">
      <c r="A3572" s="1"/>
      <c r="G3572" s="4"/>
      <c r="H3572" s="4"/>
    </row>
    <row r="3573" spans="1:8" x14ac:dyDescent="0.3">
      <c r="A3573" s="1"/>
      <c r="G3573" s="4"/>
      <c r="H3573" s="4"/>
    </row>
    <row r="3574" spans="1:8" x14ac:dyDescent="0.3">
      <c r="A3574" s="1"/>
      <c r="G3574" s="4"/>
      <c r="H3574" s="4"/>
    </row>
    <row r="3575" spans="1:8" x14ac:dyDescent="0.3">
      <c r="A3575" s="1"/>
      <c r="G3575" s="4"/>
      <c r="H3575" s="4"/>
    </row>
    <row r="3576" spans="1:8" x14ac:dyDescent="0.3">
      <c r="A3576" s="1"/>
      <c r="G3576" s="4"/>
      <c r="H3576" s="4"/>
    </row>
    <row r="3577" spans="1:8" x14ac:dyDescent="0.3">
      <c r="A3577" s="1"/>
      <c r="G3577" s="4"/>
      <c r="H3577" s="4"/>
    </row>
    <row r="3578" spans="1:8" x14ac:dyDescent="0.3">
      <c r="A3578" s="1"/>
      <c r="G3578" s="4"/>
      <c r="H3578" s="4"/>
    </row>
    <row r="3579" spans="1:8" x14ac:dyDescent="0.3">
      <c r="A3579" s="1"/>
      <c r="G3579" s="4"/>
      <c r="H3579" s="4"/>
    </row>
    <row r="3580" spans="1:8" x14ac:dyDescent="0.3">
      <c r="A3580" s="1"/>
      <c r="G3580" s="4"/>
      <c r="H3580" s="4"/>
    </row>
    <row r="3581" spans="1:8" x14ac:dyDescent="0.3">
      <c r="A3581" s="1"/>
      <c r="G3581" s="4"/>
      <c r="H3581" s="4"/>
    </row>
    <row r="3582" spans="1:8" x14ac:dyDescent="0.3">
      <c r="A3582" s="1"/>
      <c r="G3582" s="4"/>
      <c r="H3582" s="4"/>
    </row>
    <row r="3583" spans="1:8" x14ac:dyDescent="0.3">
      <c r="A3583" s="1"/>
      <c r="G3583" s="4"/>
      <c r="H3583" s="4"/>
    </row>
    <row r="3584" spans="1:8" x14ac:dyDescent="0.3">
      <c r="A3584" s="1"/>
      <c r="G3584" s="4"/>
      <c r="H3584" s="4"/>
    </row>
    <row r="3585" spans="1:8" x14ac:dyDescent="0.3">
      <c r="A3585" s="1"/>
      <c r="G3585" s="4"/>
      <c r="H3585" s="4"/>
    </row>
    <row r="3586" spans="1:8" x14ac:dyDescent="0.3">
      <c r="A3586" s="1"/>
      <c r="G3586" s="4"/>
      <c r="H3586" s="4"/>
    </row>
    <row r="3587" spans="1:8" x14ac:dyDescent="0.3">
      <c r="A3587" s="1"/>
      <c r="G3587" s="4"/>
      <c r="H3587" s="4"/>
    </row>
    <row r="3588" spans="1:8" x14ac:dyDescent="0.3">
      <c r="A3588" s="1"/>
      <c r="G3588" s="4"/>
      <c r="H3588" s="4"/>
    </row>
    <row r="3589" spans="1:8" x14ac:dyDescent="0.3">
      <c r="A3589" s="1"/>
      <c r="G3589" s="4"/>
      <c r="H3589" s="4"/>
    </row>
    <row r="3590" spans="1:8" x14ac:dyDescent="0.3">
      <c r="A3590" s="1"/>
      <c r="G3590" s="4"/>
      <c r="H3590" s="4"/>
    </row>
    <row r="3591" spans="1:8" x14ac:dyDescent="0.3">
      <c r="A3591" s="1"/>
      <c r="G3591" s="4"/>
      <c r="H3591" s="4"/>
    </row>
    <row r="3592" spans="1:8" x14ac:dyDescent="0.3">
      <c r="A3592" s="1"/>
      <c r="G3592" s="4"/>
      <c r="H3592" s="4"/>
    </row>
    <row r="3593" spans="1:8" x14ac:dyDescent="0.3">
      <c r="A3593" s="1"/>
      <c r="G3593" s="4"/>
      <c r="H3593" s="4"/>
    </row>
    <row r="3594" spans="1:8" x14ac:dyDescent="0.3">
      <c r="A3594" s="1"/>
      <c r="G3594" s="4"/>
      <c r="H3594" s="4"/>
    </row>
    <row r="3595" spans="1:8" x14ac:dyDescent="0.3">
      <c r="A3595" s="1"/>
      <c r="G3595" s="4"/>
      <c r="H3595" s="4"/>
    </row>
    <row r="3596" spans="1:8" x14ac:dyDescent="0.3">
      <c r="A3596" s="1"/>
      <c r="G3596" s="4"/>
      <c r="H3596" s="4"/>
    </row>
    <row r="3597" spans="1:8" x14ac:dyDescent="0.3">
      <c r="A3597" s="1"/>
      <c r="G3597" s="4"/>
      <c r="H3597" s="4"/>
    </row>
    <row r="3598" spans="1:8" x14ac:dyDescent="0.3">
      <c r="A3598" s="1"/>
      <c r="G3598" s="4"/>
      <c r="H3598" s="4"/>
    </row>
    <row r="3599" spans="1:8" x14ac:dyDescent="0.3">
      <c r="A3599" s="1"/>
      <c r="G3599" s="4"/>
      <c r="H3599" s="4"/>
    </row>
    <row r="3600" spans="1:8" x14ac:dyDescent="0.3">
      <c r="A3600" s="1"/>
      <c r="G3600" s="4"/>
      <c r="H3600" s="4"/>
    </row>
    <row r="3601" spans="1:8" x14ac:dyDescent="0.3">
      <c r="A3601" s="1"/>
      <c r="G3601" s="4"/>
      <c r="H3601" s="4"/>
    </row>
    <row r="3602" spans="1:8" x14ac:dyDescent="0.3">
      <c r="A3602" s="1"/>
      <c r="G3602" s="4"/>
      <c r="H3602" s="4"/>
    </row>
    <row r="3603" spans="1:8" x14ac:dyDescent="0.3">
      <c r="A3603" s="1"/>
      <c r="G3603" s="4"/>
      <c r="H3603" s="4"/>
    </row>
    <row r="3604" spans="1:8" x14ac:dyDescent="0.3">
      <c r="A3604" s="1"/>
      <c r="G3604" s="4"/>
      <c r="H3604" s="4"/>
    </row>
    <row r="3605" spans="1:8" x14ac:dyDescent="0.3">
      <c r="A3605" s="1"/>
      <c r="G3605" s="4"/>
      <c r="H3605" s="4"/>
    </row>
    <row r="3606" spans="1:8" x14ac:dyDescent="0.3">
      <c r="A3606" s="1"/>
      <c r="G3606" s="4"/>
      <c r="H3606" s="4"/>
    </row>
    <row r="3607" spans="1:8" x14ac:dyDescent="0.3">
      <c r="A3607" s="1"/>
      <c r="G3607" s="4"/>
      <c r="H3607" s="4"/>
    </row>
    <row r="3608" spans="1:8" x14ac:dyDescent="0.3">
      <c r="A3608" s="1"/>
      <c r="G3608" s="4"/>
      <c r="H3608" s="4"/>
    </row>
    <row r="3609" spans="1:8" x14ac:dyDescent="0.3">
      <c r="A3609" s="1"/>
      <c r="G3609" s="4"/>
      <c r="H3609" s="4"/>
    </row>
    <row r="3610" spans="1:8" x14ac:dyDescent="0.3">
      <c r="A3610" s="1"/>
      <c r="G3610" s="4"/>
      <c r="H3610" s="4"/>
    </row>
    <row r="3611" spans="1:8" x14ac:dyDescent="0.3">
      <c r="A3611" s="1"/>
      <c r="G3611" s="4"/>
      <c r="H3611" s="4"/>
    </row>
    <row r="3612" spans="1:8" x14ac:dyDescent="0.3">
      <c r="A3612" s="1"/>
      <c r="G3612" s="4"/>
      <c r="H3612" s="4"/>
    </row>
    <row r="3613" spans="1:8" x14ac:dyDescent="0.3">
      <c r="A3613" s="1"/>
      <c r="G3613" s="4"/>
      <c r="H3613" s="4"/>
    </row>
    <row r="3614" spans="1:8" x14ac:dyDescent="0.3">
      <c r="A3614" s="1"/>
      <c r="G3614" s="4"/>
      <c r="H3614" s="4"/>
    </row>
    <row r="3615" spans="1:8" x14ac:dyDescent="0.3">
      <c r="A3615" s="1"/>
      <c r="G3615" s="4"/>
      <c r="H3615" s="4"/>
    </row>
    <row r="3616" spans="1:8" x14ac:dyDescent="0.3">
      <c r="A3616" s="1"/>
      <c r="G3616" s="4"/>
      <c r="H3616" s="4"/>
    </row>
    <row r="3617" spans="1:8" x14ac:dyDescent="0.3">
      <c r="A3617" s="1"/>
      <c r="G3617" s="4"/>
      <c r="H3617" s="4"/>
    </row>
    <row r="3618" spans="1:8" x14ac:dyDescent="0.3">
      <c r="A3618" s="1"/>
      <c r="G3618" s="4"/>
      <c r="H3618" s="4"/>
    </row>
    <row r="3619" spans="1:8" x14ac:dyDescent="0.3">
      <c r="A3619" s="1"/>
      <c r="G3619" s="4"/>
      <c r="H3619" s="4"/>
    </row>
    <row r="3620" spans="1:8" x14ac:dyDescent="0.3">
      <c r="A3620" s="1"/>
      <c r="G3620" s="4"/>
      <c r="H3620" s="4"/>
    </row>
    <row r="3621" spans="1:8" x14ac:dyDescent="0.3">
      <c r="A3621" s="1"/>
      <c r="G3621" s="4"/>
      <c r="H3621" s="4"/>
    </row>
    <row r="3622" spans="1:8" x14ac:dyDescent="0.3">
      <c r="A3622" s="1"/>
      <c r="G3622" s="4"/>
      <c r="H3622" s="4"/>
    </row>
    <row r="3623" spans="1:8" x14ac:dyDescent="0.3">
      <c r="A3623" s="1"/>
      <c r="G3623" s="4"/>
      <c r="H3623" s="4"/>
    </row>
    <row r="3624" spans="1:8" x14ac:dyDescent="0.3">
      <c r="A3624" s="1"/>
      <c r="G3624" s="4"/>
      <c r="H3624" s="4"/>
    </row>
    <row r="3625" spans="1:8" x14ac:dyDescent="0.3">
      <c r="A3625" s="1"/>
      <c r="G3625" s="4"/>
      <c r="H3625" s="4"/>
    </row>
    <row r="3626" spans="1:8" x14ac:dyDescent="0.3">
      <c r="A3626" s="1"/>
      <c r="G3626" s="4"/>
      <c r="H3626" s="4"/>
    </row>
    <row r="3627" spans="1:8" x14ac:dyDescent="0.3">
      <c r="A3627" s="1"/>
      <c r="G3627" s="4"/>
      <c r="H3627" s="4"/>
    </row>
    <row r="3628" spans="1:8" x14ac:dyDescent="0.3">
      <c r="A3628" s="1"/>
      <c r="G3628" s="4"/>
      <c r="H3628" s="4"/>
    </row>
    <row r="3629" spans="1:8" x14ac:dyDescent="0.3">
      <c r="A3629" s="1"/>
      <c r="G3629" s="4"/>
      <c r="H3629" s="4"/>
    </row>
    <row r="3630" spans="1:8" x14ac:dyDescent="0.3">
      <c r="A3630" s="1"/>
      <c r="G3630" s="4"/>
      <c r="H3630" s="4"/>
    </row>
    <row r="3631" spans="1:8" x14ac:dyDescent="0.3">
      <c r="A3631" s="1"/>
      <c r="G3631" s="4"/>
      <c r="H3631" s="4"/>
    </row>
    <row r="3632" spans="1:8" x14ac:dyDescent="0.3">
      <c r="A3632" s="1"/>
      <c r="G3632" s="4"/>
      <c r="H3632" s="4"/>
    </row>
    <row r="3633" spans="1:8" x14ac:dyDescent="0.3">
      <c r="A3633" s="1"/>
      <c r="G3633" s="4"/>
      <c r="H3633" s="4"/>
    </row>
    <row r="3634" spans="1:8" x14ac:dyDescent="0.3">
      <c r="A3634" s="1"/>
      <c r="G3634" s="4"/>
      <c r="H3634" s="4"/>
    </row>
    <row r="3635" spans="1:8" x14ac:dyDescent="0.3">
      <c r="A3635" s="1"/>
      <c r="G3635" s="4"/>
      <c r="H3635" s="4"/>
    </row>
    <row r="3636" spans="1:8" x14ac:dyDescent="0.3">
      <c r="A3636" s="1"/>
      <c r="G3636" s="4"/>
      <c r="H3636" s="4"/>
    </row>
    <row r="3637" spans="1:8" x14ac:dyDescent="0.3">
      <c r="A3637" s="1"/>
      <c r="G3637" s="4"/>
      <c r="H3637" s="4"/>
    </row>
    <row r="3638" spans="1:8" x14ac:dyDescent="0.3">
      <c r="A3638" s="1"/>
      <c r="G3638" s="4"/>
      <c r="H3638" s="4"/>
    </row>
    <row r="3639" spans="1:8" x14ac:dyDescent="0.3">
      <c r="A3639" s="1"/>
      <c r="G3639" s="4"/>
      <c r="H3639" s="4"/>
    </row>
    <row r="3640" spans="1:8" x14ac:dyDescent="0.3">
      <c r="A3640" s="1"/>
      <c r="G3640" s="4"/>
      <c r="H3640" s="4"/>
    </row>
    <row r="3641" spans="1:8" x14ac:dyDescent="0.3">
      <c r="A3641" s="1"/>
      <c r="G3641" s="4"/>
      <c r="H3641" s="4"/>
    </row>
    <row r="3642" spans="1:8" x14ac:dyDescent="0.3">
      <c r="A3642" s="1"/>
      <c r="G3642" s="4"/>
      <c r="H3642" s="4"/>
    </row>
    <row r="3643" spans="1:8" x14ac:dyDescent="0.3">
      <c r="A3643" s="1"/>
      <c r="G3643" s="4"/>
      <c r="H3643" s="4"/>
    </row>
    <row r="3644" spans="1:8" x14ac:dyDescent="0.3">
      <c r="A3644" s="1"/>
      <c r="G3644" s="4"/>
      <c r="H3644" s="4"/>
    </row>
    <row r="3645" spans="1:8" x14ac:dyDescent="0.3">
      <c r="A3645" s="1"/>
      <c r="G3645" s="4"/>
      <c r="H3645" s="4"/>
    </row>
    <row r="3646" spans="1:8" x14ac:dyDescent="0.3">
      <c r="A3646" s="1"/>
      <c r="G3646" s="4"/>
      <c r="H3646" s="4"/>
    </row>
    <row r="3647" spans="1:8" x14ac:dyDescent="0.3">
      <c r="A3647" s="1"/>
      <c r="G3647" s="4"/>
      <c r="H3647" s="4"/>
    </row>
    <row r="3648" spans="1:8" x14ac:dyDescent="0.3">
      <c r="A3648" s="1"/>
      <c r="G3648" s="4"/>
      <c r="H3648" s="4"/>
    </row>
    <row r="3649" spans="1:8" x14ac:dyDescent="0.3">
      <c r="A3649" s="1"/>
      <c r="G3649" s="4"/>
      <c r="H3649" s="4"/>
    </row>
    <row r="3650" spans="1:8" x14ac:dyDescent="0.3">
      <c r="A3650" s="1"/>
      <c r="G3650" s="4"/>
      <c r="H3650" s="4"/>
    </row>
    <row r="3651" spans="1:8" x14ac:dyDescent="0.3">
      <c r="A3651" s="1"/>
      <c r="G3651" s="4"/>
      <c r="H3651" s="4"/>
    </row>
    <row r="3652" spans="1:8" x14ac:dyDescent="0.3">
      <c r="A3652" s="1"/>
      <c r="G3652" s="4"/>
      <c r="H3652" s="4"/>
    </row>
    <row r="3653" spans="1:8" x14ac:dyDescent="0.3">
      <c r="A3653" s="1"/>
      <c r="G3653" s="4"/>
      <c r="H3653" s="4"/>
    </row>
    <row r="3654" spans="1:8" x14ac:dyDescent="0.3">
      <c r="A3654" s="1"/>
      <c r="G3654" s="4"/>
      <c r="H3654" s="4"/>
    </row>
    <row r="3655" spans="1:8" x14ac:dyDescent="0.3">
      <c r="A3655" s="1"/>
      <c r="G3655" s="4"/>
      <c r="H3655" s="4"/>
    </row>
    <row r="3656" spans="1:8" x14ac:dyDescent="0.3">
      <c r="A3656" s="1"/>
      <c r="G3656" s="4"/>
      <c r="H3656" s="4"/>
    </row>
    <row r="3657" spans="1:8" x14ac:dyDescent="0.3">
      <c r="A3657" s="1"/>
      <c r="G3657" s="4"/>
      <c r="H3657" s="4"/>
    </row>
    <row r="3658" spans="1:8" x14ac:dyDescent="0.3">
      <c r="A3658" s="1"/>
      <c r="G3658" s="4"/>
      <c r="H3658" s="4"/>
    </row>
    <row r="3659" spans="1:8" x14ac:dyDescent="0.3">
      <c r="A3659" s="1"/>
      <c r="G3659" s="4"/>
      <c r="H3659" s="4"/>
    </row>
    <row r="3660" spans="1:8" x14ac:dyDescent="0.3">
      <c r="A3660" s="1"/>
      <c r="G3660" s="4"/>
      <c r="H3660" s="4"/>
    </row>
    <row r="3661" spans="1:8" x14ac:dyDescent="0.3">
      <c r="A3661" s="1"/>
      <c r="G3661" s="4"/>
      <c r="H3661" s="4"/>
    </row>
    <row r="3662" spans="1:8" x14ac:dyDescent="0.3">
      <c r="A3662" s="1"/>
      <c r="G3662" s="4"/>
      <c r="H3662" s="4"/>
    </row>
    <row r="3663" spans="1:8" x14ac:dyDescent="0.3">
      <c r="A3663" s="1"/>
      <c r="G3663" s="4"/>
      <c r="H3663" s="4"/>
    </row>
    <row r="3664" spans="1:8" x14ac:dyDescent="0.3">
      <c r="A3664" s="1"/>
      <c r="G3664" s="4"/>
      <c r="H3664" s="4"/>
    </row>
    <row r="3665" spans="1:8" x14ac:dyDescent="0.3">
      <c r="A3665" s="1"/>
      <c r="G3665" s="4"/>
      <c r="H3665" s="4"/>
    </row>
    <row r="3666" spans="1:8" x14ac:dyDescent="0.3">
      <c r="A3666" s="1"/>
      <c r="G3666" s="4"/>
      <c r="H3666" s="4"/>
    </row>
    <row r="3667" spans="1:8" x14ac:dyDescent="0.3">
      <c r="A3667" s="1"/>
      <c r="G3667" s="4"/>
      <c r="H3667" s="4"/>
    </row>
    <row r="3668" spans="1:8" x14ac:dyDescent="0.3">
      <c r="A3668" s="1"/>
      <c r="G3668" s="4"/>
      <c r="H3668" s="4"/>
    </row>
    <row r="3669" spans="1:8" x14ac:dyDescent="0.3">
      <c r="A3669" s="1"/>
      <c r="G3669" s="4"/>
      <c r="H3669" s="4"/>
    </row>
    <row r="3670" spans="1:8" x14ac:dyDescent="0.3">
      <c r="A3670" s="1"/>
      <c r="G3670" s="4"/>
      <c r="H3670" s="4"/>
    </row>
    <row r="3671" spans="1:8" x14ac:dyDescent="0.3">
      <c r="A3671" s="1"/>
      <c r="G3671" s="4"/>
      <c r="H3671" s="4"/>
    </row>
    <row r="3672" spans="1:8" x14ac:dyDescent="0.3">
      <c r="A3672" s="1"/>
      <c r="G3672" s="4"/>
      <c r="H3672" s="4"/>
    </row>
    <row r="3673" spans="1:8" x14ac:dyDescent="0.3">
      <c r="A3673" s="1"/>
      <c r="G3673" s="4"/>
      <c r="H3673" s="4"/>
    </row>
    <row r="3674" spans="1:8" x14ac:dyDescent="0.3">
      <c r="A3674" s="1"/>
      <c r="G3674" s="4"/>
      <c r="H3674" s="4"/>
    </row>
    <row r="3675" spans="1:8" x14ac:dyDescent="0.3">
      <c r="A3675" s="1"/>
      <c r="G3675" s="4"/>
      <c r="H3675" s="4"/>
    </row>
    <row r="3676" spans="1:8" x14ac:dyDescent="0.3">
      <c r="A3676" s="1"/>
      <c r="G3676" s="4"/>
      <c r="H3676" s="4"/>
    </row>
    <row r="3677" spans="1:8" x14ac:dyDescent="0.3">
      <c r="A3677" s="1"/>
      <c r="G3677" s="4"/>
      <c r="H3677" s="4"/>
    </row>
    <row r="3678" spans="1:8" x14ac:dyDescent="0.3">
      <c r="A3678" s="1"/>
      <c r="G3678" s="4"/>
      <c r="H3678" s="4"/>
    </row>
    <row r="3679" spans="1:8" x14ac:dyDescent="0.3">
      <c r="A3679" s="1"/>
      <c r="G3679" s="4"/>
      <c r="H3679" s="4"/>
    </row>
    <row r="3680" spans="1:8" x14ac:dyDescent="0.3">
      <c r="A3680" s="1"/>
      <c r="G3680" s="4"/>
      <c r="H3680" s="4"/>
    </row>
    <row r="3681" spans="1:8" x14ac:dyDescent="0.3">
      <c r="A3681" s="1"/>
      <c r="G3681" s="4"/>
      <c r="H3681" s="4"/>
    </row>
    <row r="3682" spans="1:8" x14ac:dyDescent="0.3">
      <c r="A3682" s="1"/>
      <c r="G3682" s="4"/>
      <c r="H3682" s="4"/>
    </row>
    <row r="3683" spans="1:8" x14ac:dyDescent="0.3">
      <c r="A3683" s="1"/>
      <c r="G3683" s="4"/>
      <c r="H3683" s="4"/>
    </row>
    <row r="3684" spans="1:8" x14ac:dyDescent="0.3">
      <c r="A3684" s="1"/>
      <c r="G3684" s="4"/>
      <c r="H3684" s="4"/>
    </row>
    <row r="3685" spans="1:8" x14ac:dyDescent="0.3">
      <c r="A3685" s="1"/>
      <c r="G3685" s="4"/>
      <c r="H3685" s="4"/>
    </row>
    <row r="3686" spans="1:8" x14ac:dyDescent="0.3">
      <c r="A3686" s="1"/>
      <c r="G3686" s="4"/>
      <c r="H3686" s="4"/>
    </row>
    <row r="3687" spans="1:8" x14ac:dyDescent="0.3">
      <c r="A3687" s="1"/>
      <c r="G3687" s="4"/>
      <c r="H3687" s="4"/>
    </row>
    <row r="3688" spans="1:8" x14ac:dyDescent="0.3">
      <c r="A3688" s="1"/>
      <c r="G3688" s="4"/>
      <c r="H3688" s="4"/>
    </row>
    <row r="3689" spans="1:8" x14ac:dyDescent="0.3">
      <c r="A3689" s="1"/>
      <c r="G3689" s="4"/>
      <c r="H3689" s="4"/>
    </row>
    <row r="3690" spans="1:8" x14ac:dyDescent="0.3">
      <c r="A3690" s="1"/>
      <c r="G3690" s="4"/>
      <c r="H3690" s="4"/>
    </row>
    <row r="3691" spans="1:8" x14ac:dyDescent="0.3">
      <c r="A3691" s="1"/>
      <c r="G3691" s="4"/>
      <c r="H3691" s="4"/>
    </row>
    <row r="3692" spans="1:8" x14ac:dyDescent="0.3">
      <c r="A3692" s="1"/>
      <c r="G3692" s="4"/>
      <c r="H3692" s="4"/>
    </row>
    <row r="3693" spans="1:8" x14ac:dyDescent="0.3">
      <c r="A3693" s="1"/>
      <c r="G3693" s="4"/>
      <c r="H3693" s="4"/>
    </row>
    <row r="3694" spans="1:8" x14ac:dyDescent="0.3">
      <c r="A3694" s="1"/>
      <c r="G3694" s="4"/>
      <c r="H3694" s="4"/>
    </row>
    <row r="3695" spans="1:8" x14ac:dyDescent="0.3">
      <c r="A3695" s="1"/>
      <c r="G3695" s="4"/>
      <c r="H3695" s="4"/>
    </row>
    <row r="3696" spans="1:8" x14ac:dyDescent="0.3">
      <c r="A3696" s="1"/>
      <c r="G3696" s="4"/>
      <c r="H3696" s="4"/>
    </row>
    <row r="3697" spans="1:8" x14ac:dyDescent="0.3">
      <c r="A3697" s="1"/>
      <c r="G3697" s="4"/>
      <c r="H3697" s="4"/>
    </row>
    <row r="3698" spans="1:8" x14ac:dyDescent="0.3">
      <c r="A3698" s="1"/>
      <c r="G3698" s="4"/>
      <c r="H3698" s="4"/>
    </row>
    <row r="3699" spans="1:8" x14ac:dyDescent="0.3">
      <c r="A3699" s="1"/>
      <c r="G3699" s="4"/>
      <c r="H3699" s="4"/>
    </row>
    <row r="3700" spans="1:8" x14ac:dyDescent="0.3">
      <c r="A3700" s="1"/>
      <c r="G3700" s="4"/>
      <c r="H3700" s="4"/>
    </row>
    <row r="3701" spans="1:8" x14ac:dyDescent="0.3">
      <c r="A3701" s="1"/>
      <c r="G3701" s="4"/>
      <c r="H3701" s="4"/>
    </row>
    <row r="3702" spans="1:8" x14ac:dyDescent="0.3">
      <c r="A3702" s="1"/>
      <c r="G3702" s="4"/>
      <c r="H3702" s="4"/>
    </row>
    <row r="3703" spans="1:8" x14ac:dyDescent="0.3">
      <c r="A3703" s="1"/>
      <c r="G3703" s="4"/>
      <c r="H3703" s="4"/>
    </row>
    <row r="3704" spans="1:8" x14ac:dyDescent="0.3">
      <c r="A3704" s="1"/>
      <c r="G3704" s="4"/>
      <c r="H3704" s="4"/>
    </row>
    <row r="3705" spans="1:8" x14ac:dyDescent="0.3">
      <c r="A3705" s="1"/>
      <c r="G3705" s="4"/>
      <c r="H3705" s="4"/>
    </row>
    <row r="3706" spans="1:8" x14ac:dyDescent="0.3">
      <c r="A3706" s="1"/>
      <c r="G3706" s="4"/>
      <c r="H3706" s="4"/>
    </row>
    <row r="3707" spans="1:8" x14ac:dyDescent="0.3">
      <c r="A3707" s="1"/>
      <c r="G3707" s="4"/>
      <c r="H3707" s="4"/>
    </row>
    <row r="3708" spans="1:8" x14ac:dyDescent="0.3">
      <c r="A3708" s="1"/>
      <c r="G3708" s="4"/>
      <c r="H3708" s="4"/>
    </row>
    <row r="3709" spans="1:8" x14ac:dyDescent="0.3">
      <c r="A3709" s="1"/>
      <c r="G3709" s="4"/>
      <c r="H3709" s="4"/>
    </row>
    <row r="3710" spans="1:8" x14ac:dyDescent="0.3">
      <c r="A3710" s="1"/>
      <c r="G3710" s="4"/>
      <c r="H3710" s="4"/>
    </row>
    <row r="3711" spans="1:8" x14ac:dyDescent="0.3">
      <c r="A3711" s="1"/>
      <c r="G3711" s="4"/>
      <c r="H3711" s="4"/>
    </row>
    <row r="3712" spans="1:8" x14ac:dyDescent="0.3">
      <c r="A3712" s="1"/>
      <c r="G3712" s="4"/>
      <c r="H3712" s="4"/>
    </row>
    <row r="3713" spans="1:8" x14ac:dyDescent="0.3">
      <c r="A3713" s="1"/>
      <c r="G3713" s="4"/>
      <c r="H3713" s="4"/>
    </row>
    <row r="3714" spans="1:8" x14ac:dyDescent="0.3">
      <c r="A3714" s="1"/>
      <c r="G3714" s="4"/>
      <c r="H3714" s="4"/>
    </row>
    <row r="3715" spans="1:8" x14ac:dyDescent="0.3">
      <c r="A3715" s="1"/>
      <c r="G3715" s="4"/>
      <c r="H3715" s="4"/>
    </row>
    <row r="3716" spans="1:8" x14ac:dyDescent="0.3">
      <c r="A3716" s="1"/>
      <c r="G3716" s="4"/>
      <c r="H3716" s="4"/>
    </row>
    <row r="3717" spans="1:8" x14ac:dyDescent="0.3">
      <c r="A3717" s="1"/>
      <c r="G3717" s="4"/>
      <c r="H3717" s="4"/>
    </row>
    <row r="3718" spans="1:8" x14ac:dyDescent="0.3">
      <c r="A3718" s="1"/>
      <c r="G3718" s="4"/>
      <c r="H3718" s="4"/>
    </row>
    <row r="3719" spans="1:8" x14ac:dyDescent="0.3">
      <c r="A3719" s="1"/>
      <c r="G3719" s="4"/>
      <c r="H3719" s="4"/>
    </row>
    <row r="3720" spans="1:8" x14ac:dyDescent="0.3">
      <c r="A3720" s="1"/>
      <c r="G3720" s="4"/>
      <c r="H3720" s="4"/>
    </row>
    <row r="3721" spans="1:8" x14ac:dyDescent="0.3">
      <c r="A3721" s="1"/>
      <c r="G3721" s="4"/>
      <c r="H3721" s="4"/>
    </row>
    <row r="3722" spans="1:8" x14ac:dyDescent="0.3">
      <c r="A3722" s="1"/>
      <c r="G3722" s="4"/>
      <c r="H3722" s="4"/>
    </row>
    <row r="3723" spans="1:8" x14ac:dyDescent="0.3">
      <c r="A3723" s="1"/>
      <c r="G3723" s="4"/>
      <c r="H3723" s="4"/>
    </row>
    <row r="3724" spans="1:8" x14ac:dyDescent="0.3">
      <c r="A3724" s="1"/>
      <c r="G3724" s="4"/>
      <c r="H3724" s="4"/>
    </row>
    <row r="3725" spans="1:8" x14ac:dyDescent="0.3">
      <c r="A3725" s="1"/>
      <c r="G3725" s="4"/>
      <c r="H3725" s="4"/>
    </row>
    <row r="3726" spans="1:8" x14ac:dyDescent="0.3">
      <c r="A3726" s="1"/>
      <c r="G3726" s="4"/>
      <c r="H3726" s="4"/>
    </row>
    <row r="3727" spans="1:8" x14ac:dyDescent="0.3">
      <c r="A3727" s="1"/>
      <c r="G3727" s="4"/>
      <c r="H3727" s="4"/>
    </row>
    <row r="3728" spans="1:8" x14ac:dyDescent="0.3">
      <c r="A3728" s="1"/>
      <c r="G3728" s="4"/>
      <c r="H3728" s="4"/>
    </row>
    <row r="3729" spans="1:8" x14ac:dyDescent="0.3">
      <c r="A3729" s="1"/>
      <c r="G3729" s="4"/>
      <c r="H3729" s="4"/>
    </row>
    <row r="3730" spans="1:8" x14ac:dyDescent="0.3">
      <c r="A3730" s="1"/>
      <c r="G3730" s="4"/>
      <c r="H3730" s="4"/>
    </row>
    <row r="3731" spans="1:8" x14ac:dyDescent="0.3">
      <c r="A3731" s="1"/>
      <c r="G3731" s="4"/>
      <c r="H3731" s="4"/>
    </row>
    <row r="3732" spans="1:8" x14ac:dyDescent="0.3">
      <c r="A3732" s="1"/>
      <c r="G3732" s="4"/>
      <c r="H3732" s="4"/>
    </row>
    <row r="3733" spans="1:8" x14ac:dyDescent="0.3">
      <c r="A3733" s="1"/>
      <c r="G3733" s="4"/>
      <c r="H3733" s="4"/>
    </row>
    <row r="3734" spans="1:8" x14ac:dyDescent="0.3">
      <c r="A3734" s="1"/>
      <c r="G3734" s="4"/>
      <c r="H3734" s="4"/>
    </row>
    <row r="3735" spans="1:8" x14ac:dyDescent="0.3">
      <c r="A3735" s="1"/>
      <c r="G3735" s="4"/>
      <c r="H3735" s="4"/>
    </row>
    <row r="3736" spans="1:8" x14ac:dyDescent="0.3">
      <c r="A3736" s="1"/>
      <c r="G3736" s="4"/>
      <c r="H3736" s="4"/>
    </row>
    <row r="3737" spans="1:8" x14ac:dyDescent="0.3">
      <c r="A3737" s="1"/>
      <c r="G3737" s="4"/>
      <c r="H3737" s="4"/>
    </row>
    <row r="3738" spans="1:8" x14ac:dyDescent="0.3">
      <c r="A3738" s="1"/>
      <c r="G3738" s="4"/>
      <c r="H3738" s="4"/>
    </row>
    <row r="3739" spans="1:8" x14ac:dyDescent="0.3">
      <c r="A3739" s="1"/>
      <c r="G3739" s="4"/>
      <c r="H3739" s="4"/>
    </row>
    <row r="3740" spans="1:8" x14ac:dyDescent="0.3">
      <c r="A3740" s="1"/>
      <c r="G3740" s="4"/>
      <c r="H3740" s="4"/>
    </row>
    <row r="3741" spans="1:8" x14ac:dyDescent="0.3">
      <c r="A3741" s="1"/>
      <c r="G3741" s="4"/>
      <c r="H3741" s="4"/>
    </row>
    <row r="3742" spans="1:8" x14ac:dyDescent="0.3">
      <c r="A3742" s="1"/>
      <c r="G3742" s="4"/>
      <c r="H3742" s="4"/>
    </row>
    <row r="3743" spans="1:8" x14ac:dyDescent="0.3">
      <c r="A3743" s="1"/>
      <c r="G3743" s="4"/>
      <c r="H3743" s="4"/>
    </row>
    <row r="3744" spans="1:8" x14ac:dyDescent="0.3">
      <c r="A3744" s="1"/>
      <c r="G3744" s="4"/>
      <c r="H3744" s="4"/>
    </row>
    <row r="3745" spans="1:8" x14ac:dyDescent="0.3">
      <c r="A3745" s="1"/>
      <c r="G3745" s="4"/>
      <c r="H3745" s="4"/>
    </row>
    <row r="3746" spans="1:8" x14ac:dyDescent="0.3">
      <c r="A3746" s="1"/>
      <c r="G3746" s="4"/>
      <c r="H3746" s="4"/>
    </row>
    <row r="3747" spans="1:8" x14ac:dyDescent="0.3">
      <c r="A3747" s="1"/>
      <c r="G3747" s="4"/>
      <c r="H3747" s="4"/>
    </row>
    <row r="3748" spans="1:8" x14ac:dyDescent="0.3">
      <c r="A3748" s="1"/>
      <c r="G3748" s="4"/>
      <c r="H3748" s="4"/>
    </row>
    <row r="3749" spans="1:8" x14ac:dyDescent="0.3">
      <c r="A3749" s="1"/>
      <c r="G3749" s="4"/>
      <c r="H3749" s="4"/>
    </row>
    <row r="3750" spans="1:8" x14ac:dyDescent="0.3">
      <c r="A3750" s="1"/>
      <c r="G3750" s="4"/>
      <c r="H3750" s="4"/>
    </row>
    <row r="3751" spans="1:8" x14ac:dyDescent="0.3">
      <c r="A3751" s="1"/>
      <c r="G3751" s="4"/>
      <c r="H3751" s="4"/>
    </row>
    <row r="3752" spans="1:8" x14ac:dyDescent="0.3">
      <c r="A3752" s="1"/>
      <c r="G3752" s="4"/>
      <c r="H3752" s="4"/>
    </row>
    <row r="3753" spans="1:8" x14ac:dyDescent="0.3">
      <c r="A3753" s="1"/>
      <c r="G3753" s="4"/>
      <c r="H3753" s="4"/>
    </row>
    <row r="3754" spans="1:8" x14ac:dyDescent="0.3">
      <c r="A3754" s="1"/>
      <c r="G3754" s="4"/>
      <c r="H3754" s="4"/>
    </row>
    <row r="3755" spans="1:8" x14ac:dyDescent="0.3">
      <c r="A3755" s="1"/>
      <c r="G3755" s="4"/>
      <c r="H3755" s="4"/>
    </row>
    <row r="3756" spans="1:8" x14ac:dyDescent="0.3">
      <c r="A3756" s="1"/>
      <c r="G3756" s="4"/>
      <c r="H3756" s="4"/>
    </row>
    <row r="3757" spans="1:8" x14ac:dyDescent="0.3">
      <c r="A3757" s="1"/>
      <c r="G3757" s="4"/>
      <c r="H3757" s="4"/>
    </row>
    <row r="3758" spans="1:8" x14ac:dyDescent="0.3">
      <c r="A3758" s="1"/>
      <c r="G3758" s="4"/>
      <c r="H3758" s="4"/>
    </row>
    <row r="3759" spans="1:8" x14ac:dyDescent="0.3">
      <c r="A3759" s="1"/>
      <c r="G3759" s="4"/>
      <c r="H3759" s="4"/>
    </row>
    <row r="3760" spans="1:8" x14ac:dyDescent="0.3">
      <c r="A3760" s="1"/>
      <c r="G3760" s="4"/>
      <c r="H3760" s="4"/>
    </row>
    <row r="3761" spans="1:8" x14ac:dyDescent="0.3">
      <c r="A3761" s="1"/>
      <c r="G3761" s="4"/>
      <c r="H3761" s="4"/>
    </row>
    <row r="3762" spans="1:8" x14ac:dyDescent="0.3">
      <c r="A3762" s="1"/>
      <c r="G3762" s="4"/>
      <c r="H3762" s="4"/>
    </row>
    <row r="3763" spans="1:8" x14ac:dyDescent="0.3">
      <c r="A3763" s="1"/>
      <c r="G3763" s="4"/>
      <c r="H3763" s="4"/>
    </row>
    <row r="3764" spans="1:8" x14ac:dyDescent="0.3">
      <c r="A3764" s="1"/>
      <c r="G3764" s="4"/>
      <c r="H3764" s="4"/>
    </row>
    <row r="3765" spans="1:8" x14ac:dyDescent="0.3">
      <c r="A3765" s="1"/>
      <c r="G3765" s="4"/>
      <c r="H3765" s="4"/>
    </row>
    <row r="3766" spans="1:8" x14ac:dyDescent="0.3">
      <c r="A3766" s="1"/>
      <c r="G3766" s="4"/>
      <c r="H3766" s="4"/>
    </row>
    <row r="3767" spans="1:8" x14ac:dyDescent="0.3">
      <c r="A3767" s="1"/>
      <c r="G3767" s="4"/>
      <c r="H3767" s="4"/>
    </row>
    <row r="3768" spans="1:8" x14ac:dyDescent="0.3">
      <c r="A3768" s="1"/>
      <c r="G3768" s="4"/>
      <c r="H3768" s="4"/>
    </row>
    <row r="3769" spans="1:8" x14ac:dyDescent="0.3">
      <c r="A3769" s="1"/>
      <c r="G3769" s="4"/>
      <c r="H3769" s="4"/>
    </row>
    <row r="3770" spans="1:8" x14ac:dyDescent="0.3">
      <c r="A3770" s="1"/>
      <c r="G3770" s="4"/>
      <c r="H3770" s="4"/>
    </row>
    <row r="3771" spans="1:8" x14ac:dyDescent="0.3">
      <c r="A3771" s="1"/>
      <c r="G3771" s="4"/>
      <c r="H3771" s="4"/>
    </row>
    <row r="3772" spans="1:8" x14ac:dyDescent="0.3">
      <c r="A3772" s="1"/>
      <c r="G3772" s="4"/>
      <c r="H3772" s="4"/>
    </row>
    <row r="3773" spans="1:8" x14ac:dyDescent="0.3">
      <c r="A3773" s="1"/>
      <c r="G3773" s="4"/>
      <c r="H3773" s="4"/>
    </row>
    <row r="3774" spans="1:8" x14ac:dyDescent="0.3">
      <c r="A3774" s="1"/>
      <c r="G3774" s="4"/>
      <c r="H3774" s="4"/>
    </row>
    <row r="3775" spans="1:8" x14ac:dyDescent="0.3">
      <c r="A3775" s="1"/>
      <c r="G3775" s="4"/>
      <c r="H3775" s="4"/>
    </row>
    <row r="3776" spans="1:8" x14ac:dyDescent="0.3">
      <c r="A3776" s="1"/>
      <c r="G3776" s="4"/>
      <c r="H3776" s="4"/>
    </row>
    <row r="3777" spans="1:8" x14ac:dyDescent="0.3">
      <c r="A3777" s="1"/>
      <c r="G3777" s="4"/>
      <c r="H3777" s="4"/>
    </row>
    <row r="3778" spans="1:8" x14ac:dyDescent="0.3">
      <c r="A3778" s="1"/>
      <c r="G3778" s="4"/>
      <c r="H3778" s="4"/>
    </row>
    <row r="3779" spans="1:8" x14ac:dyDescent="0.3">
      <c r="A3779" s="1"/>
      <c r="G3779" s="4"/>
      <c r="H3779" s="4"/>
    </row>
    <row r="3780" spans="1:8" x14ac:dyDescent="0.3">
      <c r="A3780" s="1"/>
      <c r="G3780" s="4"/>
      <c r="H3780" s="4"/>
    </row>
    <row r="3781" spans="1:8" x14ac:dyDescent="0.3">
      <c r="A3781" s="1"/>
      <c r="G3781" s="4"/>
      <c r="H3781" s="4"/>
    </row>
    <row r="3782" spans="1:8" x14ac:dyDescent="0.3">
      <c r="A3782" s="1"/>
      <c r="G3782" s="4"/>
      <c r="H3782" s="4"/>
    </row>
    <row r="3783" spans="1:8" x14ac:dyDescent="0.3">
      <c r="A3783" s="1"/>
      <c r="G3783" s="4"/>
      <c r="H3783" s="4"/>
    </row>
    <row r="3784" spans="1:8" x14ac:dyDescent="0.3">
      <c r="A3784" s="1"/>
      <c r="G3784" s="4"/>
      <c r="H3784" s="4"/>
    </row>
    <row r="3785" spans="1:8" x14ac:dyDescent="0.3">
      <c r="A3785" s="1"/>
      <c r="G3785" s="4"/>
      <c r="H3785" s="4"/>
    </row>
    <row r="3786" spans="1:8" x14ac:dyDescent="0.3">
      <c r="A3786" s="1"/>
      <c r="G3786" s="4"/>
      <c r="H3786" s="4"/>
    </row>
    <row r="3787" spans="1:8" x14ac:dyDescent="0.3">
      <c r="A3787" s="1"/>
      <c r="G3787" s="4"/>
      <c r="H3787" s="4"/>
    </row>
    <row r="3788" spans="1:8" x14ac:dyDescent="0.3">
      <c r="A3788" s="1"/>
      <c r="G3788" s="4"/>
      <c r="H3788" s="4"/>
    </row>
    <row r="3789" spans="1:8" x14ac:dyDescent="0.3">
      <c r="A3789" s="1"/>
      <c r="G3789" s="4"/>
      <c r="H3789" s="4"/>
    </row>
    <row r="3790" spans="1:8" x14ac:dyDescent="0.3">
      <c r="A3790" s="1"/>
      <c r="G3790" s="4"/>
      <c r="H3790" s="4"/>
    </row>
    <row r="3791" spans="1:8" x14ac:dyDescent="0.3">
      <c r="A3791" s="1"/>
      <c r="G3791" s="4"/>
      <c r="H3791" s="4"/>
    </row>
    <row r="3792" spans="1:8" x14ac:dyDescent="0.3">
      <c r="A3792" s="1"/>
      <c r="G3792" s="4"/>
      <c r="H3792" s="4"/>
    </row>
    <row r="3793" spans="1:8" x14ac:dyDescent="0.3">
      <c r="A3793" s="1"/>
      <c r="G3793" s="4"/>
      <c r="H3793" s="4"/>
    </row>
    <row r="3794" spans="1:8" x14ac:dyDescent="0.3">
      <c r="A3794" s="1"/>
      <c r="G3794" s="4"/>
      <c r="H3794" s="4"/>
    </row>
    <row r="3795" spans="1:8" x14ac:dyDescent="0.3">
      <c r="A3795" s="1"/>
      <c r="G3795" s="4"/>
      <c r="H3795" s="4"/>
    </row>
    <row r="3796" spans="1:8" x14ac:dyDescent="0.3">
      <c r="A3796" s="1"/>
      <c r="G3796" s="4"/>
      <c r="H3796" s="4"/>
    </row>
    <row r="3797" spans="1:8" x14ac:dyDescent="0.3">
      <c r="A3797" s="1"/>
      <c r="G3797" s="4"/>
      <c r="H3797" s="4"/>
    </row>
    <row r="3798" spans="1:8" x14ac:dyDescent="0.3">
      <c r="A3798" s="1"/>
      <c r="G3798" s="4"/>
      <c r="H3798" s="4"/>
    </row>
    <row r="3799" spans="1:8" x14ac:dyDescent="0.3">
      <c r="A3799" s="1"/>
      <c r="G3799" s="4"/>
      <c r="H3799" s="4"/>
    </row>
    <row r="3800" spans="1:8" x14ac:dyDescent="0.3">
      <c r="A3800" s="1"/>
      <c r="G3800" s="4"/>
      <c r="H3800" s="4"/>
    </row>
    <row r="3801" spans="1:8" x14ac:dyDescent="0.3">
      <c r="A3801" s="1"/>
      <c r="G3801" s="4"/>
      <c r="H3801" s="4"/>
    </row>
    <row r="3802" spans="1:8" x14ac:dyDescent="0.3">
      <c r="A3802" s="1"/>
      <c r="G3802" s="4"/>
      <c r="H3802" s="4"/>
    </row>
    <row r="3803" spans="1:8" x14ac:dyDescent="0.3">
      <c r="A3803" s="1"/>
      <c r="G3803" s="4"/>
      <c r="H3803" s="4"/>
    </row>
    <row r="3804" spans="1:8" x14ac:dyDescent="0.3">
      <c r="A3804" s="1"/>
      <c r="G3804" s="4"/>
      <c r="H3804" s="4"/>
    </row>
    <row r="3805" spans="1:8" x14ac:dyDescent="0.3">
      <c r="A3805" s="1"/>
      <c r="G3805" s="4"/>
      <c r="H3805" s="4"/>
    </row>
    <row r="3806" spans="1:8" x14ac:dyDescent="0.3">
      <c r="A3806" s="1"/>
      <c r="G3806" s="4"/>
      <c r="H3806" s="4"/>
    </row>
    <row r="3807" spans="1:8" x14ac:dyDescent="0.3">
      <c r="A3807" s="1"/>
      <c r="G3807" s="4"/>
      <c r="H3807" s="4"/>
    </row>
    <row r="3808" spans="1:8" x14ac:dyDescent="0.3">
      <c r="A3808" s="1"/>
      <c r="G3808" s="4"/>
      <c r="H3808" s="4"/>
    </row>
    <row r="3809" spans="1:8" x14ac:dyDescent="0.3">
      <c r="A3809" s="1"/>
      <c r="G3809" s="4"/>
      <c r="H3809" s="4"/>
    </row>
    <row r="3810" spans="1:8" x14ac:dyDescent="0.3">
      <c r="A3810" s="1"/>
      <c r="G3810" s="4"/>
      <c r="H3810" s="4"/>
    </row>
    <row r="3811" spans="1:8" x14ac:dyDescent="0.3">
      <c r="A3811" s="1"/>
      <c r="G3811" s="4"/>
      <c r="H3811" s="4"/>
    </row>
    <row r="3812" spans="1:8" x14ac:dyDescent="0.3">
      <c r="A3812" s="1"/>
      <c r="G3812" s="4"/>
      <c r="H3812" s="4"/>
    </row>
    <row r="3813" spans="1:8" x14ac:dyDescent="0.3">
      <c r="A3813" s="1"/>
      <c r="G3813" s="4"/>
      <c r="H3813" s="4"/>
    </row>
    <row r="3814" spans="1:8" x14ac:dyDescent="0.3">
      <c r="A3814" s="1"/>
      <c r="G3814" s="4"/>
      <c r="H3814" s="4"/>
    </row>
    <row r="3815" spans="1:8" x14ac:dyDescent="0.3">
      <c r="A3815" s="1"/>
      <c r="G3815" s="4"/>
      <c r="H3815" s="4"/>
    </row>
    <row r="3816" spans="1:8" x14ac:dyDescent="0.3">
      <c r="A3816" s="1"/>
      <c r="G3816" s="4"/>
      <c r="H3816" s="4"/>
    </row>
    <row r="3817" spans="1:8" x14ac:dyDescent="0.3">
      <c r="A3817" s="1"/>
      <c r="G3817" s="4"/>
      <c r="H3817" s="4"/>
    </row>
    <row r="3818" spans="1:8" x14ac:dyDescent="0.3">
      <c r="A3818" s="1"/>
      <c r="G3818" s="4"/>
      <c r="H3818" s="4"/>
    </row>
    <row r="3819" spans="1:8" x14ac:dyDescent="0.3">
      <c r="A3819" s="1"/>
      <c r="G3819" s="4"/>
      <c r="H3819" s="4"/>
    </row>
    <row r="3820" spans="1:8" x14ac:dyDescent="0.3">
      <c r="A3820" s="1"/>
      <c r="G3820" s="4"/>
      <c r="H3820" s="4"/>
    </row>
    <row r="3821" spans="1:8" x14ac:dyDescent="0.3">
      <c r="A3821" s="1"/>
      <c r="G3821" s="4"/>
      <c r="H3821" s="4"/>
    </row>
    <row r="3822" spans="1:8" x14ac:dyDescent="0.3">
      <c r="A3822" s="1"/>
      <c r="G3822" s="4"/>
      <c r="H3822" s="4"/>
    </row>
    <row r="3823" spans="1:8" x14ac:dyDescent="0.3">
      <c r="A3823" s="1"/>
      <c r="G3823" s="4"/>
      <c r="H3823" s="4"/>
    </row>
    <row r="3824" spans="1:8" x14ac:dyDescent="0.3">
      <c r="A3824" s="1"/>
      <c r="G3824" s="4"/>
      <c r="H3824" s="4"/>
    </row>
    <row r="3825" spans="1:8" x14ac:dyDescent="0.3">
      <c r="A3825" s="1"/>
      <c r="G3825" s="4"/>
      <c r="H3825" s="4"/>
    </row>
    <row r="3826" spans="1:8" x14ac:dyDescent="0.3">
      <c r="A3826" s="1"/>
      <c r="G3826" s="4"/>
      <c r="H3826" s="4"/>
    </row>
    <row r="3827" spans="1:8" x14ac:dyDescent="0.3">
      <c r="A3827" s="1"/>
      <c r="G3827" s="4"/>
      <c r="H3827" s="4"/>
    </row>
    <row r="3828" spans="1:8" x14ac:dyDescent="0.3">
      <c r="A3828" s="1"/>
      <c r="G3828" s="4"/>
      <c r="H3828" s="4"/>
    </row>
    <row r="3829" spans="1:8" x14ac:dyDescent="0.3">
      <c r="A3829" s="1"/>
      <c r="G3829" s="4"/>
      <c r="H3829" s="4"/>
    </row>
    <row r="3830" spans="1:8" x14ac:dyDescent="0.3">
      <c r="A3830" s="1"/>
      <c r="G3830" s="4"/>
      <c r="H3830" s="4"/>
    </row>
    <row r="3831" spans="1:8" x14ac:dyDescent="0.3">
      <c r="A3831" s="1"/>
      <c r="G3831" s="4"/>
      <c r="H3831" s="4"/>
    </row>
    <row r="3832" spans="1:8" x14ac:dyDescent="0.3">
      <c r="A3832" s="1"/>
      <c r="G3832" s="4"/>
      <c r="H3832" s="4"/>
    </row>
    <row r="3833" spans="1:8" x14ac:dyDescent="0.3">
      <c r="A3833" s="1"/>
      <c r="G3833" s="4"/>
      <c r="H3833" s="4"/>
    </row>
    <row r="3834" spans="1:8" x14ac:dyDescent="0.3">
      <c r="A3834" s="1"/>
      <c r="G3834" s="4"/>
      <c r="H3834" s="4"/>
    </row>
    <row r="3835" spans="1:8" x14ac:dyDescent="0.3">
      <c r="A3835" s="1"/>
      <c r="G3835" s="4"/>
      <c r="H3835" s="4"/>
    </row>
    <row r="3836" spans="1:8" x14ac:dyDescent="0.3">
      <c r="A3836" s="1"/>
      <c r="G3836" s="4"/>
      <c r="H3836" s="4"/>
    </row>
    <row r="3837" spans="1:8" x14ac:dyDescent="0.3">
      <c r="A3837" s="1"/>
      <c r="G3837" s="4"/>
      <c r="H3837" s="4"/>
    </row>
    <row r="3838" spans="1:8" x14ac:dyDescent="0.3">
      <c r="A3838" s="1"/>
      <c r="G3838" s="4"/>
      <c r="H3838" s="4"/>
    </row>
    <row r="3839" spans="1:8" x14ac:dyDescent="0.3">
      <c r="A3839" s="1"/>
      <c r="G3839" s="4"/>
      <c r="H3839" s="4"/>
    </row>
    <row r="3840" spans="1:8" x14ac:dyDescent="0.3">
      <c r="A3840" s="1"/>
      <c r="G3840" s="4"/>
      <c r="H3840" s="4"/>
    </row>
    <row r="3841" spans="1:8" x14ac:dyDescent="0.3">
      <c r="A3841" s="1"/>
      <c r="G3841" s="4"/>
      <c r="H3841" s="4"/>
    </row>
    <row r="3842" spans="1:8" x14ac:dyDescent="0.3">
      <c r="A3842" s="1"/>
      <c r="G3842" s="4"/>
      <c r="H3842" s="4"/>
    </row>
    <row r="3843" spans="1:8" x14ac:dyDescent="0.3">
      <c r="A3843" s="1"/>
      <c r="G3843" s="4"/>
      <c r="H3843" s="4"/>
    </row>
    <row r="3844" spans="1:8" x14ac:dyDescent="0.3">
      <c r="A3844" s="1"/>
      <c r="G3844" s="4"/>
      <c r="H3844" s="4"/>
    </row>
    <row r="3845" spans="1:8" x14ac:dyDescent="0.3">
      <c r="A3845" s="1"/>
      <c r="G3845" s="4"/>
      <c r="H3845" s="4"/>
    </row>
    <row r="3846" spans="1:8" x14ac:dyDescent="0.3">
      <c r="A3846" s="1"/>
      <c r="G3846" s="4"/>
      <c r="H3846" s="4"/>
    </row>
    <row r="3847" spans="1:8" x14ac:dyDescent="0.3">
      <c r="A3847" s="1"/>
      <c r="G3847" s="4"/>
      <c r="H3847" s="4"/>
    </row>
    <row r="3848" spans="1:8" x14ac:dyDescent="0.3">
      <c r="A3848" s="1"/>
      <c r="G3848" s="4"/>
      <c r="H3848" s="4"/>
    </row>
    <row r="3849" spans="1:8" x14ac:dyDescent="0.3">
      <c r="A3849" s="1"/>
      <c r="G3849" s="4"/>
      <c r="H3849" s="4"/>
    </row>
    <row r="3850" spans="1:8" x14ac:dyDescent="0.3">
      <c r="A3850" s="1"/>
      <c r="G3850" s="4"/>
      <c r="H3850" s="4"/>
    </row>
    <row r="3851" spans="1:8" x14ac:dyDescent="0.3">
      <c r="A3851" s="1"/>
      <c r="G3851" s="4"/>
      <c r="H3851" s="4"/>
    </row>
    <row r="3852" spans="1:8" x14ac:dyDescent="0.3">
      <c r="A3852" s="1"/>
      <c r="G3852" s="4"/>
      <c r="H3852" s="4"/>
    </row>
    <row r="3853" spans="1:8" x14ac:dyDescent="0.3">
      <c r="A3853" s="1"/>
      <c r="G3853" s="4"/>
      <c r="H3853" s="4"/>
    </row>
    <row r="3854" spans="1:8" x14ac:dyDescent="0.3">
      <c r="A3854" s="1"/>
      <c r="G3854" s="4"/>
      <c r="H3854" s="4"/>
    </row>
    <row r="3855" spans="1:8" x14ac:dyDescent="0.3">
      <c r="A3855" s="1"/>
      <c r="G3855" s="4"/>
      <c r="H3855" s="4"/>
    </row>
    <row r="3856" spans="1:8" x14ac:dyDescent="0.3">
      <c r="A3856" s="1"/>
      <c r="G3856" s="4"/>
      <c r="H3856" s="4"/>
    </row>
    <row r="3857" spans="1:8" x14ac:dyDescent="0.3">
      <c r="A3857" s="1"/>
      <c r="G3857" s="4"/>
      <c r="H3857" s="4"/>
    </row>
    <row r="3858" spans="1:8" x14ac:dyDescent="0.3">
      <c r="A3858" s="1"/>
      <c r="G3858" s="4"/>
      <c r="H3858" s="4"/>
    </row>
    <row r="3859" spans="1:8" x14ac:dyDescent="0.3">
      <c r="A3859" s="1"/>
      <c r="G3859" s="4"/>
      <c r="H3859" s="4"/>
    </row>
    <row r="3860" spans="1:8" x14ac:dyDescent="0.3">
      <c r="A3860" s="1"/>
      <c r="G3860" s="4"/>
      <c r="H3860" s="4"/>
    </row>
    <row r="3861" spans="1:8" x14ac:dyDescent="0.3">
      <c r="A3861" s="1"/>
      <c r="G3861" s="4"/>
      <c r="H3861" s="4"/>
    </row>
    <row r="3862" spans="1:8" x14ac:dyDescent="0.3">
      <c r="A3862" s="1"/>
      <c r="G3862" s="4"/>
      <c r="H3862" s="4"/>
    </row>
    <row r="3863" spans="1:8" x14ac:dyDescent="0.3">
      <c r="A3863" s="1"/>
      <c r="G3863" s="4"/>
      <c r="H3863" s="4"/>
    </row>
    <row r="3864" spans="1:8" x14ac:dyDescent="0.3">
      <c r="A3864" s="1"/>
      <c r="G3864" s="4"/>
      <c r="H3864" s="4"/>
    </row>
    <row r="3865" spans="1:8" x14ac:dyDescent="0.3">
      <c r="A3865" s="1"/>
      <c r="G3865" s="4"/>
      <c r="H3865" s="4"/>
    </row>
    <row r="3866" spans="1:8" x14ac:dyDescent="0.3">
      <c r="A3866" s="1"/>
      <c r="G3866" s="4"/>
      <c r="H3866" s="4"/>
    </row>
    <row r="3867" spans="1:8" x14ac:dyDescent="0.3">
      <c r="A3867" s="1"/>
      <c r="G3867" s="4"/>
      <c r="H3867" s="4"/>
    </row>
    <row r="3868" spans="1:8" x14ac:dyDescent="0.3">
      <c r="A3868" s="1"/>
      <c r="G3868" s="4"/>
      <c r="H3868" s="4"/>
    </row>
    <row r="3869" spans="1:8" x14ac:dyDescent="0.3">
      <c r="A3869" s="1"/>
      <c r="G3869" s="4"/>
      <c r="H3869" s="4"/>
    </row>
    <row r="3870" spans="1:8" x14ac:dyDescent="0.3">
      <c r="A3870" s="1"/>
      <c r="G3870" s="4"/>
      <c r="H3870" s="4"/>
    </row>
    <row r="3871" spans="1:8" x14ac:dyDescent="0.3">
      <c r="A3871" s="1"/>
      <c r="G3871" s="4"/>
      <c r="H3871" s="4"/>
    </row>
    <row r="3872" spans="1:8" x14ac:dyDescent="0.3">
      <c r="A3872" s="1"/>
      <c r="G3872" s="4"/>
      <c r="H3872" s="4"/>
    </row>
    <row r="3873" spans="1:8" x14ac:dyDescent="0.3">
      <c r="A3873" s="1"/>
      <c r="G3873" s="4"/>
      <c r="H3873" s="4"/>
    </row>
    <row r="3874" spans="1:8" x14ac:dyDescent="0.3">
      <c r="A3874" s="1"/>
      <c r="G3874" s="4"/>
      <c r="H3874" s="4"/>
    </row>
    <row r="3875" spans="1:8" x14ac:dyDescent="0.3">
      <c r="A3875" s="1"/>
      <c r="G3875" s="4"/>
      <c r="H3875" s="4"/>
    </row>
    <row r="3876" spans="1:8" x14ac:dyDescent="0.3">
      <c r="A3876" s="1"/>
      <c r="G3876" s="4"/>
      <c r="H3876" s="4"/>
    </row>
    <row r="3877" spans="1:8" x14ac:dyDescent="0.3">
      <c r="A3877" s="1"/>
      <c r="G3877" s="4"/>
      <c r="H3877" s="4"/>
    </row>
    <row r="3878" spans="1:8" x14ac:dyDescent="0.3">
      <c r="A3878" s="1"/>
      <c r="G3878" s="4"/>
      <c r="H3878" s="4"/>
    </row>
    <row r="3879" spans="1:8" x14ac:dyDescent="0.3">
      <c r="A3879" s="1"/>
      <c r="G3879" s="4"/>
      <c r="H3879" s="4"/>
    </row>
    <row r="3880" spans="1:8" x14ac:dyDescent="0.3">
      <c r="A3880" s="1"/>
      <c r="G3880" s="4"/>
      <c r="H3880" s="4"/>
    </row>
    <row r="3881" spans="1:8" x14ac:dyDescent="0.3">
      <c r="A3881" s="1"/>
      <c r="G3881" s="4"/>
      <c r="H3881" s="4"/>
    </row>
    <row r="3882" spans="1:8" x14ac:dyDescent="0.3">
      <c r="A3882" s="1"/>
      <c r="G3882" s="4"/>
      <c r="H3882" s="4"/>
    </row>
    <row r="3883" spans="1:8" x14ac:dyDescent="0.3">
      <c r="A3883" s="1"/>
      <c r="G3883" s="4"/>
      <c r="H3883" s="4"/>
    </row>
    <row r="3884" spans="1:8" x14ac:dyDescent="0.3">
      <c r="A3884" s="1"/>
      <c r="G3884" s="4"/>
      <c r="H3884" s="4"/>
    </row>
    <row r="3885" spans="1:8" x14ac:dyDescent="0.3">
      <c r="A3885" s="1"/>
      <c r="G3885" s="4"/>
      <c r="H3885" s="4"/>
    </row>
    <row r="3886" spans="1:8" x14ac:dyDescent="0.3">
      <c r="A3886" s="1"/>
      <c r="G3886" s="4"/>
      <c r="H3886" s="4"/>
    </row>
    <row r="3887" spans="1:8" x14ac:dyDescent="0.3">
      <c r="A3887" s="1"/>
      <c r="G3887" s="4"/>
      <c r="H3887" s="4"/>
    </row>
    <row r="3888" spans="1:8" x14ac:dyDescent="0.3">
      <c r="A3888" s="1"/>
      <c r="G3888" s="4"/>
      <c r="H3888" s="4"/>
    </row>
    <row r="3889" spans="1:8" x14ac:dyDescent="0.3">
      <c r="A3889" s="1"/>
      <c r="G3889" s="4"/>
      <c r="H3889" s="4"/>
    </row>
    <row r="3890" spans="1:8" x14ac:dyDescent="0.3">
      <c r="A3890" s="1"/>
      <c r="G3890" s="4"/>
      <c r="H3890" s="4"/>
    </row>
    <row r="3891" spans="1:8" x14ac:dyDescent="0.3">
      <c r="A3891" s="1"/>
      <c r="G3891" s="4"/>
      <c r="H3891" s="4"/>
    </row>
    <row r="3892" spans="1:8" x14ac:dyDescent="0.3">
      <c r="A3892" s="1"/>
      <c r="G3892" s="4"/>
      <c r="H3892" s="4"/>
    </row>
    <row r="3893" spans="1:8" x14ac:dyDescent="0.3">
      <c r="A3893" s="1"/>
      <c r="G3893" s="4"/>
      <c r="H3893" s="4"/>
    </row>
    <row r="3894" spans="1:8" x14ac:dyDescent="0.3">
      <c r="A3894" s="1"/>
      <c r="G3894" s="4"/>
      <c r="H3894" s="4"/>
    </row>
    <row r="3895" spans="1:8" x14ac:dyDescent="0.3">
      <c r="A3895" s="1"/>
      <c r="G3895" s="4"/>
      <c r="H3895" s="4"/>
    </row>
    <row r="3896" spans="1:8" x14ac:dyDescent="0.3">
      <c r="A3896" s="1"/>
      <c r="G3896" s="4"/>
      <c r="H3896" s="4"/>
    </row>
    <row r="3897" spans="1:8" x14ac:dyDescent="0.3">
      <c r="A3897" s="1"/>
      <c r="G3897" s="4"/>
      <c r="H3897" s="4"/>
    </row>
    <row r="3898" spans="1:8" x14ac:dyDescent="0.3">
      <c r="A3898" s="1"/>
      <c r="G3898" s="4"/>
      <c r="H3898" s="4"/>
    </row>
    <row r="3899" spans="1:8" x14ac:dyDescent="0.3">
      <c r="A3899" s="1"/>
      <c r="G3899" s="4"/>
      <c r="H3899" s="4"/>
    </row>
    <row r="3900" spans="1:8" x14ac:dyDescent="0.3">
      <c r="A3900" s="1"/>
      <c r="G3900" s="4"/>
      <c r="H3900" s="4"/>
    </row>
    <row r="3901" spans="1:8" x14ac:dyDescent="0.3">
      <c r="A3901" s="1"/>
      <c r="G3901" s="4"/>
      <c r="H3901" s="4"/>
    </row>
    <row r="3902" spans="1:8" x14ac:dyDescent="0.3">
      <c r="A3902" s="1"/>
      <c r="G3902" s="4"/>
      <c r="H3902" s="4"/>
    </row>
    <row r="3903" spans="1:8" x14ac:dyDescent="0.3">
      <c r="A3903" s="1"/>
      <c r="G3903" s="4"/>
      <c r="H3903" s="4"/>
    </row>
    <row r="3904" spans="1:8" x14ac:dyDescent="0.3">
      <c r="A3904" s="1"/>
      <c r="G3904" s="4"/>
      <c r="H3904" s="4"/>
    </row>
    <row r="3905" spans="1:8" x14ac:dyDescent="0.3">
      <c r="A3905" s="1"/>
      <c r="G3905" s="4"/>
      <c r="H3905" s="4"/>
    </row>
    <row r="3906" spans="1:8" x14ac:dyDescent="0.3">
      <c r="A3906" s="1"/>
      <c r="G3906" s="4"/>
      <c r="H3906" s="4"/>
    </row>
    <row r="3907" spans="1:8" x14ac:dyDescent="0.3">
      <c r="A3907" s="1"/>
      <c r="G3907" s="4"/>
      <c r="H3907" s="4"/>
    </row>
    <row r="3908" spans="1:8" x14ac:dyDescent="0.3">
      <c r="A3908" s="1"/>
      <c r="G3908" s="4"/>
      <c r="H3908" s="4"/>
    </row>
    <row r="3909" spans="1:8" x14ac:dyDescent="0.3">
      <c r="A3909" s="1"/>
      <c r="G3909" s="4"/>
      <c r="H3909" s="4"/>
    </row>
    <row r="3910" spans="1:8" x14ac:dyDescent="0.3">
      <c r="A3910" s="1"/>
      <c r="G3910" s="4"/>
      <c r="H3910" s="4"/>
    </row>
    <row r="3911" spans="1:8" x14ac:dyDescent="0.3">
      <c r="A3911" s="1"/>
      <c r="G3911" s="4"/>
      <c r="H3911" s="4"/>
    </row>
    <row r="3912" spans="1:8" x14ac:dyDescent="0.3">
      <c r="A3912" s="1"/>
      <c r="G3912" s="4"/>
      <c r="H3912" s="4"/>
    </row>
    <row r="3913" spans="1:8" x14ac:dyDescent="0.3">
      <c r="A3913" s="1"/>
      <c r="G3913" s="4"/>
      <c r="H3913" s="4"/>
    </row>
    <row r="3914" spans="1:8" x14ac:dyDescent="0.3">
      <c r="A3914" s="1"/>
      <c r="G3914" s="4"/>
      <c r="H3914" s="4"/>
    </row>
    <row r="3915" spans="1:8" x14ac:dyDescent="0.3">
      <c r="A3915" s="1"/>
      <c r="G3915" s="4"/>
      <c r="H3915" s="4"/>
    </row>
    <row r="3916" spans="1:8" x14ac:dyDescent="0.3">
      <c r="A3916" s="1"/>
      <c r="G3916" s="4"/>
      <c r="H3916" s="4"/>
    </row>
    <row r="3917" spans="1:8" x14ac:dyDescent="0.3">
      <c r="A3917" s="1"/>
      <c r="G3917" s="4"/>
      <c r="H3917" s="4"/>
    </row>
    <row r="3918" spans="1:8" x14ac:dyDescent="0.3">
      <c r="A3918" s="1"/>
      <c r="G3918" s="4"/>
      <c r="H3918" s="4"/>
    </row>
    <row r="3919" spans="1:8" x14ac:dyDescent="0.3">
      <c r="A3919" s="1"/>
      <c r="G3919" s="4"/>
      <c r="H3919" s="4"/>
    </row>
    <row r="3920" spans="1:8" x14ac:dyDescent="0.3">
      <c r="A3920" s="1"/>
      <c r="G3920" s="4"/>
      <c r="H3920" s="4"/>
    </row>
    <row r="3921" spans="1:8" x14ac:dyDescent="0.3">
      <c r="A3921" s="1"/>
      <c r="G3921" s="4"/>
      <c r="H3921" s="4"/>
    </row>
    <row r="3922" spans="1:8" x14ac:dyDescent="0.3">
      <c r="A3922" s="1"/>
      <c r="G3922" s="4"/>
      <c r="H3922" s="4"/>
    </row>
    <row r="3923" spans="1:8" x14ac:dyDescent="0.3">
      <c r="A3923" s="1"/>
      <c r="G3923" s="4"/>
      <c r="H3923" s="4"/>
    </row>
    <row r="3924" spans="1:8" x14ac:dyDescent="0.3">
      <c r="A3924" s="1"/>
      <c r="G3924" s="4"/>
      <c r="H3924" s="4"/>
    </row>
    <row r="3925" spans="1:8" x14ac:dyDescent="0.3">
      <c r="A3925" s="1"/>
      <c r="G3925" s="4"/>
      <c r="H3925" s="4"/>
    </row>
    <row r="3926" spans="1:8" x14ac:dyDescent="0.3">
      <c r="A3926" s="1"/>
      <c r="G3926" s="4"/>
      <c r="H3926" s="4"/>
    </row>
    <row r="3927" spans="1:8" x14ac:dyDescent="0.3">
      <c r="A3927" s="1"/>
      <c r="G3927" s="4"/>
      <c r="H3927" s="4"/>
    </row>
    <row r="3928" spans="1:8" x14ac:dyDescent="0.3">
      <c r="A3928" s="1"/>
      <c r="G3928" s="4"/>
      <c r="H3928" s="4"/>
    </row>
    <row r="3929" spans="1:8" x14ac:dyDescent="0.3">
      <c r="A3929" s="1"/>
      <c r="G3929" s="4"/>
      <c r="H3929" s="4"/>
    </row>
    <row r="3930" spans="1:8" x14ac:dyDescent="0.3">
      <c r="A3930" s="1"/>
      <c r="G3930" s="4"/>
      <c r="H3930" s="4"/>
    </row>
    <row r="3931" spans="1:8" x14ac:dyDescent="0.3">
      <c r="A3931" s="1"/>
      <c r="G3931" s="4"/>
      <c r="H3931" s="4"/>
    </row>
    <row r="3932" spans="1:8" x14ac:dyDescent="0.3">
      <c r="A3932" s="1"/>
      <c r="G3932" s="4"/>
      <c r="H3932" s="4"/>
    </row>
    <row r="3933" spans="1:8" x14ac:dyDescent="0.3">
      <c r="A3933" s="1"/>
      <c r="G3933" s="4"/>
      <c r="H3933" s="4"/>
    </row>
    <row r="3934" spans="1:8" x14ac:dyDescent="0.3">
      <c r="A3934" s="1"/>
      <c r="G3934" s="4"/>
      <c r="H3934" s="4"/>
    </row>
    <row r="3935" spans="1:8" x14ac:dyDescent="0.3">
      <c r="A3935" s="1"/>
      <c r="G3935" s="4"/>
      <c r="H3935" s="4"/>
    </row>
    <row r="3936" spans="1:8" x14ac:dyDescent="0.3">
      <c r="A3936" s="1"/>
      <c r="G3936" s="4"/>
      <c r="H3936" s="4"/>
    </row>
    <row r="3937" spans="1:8" x14ac:dyDescent="0.3">
      <c r="A3937" s="1"/>
      <c r="G3937" s="4"/>
      <c r="H3937" s="4"/>
    </row>
    <row r="3938" spans="1:8" x14ac:dyDescent="0.3">
      <c r="A3938" s="1"/>
      <c r="G3938" s="4"/>
      <c r="H3938" s="4"/>
    </row>
    <row r="3939" spans="1:8" x14ac:dyDescent="0.3">
      <c r="A3939" s="1"/>
      <c r="G3939" s="4"/>
      <c r="H3939" s="4"/>
    </row>
    <row r="3940" spans="1:8" x14ac:dyDescent="0.3">
      <c r="A3940" s="1"/>
      <c r="G3940" s="4"/>
      <c r="H3940" s="4"/>
    </row>
    <row r="3941" spans="1:8" x14ac:dyDescent="0.3">
      <c r="A3941" s="1"/>
      <c r="G3941" s="4"/>
      <c r="H3941" s="4"/>
    </row>
    <row r="3942" spans="1:8" x14ac:dyDescent="0.3">
      <c r="A3942" s="1"/>
      <c r="G3942" s="4"/>
      <c r="H3942" s="4"/>
    </row>
    <row r="3943" spans="1:8" x14ac:dyDescent="0.3">
      <c r="A3943" s="1"/>
      <c r="G3943" s="4"/>
      <c r="H3943" s="4"/>
    </row>
    <row r="3944" spans="1:8" x14ac:dyDescent="0.3">
      <c r="A3944" s="1"/>
      <c r="G3944" s="4"/>
      <c r="H3944" s="4"/>
    </row>
    <row r="3945" spans="1:8" x14ac:dyDescent="0.3">
      <c r="A3945" s="1"/>
      <c r="G3945" s="4"/>
      <c r="H3945" s="4"/>
    </row>
    <row r="3946" spans="1:8" x14ac:dyDescent="0.3">
      <c r="A3946" s="1"/>
      <c r="G3946" s="4"/>
      <c r="H3946" s="4"/>
    </row>
    <row r="3947" spans="1:8" x14ac:dyDescent="0.3">
      <c r="A3947" s="1"/>
      <c r="G3947" s="4"/>
      <c r="H3947" s="4"/>
    </row>
    <row r="3948" spans="1:8" x14ac:dyDescent="0.3">
      <c r="A3948" s="1"/>
      <c r="G3948" s="4"/>
      <c r="H3948" s="4"/>
    </row>
    <row r="3949" spans="1:8" x14ac:dyDescent="0.3">
      <c r="A3949" s="1"/>
      <c r="G3949" s="4"/>
      <c r="H3949" s="4"/>
    </row>
    <row r="3950" spans="1:8" x14ac:dyDescent="0.3">
      <c r="A3950" s="1"/>
      <c r="G3950" s="4"/>
      <c r="H3950" s="4"/>
    </row>
    <row r="3951" spans="1:8" x14ac:dyDescent="0.3">
      <c r="A3951" s="1"/>
      <c r="G3951" s="4"/>
      <c r="H3951" s="4"/>
    </row>
    <row r="3952" spans="1:8" x14ac:dyDescent="0.3">
      <c r="A3952" s="1"/>
      <c r="G3952" s="4"/>
      <c r="H3952" s="4"/>
    </row>
    <row r="3953" spans="1:8" x14ac:dyDescent="0.3">
      <c r="A3953" s="1"/>
      <c r="G3953" s="4"/>
      <c r="H3953" s="4"/>
    </row>
    <row r="3954" spans="1:8" x14ac:dyDescent="0.3">
      <c r="A3954" s="1"/>
      <c r="G3954" s="4"/>
      <c r="H3954" s="4"/>
    </row>
    <row r="3955" spans="1:8" x14ac:dyDescent="0.3">
      <c r="A3955" s="1"/>
      <c r="G3955" s="4"/>
      <c r="H3955" s="4"/>
    </row>
    <row r="3956" spans="1:8" x14ac:dyDescent="0.3">
      <c r="A3956" s="1"/>
      <c r="G3956" s="4"/>
      <c r="H3956" s="4"/>
    </row>
    <row r="3957" spans="1:8" x14ac:dyDescent="0.3">
      <c r="A3957" s="1"/>
      <c r="G3957" s="4"/>
      <c r="H3957" s="4"/>
    </row>
    <row r="3958" spans="1:8" x14ac:dyDescent="0.3">
      <c r="A3958" s="1"/>
      <c r="G3958" s="4"/>
      <c r="H3958" s="4"/>
    </row>
    <row r="3959" spans="1:8" x14ac:dyDescent="0.3">
      <c r="A3959" s="1"/>
      <c r="G3959" s="4"/>
      <c r="H3959" s="4"/>
    </row>
    <row r="3960" spans="1:8" x14ac:dyDescent="0.3">
      <c r="A3960" s="1"/>
      <c r="G3960" s="4"/>
      <c r="H3960" s="4"/>
    </row>
    <row r="3961" spans="1:8" x14ac:dyDescent="0.3">
      <c r="A3961" s="1"/>
      <c r="G3961" s="4"/>
      <c r="H3961" s="4"/>
    </row>
    <row r="3962" spans="1:8" x14ac:dyDescent="0.3">
      <c r="A3962" s="1"/>
      <c r="G3962" s="4"/>
      <c r="H3962" s="4"/>
    </row>
    <row r="3963" spans="1:8" x14ac:dyDescent="0.3">
      <c r="A3963" s="1"/>
      <c r="G3963" s="4"/>
      <c r="H3963" s="4"/>
    </row>
    <row r="3964" spans="1:8" x14ac:dyDescent="0.3">
      <c r="A3964" s="1"/>
      <c r="G3964" s="4"/>
      <c r="H3964" s="4"/>
    </row>
    <row r="3965" spans="1:8" x14ac:dyDescent="0.3">
      <c r="A3965" s="1"/>
      <c r="G3965" s="4"/>
      <c r="H3965" s="4"/>
    </row>
    <row r="3966" spans="1:8" x14ac:dyDescent="0.3">
      <c r="A3966" s="1"/>
      <c r="G3966" s="4"/>
      <c r="H3966" s="4"/>
    </row>
    <row r="3967" spans="1:8" x14ac:dyDescent="0.3">
      <c r="A3967" s="1"/>
      <c r="G3967" s="4"/>
      <c r="H3967" s="4"/>
    </row>
    <row r="3968" spans="1:8" x14ac:dyDescent="0.3">
      <c r="A3968" s="1"/>
      <c r="G3968" s="4"/>
      <c r="H3968" s="4"/>
    </row>
    <row r="3969" spans="1:8" x14ac:dyDescent="0.3">
      <c r="A3969" s="1"/>
      <c r="G3969" s="4"/>
      <c r="H3969" s="4"/>
    </row>
    <row r="3970" spans="1:8" x14ac:dyDescent="0.3">
      <c r="A3970" s="1"/>
      <c r="G3970" s="4"/>
      <c r="H3970" s="4"/>
    </row>
    <row r="3971" spans="1:8" x14ac:dyDescent="0.3">
      <c r="A3971" s="1"/>
      <c r="G3971" s="4"/>
      <c r="H3971" s="4"/>
    </row>
    <row r="3972" spans="1:8" x14ac:dyDescent="0.3">
      <c r="A3972" s="1"/>
      <c r="G3972" s="4"/>
      <c r="H3972" s="4"/>
    </row>
    <row r="3973" spans="1:8" x14ac:dyDescent="0.3">
      <c r="A3973" s="1"/>
      <c r="G3973" s="4"/>
      <c r="H3973" s="4"/>
    </row>
    <row r="3974" spans="1:8" x14ac:dyDescent="0.3">
      <c r="A3974" s="1"/>
      <c r="G3974" s="4"/>
      <c r="H3974" s="4"/>
    </row>
    <row r="3975" spans="1:8" x14ac:dyDescent="0.3">
      <c r="A3975" s="1"/>
      <c r="G3975" s="4"/>
      <c r="H3975" s="4"/>
    </row>
    <row r="3976" spans="1:8" x14ac:dyDescent="0.3">
      <c r="A3976" s="1"/>
      <c r="G3976" s="4"/>
      <c r="H3976" s="4"/>
    </row>
    <row r="3977" spans="1:8" x14ac:dyDescent="0.3">
      <c r="A3977" s="1"/>
      <c r="G3977" s="4"/>
      <c r="H3977" s="4"/>
    </row>
    <row r="3978" spans="1:8" x14ac:dyDescent="0.3">
      <c r="A3978" s="1"/>
      <c r="G3978" s="4"/>
      <c r="H3978" s="4"/>
    </row>
    <row r="3979" spans="1:8" x14ac:dyDescent="0.3">
      <c r="A3979" s="1"/>
      <c r="G3979" s="4"/>
      <c r="H3979" s="4"/>
    </row>
    <row r="3980" spans="1:8" x14ac:dyDescent="0.3">
      <c r="A3980" s="1"/>
      <c r="G3980" s="4"/>
      <c r="H3980" s="4"/>
    </row>
    <row r="3981" spans="1:8" x14ac:dyDescent="0.3">
      <c r="A3981" s="1"/>
      <c r="G3981" s="4"/>
      <c r="H3981" s="4"/>
    </row>
    <row r="3982" spans="1:8" x14ac:dyDescent="0.3">
      <c r="A3982" s="1"/>
      <c r="G3982" s="4"/>
      <c r="H3982" s="4"/>
    </row>
    <row r="3983" spans="1:8" x14ac:dyDescent="0.3">
      <c r="A3983" s="1"/>
      <c r="G3983" s="4"/>
      <c r="H3983" s="4"/>
    </row>
    <row r="3984" spans="1:8" x14ac:dyDescent="0.3">
      <c r="A3984" s="1"/>
      <c r="G3984" s="4"/>
      <c r="H3984" s="4"/>
    </row>
    <row r="3985" spans="1:8" x14ac:dyDescent="0.3">
      <c r="A3985" s="1"/>
      <c r="G3985" s="4"/>
      <c r="H3985" s="4"/>
    </row>
    <row r="3986" spans="1:8" x14ac:dyDescent="0.3">
      <c r="A3986" s="1"/>
      <c r="G3986" s="4"/>
      <c r="H3986" s="4"/>
    </row>
    <row r="3987" spans="1:8" x14ac:dyDescent="0.3">
      <c r="A3987" s="1"/>
      <c r="G3987" s="4"/>
      <c r="H3987" s="4"/>
    </row>
    <row r="3988" spans="1:8" x14ac:dyDescent="0.3">
      <c r="A3988" s="1"/>
      <c r="G3988" s="4"/>
      <c r="H3988" s="4"/>
    </row>
    <row r="3989" spans="1:8" x14ac:dyDescent="0.3">
      <c r="A3989" s="1"/>
      <c r="G3989" s="4"/>
      <c r="H3989" s="4"/>
    </row>
    <row r="3990" spans="1:8" x14ac:dyDescent="0.3">
      <c r="A3990" s="1"/>
      <c r="G3990" s="4"/>
      <c r="H3990" s="4"/>
    </row>
    <row r="3991" spans="1:8" x14ac:dyDescent="0.3">
      <c r="A3991" s="1"/>
      <c r="G3991" s="4"/>
      <c r="H3991" s="4"/>
    </row>
    <row r="3992" spans="1:8" x14ac:dyDescent="0.3">
      <c r="A3992" s="1"/>
      <c r="G3992" s="4"/>
      <c r="H3992" s="4"/>
    </row>
    <row r="3993" spans="1:8" x14ac:dyDescent="0.3">
      <c r="A3993" s="1"/>
      <c r="G3993" s="4"/>
      <c r="H3993" s="4"/>
    </row>
    <row r="3994" spans="1:8" x14ac:dyDescent="0.3">
      <c r="A3994" s="1"/>
      <c r="G3994" s="4"/>
      <c r="H3994" s="4"/>
    </row>
    <row r="3995" spans="1:8" x14ac:dyDescent="0.3">
      <c r="A3995" s="1"/>
      <c r="G3995" s="4"/>
      <c r="H3995" s="4"/>
    </row>
    <row r="3996" spans="1:8" x14ac:dyDescent="0.3">
      <c r="A3996" s="1"/>
      <c r="G3996" s="4"/>
      <c r="H3996" s="4"/>
    </row>
    <row r="3997" spans="1:8" x14ac:dyDescent="0.3">
      <c r="A3997" s="1"/>
      <c r="G3997" s="4"/>
      <c r="H3997" s="4"/>
    </row>
    <row r="3998" spans="1:8" x14ac:dyDescent="0.3">
      <c r="A3998" s="1"/>
      <c r="G3998" s="4"/>
      <c r="H3998" s="4"/>
    </row>
    <row r="3999" spans="1:8" x14ac:dyDescent="0.3">
      <c r="A3999" s="1"/>
      <c r="G3999" s="4"/>
      <c r="H3999" s="4"/>
    </row>
    <row r="4000" spans="1:8" x14ac:dyDescent="0.3">
      <c r="A4000" s="1"/>
      <c r="G4000" s="4"/>
      <c r="H4000" s="4"/>
    </row>
    <row r="4001" spans="1:8" x14ac:dyDescent="0.3">
      <c r="A4001" s="1"/>
      <c r="G4001" s="4"/>
      <c r="H4001" s="4"/>
    </row>
    <row r="4002" spans="1:8" x14ac:dyDescent="0.3">
      <c r="A4002" s="1"/>
      <c r="G4002" s="4"/>
      <c r="H4002" s="4"/>
    </row>
    <row r="4003" spans="1:8" x14ac:dyDescent="0.3">
      <c r="A4003" s="1"/>
      <c r="G4003" s="4"/>
      <c r="H4003" s="4"/>
    </row>
    <row r="4004" spans="1:8" x14ac:dyDescent="0.3">
      <c r="A4004" s="1"/>
      <c r="G4004" s="4"/>
      <c r="H4004" s="4"/>
    </row>
    <row r="4005" spans="1:8" x14ac:dyDescent="0.3">
      <c r="A4005" s="1"/>
      <c r="G4005" s="4"/>
      <c r="H4005" s="4"/>
    </row>
    <row r="4006" spans="1:8" x14ac:dyDescent="0.3">
      <c r="A4006" s="1"/>
      <c r="G4006" s="4"/>
      <c r="H4006" s="4"/>
    </row>
    <row r="4007" spans="1:8" x14ac:dyDescent="0.3">
      <c r="A4007" s="1"/>
      <c r="G4007" s="4"/>
      <c r="H4007" s="4"/>
    </row>
    <row r="4008" spans="1:8" x14ac:dyDescent="0.3">
      <c r="A4008" s="1"/>
      <c r="G4008" s="4"/>
      <c r="H4008" s="4"/>
    </row>
    <row r="4009" spans="1:8" x14ac:dyDescent="0.3">
      <c r="A4009" s="1"/>
      <c r="G4009" s="4"/>
      <c r="H4009" s="4"/>
    </row>
    <row r="4010" spans="1:8" x14ac:dyDescent="0.3">
      <c r="A4010" s="1"/>
      <c r="G4010" s="4"/>
      <c r="H4010" s="4"/>
    </row>
    <row r="4011" spans="1:8" x14ac:dyDescent="0.3">
      <c r="A4011" s="1"/>
      <c r="G4011" s="4"/>
      <c r="H4011" s="4"/>
    </row>
    <row r="4012" spans="1:8" x14ac:dyDescent="0.3">
      <c r="A4012" s="1"/>
      <c r="G4012" s="4"/>
      <c r="H4012" s="4"/>
    </row>
    <row r="4013" spans="1:8" x14ac:dyDescent="0.3">
      <c r="A4013" s="1"/>
      <c r="G4013" s="4"/>
      <c r="H4013" s="4"/>
    </row>
    <row r="4014" spans="1:8" x14ac:dyDescent="0.3">
      <c r="A4014" s="1"/>
      <c r="G4014" s="4"/>
      <c r="H4014" s="4"/>
    </row>
    <row r="4015" spans="1:8" x14ac:dyDescent="0.3">
      <c r="A4015" s="1"/>
      <c r="G4015" s="4"/>
      <c r="H4015" s="4"/>
    </row>
    <row r="4016" spans="1:8" x14ac:dyDescent="0.3">
      <c r="A4016" s="1"/>
      <c r="G4016" s="4"/>
      <c r="H4016" s="4"/>
    </row>
    <row r="4017" spans="1:8" x14ac:dyDescent="0.3">
      <c r="A4017" s="1"/>
      <c r="G4017" s="4"/>
      <c r="H4017" s="4"/>
    </row>
    <row r="4018" spans="1:8" x14ac:dyDescent="0.3">
      <c r="A4018" s="1"/>
      <c r="G4018" s="4"/>
      <c r="H4018" s="4"/>
    </row>
    <row r="4019" spans="1:8" x14ac:dyDescent="0.3">
      <c r="A4019" s="1"/>
      <c r="G4019" s="4"/>
      <c r="H4019" s="4"/>
    </row>
    <row r="4020" spans="1:8" x14ac:dyDescent="0.3">
      <c r="A4020" s="1"/>
      <c r="G4020" s="4"/>
      <c r="H4020" s="4"/>
    </row>
    <row r="4021" spans="1:8" x14ac:dyDescent="0.3">
      <c r="A4021" s="1"/>
      <c r="G4021" s="4"/>
      <c r="H4021" s="4"/>
    </row>
    <row r="4022" spans="1:8" x14ac:dyDescent="0.3">
      <c r="A4022" s="1"/>
      <c r="G4022" s="4"/>
      <c r="H4022" s="4"/>
    </row>
    <row r="4023" spans="1:8" x14ac:dyDescent="0.3">
      <c r="A4023" s="1"/>
      <c r="G4023" s="4"/>
      <c r="H4023" s="4"/>
    </row>
    <row r="4024" spans="1:8" x14ac:dyDescent="0.3">
      <c r="A4024" s="1"/>
      <c r="G4024" s="4"/>
      <c r="H4024" s="4"/>
    </row>
    <row r="4025" spans="1:8" x14ac:dyDescent="0.3">
      <c r="A4025" s="1"/>
      <c r="G4025" s="4"/>
      <c r="H4025" s="4"/>
    </row>
    <row r="4026" spans="1:8" x14ac:dyDescent="0.3">
      <c r="A4026" s="1"/>
      <c r="G4026" s="4"/>
      <c r="H4026" s="4"/>
    </row>
    <row r="4027" spans="1:8" x14ac:dyDescent="0.3">
      <c r="A4027" s="1"/>
      <c r="G4027" s="4"/>
      <c r="H4027" s="4"/>
    </row>
    <row r="4028" spans="1:8" x14ac:dyDescent="0.3">
      <c r="A4028" s="1"/>
      <c r="G4028" s="4"/>
      <c r="H4028" s="4"/>
    </row>
    <row r="4029" spans="1:8" x14ac:dyDescent="0.3">
      <c r="A4029" s="1"/>
      <c r="G4029" s="4"/>
      <c r="H4029" s="4"/>
    </row>
    <row r="4030" spans="1:8" x14ac:dyDescent="0.3">
      <c r="A4030" s="1"/>
      <c r="G4030" s="4"/>
      <c r="H4030" s="4"/>
    </row>
    <row r="4031" spans="1:8" x14ac:dyDescent="0.3">
      <c r="A4031" s="1"/>
      <c r="G4031" s="4"/>
      <c r="H4031" s="4"/>
    </row>
    <row r="4032" spans="1:8" x14ac:dyDescent="0.3">
      <c r="A4032" s="1"/>
      <c r="G4032" s="4"/>
      <c r="H4032" s="4"/>
    </row>
    <row r="4033" spans="1:8" x14ac:dyDescent="0.3">
      <c r="A4033" s="1"/>
      <c r="G4033" s="4"/>
      <c r="H4033" s="4"/>
    </row>
    <row r="4034" spans="1:8" x14ac:dyDescent="0.3">
      <c r="A4034" s="1"/>
      <c r="G4034" s="4"/>
      <c r="H4034" s="4"/>
    </row>
    <row r="4035" spans="1:8" x14ac:dyDescent="0.3">
      <c r="A4035" s="1"/>
      <c r="G4035" s="4"/>
      <c r="H4035" s="4"/>
    </row>
    <row r="4036" spans="1:8" x14ac:dyDescent="0.3">
      <c r="A4036" s="1"/>
      <c r="G4036" s="4"/>
      <c r="H4036" s="4"/>
    </row>
    <row r="4037" spans="1:8" x14ac:dyDescent="0.3">
      <c r="A4037" s="1"/>
      <c r="G4037" s="4"/>
      <c r="H4037" s="4"/>
    </row>
    <row r="4038" spans="1:8" x14ac:dyDescent="0.3">
      <c r="A4038" s="1"/>
      <c r="G4038" s="4"/>
      <c r="H4038" s="4"/>
    </row>
    <row r="4039" spans="1:8" x14ac:dyDescent="0.3">
      <c r="A4039" s="1"/>
      <c r="G4039" s="4"/>
      <c r="H4039" s="4"/>
    </row>
    <row r="4040" spans="1:8" x14ac:dyDescent="0.3">
      <c r="A4040" s="1"/>
      <c r="G4040" s="4"/>
      <c r="H4040" s="4"/>
    </row>
    <row r="4041" spans="1:8" x14ac:dyDescent="0.3">
      <c r="A4041" s="1"/>
      <c r="G4041" s="4"/>
      <c r="H4041" s="4"/>
    </row>
    <row r="4042" spans="1:8" x14ac:dyDescent="0.3">
      <c r="A4042" s="1"/>
      <c r="G4042" s="4"/>
      <c r="H4042" s="4"/>
    </row>
    <row r="4043" spans="1:8" x14ac:dyDescent="0.3">
      <c r="A4043" s="1"/>
      <c r="G4043" s="4"/>
      <c r="H4043" s="4"/>
    </row>
    <row r="4044" spans="1:8" x14ac:dyDescent="0.3">
      <c r="A4044" s="1"/>
      <c r="G4044" s="4"/>
      <c r="H4044" s="4"/>
    </row>
    <row r="4045" spans="1:8" x14ac:dyDescent="0.3">
      <c r="A4045" s="1"/>
      <c r="G4045" s="4"/>
      <c r="H4045" s="4"/>
    </row>
    <row r="4046" spans="1:8" x14ac:dyDescent="0.3">
      <c r="A4046" s="1"/>
      <c r="G4046" s="4"/>
      <c r="H4046" s="4"/>
    </row>
    <row r="4047" spans="1:8" x14ac:dyDescent="0.3">
      <c r="A4047" s="1"/>
      <c r="G4047" s="4"/>
      <c r="H4047" s="4"/>
    </row>
    <row r="4048" spans="1:8" x14ac:dyDescent="0.3">
      <c r="A4048" s="1"/>
      <c r="G4048" s="4"/>
      <c r="H4048" s="4"/>
    </row>
    <row r="4049" spans="1:8" x14ac:dyDescent="0.3">
      <c r="A4049" s="1"/>
      <c r="G4049" s="4"/>
      <c r="H4049" s="4"/>
    </row>
    <row r="4050" spans="1:8" x14ac:dyDescent="0.3">
      <c r="A4050" s="1"/>
      <c r="G4050" s="4"/>
      <c r="H4050" s="4"/>
    </row>
    <row r="4051" spans="1:8" x14ac:dyDescent="0.3">
      <c r="A4051" s="1"/>
      <c r="G4051" s="4"/>
      <c r="H4051" s="4"/>
    </row>
    <row r="4052" spans="1:8" x14ac:dyDescent="0.3">
      <c r="A4052" s="1"/>
      <c r="G4052" s="4"/>
      <c r="H4052" s="4"/>
    </row>
    <row r="4053" spans="1:8" x14ac:dyDescent="0.3">
      <c r="A4053" s="1"/>
      <c r="G4053" s="4"/>
      <c r="H4053" s="4"/>
    </row>
    <row r="4054" spans="1:8" x14ac:dyDescent="0.3">
      <c r="A4054" s="1"/>
      <c r="G4054" s="4"/>
      <c r="H4054" s="4"/>
    </row>
    <row r="4055" spans="1:8" x14ac:dyDescent="0.3">
      <c r="A4055" s="1"/>
      <c r="G4055" s="4"/>
      <c r="H4055" s="4"/>
    </row>
    <row r="4056" spans="1:8" x14ac:dyDescent="0.3">
      <c r="A4056" s="1"/>
      <c r="G4056" s="4"/>
      <c r="H4056" s="4"/>
    </row>
    <row r="4057" spans="1:8" x14ac:dyDescent="0.3">
      <c r="A4057" s="1"/>
      <c r="G4057" s="4"/>
      <c r="H4057" s="4"/>
    </row>
    <row r="4058" spans="1:8" x14ac:dyDescent="0.3">
      <c r="A4058" s="1"/>
      <c r="G4058" s="4"/>
      <c r="H4058" s="4"/>
    </row>
    <row r="4059" spans="1:8" x14ac:dyDescent="0.3">
      <c r="A4059" s="1"/>
      <c r="G4059" s="4"/>
      <c r="H4059" s="4"/>
    </row>
    <row r="4060" spans="1:8" x14ac:dyDescent="0.3">
      <c r="A4060" s="1"/>
      <c r="G4060" s="4"/>
      <c r="H4060" s="4"/>
    </row>
    <row r="4061" spans="1:8" x14ac:dyDescent="0.3">
      <c r="A4061" s="1"/>
      <c r="G4061" s="4"/>
      <c r="H4061" s="4"/>
    </row>
    <row r="4062" spans="1:8" x14ac:dyDescent="0.3">
      <c r="A4062" s="1"/>
      <c r="G4062" s="4"/>
      <c r="H4062" s="4"/>
    </row>
    <row r="4063" spans="1:8" x14ac:dyDescent="0.3">
      <c r="A4063" s="1"/>
      <c r="G4063" s="4"/>
      <c r="H4063" s="4"/>
    </row>
    <row r="4064" spans="1:8" x14ac:dyDescent="0.3">
      <c r="A4064" s="1"/>
      <c r="G4064" s="4"/>
      <c r="H4064" s="4"/>
    </row>
    <row r="4065" spans="1:8" x14ac:dyDescent="0.3">
      <c r="A4065" s="1"/>
      <c r="G4065" s="4"/>
      <c r="H4065" s="4"/>
    </row>
    <row r="4066" spans="1:8" x14ac:dyDescent="0.3">
      <c r="A4066" s="1"/>
      <c r="G4066" s="4"/>
      <c r="H4066" s="4"/>
    </row>
    <row r="4067" spans="1:8" x14ac:dyDescent="0.3">
      <c r="A4067" s="1"/>
      <c r="G4067" s="4"/>
      <c r="H4067" s="4"/>
    </row>
    <row r="4068" spans="1:8" x14ac:dyDescent="0.3">
      <c r="A4068" s="1"/>
      <c r="G4068" s="4"/>
      <c r="H4068" s="4"/>
    </row>
    <row r="4069" spans="1:8" x14ac:dyDescent="0.3">
      <c r="A4069" s="1"/>
      <c r="G4069" s="4"/>
      <c r="H4069" s="4"/>
    </row>
    <row r="4070" spans="1:8" x14ac:dyDescent="0.3">
      <c r="A4070" s="1"/>
      <c r="G4070" s="4"/>
      <c r="H4070" s="4"/>
    </row>
    <row r="4071" spans="1:8" x14ac:dyDescent="0.3">
      <c r="A4071" s="1"/>
      <c r="G4071" s="4"/>
      <c r="H4071" s="4"/>
    </row>
    <row r="4072" spans="1:8" x14ac:dyDescent="0.3">
      <c r="A4072" s="1"/>
      <c r="G4072" s="4"/>
      <c r="H4072" s="4"/>
    </row>
    <row r="4073" spans="1:8" x14ac:dyDescent="0.3">
      <c r="A4073" s="1"/>
      <c r="G4073" s="4"/>
      <c r="H4073" s="4"/>
    </row>
    <row r="4074" spans="1:8" x14ac:dyDescent="0.3">
      <c r="A4074" s="1"/>
      <c r="G4074" s="4"/>
      <c r="H4074" s="4"/>
    </row>
    <row r="4075" spans="1:8" x14ac:dyDescent="0.3">
      <c r="A4075" s="1"/>
      <c r="G4075" s="4"/>
      <c r="H4075" s="4"/>
    </row>
    <row r="4076" spans="1:8" x14ac:dyDescent="0.3">
      <c r="A4076" s="1"/>
      <c r="G4076" s="4"/>
      <c r="H4076" s="4"/>
    </row>
    <row r="4077" spans="1:8" x14ac:dyDescent="0.3">
      <c r="A4077" s="1"/>
      <c r="G4077" s="4"/>
      <c r="H4077" s="4"/>
    </row>
    <row r="4078" spans="1:8" x14ac:dyDescent="0.3">
      <c r="A4078" s="1"/>
      <c r="G4078" s="4"/>
      <c r="H4078" s="4"/>
    </row>
    <row r="4079" spans="1:8" x14ac:dyDescent="0.3">
      <c r="A4079" s="1"/>
      <c r="G4079" s="4"/>
      <c r="H4079" s="4"/>
    </row>
    <row r="4080" spans="1:8" x14ac:dyDescent="0.3">
      <c r="A4080" s="1"/>
      <c r="G4080" s="4"/>
      <c r="H4080" s="4"/>
    </row>
    <row r="4081" spans="1:8" x14ac:dyDescent="0.3">
      <c r="A4081" s="1"/>
      <c r="G4081" s="4"/>
      <c r="H4081" s="4"/>
    </row>
    <row r="4082" spans="1:8" x14ac:dyDescent="0.3">
      <c r="A4082" s="1"/>
      <c r="G4082" s="4"/>
      <c r="H4082" s="4"/>
    </row>
    <row r="4083" spans="1:8" x14ac:dyDescent="0.3">
      <c r="A4083" s="1"/>
      <c r="G4083" s="4"/>
      <c r="H4083" s="4"/>
    </row>
    <row r="4084" spans="1:8" x14ac:dyDescent="0.3">
      <c r="A4084" s="1"/>
      <c r="G4084" s="4"/>
      <c r="H4084" s="4"/>
    </row>
    <row r="4085" spans="1:8" x14ac:dyDescent="0.3">
      <c r="A4085" s="1"/>
      <c r="G4085" s="4"/>
      <c r="H4085" s="4"/>
    </row>
    <row r="4086" spans="1:8" x14ac:dyDescent="0.3">
      <c r="A4086" s="1"/>
      <c r="G4086" s="4"/>
      <c r="H4086" s="4"/>
    </row>
    <row r="4087" spans="1:8" x14ac:dyDescent="0.3">
      <c r="A4087" s="1"/>
      <c r="G4087" s="4"/>
      <c r="H4087" s="4"/>
    </row>
    <row r="4088" spans="1:8" x14ac:dyDescent="0.3">
      <c r="A4088" s="1"/>
      <c r="G4088" s="4"/>
      <c r="H4088" s="4"/>
    </row>
    <row r="4089" spans="1:8" x14ac:dyDescent="0.3">
      <c r="A4089" s="1"/>
      <c r="G4089" s="4"/>
      <c r="H4089" s="4"/>
    </row>
    <row r="4090" spans="1:8" x14ac:dyDescent="0.3">
      <c r="A4090" s="1"/>
      <c r="G4090" s="4"/>
      <c r="H4090" s="4"/>
    </row>
    <row r="4091" spans="1:8" x14ac:dyDescent="0.3">
      <c r="A4091" s="1"/>
      <c r="G4091" s="4"/>
      <c r="H4091" s="4"/>
    </row>
    <row r="4092" spans="1:8" x14ac:dyDescent="0.3">
      <c r="A4092" s="1"/>
      <c r="G4092" s="4"/>
      <c r="H4092" s="4"/>
    </row>
    <row r="4093" spans="1:8" x14ac:dyDescent="0.3">
      <c r="A4093" s="1"/>
      <c r="G4093" s="4"/>
      <c r="H4093" s="4"/>
    </row>
    <row r="4094" spans="1:8" x14ac:dyDescent="0.3">
      <c r="A4094" s="1"/>
      <c r="G4094" s="4"/>
      <c r="H4094" s="4"/>
    </row>
    <row r="4095" spans="1:8" x14ac:dyDescent="0.3">
      <c r="A4095" s="1"/>
      <c r="G4095" s="4"/>
      <c r="H4095" s="4"/>
    </row>
    <row r="4096" spans="1:8" x14ac:dyDescent="0.3">
      <c r="A4096" s="1"/>
      <c r="G4096" s="4"/>
      <c r="H4096" s="4"/>
    </row>
    <row r="4097" spans="1:8" x14ac:dyDescent="0.3">
      <c r="A4097" s="1"/>
      <c r="G4097" s="4"/>
      <c r="H4097" s="4"/>
    </row>
    <row r="4098" spans="1:8" x14ac:dyDescent="0.3">
      <c r="A4098" s="1"/>
      <c r="G4098" s="4"/>
      <c r="H4098" s="4"/>
    </row>
    <row r="4099" spans="1:8" x14ac:dyDescent="0.3">
      <c r="A4099" s="1"/>
      <c r="G4099" s="4"/>
      <c r="H4099" s="4"/>
    </row>
    <row r="4100" spans="1:8" x14ac:dyDescent="0.3">
      <c r="A4100" s="1"/>
      <c r="G4100" s="4"/>
      <c r="H4100" s="4"/>
    </row>
    <row r="4101" spans="1:8" x14ac:dyDescent="0.3">
      <c r="A4101" s="1"/>
      <c r="G4101" s="4"/>
      <c r="H4101" s="4"/>
    </row>
    <row r="4102" spans="1:8" x14ac:dyDescent="0.3">
      <c r="A4102" s="1"/>
      <c r="G4102" s="4"/>
      <c r="H4102" s="4"/>
    </row>
    <row r="4103" spans="1:8" x14ac:dyDescent="0.3">
      <c r="A4103" s="1"/>
      <c r="G4103" s="4"/>
      <c r="H4103" s="4"/>
    </row>
    <row r="4104" spans="1:8" x14ac:dyDescent="0.3">
      <c r="A4104" s="1"/>
      <c r="G4104" s="4"/>
      <c r="H4104" s="4"/>
    </row>
    <row r="4105" spans="1:8" x14ac:dyDescent="0.3">
      <c r="A4105" s="1"/>
      <c r="G4105" s="4"/>
      <c r="H4105" s="4"/>
    </row>
    <row r="4106" spans="1:8" x14ac:dyDescent="0.3">
      <c r="A4106" s="1"/>
      <c r="G4106" s="4"/>
      <c r="H4106" s="4"/>
    </row>
    <row r="4107" spans="1:8" x14ac:dyDescent="0.3">
      <c r="A4107" s="1"/>
      <c r="G4107" s="4"/>
      <c r="H4107" s="4"/>
    </row>
    <row r="4108" spans="1:8" x14ac:dyDescent="0.3">
      <c r="A4108" s="1"/>
      <c r="G4108" s="4"/>
      <c r="H4108" s="4"/>
    </row>
    <row r="4109" spans="1:8" x14ac:dyDescent="0.3">
      <c r="A4109" s="1"/>
      <c r="G4109" s="4"/>
      <c r="H4109" s="4"/>
    </row>
    <row r="4110" spans="1:8" x14ac:dyDescent="0.3">
      <c r="A4110" s="1"/>
      <c r="G4110" s="4"/>
      <c r="H4110" s="4"/>
    </row>
    <row r="4111" spans="1:8" x14ac:dyDescent="0.3">
      <c r="A4111" s="1"/>
      <c r="G4111" s="4"/>
      <c r="H4111" s="4"/>
    </row>
    <row r="4112" spans="1:8" x14ac:dyDescent="0.3">
      <c r="A4112" s="1"/>
      <c r="G4112" s="4"/>
      <c r="H4112" s="4"/>
    </row>
    <row r="4113" spans="1:8" x14ac:dyDescent="0.3">
      <c r="A4113" s="1"/>
      <c r="G4113" s="4"/>
      <c r="H4113" s="4"/>
    </row>
    <row r="4114" spans="1:8" x14ac:dyDescent="0.3">
      <c r="A4114" s="1"/>
      <c r="G4114" s="4"/>
      <c r="H4114" s="4"/>
    </row>
    <row r="4115" spans="1:8" x14ac:dyDescent="0.3">
      <c r="A4115" s="1"/>
      <c r="G4115" s="4"/>
      <c r="H4115" s="4"/>
    </row>
    <row r="4116" spans="1:8" x14ac:dyDescent="0.3">
      <c r="A4116" s="1"/>
      <c r="G4116" s="4"/>
      <c r="H4116" s="4"/>
    </row>
    <row r="4117" spans="1:8" x14ac:dyDescent="0.3">
      <c r="A4117" s="1"/>
      <c r="G4117" s="4"/>
      <c r="H4117" s="4"/>
    </row>
    <row r="4118" spans="1:8" x14ac:dyDescent="0.3">
      <c r="A4118" s="1"/>
      <c r="G4118" s="4"/>
      <c r="H4118" s="4"/>
    </row>
    <row r="4119" spans="1:8" x14ac:dyDescent="0.3">
      <c r="A4119" s="1"/>
      <c r="G4119" s="4"/>
      <c r="H4119" s="4"/>
    </row>
    <row r="4120" spans="1:8" x14ac:dyDescent="0.3">
      <c r="A4120" s="1"/>
      <c r="G4120" s="4"/>
      <c r="H4120" s="4"/>
    </row>
    <row r="4121" spans="1:8" x14ac:dyDescent="0.3">
      <c r="A4121" s="1"/>
      <c r="G4121" s="4"/>
      <c r="H4121" s="4"/>
    </row>
    <row r="4122" spans="1:8" x14ac:dyDescent="0.3">
      <c r="A4122" s="1"/>
      <c r="G4122" s="4"/>
      <c r="H4122" s="4"/>
    </row>
    <row r="4123" spans="1:8" x14ac:dyDescent="0.3">
      <c r="A4123" s="1"/>
      <c r="G4123" s="4"/>
      <c r="H4123" s="4"/>
    </row>
    <row r="4124" spans="1:8" x14ac:dyDescent="0.3">
      <c r="A4124" s="1"/>
      <c r="G4124" s="4"/>
      <c r="H4124" s="4"/>
    </row>
    <row r="4125" spans="1:8" x14ac:dyDescent="0.3">
      <c r="A4125" s="1"/>
      <c r="G4125" s="4"/>
      <c r="H4125" s="4"/>
    </row>
    <row r="4126" spans="1:8" x14ac:dyDescent="0.3">
      <c r="A4126" s="1"/>
      <c r="G4126" s="4"/>
      <c r="H4126" s="4"/>
    </row>
    <row r="4127" spans="1:8" x14ac:dyDescent="0.3">
      <c r="A4127" s="1"/>
      <c r="G4127" s="4"/>
      <c r="H4127" s="4"/>
    </row>
    <row r="4128" spans="1:8" x14ac:dyDescent="0.3">
      <c r="A4128" s="1"/>
      <c r="G4128" s="4"/>
      <c r="H4128" s="4"/>
    </row>
    <row r="4129" spans="1:8" x14ac:dyDescent="0.3">
      <c r="A4129" s="1"/>
      <c r="G4129" s="4"/>
      <c r="H4129" s="4"/>
    </row>
    <row r="4130" spans="1:8" x14ac:dyDescent="0.3">
      <c r="A4130" s="1"/>
      <c r="G4130" s="4"/>
      <c r="H4130" s="4"/>
    </row>
    <row r="4131" spans="1:8" x14ac:dyDescent="0.3">
      <c r="A4131" s="1"/>
      <c r="G4131" s="4"/>
      <c r="H4131" s="4"/>
    </row>
    <row r="4132" spans="1:8" x14ac:dyDescent="0.3">
      <c r="A4132" s="1"/>
      <c r="G4132" s="4"/>
      <c r="H4132" s="4"/>
    </row>
    <row r="4133" spans="1:8" x14ac:dyDescent="0.3">
      <c r="A4133" s="1"/>
      <c r="G4133" s="4"/>
      <c r="H4133" s="4"/>
    </row>
    <row r="4134" spans="1:8" x14ac:dyDescent="0.3">
      <c r="A4134" s="1"/>
      <c r="G4134" s="4"/>
      <c r="H4134" s="4"/>
    </row>
    <row r="4135" spans="1:8" x14ac:dyDescent="0.3">
      <c r="A4135" s="1"/>
      <c r="G4135" s="4"/>
      <c r="H4135" s="4"/>
    </row>
    <row r="4136" spans="1:8" x14ac:dyDescent="0.3">
      <c r="A4136" s="1"/>
      <c r="G4136" s="4"/>
      <c r="H4136" s="4"/>
    </row>
    <row r="4137" spans="1:8" x14ac:dyDescent="0.3">
      <c r="A4137" s="1"/>
      <c r="G4137" s="4"/>
      <c r="H4137" s="4"/>
    </row>
    <row r="4138" spans="1:8" x14ac:dyDescent="0.3">
      <c r="A4138" s="1"/>
      <c r="G4138" s="4"/>
      <c r="H4138" s="4"/>
    </row>
    <row r="4139" spans="1:8" x14ac:dyDescent="0.3">
      <c r="A4139" s="1"/>
      <c r="G4139" s="4"/>
      <c r="H4139" s="4"/>
    </row>
    <row r="4140" spans="1:8" x14ac:dyDescent="0.3">
      <c r="A4140" s="1"/>
      <c r="G4140" s="4"/>
      <c r="H4140" s="4"/>
    </row>
    <row r="4141" spans="1:8" x14ac:dyDescent="0.3">
      <c r="A4141" s="1"/>
      <c r="G4141" s="4"/>
      <c r="H4141" s="4"/>
    </row>
    <row r="4142" spans="1:8" x14ac:dyDescent="0.3">
      <c r="A4142" s="1"/>
      <c r="G4142" s="4"/>
      <c r="H4142" s="4"/>
    </row>
    <row r="4143" spans="1:8" x14ac:dyDescent="0.3">
      <c r="A4143" s="1"/>
      <c r="G4143" s="4"/>
      <c r="H4143" s="4"/>
    </row>
    <row r="4144" spans="1:8" x14ac:dyDescent="0.3">
      <c r="A4144" s="1"/>
      <c r="G4144" s="4"/>
      <c r="H4144" s="4"/>
    </row>
    <row r="4145" spans="1:8" x14ac:dyDescent="0.3">
      <c r="A4145" s="1"/>
      <c r="G4145" s="4"/>
      <c r="H4145" s="4"/>
    </row>
    <row r="4146" spans="1:8" x14ac:dyDescent="0.3">
      <c r="A4146" s="1"/>
      <c r="G4146" s="4"/>
      <c r="H4146" s="4"/>
    </row>
    <row r="4147" spans="1:8" x14ac:dyDescent="0.3">
      <c r="A4147" s="1"/>
      <c r="G4147" s="4"/>
      <c r="H4147" s="4"/>
    </row>
    <row r="4148" spans="1:8" x14ac:dyDescent="0.3">
      <c r="A4148" s="1"/>
      <c r="G4148" s="4"/>
      <c r="H4148" s="4"/>
    </row>
    <row r="4149" spans="1:8" x14ac:dyDescent="0.3">
      <c r="A4149" s="1"/>
      <c r="G4149" s="4"/>
      <c r="H4149" s="4"/>
    </row>
    <row r="4150" spans="1:8" x14ac:dyDescent="0.3">
      <c r="A4150" s="1"/>
      <c r="G4150" s="4"/>
      <c r="H4150" s="4"/>
    </row>
    <row r="4151" spans="1:8" x14ac:dyDescent="0.3">
      <c r="A4151" s="1"/>
      <c r="G4151" s="4"/>
      <c r="H4151" s="4"/>
    </row>
    <row r="4152" spans="1:8" x14ac:dyDescent="0.3">
      <c r="A4152" s="1"/>
      <c r="G4152" s="4"/>
      <c r="H4152" s="4"/>
    </row>
    <row r="4153" spans="1:8" x14ac:dyDescent="0.3">
      <c r="A4153" s="1"/>
      <c r="G4153" s="4"/>
      <c r="H4153" s="4"/>
    </row>
    <row r="4154" spans="1:8" x14ac:dyDescent="0.3">
      <c r="A4154" s="1"/>
      <c r="G4154" s="4"/>
      <c r="H4154" s="4"/>
    </row>
    <row r="4155" spans="1:8" x14ac:dyDescent="0.3">
      <c r="A4155" s="1"/>
      <c r="G4155" s="4"/>
      <c r="H4155" s="4"/>
    </row>
    <row r="4156" spans="1:8" x14ac:dyDescent="0.3">
      <c r="A4156" s="1"/>
      <c r="G4156" s="4"/>
      <c r="H4156" s="4"/>
    </row>
    <row r="4157" spans="1:8" x14ac:dyDescent="0.3">
      <c r="A4157" s="1"/>
      <c r="G4157" s="4"/>
      <c r="H4157" s="4"/>
    </row>
    <row r="4158" spans="1:8" x14ac:dyDescent="0.3">
      <c r="A4158" s="1"/>
      <c r="G4158" s="4"/>
      <c r="H4158" s="4"/>
    </row>
    <row r="4159" spans="1:8" x14ac:dyDescent="0.3">
      <c r="A4159" s="1"/>
      <c r="G4159" s="4"/>
      <c r="H4159" s="4"/>
    </row>
    <row r="4160" spans="1:8" x14ac:dyDescent="0.3">
      <c r="A4160" s="1"/>
      <c r="G4160" s="4"/>
      <c r="H4160" s="4"/>
    </row>
    <row r="4161" spans="1:8" x14ac:dyDescent="0.3">
      <c r="A4161" s="1"/>
      <c r="G4161" s="4"/>
      <c r="H4161" s="4"/>
    </row>
    <row r="4162" spans="1:8" x14ac:dyDescent="0.3">
      <c r="A4162" s="1"/>
      <c r="G4162" s="4"/>
      <c r="H4162" s="4"/>
    </row>
    <row r="4163" spans="1:8" x14ac:dyDescent="0.3">
      <c r="A4163" s="1"/>
      <c r="G4163" s="4"/>
      <c r="H4163" s="4"/>
    </row>
    <row r="4164" spans="1:8" x14ac:dyDescent="0.3">
      <c r="A4164" s="1"/>
      <c r="G4164" s="4"/>
      <c r="H4164" s="4"/>
    </row>
    <row r="4165" spans="1:8" x14ac:dyDescent="0.3">
      <c r="A4165" s="1"/>
      <c r="G4165" s="4"/>
      <c r="H4165" s="4"/>
    </row>
    <row r="4166" spans="1:8" x14ac:dyDescent="0.3">
      <c r="A4166" s="1"/>
      <c r="G4166" s="4"/>
      <c r="H4166" s="4"/>
    </row>
    <row r="4167" spans="1:8" x14ac:dyDescent="0.3">
      <c r="A4167" s="1"/>
      <c r="G4167" s="4"/>
      <c r="H4167" s="4"/>
    </row>
    <row r="4168" spans="1:8" x14ac:dyDescent="0.3">
      <c r="A4168" s="1"/>
      <c r="G4168" s="4"/>
      <c r="H4168" s="4"/>
    </row>
    <row r="4169" spans="1:8" x14ac:dyDescent="0.3">
      <c r="A4169" s="1"/>
      <c r="G4169" s="4"/>
      <c r="H4169" s="4"/>
    </row>
    <row r="4170" spans="1:8" x14ac:dyDescent="0.3">
      <c r="A4170" s="1"/>
      <c r="G4170" s="4"/>
      <c r="H4170" s="4"/>
    </row>
    <row r="4171" spans="1:8" x14ac:dyDescent="0.3">
      <c r="A4171" s="1"/>
      <c r="G4171" s="4"/>
      <c r="H4171" s="4"/>
    </row>
    <row r="4172" spans="1:8" x14ac:dyDescent="0.3">
      <c r="A4172" s="1"/>
      <c r="G4172" s="4"/>
      <c r="H4172" s="4"/>
    </row>
    <row r="4173" spans="1:8" x14ac:dyDescent="0.3">
      <c r="A4173" s="1"/>
      <c r="G4173" s="4"/>
      <c r="H4173" s="4"/>
    </row>
    <row r="4174" spans="1:8" x14ac:dyDescent="0.3">
      <c r="A4174" s="1"/>
      <c r="G4174" s="4"/>
      <c r="H4174" s="4"/>
    </row>
    <row r="4175" spans="1:8" x14ac:dyDescent="0.3">
      <c r="A4175" s="1"/>
      <c r="G4175" s="4"/>
      <c r="H4175" s="4"/>
    </row>
    <row r="4176" spans="1:8" x14ac:dyDescent="0.3">
      <c r="A4176" s="1"/>
      <c r="G4176" s="4"/>
      <c r="H4176" s="4"/>
    </row>
    <row r="4177" spans="1:8" x14ac:dyDescent="0.3">
      <c r="A4177" s="1"/>
      <c r="G4177" s="4"/>
      <c r="H4177" s="4"/>
    </row>
    <row r="4178" spans="1:8" x14ac:dyDescent="0.3">
      <c r="A4178" s="1"/>
      <c r="G4178" s="4"/>
      <c r="H4178" s="4"/>
    </row>
    <row r="4179" spans="1:8" x14ac:dyDescent="0.3">
      <c r="A4179" s="1"/>
      <c r="G4179" s="4"/>
      <c r="H4179" s="4"/>
    </row>
    <row r="4180" spans="1:8" x14ac:dyDescent="0.3">
      <c r="A4180" s="1"/>
      <c r="G4180" s="4"/>
      <c r="H4180" s="4"/>
    </row>
    <row r="4181" spans="1:8" x14ac:dyDescent="0.3">
      <c r="A4181" s="1"/>
      <c r="G4181" s="4"/>
      <c r="H4181" s="4"/>
    </row>
    <row r="4182" spans="1:8" x14ac:dyDescent="0.3">
      <c r="A4182" s="1"/>
      <c r="G4182" s="4"/>
      <c r="H4182" s="4"/>
    </row>
    <row r="4183" spans="1:8" x14ac:dyDescent="0.3">
      <c r="A4183" s="1"/>
      <c r="G4183" s="4"/>
      <c r="H4183" s="4"/>
    </row>
    <row r="4184" spans="1:8" x14ac:dyDescent="0.3">
      <c r="A4184" s="1"/>
      <c r="G4184" s="4"/>
      <c r="H4184" s="4"/>
    </row>
    <row r="4185" spans="1:8" x14ac:dyDescent="0.3">
      <c r="A4185" s="1"/>
      <c r="G4185" s="4"/>
      <c r="H4185" s="4"/>
    </row>
    <row r="4186" spans="1:8" x14ac:dyDescent="0.3">
      <c r="A4186" s="1"/>
      <c r="G4186" s="4"/>
      <c r="H4186" s="4"/>
    </row>
    <row r="4187" spans="1:8" x14ac:dyDescent="0.3">
      <c r="A4187" s="1"/>
      <c r="G4187" s="4"/>
      <c r="H4187" s="4"/>
    </row>
    <row r="4188" spans="1:8" x14ac:dyDescent="0.3">
      <c r="A4188" s="1"/>
      <c r="G4188" s="4"/>
      <c r="H4188" s="4"/>
    </row>
    <row r="4189" spans="1:8" x14ac:dyDescent="0.3">
      <c r="A4189" s="1"/>
      <c r="G4189" s="4"/>
      <c r="H4189" s="4"/>
    </row>
    <row r="4190" spans="1:8" x14ac:dyDescent="0.3">
      <c r="A4190" s="1"/>
      <c r="G4190" s="4"/>
      <c r="H4190" s="4"/>
    </row>
    <row r="4191" spans="1:8" x14ac:dyDescent="0.3">
      <c r="A4191" s="1"/>
      <c r="G4191" s="4"/>
      <c r="H4191" s="4"/>
    </row>
    <row r="4192" spans="1:8" x14ac:dyDescent="0.3">
      <c r="A4192" s="1"/>
      <c r="G4192" s="4"/>
      <c r="H4192" s="4"/>
    </row>
    <row r="4193" spans="1:8" x14ac:dyDescent="0.3">
      <c r="A4193" s="1"/>
      <c r="G4193" s="4"/>
      <c r="H4193" s="4"/>
    </row>
    <row r="4194" spans="1:8" x14ac:dyDescent="0.3">
      <c r="A4194" s="1"/>
      <c r="G4194" s="4"/>
      <c r="H4194" s="4"/>
    </row>
    <row r="4195" spans="1:8" x14ac:dyDescent="0.3">
      <c r="A4195" s="1"/>
      <c r="G4195" s="4"/>
      <c r="H4195" s="4"/>
    </row>
    <row r="4196" spans="1:8" x14ac:dyDescent="0.3">
      <c r="A4196" s="1"/>
      <c r="G4196" s="4"/>
      <c r="H4196" s="4"/>
    </row>
    <row r="4197" spans="1:8" x14ac:dyDescent="0.3">
      <c r="A4197" s="1"/>
      <c r="G4197" s="4"/>
      <c r="H4197" s="4"/>
    </row>
    <row r="4198" spans="1:8" x14ac:dyDescent="0.3">
      <c r="A4198" s="1"/>
      <c r="G4198" s="4"/>
      <c r="H4198" s="4"/>
    </row>
    <row r="4199" spans="1:8" x14ac:dyDescent="0.3">
      <c r="A4199" s="1"/>
      <c r="G4199" s="4"/>
      <c r="H4199" s="4"/>
    </row>
    <row r="4200" spans="1:8" x14ac:dyDescent="0.3">
      <c r="A4200" s="1"/>
      <c r="G4200" s="4"/>
      <c r="H4200" s="4"/>
    </row>
    <row r="4201" spans="1:8" x14ac:dyDescent="0.3">
      <c r="A4201" s="1"/>
      <c r="G4201" s="4"/>
      <c r="H4201" s="4"/>
    </row>
    <row r="4202" spans="1:8" x14ac:dyDescent="0.3">
      <c r="A4202" s="1"/>
      <c r="G4202" s="4"/>
      <c r="H4202" s="4"/>
    </row>
    <row r="4203" spans="1:8" x14ac:dyDescent="0.3">
      <c r="A4203" s="1"/>
      <c r="G4203" s="4"/>
      <c r="H4203" s="4"/>
    </row>
    <row r="4204" spans="1:8" x14ac:dyDescent="0.3">
      <c r="A4204" s="1"/>
      <c r="G4204" s="4"/>
      <c r="H4204" s="4"/>
    </row>
    <row r="4205" spans="1:8" x14ac:dyDescent="0.3">
      <c r="A4205" s="1"/>
      <c r="G4205" s="4"/>
      <c r="H4205" s="4"/>
    </row>
    <row r="4206" spans="1:8" x14ac:dyDescent="0.3">
      <c r="A4206" s="1"/>
      <c r="G4206" s="4"/>
      <c r="H4206" s="4"/>
    </row>
    <row r="4207" spans="1:8" x14ac:dyDescent="0.3">
      <c r="A4207" s="1"/>
      <c r="G4207" s="4"/>
      <c r="H4207" s="4"/>
    </row>
    <row r="4208" spans="1:8" x14ac:dyDescent="0.3">
      <c r="A4208" s="1"/>
      <c r="G4208" s="4"/>
      <c r="H4208" s="4"/>
    </row>
    <row r="4209" spans="1:8" x14ac:dyDescent="0.3">
      <c r="A4209" s="1"/>
      <c r="G4209" s="4"/>
      <c r="H4209" s="4"/>
    </row>
    <row r="4210" spans="1:8" x14ac:dyDescent="0.3">
      <c r="A4210" s="1"/>
      <c r="G4210" s="4"/>
      <c r="H4210" s="4"/>
    </row>
    <row r="4211" spans="1:8" x14ac:dyDescent="0.3">
      <c r="A4211" s="1"/>
      <c r="G4211" s="4"/>
      <c r="H4211" s="4"/>
    </row>
    <row r="4212" spans="1:8" x14ac:dyDescent="0.3">
      <c r="A4212" s="1"/>
      <c r="G4212" s="4"/>
      <c r="H4212" s="4"/>
    </row>
    <row r="4213" spans="1:8" x14ac:dyDescent="0.3">
      <c r="A4213" s="1"/>
      <c r="G4213" s="4"/>
      <c r="H4213" s="4"/>
    </row>
    <row r="4214" spans="1:8" x14ac:dyDescent="0.3">
      <c r="A4214" s="1"/>
      <c r="G4214" s="4"/>
      <c r="H4214" s="4"/>
    </row>
    <row r="4215" spans="1:8" x14ac:dyDescent="0.3">
      <c r="A4215" s="1"/>
      <c r="G4215" s="4"/>
      <c r="H4215" s="4"/>
    </row>
    <row r="4216" spans="1:8" x14ac:dyDescent="0.3">
      <c r="A4216" s="1"/>
      <c r="G4216" s="4"/>
      <c r="H4216" s="4"/>
    </row>
    <row r="4217" spans="1:8" x14ac:dyDescent="0.3">
      <c r="A4217" s="1"/>
      <c r="G4217" s="4"/>
      <c r="H4217" s="4"/>
    </row>
    <row r="4218" spans="1:8" x14ac:dyDescent="0.3">
      <c r="A4218" s="1"/>
      <c r="G4218" s="4"/>
      <c r="H4218" s="4"/>
    </row>
    <row r="4219" spans="1:8" x14ac:dyDescent="0.3">
      <c r="A4219" s="1"/>
      <c r="G4219" s="4"/>
      <c r="H4219" s="4"/>
    </row>
    <row r="4220" spans="1:8" x14ac:dyDescent="0.3">
      <c r="A4220" s="1"/>
      <c r="G4220" s="4"/>
      <c r="H4220" s="4"/>
    </row>
    <row r="4221" spans="1:8" x14ac:dyDescent="0.3">
      <c r="A4221" s="1"/>
      <c r="G4221" s="4"/>
      <c r="H4221" s="4"/>
    </row>
    <row r="4222" spans="1:8" x14ac:dyDescent="0.3">
      <c r="A4222" s="1"/>
      <c r="G4222" s="4"/>
      <c r="H4222" s="4"/>
    </row>
    <row r="4223" spans="1:8" x14ac:dyDescent="0.3">
      <c r="A4223" s="1"/>
      <c r="G4223" s="4"/>
      <c r="H4223" s="4"/>
    </row>
    <row r="4224" spans="1:8" x14ac:dyDescent="0.3">
      <c r="A4224" s="1"/>
      <c r="G4224" s="4"/>
      <c r="H4224" s="4"/>
    </row>
    <row r="4225" spans="1:8" x14ac:dyDescent="0.3">
      <c r="A4225" s="1"/>
      <c r="G4225" s="4"/>
      <c r="H4225" s="4"/>
    </row>
    <row r="4226" spans="1:8" x14ac:dyDescent="0.3">
      <c r="A4226" s="1"/>
      <c r="G4226" s="4"/>
      <c r="H4226" s="4"/>
    </row>
    <row r="4227" spans="1:8" x14ac:dyDescent="0.3">
      <c r="A4227" s="1"/>
      <c r="G4227" s="4"/>
      <c r="H4227" s="4"/>
    </row>
    <row r="4228" spans="1:8" x14ac:dyDescent="0.3">
      <c r="A4228" s="1"/>
      <c r="G4228" s="4"/>
      <c r="H4228" s="4"/>
    </row>
    <row r="4229" spans="1:8" x14ac:dyDescent="0.3">
      <c r="A4229" s="1"/>
      <c r="G4229" s="4"/>
      <c r="H4229" s="4"/>
    </row>
    <row r="4230" spans="1:8" x14ac:dyDescent="0.3">
      <c r="A4230" s="1"/>
      <c r="G4230" s="4"/>
      <c r="H4230" s="4"/>
    </row>
    <row r="4231" spans="1:8" x14ac:dyDescent="0.3">
      <c r="A4231" s="1"/>
      <c r="G4231" s="4"/>
      <c r="H4231" s="4"/>
    </row>
    <row r="4232" spans="1:8" x14ac:dyDescent="0.3">
      <c r="A4232" s="1"/>
      <c r="G4232" s="4"/>
      <c r="H4232" s="4"/>
    </row>
    <row r="4233" spans="1:8" x14ac:dyDescent="0.3">
      <c r="A4233" s="1"/>
      <c r="G4233" s="4"/>
      <c r="H4233" s="4"/>
    </row>
    <row r="4234" spans="1:8" x14ac:dyDescent="0.3">
      <c r="A4234" s="1"/>
      <c r="G4234" s="4"/>
      <c r="H4234" s="4"/>
    </row>
    <row r="4235" spans="1:8" x14ac:dyDescent="0.3">
      <c r="A4235" s="1"/>
      <c r="G4235" s="4"/>
      <c r="H4235" s="4"/>
    </row>
    <row r="4236" spans="1:8" x14ac:dyDescent="0.3">
      <c r="A4236" s="1"/>
      <c r="G4236" s="4"/>
      <c r="H4236" s="4"/>
    </row>
    <row r="4237" spans="1:8" x14ac:dyDescent="0.3">
      <c r="A4237" s="1"/>
      <c r="G4237" s="4"/>
      <c r="H4237" s="4"/>
    </row>
    <row r="4238" spans="1:8" x14ac:dyDescent="0.3">
      <c r="A4238" s="1"/>
      <c r="G4238" s="4"/>
      <c r="H4238" s="4"/>
    </row>
    <row r="4239" spans="1:8" x14ac:dyDescent="0.3">
      <c r="A4239" s="1"/>
      <c r="G4239" s="4"/>
      <c r="H4239" s="4"/>
    </row>
    <row r="4240" spans="1:8" x14ac:dyDescent="0.3">
      <c r="A4240" s="1"/>
      <c r="G4240" s="4"/>
      <c r="H4240" s="4"/>
    </row>
    <row r="4241" spans="1:8" x14ac:dyDescent="0.3">
      <c r="A4241" s="1"/>
      <c r="G4241" s="4"/>
      <c r="H4241" s="4"/>
    </row>
    <row r="4242" spans="1:8" x14ac:dyDescent="0.3">
      <c r="A4242" s="1"/>
      <c r="G4242" s="4"/>
      <c r="H4242" s="4"/>
    </row>
    <row r="4243" spans="1:8" x14ac:dyDescent="0.3">
      <c r="A4243" s="1"/>
      <c r="G4243" s="4"/>
      <c r="H4243" s="4"/>
    </row>
    <row r="4244" spans="1:8" x14ac:dyDescent="0.3">
      <c r="A4244" s="1"/>
      <c r="G4244" s="4"/>
      <c r="H4244" s="4"/>
    </row>
    <row r="4245" spans="1:8" x14ac:dyDescent="0.3">
      <c r="A4245" s="1"/>
      <c r="G4245" s="4"/>
      <c r="H4245" s="4"/>
    </row>
    <row r="4246" spans="1:8" x14ac:dyDescent="0.3">
      <c r="A4246" s="1"/>
      <c r="G4246" s="4"/>
      <c r="H4246" s="4"/>
    </row>
    <row r="4247" spans="1:8" x14ac:dyDescent="0.3">
      <c r="A4247" s="1"/>
      <c r="G4247" s="4"/>
      <c r="H4247" s="4"/>
    </row>
    <row r="4248" spans="1:8" x14ac:dyDescent="0.3">
      <c r="A4248" s="1"/>
      <c r="G4248" s="4"/>
      <c r="H4248" s="4"/>
    </row>
    <row r="4249" spans="1:8" x14ac:dyDescent="0.3">
      <c r="A4249" s="1"/>
      <c r="G4249" s="4"/>
      <c r="H4249" s="4"/>
    </row>
    <row r="4250" spans="1:8" x14ac:dyDescent="0.3">
      <c r="A4250" s="1"/>
      <c r="G4250" s="4"/>
      <c r="H4250" s="4"/>
    </row>
    <row r="4251" spans="1:8" x14ac:dyDescent="0.3">
      <c r="A4251" s="1"/>
      <c r="G4251" s="4"/>
      <c r="H4251" s="4"/>
    </row>
    <row r="4252" spans="1:8" x14ac:dyDescent="0.3">
      <c r="A4252" s="1"/>
      <c r="G4252" s="4"/>
      <c r="H4252" s="4"/>
    </row>
    <row r="4253" spans="1:8" x14ac:dyDescent="0.3">
      <c r="A4253" s="1"/>
      <c r="G4253" s="4"/>
      <c r="H4253" s="4"/>
    </row>
    <row r="4254" spans="1:8" x14ac:dyDescent="0.3">
      <c r="A4254" s="1"/>
      <c r="G4254" s="4"/>
      <c r="H4254" s="4"/>
    </row>
    <row r="4255" spans="1:8" x14ac:dyDescent="0.3">
      <c r="A4255" s="1"/>
      <c r="G4255" s="4"/>
      <c r="H4255" s="4"/>
    </row>
    <row r="4256" spans="1:8" x14ac:dyDescent="0.3">
      <c r="A4256" s="1"/>
      <c r="G4256" s="4"/>
      <c r="H4256" s="4"/>
    </row>
    <row r="4257" spans="1:8" x14ac:dyDescent="0.3">
      <c r="A4257" s="1"/>
      <c r="G4257" s="4"/>
      <c r="H4257" s="4"/>
    </row>
    <row r="4258" spans="1:8" x14ac:dyDescent="0.3">
      <c r="A4258" s="1"/>
      <c r="G4258" s="4"/>
      <c r="H4258" s="4"/>
    </row>
    <row r="4259" spans="1:8" x14ac:dyDescent="0.3">
      <c r="A4259" s="1"/>
      <c r="G4259" s="4"/>
      <c r="H4259" s="4"/>
    </row>
    <row r="4260" spans="1:8" x14ac:dyDescent="0.3">
      <c r="A4260" s="1"/>
      <c r="G4260" s="4"/>
      <c r="H4260" s="4"/>
    </row>
    <row r="4261" spans="1:8" x14ac:dyDescent="0.3">
      <c r="A4261" s="1"/>
      <c r="G4261" s="4"/>
      <c r="H4261" s="4"/>
    </row>
    <row r="4262" spans="1:8" x14ac:dyDescent="0.3">
      <c r="A4262" s="1"/>
      <c r="G4262" s="4"/>
      <c r="H4262" s="4"/>
    </row>
    <row r="4263" spans="1:8" x14ac:dyDescent="0.3">
      <c r="A4263" s="1"/>
      <c r="G4263" s="4"/>
      <c r="H4263" s="4"/>
    </row>
    <row r="4264" spans="1:8" x14ac:dyDescent="0.3">
      <c r="A4264" s="1"/>
      <c r="G4264" s="4"/>
      <c r="H4264" s="4"/>
    </row>
    <row r="4265" spans="1:8" x14ac:dyDescent="0.3">
      <c r="A4265" s="1"/>
      <c r="G4265" s="4"/>
      <c r="H4265" s="4"/>
    </row>
    <row r="4266" spans="1:8" x14ac:dyDescent="0.3">
      <c r="A4266" s="1"/>
      <c r="G4266" s="4"/>
      <c r="H4266" s="4"/>
    </row>
    <row r="4267" spans="1:8" x14ac:dyDescent="0.3">
      <c r="A4267" s="1"/>
      <c r="G4267" s="4"/>
      <c r="H4267" s="4"/>
    </row>
    <row r="4268" spans="1:8" x14ac:dyDescent="0.3">
      <c r="A4268" s="1"/>
      <c r="G4268" s="4"/>
      <c r="H4268" s="4"/>
    </row>
    <row r="4269" spans="1:8" x14ac:dyDescent="0.3">
      <c r="A4269" s="1"/>
      <c r="G4269" s="4"/>
      <c r="H4269" s="4"/>
    </row>
    <row r="4270" spans="1:8" x14ac:dyDescent="0.3">
      <c r="A4270" s="1"/>
      <c r="G4270" s="4"/>
      <c r="H4270" s="4"/>
    </row>
    <row r="4271" spans="1:8" x14ac:dyDescent="0.3">
      <c r="A4271" s="1"/>
      <c r="G4271" s="4"/>
      <c r="H4271" s="4"/>
    </row>
    <row r="4272" spans="1:8" x14ac:dyDescent="0.3">
      <c r="A4272" s="1"/>
      <c r="G4272" s="4"/>
      <c r="H4272" s="4"/>
    </row>
    <row r="4273" spans="1:8" x14ac:dyDescent="0.3">
      <c r="A4273" s="1"/>
      <c r="G4273" s="4"/>
      <c r="H4273" s="4"/>
    </row>
    <row r="4274" spans="1:8" x14ac:dyDescent="0.3">
      <c r="A4274" s="1"/>
      <c r="G4274" s="4"/>
      <c r="H4274" s="4"/>
    </row>
    <row r="4275" spans="1:8" x14ac:dyDescent="0.3">
      <c r="A4275" s="1"/>
      <c r="G4275" s="4"/>
      <c r="H4275" s="4"/>
    </row>
    <row r="4276" spans="1:8" x14ac:dyDescent="0.3">
      <c r="A4276" s="1"/>
      <c r="G4276" s="4"/>
      <c r="H4276" s="4"/>
    </row>
    <row r="4277" spans="1:8" x14ac:dyDescent="0.3">
      <c r="A4277" s="1"/>
      <c r="G4277" s="4"/>
      <c r="H4277" s="4"/>
    </row>
    <row r="4278" spans="1:8" x14ac:dyDescent="0.3">
      <c r="A4278" s="1"/>
      <c r="G4278" s="4"/>
      <c r="H4278" s="4"/>
    </row>
    <row r="4279" spans="1:8" x14ac:dyDescent="0.3">
      <c r="A4279" s="1"/>
      <c r="G4279" s="4"/>
      <c r="H4279" s="4"/>
    </row>
    <row r="4280" spans="1:8" x14ac:dyDescent="0.3">
      <c r="A4280" s="1"/>
      <c r="G4280" s="4"/>
      <c r="H4280" s="4"/>
    </row>
    <row r="4281" spans="1:8" x14ac:dyDescent="0.3">
      <c r="A4281" s="1"/>
      <c r="G4281" s="4"/>
      <c r="H4281" s="4"/>
    </row>
    <row r="4282" spans="1:8" x14ac:dyDescent="0.3">
      <c r="A4282" s="1"/>
      <c r="G4282" s="4"/>
      <c r="H4282" s="4"/>
    </row>
    <row r="4283" spans="1:8" x14ac:dyDescent="0.3">
      <c r="A4283" s="1"/>
      <c r="G4283" s="4"/>
      <c r="H4283" s="4"/>
    </row>
    <row r="4284" spans="1:8" x14ac:dyDescent="0.3">
      <c r="A4284" s="1"/>
      <c r="G4284" s="4"/>
      <c r="H4284" s="4"/>
    </row>
    <row r="4285" spans="1:8" x14ac:dyDescent="0.3">
      <c r="A4285" s="1"/>
      <c r="G4285" s="4"/>
      <c r="H4285" s="4"/>
    </row>
    <row r="4286" spans="1:8" x14ac:dyDescent="0.3">
      <c r="A4286" s="1"/>
      <c r="G4286" s="4"/>
      <c r="H4286" s="4"/>
    </row>
    <row r="4287" spans="1:8" x14ac:dyDescent="0.3">
      <c r="A4287" s="1"/>
      <c r="G4287" s="4"/>
      <c r="H4287" s="4"/>
    </row>
    <row r="4288" spans="1:8" x14ac:dyDescent="0.3">
      <c r="A4288" s="1"/>
      <c r="G4288" s="4"/>
      <c r="H4288" s="4"/>
    </row>
    <row r="4289" spans="1:8" x14ac:dyDescent="0.3">
      <c r="A4289" s="1"/>
      <c r="G4289" s="4"/>
      <c r="H4289" s="4"/>
    </row>
    <row r="4290" spans="1:8" x14ac:dyDescent="0.3">
      <c r="A4290" s="1"/>
      <c r="G4290" s="4"/>
      <c r="H4290" s="4"/>
    </row>
    <row r="4291" spans="1:8" x14ac:dyDescent="0.3">
      <c r="A4291" s="1"/>
      <c r="G4291" s="4"/>
      <c r="H4291" s="4"/>
    </row>
    <row r="4292" spans="1:8" x14ac:dyDescent="0.3">
      <c r="A4292" s="1"/>
      <c r="G4292" s="4"/>
      <c r="H4292" s="4"/>
    </row>
    <row r="4293" spans="1:8" x14ac:dyDescent="0.3">
      <c r="A4293" s="1"/>
      <c r="G4293" s="4"/>
      <c r="H4293" s="4"/>
    </row>
    <row r="4294" spans="1:8" x14ac:dyDescent="0.3">
      <c r="A4294" s="1"/>
      <c r="G4294" s="4"/>
      <c r="H4294" s="4"/>
    </row>
    <row r="4295" spans="1:8" x14ac:dyDescent="0.3">
      <c r="A4295" s="1"/>
      <c r="G4295" s="4"/>
      <c r="H4295" s="4"/>
    </row>
    <row r="4296" spans="1:8" x14ac:dyDescent="0.3">
      <c r="A4296" s="1"/>
      <c r="G4296" s="4"/>
      <c r="H4296" s="4"/>
    </row>
    <row r="4297" spans="1:8" x14ac:dyDescent="0.3">
      <c r="A4297" s="1"/>
      <c r="G4297" s="4"/>
      <c r="H4297" s="4"/>
    </row>
    <row r="4298" spans="1:8" x14ac:dyDescent="0.3">
      <c r="A4298" s="1"/>
      <c r="G4298" s="4"/>
      <c r="H4298" s="4"/>
    </row>
    <row r="4299" spans="1:8" x14ac:dyDescent="0.3">
      <c r="A4299" s="1"/>
      <c r="G4299" s="4"/>
      <c r="H4299" s="4"/>
    </row>
    <row r="4300" spans="1:8" x14ac:dyDescent="0.3">
      <c r="A4300" s="1"/>
      <c r="G4300" s="4"/>
      <c r="H4300" s="4"/>
    </row>
    <row r="4301" spans="1:8" x14ac:dyDescent="0.3">
      <c r="A4301" s="1"/>
      <c r="G4301" s="4"/>
      <c r="H4301" s="4"/>
    </row>
    <row r="4302" spans="1:8" x14ac:dyDescent="0.3">
      <c r="A4302" s="1"/>
      <c r="G4302" s="4"/>
      <c r="H4302" s="4"/>
    </row>
    <row r="4303" spans="1:8" x14ac:dyDescent="0.3">
      <c r="A4303" s="1"/>
      <c r="G4303" s="4"/>
      <c r="H4303" s="4"/>
    </row>
    <row r="4304" spans="1:8" x14ac:dyDescent="0.3">
      <c r="A4304" s="1"/>
      <c r="G4304" s="4"/>
      <c r="H4304" s="4"/>
    </row>
    <row r="4305" spans="1:8" x14ac:dyDescent="0.3">
      <c r="A4305" s="1"/>
      <c r="G4305" s="4"/>
      <c r="H4305" s="4"/>
    </row>
    <row r="4306" spans="1:8" x14ac:dyDescent="0.3">
      <c r="A4306" s="1"/>
      <c r="G4306" s="4"/>
      <c r="H4306" s="4"/>
    </row>
    <row r="4307" spans="1:8" x14ac:dyDescent="0.3">
      <c r="A4307" s="1"/>
      <c r="G4307" s="4"/>
      <c r="H4307" s="4"/>
    </row>
    <row r="4308" spans="1:8" x14ac:dyDescent="0.3">
      <c r="A4308" s="1"/>
      <c r="G4308" s="4"/>
      <c r="H4308" s="4"/>
    </row>
    <row r="4309" spans="1:8" x14ac:dyDescent="0.3">
      <c r="A4309" s="1"/>
      <c r="G4309" s="4"/>
      <c r="H4309" s="4"/>
    </row>
    <row r="4310" spans="1:8" x14ac:dyDescent="0.3">
      <c r="A4310" s="1"/>
      <c r="G4310" s="4"/>
      <c r="H4310" s="4"/>
    </row>
    <row r="4311" spans="1:8" x14ac:dyDescent="0.3">
      <c r="A4311" s="1"/>
      <c r="G4311" s="4"/>
      <c r="H4311" s="4"/>
    </row>
    <row r="4312" spans="1:8" x14ac:dyDescent="0.3">
      <c r="A4312" s="1"/>
      <c r="G4312" s="4"/>
      <c r="H4312" s="4"/>
    </row>
    <row r="4313" spans="1:8" x14ac:dyDescent="0.3">
      <c r="A4313" s="1"/>
      <c r="G4313" s="4"/>
      <c r="H4313" s="4"/>
    </row>
    <row r="4314" spans="1:8" x14ac:dyDescent="0.3">
      <c r="A4314" s="1"/>
      <c r="G4314" s="4"/>
      <c r="H4314" s="4"/>
    </row>
    <row r="4315" spans="1:8" x14ac:dyDescent="0.3">
      <c r="A4315" s="1"/>
      <c r="G4315" s="4"/>
      <c r="H4315" s="4"/>
    </row>
    <row r="4316" spans="1:8" x14ac:dyDescent="0.3">
      <c r="A4316" s="1"/>
      <c r="G4316" s="4"/>
      <c r="H4316" s="4"/>
    </row>
    <row r="4317" spans="1:8" x14ac:dyDescent="0.3">
      <c r="A4317" s="1"/>
      <c r="G4317" s="4"/>
      <c r="H4317" s="4"/>
    </row>
    <row r="4318" spans="1:8" x14ac:dyDescent="0.3">
      <c r="A4318" s="1"/>
      <c r="G4318" s="4"/>
      <c r="H4318" s="4"/>
    </row>
    <row r="4319" spans="1:8" x14ac:dyDescent="0.3">
      <c r="A4319" s="1"/>
      <c r="G4319" s="4"/>
      <c r="H4319" s="4"/>
    </row>
    <row r="4320" spans="1:8" x14ac:dyDescent="0.3">
      <c r="A4320" s="1"/>
      <c r="G4320" s="4"/>
      <c r="H4320" s="4"/>
    </row>
    <row r="4321" spans="1:8" x14ac:dyDescent="0.3">
      <c r="A4321" s="1"/>
      <c r="G4321" s="4"/>
      <c r="H4321" s="4"/>
    </row>
    <row r="4322" spans="1:8" x14ac:dyDescent="0.3">
      <c r="A4322" s="1"/>
      <c r="G4322" s="4"/>
      <c r="H4322" s="4"/>
    </row>
    <row r="4323" spans="1:8" x14ac:dyDescent="0.3">
      <c r="A4323" s="1"/>
      <c r="G4323" s="4"/>
      <c r="H4323" s="4"/>
    </row>
    <row r="4324" spans="1:8" x14ac:dyDescent="0.3">
      <c r="A4324" s="1"/>
      <c r="G4324" s="4"/>
      <c r="H4324" s="4"/>
    </row>
    <row r="4325" spans="1:8" x14ac:dyDescent="0.3">
      <c r="A4325" s="1"/>
      <c r="G4325" s="4"/>
      <c r="H4325" s="4"/>
    </row>
    <row r="4326" spans="1:8" x14ac:dyDescent="0.3">
      <c r="A4326" s="1"/>
      <c r="G4326" s="4"/>
      <c r="H4326" s="4"/>
    </row>
    <row r="4327" spans="1:8" x14ac:dyDescent="0.3">
      <c r="A4327" s="1"/>
      <c r="G4327" s="4"/>
      <c r="H4327" s="4"/>
    </row>
    <row r="4328" spans="1:8" x14ac:dyDescent="0.3">
      <c r="A4328" s="1"/>
      <c r="G4328" s="4"/>
      <c r="H4328" s="4"/>
    </row>
    <row r="4329" spans="1:8" x14ac:dyDescent="0.3">
      <c r="A4329" s="1"/>
      <c r="G4329" s="4"/>
      <c r="H4329" s="4"/>
    </row>
    <row r="4330" spans="1:8" x14ac:dyDescent="0.3">
      <c r="A4330" s="1"/>
      <c r="G4330" s="4"/>
      <c r="H4330" s="4"/>
    </row>
    <row r="4331" spans="1:8" x14ac:dyDescent="0.3">
      <c r="A4331" s="1"/>
      <c r="G4331" s="4"/>
      <c r="H4331" s="4"/>
    </row>
    <row r="4332" spans="1:8" x14ac:dyDescent="0.3">
      <c r="A4332" s="1"/>
      <c r="G4332" s="4"/>
      <c r="H4332" s="4"/>
    </row>
    <row r="4333" spans="1:8" x14ac:dyDescent="0.3">
      <c r="A4333" s="1"/>
      <c r="G4333" s="4"/>
      <c r="H4333" s="4"/>
    </row>
    <row r="4334" spans="1:8" x14ac:dyDescent="0.3">
      <c r="A4334" s="1"/>
      <c r="G4334" s="4"/>
      <c r="H4334" s="4"/>
    </row>
    <row r="4335" spans="1:8" x14ac:dyDescent="0.3">
      <c r="A4335" s="1"/>
      <c r="G4335" s="4"/>
      <c r="H4335" s="4"/>
    </row>
    <row r="4336" spans="1:8" x14ac:dyDescent="0.3">
      <c r="A4336" s="1"/>
      <c r="G4336" s="4"/>
      <c r="H4336" s="4"/>
    </row>
    <row r="4337" spans="1:8" x14ac:dyDescent="0.3">
      <c r="A4337" s="1"/>
      <c r="G4337" s="4"/>
      <c r="H4337" s="4"/>
    </row>
    <row r="4338" spans="1:8" x14ac:dyDescent="0.3">
      <c r="A4338" s="1"/>
      <c r="G4338" s="4"/>
      <c r="H4338" s="4"/>
    </row>
    <row r="4339" spans="1:8" x14ac:dyDescent="0.3">
      <c r="A4339" s="1"/>
      <c r="G4339" s="4"/>
      <c r="H4339" s="4"/>
    </row>
    <row r="4340" spans="1:8" x14ac:dyDescent="0.3">
      <c r="A4340" s="1"/>
      <c r="G4340" s="4"/>
      <c r="H4340" s="4"/>
    </row>
    <row r="4341" spans="1:8" x14ac:dyDescent="0.3">
      <c r="A4341" s="1"/>
      <c r="G4341" s="4"/>
      <c r="H4341" s="4"/>
    </row>
    <row r="4342" spans="1:8" x14ac:dyDescent="0.3">
      <c r="A4342" s="1"/>
      <c r="G4342" s="4"/>
      <c r="H4342" s="4"/>
    </row>
    <row r="4343" spans="1:8" x14ac:dyDescent="0.3">
      <c r="A4343" s="1"/>
      <c r="G4343" s="4"/>
      <c r="H4343" s="4"/>
    </row>
    <row r="4344" spans="1:8" x14ac:dyDescent="0.3">
      <c r="A4344" s="1"/>
      <c r="G4344" s="4"/>
      <c r="H4344" s="4"/>
    </row>
    <row r="4345" spans="1:8" x14ac:dyDescent="0.3">
      <c r="A4345" s="1"/>
      <c r="G4345" s="4"/>
      <c r="H4345" s="4"/>
    </row>
    <row r="4346" spans="1:8" x14ac:dyDescent="0.3">
      <c r="A4346" s="1"/>
      <c r="G4346" s="4"/>
      <c r="H4346" s="4"/>
    </row>
    <row r="4347" spans="1:8" x14ac:dyDescent="0.3">
      <c r="A4347" s="1"/>
      <c r="G4347" s="4"/>
      <c r="H4347" s="4"/>
    </row>
    <row r="4348" spans="1:8" x14ac:dyDescent="0.3">
      <c r="A4348" s="1"/>
      <c r="G4348" s="4"/>
      <c r="H4348" s="4"/>
    </row>
    <row r="4349" spans="1:8" x14ac:dyDescent="0.3">
      <c r="A4349" s="1"/>
      <c r="G4349" s="4"/>
      <c r="H4349" s="4"/>
    </row>
    <row r="4350" spans="1:8" x14ac:dyDescent="0.3">
      <c r="A4350" s="1"/>
      <c r="G4350" s="4"/>
      <c r="H4350" s="4"/>
    </row>
    <row r="4351" spans="1:8" x14ac:dyDescent="0.3">
      <c r="A4351" s="1"/>
      <c r="G4351" s="4"/>
      <c r="H4351" s="4"/>
    </row>
    <row r="4352" spans="1:8" x14ac:dyDescent="0.3">
      <c r="A4352" s="1"/>
      <c r="G4352" s="4"/>
      <c r="H4352" s="4"/>
    </row>
    <row r="4353" spans="1:8" x14ac:dyDescent="0.3">
      <c r="A4353" s="1"/>
      <c r="G4353" s="4"/>
      <c r="H4353" s="4"/>
    </row>
    <row r="4354" spans="1:8" x14ac:dyDescent="0.3">
      <c r="A4354" s="1"/>
      <c r="G4354" s="4"/>
      <c r="H4354" s="4"/>
    </row>
    <row r="4355" spans="1:8" x14ac:dyDescent="0.3">
      <c r="A4355" s="1"/>
      <c r="G4355" s="4"/>
      <c r="H4355" s="4"/>
    </row>
    <row r="4356" spans="1:8" x14ac:dyDescent="0.3">
      <c r="A4356" s="1"/>
      <c r="G4356" s="4"/>
      <c r="H4356" s="4"/>
    </row>
    <row r="4357" spans="1:8" x14ac:dyDescent="0.3">
      <c r="A4357" s="1"/>
      <c r="G4357" s="4"/>
      <c r="H4357" s="4"/>
    </row>
    <row r="4358" spans="1:8" x14ac:dyDescent="0.3">
      <c r="A4358" s="1"/>
      <c r="G4358" s="4"/>
      <c r="H4358" s="4"/>
    </row>
    <row r="4359" spans="1:8" x14ac:dyDescent="0.3">
      <c r="A4359" s="1"/>
      <c r="G4359" s="4"/>
      <c r="H4359" s="4"/>
    </row>
    <row r="4360" spans="1:8" x14ac:dyDescent="0.3">
      <c r="A4360" s="1"/>
      <c r="G4360" s="4"/>
      <c r="H4360" s="4"/>
    </row>
    <row r="4361" spans="1:8" x14ac:dyDescent="0.3">
      <c r="A4361" s="1"/>
      <c r="G4361" s="4"/>
      <c r="H4361" s="4"/>
    </row>
    <row r="4362" spans="1:8" x14ac:dyDescent="0.3">
      <c r="A4362" s="1"/>
      <c r="G4362" s="4"/>
      <c r="H4362" s="4"/>
    </row>
    <row r="4363" spans="1:8" x14ac:dyDescent="0.3">
      <c r="A4363" s="1"/>
      <c r="G4363" s="4"/>
      <c r="H4363" s="4"/>
    </row>
    <row r="4364" spans="1:8" x14ac:dyDescent="0.3">
      <c r="A4364" s="1"/>
      <c r="G4364" s="4"/>
      <c r="H4364" s="4"/>
    </row>
    <row r="4365" spans="1:8" x14ac:dyDescent="0.3">
      <c r="A4365" s="1"/>
      <c r="G4365" s="4"/>
      <c r="H4365" s="4"/>
    </row>
    <row r="4366" spans="1:8" x14ac:dyDescent="0.3">
      <c r="A4366" s="1"/>
      <c r="G4366" s="4"/>
      <c r="H4366" s="4"/>
    </row>
    <row r="4367" spans="1:8" x14ac:dyDescent="0.3">
      <c r="A4367" s="1"/>
      <c r="G4367" s="4"/>
      <c r="H4367" s="4"/>
    </row>
    <row r="4368" spans="1:8" x14ac:dyDescent="0.3">
      <c r="A4368" s="1"/>
      <c r="G4368" s="4"/>
      <c r="H4368" s="4"/>
    </row>
    <row r="4369" spans="1:8" x14ac:dyDescent="0.3">
      <c r="A4369" s="1"/>
      <c r="G4369" s="4"/>
      <c r="H4369" s="4"/>
    </row>
    <row r="4370" spans="1:8" x14ac:dyDescent="0.3">
      <c r="A4370" s="1"/>
      <c r="G4370" s="4"/>
      <c r="H4370" s="4"/>
    </row>
    <row r="4371" spans="1:8" x14ac:dyDescent="0.3">
      <c r="A4371" s="1"/>
      <c r="G4371" s="4"/>
      <c r="H4371" s="4"/>
    </row>
    <row r="4372" spans="1:8" x14ac:dyDescent="0.3">
      <c r="A4372" s="1"/>
      <c r="G4372" s="4"/>
      <c r="H4372" s="4"/>
    </row>
    <row r="4373" spans="1:8" x14ac:dyDescent="0.3">
      <c r="A4373" s="1"/>
      <c r="G4373" s="4"/>
      <c r="H4373" s="4"/>
    </row>
    <row r="4374" spans="1:8" x14ac:dyDescent="0.3">
      <c r="A4374" s="1"/>
      <c r="G4374" s="4"/>
      <c r="H4374" s="4"/>
    </row>
    <row r="4375" spans="1:8" x14ac:dyDescent="0.3">
      <c r="A4375" s="1"/>
      <c r="G4375" s="4"/>
      <c r="H4375" s="4"/>
    </row>
    <row r="4376" spans="1:8" x14ac:dyDescent="0.3">
      <c r="A4376" s="1"/>
      <c r="G4376" s="4"/>
      <c r="H4376" s="4"/>
    </row>
    <row r="4377" spans="1:8" x14ac:dyDescent="0.3">
      <c r="A4377" s="1"/>
      <c r="G4377" s="4"/>
      <c r="H4377" s="4"/>
    </row>
    <row r="4378" spans="1:8" x14ac:dyDescent="0.3">
      <c r="A4378" s="1"/>
      <c r="G4378" s="4"/>
      <c r="H4378" s="4"/>
    </row>
    <row r="4379" spans="1:8" x14ac:dyDescent="0.3">
      <c r="A4379" s="1"/>
      <c r="G4379" s="4"/>
      <c r="H4379" s="4"/>
    </row>
    <row r="4380" spans="1:8" x14ac:dyDescent="0.3">
      <c r="A4380" s="1"/>
      <c r="G4380" s="4"/>
      <c r="H4380" s="4"/>
    </row>
    <row r="4381" spans="1:8" x14ac:dyDescent="0.3">
      <c r="A4381" s="1"/>
      <c r="G4381" s="4"/>
      <c r="H4381" s="4"/>
    </row>
    <row r="4382" spans="1:8" x14ac:dyDescent="0.3">
      <c r="A4382" s="1"/>
      <c r="G4382" s="4"/>
      <c r="H4382" s="4"/>
    </row>
    <row r="4383" spans="1:8" x14ac:dyDescent="0.3">
      <c r="A4383" s="1"/>
      <c r="G4383" s="4"/>
      <c r="H4383" s="4"/>
    </row>
    <row r="4384" spans="1:8" x14ac:dyDescent="0.3">
      <c r="A4384" s="1"/>
      <c r="G4384" s="4"/>
      <c r="H4384" s="4"/>
    </row>
    <row r="4385" spans="1:8" x14ac:dyDescent="0.3">
      <c r="A4385" s="1"/>
      <c r="G4385" s="4"/>
      <c r="H4385" s="4"/>
    </row>
    <row r="4386" spans="1:8" x14ac:dyDescent="0.3">
      <c r="A4386" s="1"/>
      <c r="G4386" s="4"/>
      <c r="H4386" s="4"/>
    </row>
    <row r="4387" spans="1:8" x14ac:dyDescent="0.3">
      <c r="A4387" s="1"/>
      <c r="G4387" s="4"/>
      <c r="H4387" s="4"/>
    </row>
    <row r="4388" spans="1:8" x14ac:dyDescent="0.3">
      <c r="A4388" s="1"/>
      <c r="G4388" s="4"/>
      <c r="H4388" s="4"/>
    </row>
    <row r="4389" spans="1:8" x14ac:dyDescent="0.3">
      <c r="A4389" s="1"/>
      <c r="G4389" s="4"/>
      <c r="H4389" s="4"/>
    </row>
    <row r="4390" spans="1:8" x14ac:dyDescent="0.3">
      <c r="A4390" s="1"/>
      <c r="G4390" s="4"/>
      <c r="H4390" s="4"/>
    </row>
    <row r="4391" spans="1:8" x14ac:dyDescent="0.3">
      <c r="A4391" s="1"/>
      <c r="G4391" s="4"/>
      <c r="H4391" s="4"/>
    </row>
    <row r="4392" spans="1:8" x14ac:dyDescent="0.3">
      <c r="A4392" s="1"/>
      <c r="G4392" s="4"/>
      <c r="H4392" s="4"/>
    </row>
    <row r="4393" spans="1:8" x14ac:dyDescent="0.3">
      <c r="A4393" s="1"/>
      <c r="G4393" s="4"/>
      <c r="H4393" s="4"/>
    </row>
    <row r="4394" spans="1:8" x14ac:dyDescent="0.3">
      <c r="A4394" s="1"/>
      <c r="G4394" s="4"/>
      <c r="H4394" s="4"/>
    </row>
    <row r="4395" spans="1:8" x14ac:dyDescent="0.3">
      <c r="A4395" s="1"/>
      <c r="G4395" s="4"/>
      <c r="H4395" s="4"/>
    </row>
    <row r="4396" spans="1:8" x14ac:dyDescent="0.3">
      <c r="A4396" s="1"/>
      <c r="G4396" s="4"/>
      <c r="H4396" s="4"/>
    </row>
    <row r="4397" spans="1:8" x14ac:dyDescent="0.3">
      <c r="A4397" s="1"/>
      <c r="G4397" s="4"/>
      <c r="H4397" s="4"/>
    </row>
    <row r="4398" spans="1:8" x14ac:dyDescent="0.3">
      <c r="A4398" s="1"/>
      <c r="G4398" s="4"/>
      <c r="H4398" s="4"/>
    </row>
    <row r="4399" spans="1:8" x14ac:dyDescent="0.3">
      <c r="A4399" s="1"/>
      <c r="G4399" s="4"/>
      <c r="H4399" s="4"/>
    </row>
    <row r="4400" spans="1:8" x14ac:dyDescent="0.3">
      <c r="A4400" s="1"/>
      <c r="G4400" s="4"/>
      <c r="H4400" s="4"/>
    </row>
    <row r="4401" spans="1:8" x14ac:dyDescent="0.3">
      <c r="A4401" s="1"/>
      <c r="G4401" s="4"/>
      <c r="H4401" s="4"/>
    </row>
    <row r="4402" spans="1:8" x14ac:dyDescent="0.3">
      <c r="A4402" s="1"/>
      <c r="G4402" s="4"/>
      <c r="H4402" s="4"/>
    </row>
    <row r="4403" spans="1:8" x14ac:dyDescent="0.3">
      <c r="A4403" s="1"/>
      <c r="G4403" s="4"/>
      <c r="H4403" s="4"/>
    </row>
    <row r="4404" spans="1:8" x14ac:dyDescent="0.3">
      <c r="A4404" s="1"/>
      <c r="G4404" s="4"/>
      <c r="H4404" s="4"/>
    </row>
    <row r="4405" spans="1:8" x14ac:dyDescent="0.3">
      <c r="A4405" s="1"/>
      <c r="G4405" s="4"/>
      <c r="H4405" s="4"/>
    </row>
    <row r="4406" spans="1:8" x14ac:dyDescent="0.3">
      <c r="A4406" s="1"/>
      <c r="G4406" s="4"/>
      <c r="H4406" s="4"/>
    </row>
    <row r="4407" spans="1:8" x14ac:dyDescent="0.3">
      <c r="A4407" s="1"/>
      <c r="G4407" s="4"/>
      <c r="H4407" s="4"/>
    </row>
    <row r="4408" spans="1:8" x14ac:dyDescent="0.3">
      <c r="A4408" s="1"/>
      <c r="G4408" s="4"/>
      <c r="H4408" s="4"/>
    </row>
    <row r="4409" spans="1:8" x14ac:dyDescent="0.3">
      <c r="A4409" s="1"/>
      <c r="G4409" s="4"/>
      <c r="H4409" s="4"/>
    </row>
    <row r="4410" spans="1:8" x14ac:dyDescent="0.3">
      <c r="A4410" s="1"/>
      <c r="G4410" s="4"/>
      <c r="H4410" s="4"/>
    </row>
    <row r="4411" spans="1:8" x14ac:dyDescent="0.3">
      <c r="A4411" s="1"/>
      <c r="G4411" s="4"/>
      <c r="H4411" s="4"/>
    </row>
    <row r="4412" spans="1:8" x14ac:dyDescent="0.3">
      <c r="A4412" s="1"/>
      <c r="G4412" s="4"/>
      <c r="H4412" s="4"/>
    </row>
    <row r="4413" spans="1:8" x14ac:dyDescent="0.3">
      <c r="A4413" s="1"/>
      <c r="G4413" s="4"/>
      <c r="H4413" s="4"/>
    </row>
    <row r="4414" spans="1:8" x14ac:dyDescent="0.3">
      <c r="A4414" s="1"/>
      <c r="G4414" s="4"/>
      <c r="H4414" s="4"/>
    </row>
    <row r="4415" spans="1:8" x14ac:dyDescent="0.3">
      <c r="A4415" s="1"/>
      <c r="G4415" s="4"/>
      <c r="H4415" s="4"/>
    </row>
    <row r="4416" spans="1:8" x14ac:dyDescent="0.3">
      <c r="A4416" s="1"/>
      <c r="G4416" s="4"/>
      <c r="H4416" s="4"/>
    </row>
    <row r="4417" spans="1:8" x14ac:dyDescent="0.3">
      <c r="A4417" s="1"/>
      <c r="G4417" s="4"/>
      <c r="H4417" s="4"/>
    </row>
    <row r="4418" spans="1:8" x14ac:dyDescent="0.3">
      <c r="A4418" s="1"/>
      <c r="G4418" s="4"/>
      <c r="H4418" s="4"/>
    </row>
    <row r="4419" spans="1:8" x14ac:dyDescent="0.3">
      <c r="A4419" s="1"/>
      <c r="G4419" s="4"/>
      <c r="H4419" s="4"/>
    </row>
    <row r="4420" spans="1:8" x14ac:dyDescent="0.3">
      <c r="A4420" s="1"/>
      <c r="G4420" s="4"/>
      <c r="H4420" s="4"/>
    </row>
    <row r="4421" spans="1:8" x14ac:dyDescent="0.3">
      <c r="A4421" s="1"/>
      <c r="G4421" s="4"/>
      <c r="H4421" s="4"/>
    </row>
    <row r="4422" spans="1:8" x14ac:dyDescent="0.3">
      <c r="A4422" s="1"/>
      <c r="G4422" s="4"/>
      <c r="H4422" s="4"/>
    </row>
    <row r="4423" spans="1:8" x14ac:dyDescent="0.3">
      <c r="A4423" s="1"/>
      <c r="G4423" s="4"/>
      <c r="H4423" s="4"/>
    </row>
    <row r="4424" spans="1:8" x14ac:dyDescent="0.3">
      <c r="A4424" s="1"/>
      <c r="G4424" s="4"/>
      <c r="H4424" s="4"/>
    </row>
    <row r="4425" spans="1:8" x14ac:dyDescent="0.3">
      <c r="A4425" s="1"/>
      <c r="G4425" s="4"/>
      <c r="H4425" s="4"/>
    </row>
    <row r="4426" spans="1:8" x14ac:dyDescent="0.3">
      <c r="A4426" s="1"/>
      <c r="G4426" s="4"/>
      <c r="H4426" s="4"/>
    </row>
    <row r="4427" spans="1:8" x14ac:dyDescent="0.3">
      <c r="A4427" s="1"/>
      <c r="G4427" s="4"/>
      <c r="H4427" s="4"/>
    </row>
    <row r="4428" spans="1:8" x14ac:dyDescent="0.3">
      <c r="A4428" s="1"/>
      <c r="G4428" s="4"/>
      <c r="H4428" s="4"/>
    </row>
    <row r="4429" spans="1:8" x14ac:dyDescent="0.3">
      <c r="A4429" s="1"/>
      <c r="G4429" s="4"/>
      <c r="H4429" s="4"/>
    </row>
    <row r="4430" spans="1:8" x14ac:dyDescent="0.3">
      <c r="A4430" s="1"/>
      <c r="G4430" s="4"/>
      <c r="H4430" s="4"/>
    </row>
    <row r="4431" spans="1:8" x14ac:dyDescent="0.3">
      <c r="A4431" s="1"/>
      <c r="G4431" s="4"/>
      <c r="H4431" s="4"/>
    </row>
    <row r="4432" spans="1:8" x14ac:dyDescent="0.3">
      <c r="A4432" s="1"/>
      <c r="G4432" s="4"/>
      <c r="H4432" s="4"/>
    </row>
    <row r="4433" spans="1:8" x14ac:dyDescent="0.3">
      <c r="A4433" s="1"/>
      <c r="G4433" s="4"/>
      <c r="H4433" s="4"/>
    </row>
    <row r="4434" spans="1:8" x14ac:dyDescent="0.3">
      <c r="A4434" s="1"/>
      <c r="G4434" s="4"/>
      <c r="H4434" s="4"/>
    </row>
    <row r="4435" spans="1:8" x14ac:dyDescent="0.3">
      <c r="A4435" s="1"/>
      <c r="G4435" s="4"/>
      <c r="H4435" s="4"/>
    </row>
    <row r="4436" spans="1:8" x14ac:dyDescent="0.3">
      <c r="A4436" s="1"/>
      <c r="G4436" s="4"/>
      <c r="H4436" s="4"/>
    </row>
    <row r="4437" spans="1:8" x14ac:dyDescent="0.3">
      <c r="A4437" s="1"/>
      <c r="G4437" s="4"/>
      <c r="H4437" s="4"/>
    </row>
    <row r="4438" spans="1:8" x14ac:dyDescent="0.3">
      <c r="A4438" s="1"/>
      <c r="G4438" s="4"/>
      <c r="H4438" s="4"/>
    </row>
    <row r="4439" spans="1:8" x14ac:dyDescent="0.3">
      <c r="A4439" s="1"/>
      <c r="G4439" s="4"/>
      <c r="H4439" s="4"/>
    </row>
    <row r="4440" spans="1:8" x14ac:dyDescent="0.3">
      <c r="A4440" s="1"/>
      <c r="G4440" s="4"/>
      <c r="H4440" s="4"/>
    </row>
    <row r="4441" spans="1:8" x14ac:dyDescent="0.3">
      <c r="A4441" s="1"/>
      <c r="G4441" s="4"/>
      <c r="H4441" s="4"/>
    </row>
    <row r="4442" spans="1:8" x14ac:dyDescent="0.3">
      <c r="A4442" s="1"/>
      <c r="G4442" s="4"/>
      <c r="H4442" s="4"/>
    </row>
    <row r="4443" spans="1:8" x14ac:dyDescent="0.3">
      <c r="A4443" s="1"/>
      <c r="G4443" s="4"/>
      <c r="H4443" s="4"/>
    </row>
    <row r="4444" spans="1:8" x14ac:dyDescent="0.3">
      <c r="A4444" s="1"/>
      <c r="G4444" s="4"/>
      <c r="H4444" s="4"/>
    </row>
    <row r="4445" spans="1:8" x14ac:dyDescent="0.3">
      <c r="A4445" s="1"/>
      <c r="G4445" s="4"/>
      <c r="H4445" s="4"/>
    </row>
    <row r="4446" spans="1:8" x14ac:dyDescent="0.3">
      <c r="A4446" s="1"/>
      <c r="G4446" s="4"/>
      <c r="H4446" s="4"/>
    </row>
    <row r="4447" spans="1:8" x14ac:dyDescent="0.3">
      <c r="A4447" s="1"/>
      <c r="G4447" s="4"/>
      <c r="H4447" s="4"/>
    </row>
    <row r="4448" spans="1:8" x14ac:dyDescent="0.3">
      <c r="A4448" s="1"/>
      <c r="G4448" s="4"/>
      <c r="H4448" s="4"/>
    </row>
    <row r="4449" spans="1:8" x14ac:dyDescent="0.3">
      <c r="A4449" s="1"/>
      <c r="G4449" s="4"/>
      <c r="H4449" s="4"/>
    </row>
    <row r="4450" spans="1:8" x14ac:dyDescent="0.3">
      <c r="A4450" s="1"/>
      <c r="G4450" s="4"/>
      <c r="H4450" s="4"/>
    </row>
    <row r="4451" spans="1:8" x14ac:dyDescent="0.3">
      <c r="A4451" s="1"/>
      <c r="G4451" s="4"/>
      <c r="H4451" s="4"/>
    </row>
    <row r="4452" spans="1:8" x14ac:dyDescent="0.3">
      <c r="A4452" s="1"/>
      <c r="G4452" s="4"/>
      <c r="H4452" s="4"/>
    </row>
    <row r="4453" spans="1:8" x14ac:dyDescent="0.3">
      <c r="A4453" s="1"/>
      <c r="G4453" s="4"/>
      <c r="H4453" s="4"/>
    </row>
    <row r="4454" spans="1:8" x14ac:dyDescent="0.3">
      <c r="A4454" s="1"/>
      <c r="G4454" s="4"/>
      <c r="H4454" s="4"/>
    </row>
    <row r="4455" spans="1:8" x14ac:dyDescent="0.3">
      <c r="A4455" s="1"/>
      <c r="G4455" s="4"/>
      <c r="H4455" s="4"/>
    </row>
    <row r="4456" spans="1:8" x14ac:dyDescent="0.3">
      <c r="A4456" s="1"/>
      <c r="G4456" s="4"/>
      <c r="H4456" s="4"/>
    </row>
    <row r="4457" spans="1:8" x14ac:dyDescent="0.3">
      <c r="A4457" s="1"/>
      <c r="G4457" s="4"/>
      <c r="H4457" s="4"/>
    </row>
    <row r="4458" spans="1:8" x14ac:dyDescent="0.3">
      <c r="A4458" s="1"/>
      <c r="G4458" s="4"/>
      <c r="H4458" s="4"/>
    </row>
    <row r="4459" spans="1:8" x14ac:dyDescent="0.3">
      <c r="A4459" s="1"/>
      <c r="G4459" s="4"/>
      <c r="H4459" s="4"/>
    </row>
    <row r="4460" spans="1:8" x14ac:dyDescent="0.3">
      <c r="A4460" s="1"/>
      <c r="G4460" s="4"/>
      <c r="H4460" s="4"/>
    </row>
    <row r="4461" spans="1:8" x14ac:dyDescent="0.3">
      <c r="A4461" s="1"/>
      <c r="G4461" s="4"/>
      <c r="H4461" s="4"/>
    </row>
    <row r="4462" spans="1:8" x14ac:dyDescent="0.3">
      <c r="A4462" s="1"/>
      <c r="G4462" s="4"/>
      <c r="H4462" s="4"/>
    </row>
    <row r="4463" spans="1:8" x14ac:dyDescent="0.3">
      <c r="A4463" s="1"/>
      <c r="G4463" s="4"/>
      <c r="H4463" s="4"/>
    </row>
    <row r="4464" spans="1:8" x14ac:dyDescent="0.3">
      <c r="A4464" s="1"/>
      <c r="G4464" s="4"/>
      <c r="H4464" s="4"/>
    </row>
    <row r="4465" spans="1:8" x14ac:dyDescent="0.3">
      <c r="A4465" s="1"/>
      <c r="G4465" s="4"/>
      <c r="H4465" s="4"/>
    </row>
    <row r="4466" spans="1:8" x14ac:dyDescent="0.3">
      <c r="A4466" s="1"/>
      <c r="G4466" s="4"/>
      <c r="H4466" s="4"/>
    </row>
    <row r="4467" spans="1:8" x14ac:dyDescent="0.3">
      <c r="A4467" s="1"/>
      <c r="G4467" s="4"/>
      <c r="H4467" s="4"/>
    </row>
    <row r="4468" spans="1:8" x14ac:dyDescent="0.3">
      <c r="A4468" s="1"/>
      <c r="G4468" s="4"/>
      <c r="H4468" s="4"/>
    </row>
    <row r="4469" spans="1:8" x14ac:dyDescent="0.3">
      <c r="A4469" s="1"/>
      <c r="G4469" s="4"/>
      <c r="H4469" s="4"/>
    </row>
    <row r="4470" spans="1:8" x14ac:dyDescent="0.3">
      <c r="A4470" s="1"/>
      <c r="G4470" s="4"/>
      <c r="H4470" s="4"/>
    </row>
    <row r="4471" spans="1:8" x14ac:dyDescent="0.3">
      <c r="A4471" s="1"/>
      <c r="G4471" s="4"/>
      <c r="H4471" s="4"/>
    </row>
    <row r="4472" spans="1:8" x14ac:dyDescent="0.3">
      <c r="A4472" s="1"/>
      <c r="G4472" s="4"/>
      <c r="H4472" s="4"/>
    </row>
    <row r="4473" spans="1:8" x14ac:dyDescent="0.3">
      <c r="A4473" s="1"/>
      <c r="G4473" s="4"/>
      <c r="H4473" s="4"/>
    </row>
    <row r="4474" spans="1:8" x14ac:dyDescent="0.3">
      <c r="A4474" s="1"/>
      <c r="G4474" s="4"/>
      <c r="H4474" s="4"/>
    </row>
    <row r="4475" spans="1:8" x14ac:dyDescent="0.3">
      <c r="A4475" s="1"/>
      <c r="G4475" s="4"/>
      <c r="H4475" s="4"/>
    </row>
    <row r="4476" spans="1:8" x14ac:dyDescent="0.3">
      <c r="A4476" s="1"/>
      <c r="G4476" s="4"/>
      <c r="H4476" s="4"/>
    </row>
    <row r="4477" spans="1:8" x14ac:dyDescent="0.3">
      <c r="A4477" s="1"/>
      <c r="G4477" s="4"/>
      <c r="H4477" s="4"/>
    </row>
    <row r="4478" spans="1:8" x14ac:dyDescent="0.3">
      <c r="A4478" s="1"/>
      <c r="G4478" s="4"/>
      <c r="H4478" s="4"/>
    </row>
    <row r="4479" spans="1:8" x14ac:dyDescent="0.3">
      <c r="A4479" s="1"/>
      <c r="G4479" s="4"/>
      <c r="H4479" s="4"/>
    </row>
    <row r="4480" spans="1:8" x14ac:dyDescent="0.3">
      <c r="A4480" s="1"/>
      <c r="G4480" s="4"/>
      <c r="H4480" s="4"/>
    </row>
    <row r="4481" spans="1:8" x14ac:dyDescent="0.3">
      <c r="A4481" s="1"/>
      <c r="G4481" s="4"/>
      <c r="H4481" s="4"/>
    </row>
    <row r="4482" spans="1:8" x14ac:dyDescent="0.3">
      <c r="A4482" s="1"/>
      <c r="G4482" s="4"/>
      <c r="H4482" s="4"/>
    </row>
    <row r="4483" spans="1:8" x14ac:dyDescent="0.3">
      <c r="A4483" s="1"/>
      <c r="G4483" s="4"/>
      <c r="H4483" s="4"/>
    </row>
    <row r="4484" spans="1:8" x14ac:dyDescent="0.3">
      <c r="A4484" s="1"/>
      <c r="G4484" s="4"/>
      <c r="H4484" s="4"/>
    </row>
    <row r="4485" spans="1:8" x14ac:dyDescent="0.3">
      <c r="A4485" s="1"/>
      <c r="G4485" s="4"/>
      <c r="H4485" s="4"/>
    </row>
    <row r="4486" spans="1:8" x14ac:dyDescent="0.3">
      <c r="A4486" s="1"/>
      <c r="G4486" s="4"/>
      <c r="H4486" s="4"/>
    </row>
    <row r="4487" spans="1:8" x14ac:dyDescent="0.3">
      <c r="A4487" s="1"/>
      <c r="G4487" s="4"/>
      <c r="H4487" s="4"/>
    </row>
    <row r="4488" spans="1:8" x14ac:dyDescent="0.3">
      <c r="A4488" s="1"/>
      <c r="G4488" s="4"/>
      <c r="H4488" s="4"/>
    </row>
    <row r="4489" spans="1:8" x14ac:dyDescent="0.3">
      <c r="A4489" s="1"/>
      <c r="G4489" s="4"/>
      <c r="H4489" s="4"/>
    </row>
    <row r="4490" spans="1:8" x14ac:dyDescent="0.3">
      <c r="A4490" s="1"/>
      <c r="G4490" s="4"/>
      <c r="H4490" s="4"/>
    </row>
    <row r="4491" spans="1:8" x14ac:dyDescent="0.3">
      <c r="A4491" s="1"/>
      <c r="G4491" s="4"/>
      <c r="H4491" s="4"/>
    </row>
    <row r="4492" spans="1:8" x14ac:dyDescent="0.3">
      <c r="A4492" s="1"/>
      <c r="G4492" s="4"/>
      <c r="H4492" s="4"/>
    </row>
    <row r="4493" spans="1:8" x14ac:dyDescent="0.3">
      <c r="A4493" s="1"/>
      <c r="G4493" s="4"/>
      <c r="H4493" s="4"/>
    </row>
    <row r="4494" spans="1:8" x14ac:dyDescent="0.3">
      <c r="A4494" s="1"/>
      <c r="G4494" s="4"/>
      <c r="H4494" s="4"/>
    </row>
    <row r="4495" spans="1:8" x14ac:dyDescent="0.3">
      <c r="A4495" s="1"/>
      <c r="G4495" s="4"/>
      <c r="H4495" s="4"/>
    </row>
    <row r="4496" spans="1:8" x14ac:dyDescent="0.3">
      <c r="A4496" s="1"/>
      <c r="G4496" s="4"/>
      <c r="H4496" s="4"/>
    </row>
    <row r="4497" spans="1:8" x14ac:dyDescent="0.3">
      <c r="A4497" s="1"/>
      <c r="G4497" s="4"/>
      <c r="H4497" s="4"/>
    </row>
    <row r="4498" spans="1:8" x14ac:dyDescent="0.3">
      <c r="A4498" s="1"/>
      <c r="G4498" s="4"/>
      <c r="H4498" s="4"/>
    </row>
    <row r="4499" spans="1:8" x14ac:dyDescent="0.3">
      <c r="A4499" s="1"/>
      <c r="G4499" s="4"/>
      <c r="H4499" s="4"/>
    </row>
    <row r="4500" spans="1:8" x14ac:dyDescent="0.3">
      <c r="A4500" s="1"/>
      <c r="G4500" s="4"/>
      <c r="H4500" s="4"/>
    </row>
    <row r="4501" spans="1:8" x14ac:dyDescent="0.3">
      <c r="A4501" s="1"/>
      <c r="G4501" s="4"/>
      <c r="H4501" s="4"/>
    </row>
    <row r="4502" spans="1:8" x14ac:dyDescent="0.3">
      <c r="A4502" s="1"/>
      <c r="G4502" s="4"/>
      <c r="H4502" s="4"/>
    </row>
    <row r="4503" spans="1:8" x14ac:dyDescent="0.3">
      <c r="A4503" s="1"/>
      <c r="G4503" s="4"/>
      <c r="H4503" s="4"/>
    </row>
    <row r="4504" spans="1:8" x14ac:dyDescent="0.3">
      <c r="A4504" s="1"/>
      <c r="G4504" s="4"/>
      <c r="H4504" s="4"/>
    </row>
    <row r="4505" spans="1:8" x14ac:dyDescent="0.3">
      <c r="A4505" s="1"/>
      <c r="G4505" s="4"/>
      <c r="H4505" s="4"/>
    </row>
    <row r="4506" spans="1:8" x14ac:dyDescent="0.3">
      <c r="A4506" s="1"/>
      <c r="G4506" s="4"/>
      <c r="H4506" s="4"/>
    </row>
    <row r="4507" spans="1:8" x14ac:dyDescent="0.3">
      <c r="A4507" s="1"/>
      <c r="G4507" s="4"/>
      <c r="H4507" s="4"/>
    </row>
    <row r="4508" spans="1:8" x14ac:dyDescent="0.3">
      <c r="A4508" s="1"/>
      <c r="G4508" s="4"/>
      <c r="H4508" s="4"/>
    </row>
    <row r="4509" spans="1:8" x14ac:dyDescent="0.3">
      <c r="A4509" s="1"/>
      <c r="G4509" s="4"/>
      <c r="H4509" s="4"/>
    </row>
    <row r="4510" spans="1:8" x14ac:dyDescent="0.3">
      <c r="A4510" s="1"/>
      <c r="G4510" s="4"/>
      <c r="H4510" s="4"/>
    </row>
    <row r="4511" spans="1:8" x14ac:dyDescent="0.3">
      <c r="A4511" s="1"/>
      <c r="G4511" s="4"/>
      <c r="H4511" s="4"/>
    </row>
    <row r="4512" spans="1:8" x14ac:dyDescent="0.3">
      <c r="A4512" s="1"/>
      <c r="G4512" s="4"/>
      <c r="H4512" s="4"/>
    </row>
    <row r="4513" spans="1:8" x14ac:dyDescent="0.3">
      <c r="A4513" s="1"/>
      <c r="G4513" s="4"/>
      <c r="H4513" s="4"/>
    </row>
    <row r="4514" spans="1:8" x14ac:dyDescent="0.3">
      <c r="A4514" s="1"/>
      <c r="G4514" s="4"/>
      <c r="H4514" s="4"/>
    </row>
    <row r="4515" spans="1:8" x14ac:dyDescent="0.3">
      <c r="A4515" s="1"/>
      <c r="G4515" s="4"/>
      <c r="H4515" s="4"/>
    </row>
    <row r="4516" spans="1:8" x14ac:dyDescent="0.3">
      <c r="A4516" s="1"/>
      <c r="G4516" s="4"/>
      <c r="H4516" s="4"/>
    </row>
    <row r="4517" spans="1:8" x14ac:dyDescent="0.3">
      <c r="A4517" s="1"/>
      <c r="G4517" s="4"/>
      <c r="H4517" s="4"/>
    </row>
    <row r="4518" spans="1:8" x14ac:dyDescent="0.3">
      <c r="A4518" s="1"/>
      <c r="G4518" s="4"/>
      <c r="H4518" s="4"/>
    </row>
    <row r="4519" spans="1:8" x14ac:dyDescent="0.3">
      <c r="A4519" s="1"/>
      <c r="G4519" s="4"/>
      <c r="H4519" s="4"/>
    </row>
    <row r="4520" spans="1:8" x14ac:dyDescent="0.3">
      <c r="A4520" s="1"/>
      <c r="G4520" s="4"/>
      <c r="H4520" s="4"/>
    </row>
    <row r="4521" spans="1:8" x14ac:dyDescent="0.3">
      <c r="A4521" s="1"/>
      <c r="G4521" s="4"/>
      <c r="H4521" s="4"/>
    </row>
    <row r="4522" spans="1:8" x14ac:dyDescent="0.3">
      <c r="A4522" s="1"/>
      <c r="G4522" s="4"/>
      <c r="H4522" s="4"/>
    </row>
    <row r="4523" spans="1:8" x14ac:dyDescent="0.3">
      <c r="A4523" s="1"/>
      <c r="G4523" s="4"/>
      <c r="H4523" s="4"/>
    </row>
    <row r="4524" spans="1:8" x14ac:dyDescent="0.3">
      <c r="A4524" s="1"/>
      <c r="G4524" s="4"/>
      <c r="H4524" s="4"/>
    </row>
    <row r="4525" spans="1:8" x14ac:dyDescent="0.3">
      <c r="A4525" s="1"/>
      <c r="G4525" s="4"/>
      <c r="H4525" s="4"/>
    </row>
    <row r="4526" spans="1:8" x14ac:dyDescent="0.3">
      <c r="A4526" s="1"/>
      <c r="G4526" s="4"/>
      <c r="H4526" s="4"/>
    </row>
    <row r="4527" spans="1:8" x14ac:dyDescent="0.3">
      <c r="A4527" s="1"/>
      <c r="G4527" s="4"/>
      <c r="H4527" s="4"/>
    </row>
    <row r="4528" spans="1:8" x14ac:dyDescent="0.3">
      <c r="A4528" s="1"/>
      <c r="G4528" s="4"/>
      <c r="H4528" s="4"/>
    </row>
    <row r="4529" spans="1:8" x14ac:dyDescent="0.3">
      <c r="A4529" s="1"/>
      <c r="G4529" s="4"/>
      <c r="H4529" s="4"/>
    </row>
    <row r="4530" spans="1:8" x14ac:dyDescent="0.3">
      <c r="A4530" s="1"/>
      <c r="G4530" s="4"/>
      <c r="H4530" s="4"/>
    </row>
    <row r="4531" spans="1:8" x14ac:dyDescent="0.3">
      <c r="A4531" s="1"/>
      <c r="G4531" s="4"/>
      <c r="H4531" s="4"/>
    </row>
    <row r="4532" spans="1:8" x14ac:dyDescent="0.3">
      <c r="A4532" s="1"/>
      <c r="G4532" s="4"/>
      <c r="H4532" s="4"/>
    </row>
    <row r="4533" spans="1:8" x14ac:dyDescent="0.3">
      <c r="A4533" s="1"/>
      <c r="G4533" s="4"/>
      <c r="H4533" s="4"/>
    </row>
    <row r="4534" spans="1:8" x14ac:dyDescent="0.3">
      <c r="A4534" s="1"/>
      <c r="G4534" s="4"/>
      <c r="H4534" s="4"/>
    </row>
    <row r="4535" spans="1:8" x14ac:dyDescent="0.3">
      <c r="A4535" s="1"/>
      <c r="G4535" s="4"/>
      <c r="H4535" s="4"/>
    </row>
    <row r="4536" spans="1:8" x14ac:dyDescent="0.3">
      <c r="A4536" s="1"/>
      <c r="G4536" s="4"/>
      <c r="H4536" s="4"/>
    </row>
    <row r="4537" spans="1:8" x14ac:dyDescent="0.3">
      <c r="A4537" s="1"/>
      <c r="G4537" s="4"/>
      <c r="H4537" s="4"/>
    </row>
    <row r="4538" spans="1:8" x14ac:dyDescent="0.3">
      <c r="A4538" s="1"/>
      <c r="G4538" s="4"/>
      <c r="H4538" s="4"/>
    </row>
    <row r="4539" spans="1:8" x14ac:dyDescent="0.3">
      <c r="A4539" s="1"/>
      <c r="G4539" s="4"/>
      <c r="H4539" s="4"/>
    </row>
    <row r="4540" spans="1:8" x14ac:dyDescent="0.3">
      <c r="A4540" s="1"/>
      <c r="G4540" s="4"/>
      <c r="H4540" s="4"/>
    </row>
    <row r="4541" spans="1:8" x14ac:dyDescent="0.3">
      <c r="A4541" s="1"/>
      <c r="G4541" s="4"/>
      <c r="H4541" s="4"/>
    </row>
    <row r="4542" spans="1:8" x14ac:dyDescent="0.3">
      <c r="A4542" s="1"/>
      <c r="G4542" s="4"/>
      <c r="H4542" s="4"/>
    </row>
    <row r="4543" spans="1:8" x14ac:dyDescent="0.3">
      <c r="A4543" s="1"/>
      <c r="G4543" s="4"/>
      <c r="H4543" s="4"/>
    </row>
    <row r="4544" spans="1:8" x14ac:dyDescent="0.3">
      <c r="A4544" s="1"/>
      <c r="G4544" s="4"/>
      <c r="H4544" s="4"/>
    </row>
    <row r="4545" spans="1:8" x14ac:dyDescent="0.3">
      <c r="A4545" s="1"/>
      <c r="G4545" s="4"/>
      <c r="H4545" s="4"/>
    </row>
    <row r="4546" spans="1:8" x14ac:dyDescent="0.3">
      <c r="A4546" s="1"/>
      <c r="G4546" s="4"/>
      <c r="H4546" s="4"/>
    </row>
    <row r="4547" spans="1:8" x14ac:dyDescent="0.3">
      <c r="A4547" s="1"/>
      <c r="G4547" s="4"/>
      <c r="H4547" s="4"/>
    </row>
    <row r="4548" spans="1:8" x14ac:dyDescent="0.3">
      <c r="A4548" s="1"/>
      <c r="G4548" s="4"/>
      <c r="H4548" s="4"/>
    </row>
    <row r="4549" spans="1:8" x14ac:dyDescent="0.3">
      <c r="A4549" s="1"/>
      <c r="G4549" s="4"/>
      <c r="H4549" s="4"/>
    </row>
    <row r="4550" spans="1:8" x14ac:dyDescent="0.3">
      <c r="A4550" s="1"/>
      <c r="G4550" s="4"/>
      <c r="H4550" s="4"/>
    </row>
    <row r="4551" spans="1:8" x14ac:dyDescent="0.3">
      <c r="A4551" s="1"/>
      <c r="G4551" s="4"/>
      <c r="H4551" s="4"/>
    </row>
    <row r="4552" spans="1:8" x14ac:dyDescent="0.3">
      <c r="A4552" s="1"/>
      <c r="G4552" s="4"/>
      <c r="H4552" s="4"/>
    </row>
    <row r="4553" spans="1:8" x14ac:dyDescent="0.3">
      <c r="A4553" s="1"/>
      <c r="G4553" s="4"/>
      <c r="H4553" s="4"/>
    </row>
    <row r="4554" spans="1:8" x14ac:dyDescent="0.3">
      <c r="A4554" s="1"/>
      <c r="G4554" s="4"/>
      <c r="H4554" s="4"/>
    </row>
    <row r="4555" spans="1:8" x14ac:dyDescent="0.3">
      <c r="A4555" s="1"/>
      <c r="G4555" s="4"/>
      <c r="H4555" s="4"/>
    </row>
    <row r="4556" spans="1:8" x14ac:dyDescent="0.3">
      <c r="A4556" s="1"/>
      <c r="G4556" s="4"/>
      <c r="H4556" s="4"/>
    </row>
    <row r="4557" spans="1:8" x14ac:dyDescent="0.3">
      <c r="A4557" s="1"/>
      <c r="G4557" s="4"/>
      <c r="H4557" s="4"/>
    </row>
    <row r="4558" spans="1:8" x14ac:dyDescent="0.3">
      <c r="A4558" s="1"/>
      <c r="G4558" s="4"/>
      <c r="H4558" s="4"/>
    </row>
    <row r="4559" spans="1:8" x14ac:dyDescent="0.3">
      <c r="A4559" s="1"/>
      <c r="G4559" s="4"/>
      <c r="H4559" s="4"/>
    </row>
    <row r="4560" spans="1:8" x14ac:dyDescent="0.3">
      <c r="A4560" s="1"/>
      <c r="G4560" s="4"/>
      <c r="H4560" s="4"/>
    </row>
    <row r="4561" spans="1:8" x14ac:dyDescent="0.3">
      <c r="A4561" s="1"/>
      <c r="G4561" s="4"/>
      <c r="H4561" s="4"/>
    </row>
    <row r="4562" spans="1:8" x14ac:dyDescent="0.3">
      <c r="A4562" s="1"/>
      <c r="G4562" s="4"/>
      <c r="H4562" s="4"/>
    </row>
    <row r="4563" spans="1:8" x14ac:dyDescent="0.3">
      <c r="A4563" s="1"/>
      <c r="G4563" s="4"/>
      <c r="H4563" s="4"/>
    </row>
    <row r="4564" spans="1:8" x14ac:dyDescent="0.3">
      <c r="A4564" s="1"/>
      <c r="G4564" s="4"/>
      <c r="H4564" s="4"/>
    </row>
    <row r="4565" spans="1:8" x14ac:dyDescent="0.3">
      <c r="A4565" s="1"/>
      <c r="G4565" s="4"/>
      <c r="H4565" s="4"/>
    </row>
    <row r="4566" spans="1:8" x14ac:dyDescent="0.3">
      <c r="A4566" s="1"/>
      <c r="G4566" s="4"/>
      <c r="H4566" s="4"/>
    </row>
    <row r="4567" spans="1:8" x14ac:dyDescent="0.3">
      <c r="A4567" s="1"/>
      <c r="G4567" s="4"/>
      <c r="H4567" s="4"/>
    </row>
    <row r="4568" spans="1:8" x14ac:dyDescent="0.3">
      <c r="A4568" s="1"/>
      <c r="G4568" s="4"/>
      <c r="H4568" s="4"/>
    </row>
    <row r="4569" spans="1:8" x14ac:dyDescent="0.3">
      <c r="A4569" s="1"/>
      <c r="G4569" s="4"/>
      <c r="H4569" s="4"/>
    </row>
    <row r="4570" spans="1:8" x14ac:dyDescent="0.3">
      <c r="A4570" s="1"/>
      <c r="G4570" s="4"/>
      <c r="H4570" s="4"/>
    </row>
    <row r="4571" spans="1:8" x14ac:dyDescent="0.3">
      <c r="A4571" s="1"/>
      <c r="G4571" s="4"/>
      <c r="H4571" s="4"/>
    </row>
    <row r="4572" spans="1:8" x14ac:dyDescent="0.3">
      <c r="A4572" s="1"/>
      <c r="G4572" s="4"/>
      <c r="H4572" s="4"/>
    </row>
    <row r="4573" spans="1:8" x14ac:dyDescent="0.3">
      <c r="A4573" s="1"/>
      <c r="G4573" s="4"/>
      <c r="H4573" s="4"/>
    </row>
    <row r="4574" spans="1:8" x14ac:dyDescent="0.3">
      <c r="A4574" s="1"/>
      <c r="G4574" s="4"/>
      <c r="H4574" s="4"/>
    </row>
    <row r="4575" spans="1:8" x14ac:dyDescent="0.3">
      <c r="A4575" s="1"/>
      <c r="G4575" s="4"/>
      <c r="H4575" s="4"/>
    </row>
    <row r="4576" spans="1:8" x14ac:dyDescent="0.3">
      <c r="A4576" s="1"/>
      <c r="G4576" s="4"/>
      <c r="H4576" s="4"/>
    </row>
    <row r="4577" spans="1:8" x14ac:dyDescent="0.3">
      <c r="A4577" s="1"/>
      <c r="G4577" s="4"/>
      <c r="H4577" s="4"/>
    </row>
    <row r="4578" spans="1:8" x14ac:dyDescent="0.3">
      <c r="A4578" s="1"/>
      <c r="G4578" s="4"/>
      <c r="H4578" s="4"/>
    </row>
    <row r="4579" spans="1:8" x14ac:dyDescent="0.3">
      <c r="A4579" s="1"/>
      <c r="G4579" s="4"/>
      <c r="H4579" s="4"/>
    </row>
    <row r="4580" spans="1:8" x14ac:dyDescent="0.3">
      <c r="A4580" s="1"/>
      <c r="G4580" s="4"/>
      <c r="H4580" s="4"/>
    </row>
    <row r="4581" spans="1:8" x14ac:dyDescent="0.3">
      <c r="A4581" s="1"/>
      <c r="G4581" s="4"/>
      <c r="H4581" s="4"/>
    </row>
    <row r="4582" spans="1:8" x14ac:dyDescent="0.3">
      <c r="A4582" s="1"/>
      <c r="G4582" s="4"/>
      <c r="H4582" s="4"/>
    </row>
    <row r="4583" spans="1:8" x14ac:dyDescent="0.3">
      <c r="A4583" s="1"/>
      <c r="G4583" s="4"/>
      <c r="H4583" s="4"/>
    </row>
    <row r="4584" spans="1:8" x14ac:dyDescent="0.3">
      <c r="A4584" s="1"/>
      <c r="G4584" s="4"/>
      <c r="H4584" s="4"/>
    </row>
    <row r="4585" spans="1:8" x14ac:dyDescent="0.3">
      <c r="A4585" s="1"/>
      <c r="G4585" s="4"/>
      <c r="H4585" s="4"/>
    </row>
    <row r="4586" spans="1:8" x14ac:dyDescent="0.3">
      <c r="A4586" s="1"/>
      <c r="G4586" s="4"/>
      <c r="H4586" s="4"/>
    </row>
    <row r="4587" spans="1:8" x14ac:dyDescent="0.3">
      <c r="A4587" s="1"/>
      <c r="G4587" s="4"/>
      <c r="H4587" s="4"/>
    </row>
    <row r="4588" spans="1:8" x14ac:dyDescent="0.3">
      <c r="A4588" s="1"/>
      <c r="G4588" s="4"/>
      <c r="H4588" s="4"/>
    </row>
    <row r="4589" spans="1:8" x14ac:dyDescent="0.3">
      <c r="A4589" s="1"/>
      <c r="G4589" s="4"/>
      <c r="H4589" s="4"/>
    </row>
    <row r="4590" spans="1:8" x14ac:dyDescent="0.3">
      <c r="A4590" s="1"/>
      <c r="G4590" s="4"/>
      <c r="H4590" s="4"/>
    </row>
    <row r="4591" spans="1:8" x14ac:dyDescent="0.3">
      <c r="A4591" s="1"/>
      <c r="G4591" s="4"/>
      <c r="H4591" s="4"/>
    </row>
    <row r="4592" spans="1:8" x14ac:dyDescent="0.3">
      <c r="A4592" s="1"/>
      <c r="G4592" s="4"/>
      <c r="H4592" s="4"/>
    </row>
    <row r="4593" spans="1:8" x14ac:dyDescent="0.3">
      <c r="A4593" s="1"/>
      <c r="G4593" s="4"/>
      <c r="H4593" s="4"/>
    </row>
    <row r="4594" spans="1:8" x14ac:dyDescent="0.3">
      <c r="A4594" s="1"/>
      <c r="G4594" s="4"/>
      <c r="H4594" s="4"/>
    </row>
    <row r="4595" spans="1:8" x14ac:dyDescent="0.3">
      <c r="A4595" s="1"/>
      <c r="G4595" s="4"/>
      <c r="H4595" s="4"/>
    </row>
    <row r="4596" spans="1:8" x14ac:dyDescent="0.3">
      <c r="A4596" s="1"/>
      <c r="G4596" s="4"/>
      <c r="H4596" s="4"/>
    </row>
    <row r="4597" spans="1:8" x14ac:dyDescent="0.3">
      <c r="A4597" s="1"/>
      <c r="G4597" s="4"/>
      <c r="H4597" s="4"/>
    </row>
    <row r="4598" spans="1:8" x14ac:dyDescent="0.3">
      <c r="A4598" s="1"/>
      <c r="G4598" s="4"/>
      <c r="H4598" s="4"/>
    </row>
    <row r="4599" spans="1:8" x14ac:dyDescent="0.3">
      <c r="A4599" s="1"/>
      <c r="G4599" s="4"/>
      <c r="H4599" s="4"/>
    </row>
    <row r="4600" spans="1:8" x14ac:dyDescent="0.3">
      <c r="A4600" s="1"/>
      <c r="G4600" s="4"/>
      <c r="H4600" s="4"/>
    </row>
    <row r="4601" spans="1:8" x14ac:dyDescent="0.3">
      <c r="A4601" s="1"/>
      <c r="G4601" s="4"/>
      <c r="H4601" s="4"/>
    </row>
    <row r="4602" spans="1:8" x14ac:dyDescent="0.3">
      <c r="A4602" s="1"/>
      <c r="G4602" s="4"/>
      <c r="H4602" s="4"/>
    </row>
    <row r="4603" spans="1:8" x14ac:dyDescent="0.3">
      <c r="A4603" s="1"/>
      <c r="G4603" s="4"/>
      <c r="H4603" s="4"/>
    </row>
    <row r="4604" spans="1:8" x14ac:dyDescent="0.3">
      <c r="A4604" s="1"/>
      <c r="G4604" s="4"/>
      <c r="H4604" s="4"/>
    </row>
    <row r="4605" spans="1:8" x14ac:dyDescent="0.3">
      <c r="A4605" s="1"/>
      <c r="G4605" s="4"/>
      <c r="H4605" s="4"/>
    </row>
    <row r="4606" spans="1:8" x14ac:dyDescent="0.3">
      <c r="A4606" s="1"/>
      <c r="G4606" s="4"/>
      <c r="H4606" s="4"/>
    </row>
    <row r="4607" spans="1:8" x14ac:dyDescent="0.3">
      <c r="A4607" s="1"/>
      <c r="G4607" s="4"/>
      <c r="H4607" s="4"/>
    </row>
    <row r="4608" spans="1:8" x14ac:dyDescent="0.3">
      <c r="A4608" s="1"/>
      <c r="G4608" s="4"/>
      <c r="H4608" s="4"/>
    </row>
    <row r="4609" spans="1:8" x14ac:dyDescent="0.3">
      <c r="A4609" s="1"/>
      <c r="G4609" s="4"/>
      <c r="H4609" s="4"/>
    </row>
    <row r="4610" spans="1:8" x14ac:dyDescent="0.3">
      <c r="A4610" s="1"/>
      <c r="G4610" s="4"/>
      <c r="H4610" s="4"/>
    </row>
    <row r="4611" spans="1:8" x14ac:dyDescent="0.3">
      <c r="A4611" s="1"/>
      <c r="G4611" s="4"/>
      <c r="H4611" s="4"/>
    </row>
    <row r="4612" spans="1:8" x14ac:dyDescent="0.3">
      <c r="A4612" s="1"/>
      <c r="G4612" s="4"/>
      <c r="H4612" s="4"/>
    </row>
    <row r="4613" spans="1:8" x14ac:dyDescent="0.3">
      <c r="A4613" s="1"/>
      <c r="G4613" s="4"/>
      <c r="H4613" s="4"/>
    </row>
    <row r="4614" spans="1:8" x14ac:dyDescent="0.3">
      <c r="A4614" s="1"/>
      <c r="G4614" s="4"/>
      <c r="H4614" s="4"/>
    </row>
    <row r="4615" spans="1:8" x14ac:dyDescent="0.3">
      <c r="A4615" s="1"/>
      <c r="G4615" s="4"/>
      <c r="H4615" s="4"/>
    </row>
    <row r="4616" spans="1:8" x14ac:dyDescent="0.3">
      <c r="A4616" s="1"/>
      <c r="G4616" s="4"/>
      <c r="H4616" s="4"/>
    </row>
    <row r="4617" spans="1:8" x14ac:dyDescent="0.3">
      <c r="A4617" s="1"/>
      <c r="G4617" s="4"/>
      <c r="H4617" s="4"/>
    </row>
    <row r="4618" spans="1:8" x14ac:dyDescent="0.3">
      <c r="A4618" s="1"/>
      <c r="G4618" s="4"/>
      <c r="H4618" s="4"/>
    </row>
    <row r="4619" spans="1:8" x14ac:dyDescent="0.3">
      <c r="A4619" s="1"/>
      <c r="G4619" s="4"/>
      <c r="H4619" s="4"/>
    </row>
    <row r="4620" spans="1:8" x14ac:dyDescent="0.3">
      <c r="A4620" s="1"/>
      <c r="G4620" s="4"/>
      <c r="H4620" s="4"/>
    </row>
    <row r="4621" spans="1:8" x14ac:dyDescent="0.3">
      <c r="A4621" s="1"/>
      <c r="G4621" s="4"/>
      <c r="H4621" s="4"/>
    </row>
    <row r="4622" spans="1:8" x14ac:dyDescent="0.3">
      <c r="A4622" s="1"/>
      <c r="G4622" s="4"/>
      <c r="H4622" s="4"/>
    </row>
    <row r="4623" spans="1:8" x14ac:dyDescent="0.3">
      <c r="A4623" s="1"/>
      <c r="G4623" s="4"/>
      <c r="H4623" s="4"/>
    </row>
    <row r="4624" spans="1:8" x14ac:dyDescent="0.3">
      <c r="A4624" s="1"/>
      <c r="G4624" s="4"/>
      <c r="H4624" s="4"/>
    </row>
    <row r="4625" spans="1:8" x14ac:dyDescent="0.3">
      <c r="A4625" s="1"/>
      <c r="G4625" s="4"/>
      <c r="H4625" s="4"/>
    </row>
    <row r="4626" spans="1:8" x14ac:dyDescent="0.3">
      <c r="A4626" s="1"/>
      <c r="G4626" s="4"/>
      <c r="H4626" s="4"/>
    </row>
    <row r="4627" spans="1:8" x14ac:dyDescent="0.3">
      <c r="A4627" s="1"/>
      <c r="G4627" s="4"/>
      <c r="H4627" s="4"/>
    </row>
    <row r="4628" spans="1:8" x14ac:dyDescent="0.3">
      <c r="A4628" s="1"/>
      <c r="G4628" s="4"/>
      <c r="H4628" s="4"/>
    </row>
    <row r="4629" spans="1:8" x14ac:dyDescent="0.3">
      <c r="A4629" s="1"/>
      <c r="G4629" s="4"/>
      <c r="H4629" s="4"/>
    </row>
    <row r="4630" spans="1:8" x14ac:dyDescent="0.3">
      <c r="A4630" s="1"/>
      <c r="G4630" s="4"/>
      <c r="H4630" s="4"/>
    </row>
    <row r="4631" spans="1:8" x14ac:dyDescent="0.3">
      <c r="A4631" s="1"/>
      <c r="G4631" s="4"/>
      <c r="H4631" s="4"/>
    </row>
    <row r="4632" spans="1:8" x14ac:dyDescent="0.3">
      <c r="A4632" s="1"/>
      <c r="G4632" s="4"/>
      <c r="H4632" s="4"/>
    </row>
    <row r="4633" spans="1:8" x14ac:dyDescent="0.3">
      <c r="A4633" s="1"/>
      <c r="G4633" s="4"/>
      <c r="H4633" s="4"/>
    </row>
    <row r="4634" spans="1:8" x14ac:dyDescent="0.3">
      <c r="A4634" s="1"/>
      <c r="G4634" s="4"/>
      <c r="H4634" s="4"/>
    </row>
    <row r="4635" spans="1:8" x14ac:dyDescent="0.3">
      <c r="A4635" s="1"/>
      <c r="G4635" s="4"/>
      <c r="H4635" s="4"/>
    </row>
    <row r="4636" spans="1:8" x14ac:dyDescent="0.3">
      <c r="A4636" s="1"/>
      <c r="G4636" s="4"/>
      <c r="H4636" s="4"/>
    </row>
    <row r="4637" spans="1:8" x14ac:dyDescent="0.3">
      <c r="A4637" s="1"/>
      <c r="G4637" s="4"/>
      <c r="H4637" s="4"/>
    </row>
    <row r="4638" spans="1:8" x14ac:dyDescent="0.3">
      <c r="A4638" s="1"/>
      <c r="G4638" s="4"/>
      <c r="H4638" s="4"/>
    </row>
    <row r="4639" spans="1:8" x14ac:dyDescent="0.3">
      <c r="A4639" s="1"/>
      <c r="G4639" s="4"/>
      <c r="H4639" s="4"/>
    </row>
    <row r="4640" spans="1:8" x14ac:dyDescent="0.3">
      <c r="A4640" s="1"/>
      <c r="G4640" s="4"/>
      <c r="H4640" s="4"/>
    </row>
    <row r="4641" spans="1:8" x14ac:dyDescent="0.3">
      <c r="A4641" s="1"/>
      <c r="G4641" s="4"/>
      <c r="H4641" s="4"/>
    </row>
    <row r="4642" spans="1:8" x14ac:dyDescent="0.3">
      <c r="A4642" s="1"/>
      <c r="G4642" s="4"/>
      <c r="H4642" s="4"/>
    </row>
    <row r="4643" spans="1:8" x14ac:dyDescent="0.3">
      <c r="A4643" s="1"/>
      <c r="G4643" s="4"/>
      <c r="H4643" s="4"/>
    </row>
    <row r="4644" spans="1:8" x14ac:dyDescent="0.3">
      <c r="A4644" s="1"/>
      <c r="G4644" s="4"/>
      <c r="H4644" s="4"/>
    </row>
    <row r="4645" spans="1:8" x14ac:dyDescent="0.3">
      <c r="A4645" s="1"/>
      <c r="G4645" s="4"/>
      <c r="H4645" s="4"/>
    </row>
    <row r="4646" spans="1:8" x14ac:dyDescent="0.3">
      <c r="A4646" s="1"/>
      <c r="G4646" s="4"/>
      <c r="H4646" s="4"/>
    </row>
    <row r="4647" spans="1:8" x14ac:dyDescent="0.3">
      <c r="A4647" s="1"/>
      <c r="G4647" s="4"/>
      <c r="H4647" s="4"/>
    </row>
    <row r="4648" spans="1:8" x14ac:dyDescent="0.3">
      <c r="A4648" s="1"/>
      <c r="G4648" s="4"/>
      <c r="H4648" s="4"/>
    </row>
    <row r="4649" spans="1:8" x14ac:dyDescent="0.3">
      <c r="A4649" s="1"/>
      <c r="G4649" s="4"/>
      <c r="H4649" s="4"/>
    </row>
    <row r="4650" spans="1:8" x14ac:dyDescent="0.3">
      <c r="A4650" s="1"/>
      <c r="G4650" s="4"/>
      <c r="H4650" s="4"/>
    </row>
    <row r="4651" spans="1:8" x14ac:dyDescent="0.3">
      <c r="A4651" s="1"/>
      <c r="G4651" s="4"/>
      <c r="H4651" s="4"/>
    </row>
    <row r="4652" spans="1:8" x14ac:dyDescent="0.3">
      <c r="A4652" s="1"/>
      <c r="G4652" s="4"/>
      <c r="H4652" s="4"/>
    </row>
    <row r="4653" spans="1:8" x14ac:dyDescent="0.3">
      <c r="A4653" s="1"/>
      <c r="G4653" s="4"/>
      <c r="H4653" s="4"/>
    </row>
    <row r="4654" spans="1:8" x14ac:dyDescent="0.3">
      <c r="A4654" s="1"/>
      <c r="G4654" s="4"/>
      <c r="H4654" s="4"/>
    </row>
    <row r="4655" spans="1:8" x14ac:dyDescent="0.3">
      <c r="A4655" s="1"/>
      <c r="G4655" s="4"/>
      <c r="H4655" s="4"/>
    </row>
    <row r="4656" spans="1:8" x14ac:dyDescent="0.3">
      <c r="A4656" s="1"/>
      <c r="G4656" s="4"/>
      <c r="H4656" s="4"/>
    </row>
    <row r="4657" spans="1:8" x14ac:dyDescent="0.3">
      <c r="A4657" s="1"/>
      <c r="G4657" s="4"/>
      <c r="H4657" s="4"/>
    </row>
    <row r="4658" spans="1:8" x14ac:dyDescent="0.3">
      <c r="A4658" s="1"/>
      <c r="G4658" s="4"/>
      <c r="H4658" s="4"/>
    </row>
    <row r="4659" spans="1:8" x14ac:dyDescent="0.3">
      <c r="A4659" s="1"/>
      <c r="G4659" s="4"/>
      <c r="H4659" s="4"/>
    </row>
    <row r="4660" spans="1:8" x14ac:dyDescent="0.3">
      <c r="A4660" s="1"/>
      <c r="G4660" s="4"/>
      <c r="H4660" s="4"/>
    </row>
    <row r="4661" spans="1:8" x14ac:dyDescent="0.3">
      <c r="A4661" s="1"/>
      <c r="G4661" s="4"/>
      <c r="H4661" s="4"/>
    </row>
    <row r="4662" spans="1:8" x14ac:dyDescent="0.3">
      <c r="A4662" s="1"/>
      <c r="G4662" s="4"/>
      <c r="H4662" s="4"/>
    </row>
    <row r="4663" spans="1:8" x14ac:dyDescent="0.3">
      <c r="A4663" s="1"/>
      <c r="G4663" s="4"/>
      <c r="H4663" s="4"/>
    </row>
    <row r="4664" spans="1:8" x14ac:dyDescent="0.3">
      <c r="A4664" s="1"/>
      <c r="G4664" s="4"/>
      <c r="H4664" s="4"/>
    </row>
    <row r="4665" spans="1:8" x14ac:dyDescent="0.3">
      <c r="A4665" s="1"/>
      <c r="G4665" s="4"/>
      <c r="H4665" s="4"/>
    </row>
    <row r="4666" spans="1:8" x14ac:dyDescent="0.3">
      <c r="A4666" s="1"/>
      <c r="G4666" s="4"/>
      <c r="H4666" s="4"/>
    </row>
    <row r="4667" spans="1:8" x14ac:dyDescent="0.3">
      <c r="A4667" s="1"/>
      <c r="G4667" s="4"/>
      <c r="H4667" s="4"/>
    </row>
    <row r="4668" spans="1:8" x14ac:dyDescent="0.3">
      <c r="A4668" s="1"/>
      <c r="G4668" s="4"/>
      <c r="H4668" s="4"/>
    </row>
    <row r="4669" spans="1:8" x14ac:dyDescent="0.3">
      <c r="A4669" s="1"/>
      <c r="G4669" s="4"/>
      <c r="H4669" s="4"/>
    </row>
    <row r="4670" spans="1:8" x14ac:dyDescent="0.3">
      <c r="A4670" s="1"/>
      <c r="G4670" s="4"/>
      <c r="H4670" s="4"/>
    </row>
    <row r="4671" spans="1:8" x14ac:dyDescent="0.3">
      <c r="A4671" s="1"/>
      <c r="G4671" s="4"/>
      <c r="H4671" s="4"/>
    </row>
    <row r="4672" spans="1:8" x14ac:dyDescent="0.3">
      <c r="A4672" s="1"/>
      <c r="G4672" s="4"/>
      <c r="H4672" s="4"/>
    </row>
    <row r="4673" spans="1:8" x14ac:dyDescent="0.3">
      <c r="A4673" s="1"/>
      <c r="G4673" s="4"/>
      <c r="H4673" s="4"/>
    </row>
    <row r="4674" spans="1:8" x14ac:dyDescent="0.3">
      <c r="A4674" s="1"/>
      <c r="G4674" s="4"/>
      <c r="H4674" s="4"/>
    </row>
    <row r="4675" spans="1:8" x14ac:dyDescent="0.3">
      <c r="A4675" s="1"/>
      <c r="G4675" s="4"/>
      <c r="H4675" s="4"/>
    </row>
    <row r="4676" spans="1:8" x14ac:dyDescent="0.3">
      <c r="A4676" s="1"/>
      <c r="G4676" s="4"/>
      <c r="H4676" s="4"/>
    </row>
    <row r="4677" spans="1:8" x14ac:dyDescent="0.3">
      <c r="A4677" s="1"/>
      <c r="G4677" s="4"/>
      <c r="H4677" s="4"/>
    </row>
    <row r="4678" spans="1:8" x14ac:dyDescent="0.3">
      <c r="A4678" s="1"/>
      <c r="G4678" s="4"/>
      <c r="H4678" s="4"/>
    </row>
    <row r="4679" spans="1:8" x14ac:dyDescent="0.3">
      <c r="A4679" s="1"/>
      <c r="G4679" s="4"/>
      <c r="H4679" s="4"/>
    </row>
    <row r="4680" spans="1:8" x14ac:dyDescent="0.3">
      <c r="A4680" s="1"/>
      <c r="G4680" s="4"/>
      <c r="H4680" s="4"/>
    </row>
    <row r="4681" spans="1:8" x14ac:dyDescent="0.3">
      <c r="A4681" s="1"/>
      <c r="G4681" s="4"/>
      <c r="H4681" s="4"/>
    </row>
    <row r="4682" spans="1:8" x14ac:dyDescent="0.3">
      <c r="A4682" s="1"/>
      <c r="G4682" s="4"/>
      <c r="H4682" s="4"/>
    </row>
    <row r="4683" spans="1:8" x14ac:dyDescent="0.3">
      <c r="A4683" s="1"/>
      <c r="G4683" s="4"/>
      <c r="H4683" s="4"/>
    </row>
    <row r="4684" spans="1:8" x14ac:dyDescent="0.3">
      <c r="A4684" s="1"/>
      <c r="G4684" s="4"/>
      <c r="H4684" s="4"/>
    </row>
    <row r="4685" spans="1:8" x14ac:dyDescent="0.3">
      <c r="A4685" s="1"/>
      <c r="G4685" s="4"/>
      <c r="H4685" s="4"/>
    </row>
    <row r="4686" spans="1:8" x14ac:dyDescent="0.3">
      <c r="A4686" s="1"/>
      <c r="G4686" s="4"/>
      <c r="H4686" s="4"/>
    </row>
    <row r="4687" spans="1:8" x14ac:dyDescent="0.3">
      <c r="A4687" s="1"/>
      <c r="G4687" s="4"/>
      <c r="H4687" s="4"/>
    </row>
    <row r="4688" spans="1:8" x14ac:dyDescent="0.3">
      <c r="A4688" s="1"/>
      <c r="G4688" s="4"/>
      <c r="H4688" s="4"/>
    </row>
    <row r="4689" spans="1:8" x14ac:dyDescent="0.3">
      <c r="A4689" s="1"/>
      <c r="G4689" s="4"/>
      <c r="H4689" s="4"/>
    </row>
    <row r="4690" spans="1:8" x14ac:dyDescent="0.3">
      <c r="A4690" s="1"/>
      <c r="G4690" s="4"/>
      <c r="H4690" s="4"/>
    </row>
    <row r="4691" spans="1:8" x14ac:dyDescent="0.3">
      <c r="A4691" s="1"/>
      <c r="G4691" s="4"/>
      <c r="H4691" s="4"/>
    </row>
    <row r="4692" spans="1:8" x14ac:dyDescent="0.3">
      <c r="A4692" s="1"/>
      <c r="G4692" s="4"/>
      <c r="H4692" s="4"/>
    </row>
    <row r="4693" spans="1:8" x14ac:dyDescent="0.3">
      <c r="A4693" s="1"/>
      <c r="G4693" s="4"/>
      <c r="H4693" s="4"/>
    </row>
    <row r="4694" spans="1:8" x14ac:dyDescent="0.3">
      <c r="A4694" s="1"/>
      <c r="G4694" s="4"/>
      <c r="H4694" s="4"/>
    </row>
    <row r="4695" spans="1:8" x14ac:dyDescent="0.3">
      <c r="A4695" s="1"/>
      <c r="G4695" s="4"/>
      <c r="H4695" s="4"/>
    </row>
    <row r="4696" spans="1:8" x14ac:dyDescent="0.3">
      <c r="A4696" s="1"/>
      <c r="G4696" s="4"/>
      <c r="H4696" s="4"/>
    </row>
    <row r="4697" spans="1:8" x14ac:dyDescent="0.3">
      <c r="A4697" s="1"/>
      <c r="G4697" s="4"/>
      <c r="H4697" s="4"/>
    </row>
    <row r="4698" spans="1:8" x14ac:dyDescent="0.3">
      <c r="A4698" s="1"/>
      <c r="G4698" s="4"/>
      <c r="H4698" s="4"/>
    </row>
    <row r="4699" spans="1:8" x14ac:dyDescent="0.3">
      <c r="A4699" s="1"/>
      <c r="G4699" s="4"/>
      <c r="H4699" s="4"/>
    </row>
    <row r="4700" spans="1:8" x14ac:dyDescent="0.3">
      <c r="A4700" s="1"/>
      <c r="G4700" s="4"/>
      <c r="H4700" s="4"/>
    </row>
    <row r="4701" spans="1:8" x14ac:dyDescent="0.3">
      <c r="A4701" s="1"/>
      <c r="G4701" s="4"/>
      <c r="H4701" s="4"/>
    </row>
    <row r="4702" spans="1:8" x14ac:dyDescent="0.3">
      <c r="A4702" s="1"/>
      <c r="G4702" s="4"/>
      <c r="H4702" s="4"/>
    </row>
    <row r="4703" spans="1:8" x14ac:dyDescent="0.3">
      <c r="A4703" s="1"/>
      <c r="G4703" s="4"/>
      <c r="H4703" s="4"/>
    </row>
  </sheetData>
  <autoFilter ref="O21:AH93" xr:uid="{00000000-0001-0000-0000-000000000000}"/>
  <conditionalFormatting sqref="G1:H1048576">
    <cfRule type="cellIs" dxfId="27" priority="14" operator="lessThan">
      <formula>0</formula>
    </cfRule>
    <cfRule type="cellIs" dxfId="26" priority="15" operator="greaterThan">
      <formula>0</formula>
    </cfRule>
  </conditionalFormatting>
  <conditionalFormatting sqref="AI21 AH1:AH1048576 AK23:AR23">
    <cfRule type="cellIs" dxfId="25" priority="13" operator="lessThan">
      <formula>0</formula>
    </cfRule>
  </conditionalFormatting>
  <conditionalFormatting sqref="U24:V93">
    <cfRule type="cellIs" dxfId="24" priority="11" operator="greaterThan">
      <formula>0</formula>
    </cfRule>
  </conditionalFormatting>
  <conditionalFormatting sqref="Q24:R93">
    <cfRule type="cellIs" dxfId="23" priority="10" operator="greaterThan">
      <formula>0</formula>
    </cfRule>
  </conditionalFormatting>
  <conditionalFormatting sqref="W24:W103">
    <cfRule type="cellIs" dxfId="22" priority="8" operator="greaterThan">
      <formula>0.5</formula>
    </cfRule>
    <cfRule type="cellIs" dxfId="21" priority="9" operator="greaterThan">
      <formula>50</formula>
    </cfRule>
  </conditionalFormatting>
  <conditionalFormatting sqref="AH24:AH103">
    <cfRule type="cellIs" dxfId="20" priority="7" operator="greaterThan">
      <formula>0.8</formula>
    </cfRule>
  </conditionalFormatting>
  <conditionalFormatting sqref="U94:V103">
    <cfRule type="cellIs" dxfId="19" priority="6" operator="greaterThan">
      <formula>0</formula>
    </cfRule>
  </conditionalFormatting>
  <conditionalFormatting sqref="Q94:R103">
    <cfRule type="cellIs" dxfId="18" priority="5" operator="greaterThan">
      <formula>0</formula>
    </cfRule>
  </conditionalFormatting>
  <conditionalFormatting sqref="AK29:AK36">
    <cfRule type="cellIs" dxfId="17" priority="2" operator="lessThan">
      <formula>0</formula>
    </cfRule>
  </conditionalFormatting>
  <conditionalFormatting sqref="AK40:AK47">
    <cfRule type="cellIs" dxfId="16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acro5">
                <anchor moveWithCells="1" sizeWithCells="1">
                  <from>
                    <xdr:col>11</xdr:col>
                    <xdr:colOff>38100</xdr:colOff>
                    <xdr:row>4</xdr:row>
                    <xdr:rowOff>129540</xdr:rowOff>
                  </from>
                  <to>
                    <xdr:col>12</xdr:col>
                    <xdr:colOff>137160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1DAFA-8E53-4163-8C84-0285742B7FB4}">
  <dimension ref="A1:AF273"/>
  <sheetViews>
    <sheetView topLeftCell="A107" zoomScale="84" workbookViewId="0">
      <selection activeCell="F129" sqref="A125:F129"/>
    </sheetView>
  </sheetViews>
  <sheetFormatPr baseColWidth="10" defaultRowHeight="14.4" x14ac:dyDescent="0.3"/>
  <cols>
    <col min="5" max="6" width="11.5546875" customWidth="1"/>
    <col min="10" max="14" width="11.5546875" customWidth="1"/>
    <col min="16" max="19" width="11.5546875" customWidth="1"/>
    <col min="23" max="23" width="16.21875" bestFit="1" customWidth="1"/>
    <col min="24" max="24" width="16.44140625" bestFit="1" customWidth="1"/>
    <col min="25" max="25" width="17.5546875" bestFit="1" customWidth="1"/>
    <col min="26" max="26" width="16.6640625" bestFit="1" customWidth="1"/>
    <col min="27" max="28" width="16.21875" bestFit="1" customWidth="1"/>
    <col min="29" max="29" width="16.44140625" bestFit="1" customWidth="1"/>
    <col min="30" max="30" width="17.5546875" bestFit="1" customWidth="1"/>
    <col min="31" max="31" width="16.6640625" bestFit="1" customWidth="1"/>
    <col min="32" max="32" width="16.21875" bestFit="1" customWidth="1"/>
  </cols>
  <sheetData>
    <row r="1" spans="1:32" x14ac:dyDescent="0.3">
      <c r="A1" t="s">
        <v>359</v>
      </c>
      <c r="C1" s="101">
        <f>+AVERAGE(C3:C12)</f>
        <v>6.3117380673495621E-2</v>
      </c>
      <c r="D1" s="101">
        <f>+AVERAGE(D3:D12)</f>
        <v>5.2206183280268895E-2</v>
      </c>
      <c r="G1" s="101">
        <f>+AVERAGE(G3:G12)</f>
        <v>-0.26722261932650471</v>
      </c>
      <c r="H1" s="101">
        <f>+AVERAGE(H3:H12)</f>
        <v>-0.24687180225489741</v>
      </c>
      <c r="I1" s="101">
        <f>+AVERAGE(I3:I12)</f>
        <v>0.5365269461077844</v>
      </c>
      <c r="O1" s="101">
        <f>+AVERAGE(O3:O12)</f>
        <v>0.57795000199804047</v>
      </c>
      <c r="T1" s="101">
        <f>+AVERAGE(U3:U7)</f>
        <v>0.97678598822551899</v>
      </c>
      <c r="U1" s="101">
        <f>+AVERAGE(T3:T12)</f>
        <v>0.93597209989807184</v>
      </c>
      <c r="V1" t="s">
        <v>301</v>
      </c>
      <c r="W1" s="85" t="s">
        <v>280</v>
      </c>
      <c r="X1" s="79" t="s">
        <v>281</v>
      </c>
      <c r="Y1" s="79" t="s">
        <v>282</v>
      </c>
      <c r="Z1" s="85" t="s">
        <v>283</v>
      </c>
      <c r="AA1" s="79" t="s">
        <v>284</v>
      </c>
      <c r="AB1" s="79" t="s">
        <v>280</v>
      </c>
      <c r="AC1" s="85" t="s">
        <v>281</v>
      </c>
      <c r="AD1" s="85" t="s">
        <v>282</v>
      </c>
      <c r="AE1" s="79" t="s">
        <v>283</v>
      </c>
      <c r="AF1" s="85" t="s">
        <v>284</v>
      </c>
    </row>
    <row r="2" spans="1:32" x14ac:dyDescent="0.3">
      <c r="A2" s="61" t="s">
        <v>212</v>
      </c>
      <c r="B2" s="61" t="s">
        <v>198</v>
      </c>
      <c r="C2" s="61" t="s">
        <v>9</v>
      </c>
      <c r="D2" s="61" t="s">
        <v>10</v>
      </c>
      <c r="E2" s="70" t="s">
        <v>212</v>
      </c>
      <c r="F2" s="61" t="s">
        <v>198</v>
      </c>
      <c r="G2" s="61" t="s">
        <v>9</v>
      </c>
      <c r="H2" s="71" t="s">
        <v>10</v>
      </c>
      <c r="I2" s="66" t="s">
        <v>231</v>
      </c>
      <c r="J2" s="66" t="s">
        <v>232</v>
      </c>
      <c r="K2" s="66" t="s">
        <v>233</v>
      </c>
      <c r="L2" s="66" t="s">
        <v>234</v>
      </c>
      <c r="M2" s="66" t="s">
        <v>232</v>
      </c>
      <c r="N2" s="66" t="s">
        <v>233</v>
      </c>
      <c r="O2" s="67" t="s">
        <v>234</v>
      </c>
      <c r="P2" t="s">
        <v>298</v>
      </c>
      <c r="Q2" t="s">
        <v>299</v>
      </c>
      <c r="R2" t="s">
        <v>300</v>
      </c>
      <c r="S2" t="s">
        <v>301</v>
      </c>
      <c r="W2" s="99">
        <v>0.98849661033243663</v>
      </c>
      <c r="X2" s="99">
        <v>-0.89667579380569462</v>
      </c>
      <c r="Y2" s="99">
        <v>-1.572875466896738</v>
      </c>
      <c r="Z2" s="99">
        <v>0.96125715982042104</v>
      </c>
      <c r="AA2" s="99">
        <v>0.98268689246813001</v>
      </c>
      <c r="AB2" s="99">
        <v>0.98849661033243674</v>
      </c>
      <c r="AC2" s="99">
        <v>0.80641257762799523</v>
      </c>
      <c r="AD2" s="99">
        <v>0.97068761200467635</v>
      </c>
      <c r="AE2" s="99">
        <v>0.95869715699484803</v>
      </c>
      <c r="AF2" s="99">
        <v>0.96172190560421367</v>
      </c>
    </row>
    <row r="3" spans="1:32" x14ac:dyDescent="0.3">
      <c r="A3">
        <v>0</v>
      </c>
      <c r="B3">
        <v>0</v>
      </c>
      <c r="C3" s="34">
        <v>0.13002823818199322</v>
      </c>
      <c r="D3" s="34">
        <v>0.12288834904707939</v>
      </c>
      <c r="E3">
        <v>6</v>
      </c>
      <c r="F3" s="75">
        <v>1.9300000000000001E-3</v>
      </c>
      <c r="G3" s="90">
        <v>-0.20031176181800692</v>
      </c>
      <c r="H3" s="34">
        <v>-0.19505562609630403</v>
      </c>
      <c r="I3" s="34">
        <v>0.51497005988023947</v>
      </c>
      <c r="J3" s="64">
        <v>0.53333333333333333</v>
      </c>
      <c r="K3" s="4">
        <v>0.37647058823529411</v>
      </c>
      <c r="L3" s="65">
        <v>0.44137931034482758</v>
      </c>
      <c r="M3" s="4">
        <v>0.50467289719626163</v>
      </c>
      <c r="N3" s="4">
        <v>0.65853658536585369</v>
      </c>
      <c r="O3" s="4">
        <v>0.5714285714285714</v>
      </c>
      <c r="P3">
        <v>15.65911057513118</v>
      </c>
      <c r="Q3">
        <v>2.9842425449938621</v>
      </c>
      <c r="R3">
        <v>1.010727129610544E-2</v>
      </c>
      <c r="S3">
        <v>0.98836565239680851</v>
      </c>
      <c r="T3">
        <v>0.98792936436168888</v>
      </c>
      <c r="U3">
        <f>+MAX(T3,T8)</f>
        <v>0.98792936436168888</v>
      </c>
      <c r="V3" t="s">
        <v>359</v>
      </c>
      <c r="W3" s="100">
        <v>0.98792936436168888</v>
      </c>
      <c r="X3" s="100">
        <v>0.97396505962740709</v>
      </c>
      <c r="Y3" s="100">
        <v>0.7328456827804638</v>
      </c>
      <c r="Z3" s="100">
        <v>0.96422869606636441</v>
      </c>
      <c r="AA3" s="100">
        <v>0.98156964940355329</v>
      </c>
      <c r="AB3" s="100">
        <v>0.98792936436168888</v>
      </c>
      <c r="AC3" s="100">
        <v>0.83261801235075339</v>
      </c>
      <c r="AD3" s="100">
        <v>0.97623717166858148</v>
      </c>
      <c r="AE3" s="100">
        <v>0.96223835815055392</v>
      </c>
      <c r="AF3" s="100">
        <v>0.96015964020966249</v>
      </c>
    </row>
    <row r="4" spans="1:32" x14ac:dyDescent="0.3">
      <c r="A4">
        <v>0</v>
      </c>
      <c r="B4">
        <v>0</v>
      </c>
      <c r="C4" s="34">
        <v>-6.9542957738202973E-2</v>
      </c>
      <c r="D4" s="34">
        <v>-8.2385768802211393E-2</v>
      </c>
      <c r="E4">
        <v>6</v>
      </c>
      <c r="F4" s="63">
        <v>1.9300000000000001E-3</v>
      </c>
      <c r="G4" s="90">
        <v>-0.39988295773820276</v>
      </c>
      <c r="H4" s="34">
        <v>-0.344583153905067</v>
      </c>
      <c r="I4" s="34">
        <v>0.51497005988023947</v>
      </c>
      <c r="J4" s="64">
        <v>0.5357142857142857</v>
      </c>
      <c r="K4" s="4">
        <v>0.35294117647058826</v>
      </c>
      <c r="L4" s="65">
        <v>0.42553191489361702</v>
      </c>
      <c r="M4" s="4">
        <v>0.50450450450450446</v>
      </c>
      <c r="N4" s="4">
        <v>0.68292682926829273</v>
      </c>
      <c r="O4" s="4">
        <v>0.58031088082901561</v>
      </c>
      <c r="P4">
        <v>33.774858452145338</v>
      </c>
      <c r="Q4">
        <v>4.3135370544633069</v>
      </c>
      <c r="R4">
        <v>1.461103467364715E-2</v>
      </c>
      <c r="S4">
        <v>0.97490608156858516</v>
      </c>
      <c r="T4">
        <v>0.97396505962740709</v>
      </c>
      <c r="U4">
        <f>+MAX(T4,T9)</f>
        <v>0.97396505962740709</v>
      </c>
      <c r="V4" t="s">
        <v>360</v>
      </c>
      <c r="W4" s="100">
        <v>0.98792936436168888</v>
      </c>
      <c r="X4" s="100">
        <v>0.97396505962740709</v>
      </c>
      <c r="Y4" s="100">
        <v>0.7328456827804638</v>
      </c>
      <c r="Z4" s="100">
        <v>0.96123960564349331</v>
      </c>
      <c r="AA4" s="100">
        <v>0.98156964940355329</v>
      </c>
      <c r="AB4" s="100">
        <v>0.98792936436168888</v>
      </c>
      <c r="AC4" s="100">
        <v>0.83261801235075339</v>
      </c>
      <c r="AD4" s="100">
        <v>0.97623717166858148</v>
      </c>
      <c r="AE4" s="100">
        <v>0.96161645743715085</v>
      </c>
      <c r="AF4" s="100">
        <v>0.96004035916326746</v>
      </c>
    </row>
    <row r="5" spans="1:32" x14ac:dyDescent="0.3">
      <c r="A5">
        <v>0</v>
      </c>
      <c r="B5">
        <v>0</v>
      </c>
      <c r="C5" s="34">
        <v>-1.5679412486515502E-2</v>
      </c>
      <c r="D5" s="34">
        <v>-3.0490531019114423E-2</v>
      </c>
      <c r="E5">
        <v>6</v>
      </c>
      <c r="F5" s="63">
        <v>1.9300000000000001E-3</v>
      </c>
      <c r="G5" s="90">
        <v>-0.34601941248651541</v>
      </c>
      <c r="H5" s="34">
        <v>-0.30634559269327144</v>
      </c>
      <c r="I5" s="34">
        <v>0.50299401197604787</v>
      </c>
      <c r="J5" s="64">
        <v>0.52500000000000002</v>
      </c>
      <c r="K5" s="4">
        <v>0.24705882352941178</v>
      </c>
      <c r="L5" s="65">
        <v>0.33600000000000002</v>
      </c>
      <c r="M5" s="4">
        <v>0.49606299212598426</v>
      </c>
      <c r="N5" s="4">
        <v>0.76829268292682928</v>
      </c>
      <c r="O5" s="4">
        <v>0.60287081339712922</v>
      </c>
      <c r="P5">
        <v>346.57652830532328</v>
      </c>
      <c r="Q5">
        <v>16.087668442709681</v>
      </c>
      <c r="R5">
        <v>5.2290553157287208E-2</v>
      </c>
      <c r="S5">
        <v>0.74250186292092901</v>
      </c>
      <c r="T5">
        <v>0.7328456827804638</v>
      </c>
      <c r="U5">
        <f>+MAX(T5,T10)</f>
        <v>0.97623717166858148</v>
      </c>
      <c r="V5" t="s">
        <v>361</v>
      </c>
      <c r="W5" s="100">
        <v>0.98792936436168888</v>
      </c>
      <c r="X5" s="100">
        <v>0.97396505962740709</v>
      </c>
      <c r="Y5" s="100">
        <v>0.7328456827804638</v>
      </c>
      <c r="Z5" s="100">
        <v>0.95787310551112204</v>
      </c>
      <c r="AA5" s="100">
        <v>0.98156964940355329</v>
      </c>
      <c r="AB5" s="100">
        <v>0.98792936436168888</v>
      </c>
      <c r="AC5" s="100">
        <v>0.83261801235075339</v>
      </c>
      <c r="AD5" s="100">
        <v>0.97623717166858148</v>
      </c>
      <c r="AE5" s="100">
        <v>0.95589937938247027</v>
      </c>
      <c r="AF5" s="100">
        <v>0.96151333804090167</v>
      </c>
    </row>
    <row r="6" spans="1:32" x14ac:dyDescent="0.3">
      <c r="A6">
        <v>0</v>
      </c>
      <c r="B6">
        <v>0</v>
      </c>
      <c r="C6" s="34">
        <v>7.4845709797301974E-3</v>
      </c>
      <c r="D6" s="34">
        <v>-8.7007356712965698E-3</v>
      </c>
      <c r="E6">
        <v>6</v>
      </c>
      <c r="F6" s="63">
        <v>1.9300000000000001E-3</v>
      </c>
      <c r="G6" s="90">
        <v>-0.32285542902027053</v>
      </c>
      <c r="H6" s="34">
        <v>-0.29154480824285434</v>
      </c>
      <c r="I6" s="34">
        <v>0.56886227544910184</v>
      </c>
      <c r="J6" s="64">
        <v>0.59420289855072461</v>
      </c>
      <c r="K6" s="4">
        <v>0.4823529411764706</v>
      </c>
      <c r="L6" s="65">
        <v>0.53246753246753242</v>
      </c>
      <c r="M6" s="4">
        <v>0.55102040816326525</v>
      </c>
      <c r="N6" s="4">
        <v>0.65853658536585369</v>
      </c>
      <c r="O6" s="4">
        <v>0.6</v>
      </c>
      <c r="P6">
        <v>46.405742041916028</v>
      </c>
      <c r="Q6">
        <v>5.2637065868263386</v>
      </c>
      <c r="R6">
        <v>1.760474692256922E-2</v>
      </c>
      <c r="S6">
        <v>0.96552163476276087</v>
      </c>
      <c r="T6">
        <v>0.96422869606636441</v>
      </c>
      <c r="U6">
        <f>+MAX(T6,T11)</f>
        <v>0.96422869606636441</v>
      </c>
      <c r="V6" t="s">
        <v>363</v>
      </c>
      <c r="W6" s="100">
        <v>0.98792936436168888</v>
      </c>
      <c r="X6" s="100">
        <v>0.97396505962740709</v>
      </c>
      <c r="Y6" s="100">
        <v>0.7328456827804638</v>
      </c>
      <c r="Z6" s="100">
        <v>0.96419720272306664</v>
      </c>
      <c r="AA6" s="100">
        <v>0.98156964940355329</v>
      </c>
      <c r="AB6" s="100">
        <v>0.98792936436168888</v>
      </c>
      <c r="AC6" s="100">
        <v>0.83261801235075339</v>
      </c>
      <c r="AD6" s="100">
        <v>0.97623717166858148</v>
      </c>
      <c r="AE6" s="100">
        <v>0.95888784517278769</v>
      </c>
      <c r="AF6" s="100">
        <v>0.95774293949529821</v>
      </c>
    </row>
    <row r="7" spans="1:32" x14ac:dyDescent="0.3">
      <c r="A7">
        <v>0</v>
      </c>
      <c r="B7">
        <v>0</v>
      </c>
      <c r="C7" s="34">
        <v>9.6631028858626088E-3</v>
      </c>
      <c r="D7" s="34">
        <v>-6.1480270915989241E-3</v>
      </c>
      <c r="E7">
        <v>6</v>
      </c>
      <c r="F7" s="63">
        <v>1.9300000000000001E-3</v>
      </c>
      <c r="G7" s="90">
        <v>-0.32067689711413799</v>
      </c>
      <c r="H7" s="34">
        <v>-0.28935344440919886</v>
      </c>
      <c r="I7" s="34">
        <v>0.55089820359281438</v>
      </c>
      <c r="J7" s="64">
        <v>0.5714285714285714</v>
      </c>
      <c r="K7" s="4">
        <v>0.47058823529411764</v>
      </c>
      <c r="L7" s="65">
        <v>0.51612903225806461</v>
      </c>
      <c r="M7" s="4">
        <v>0.53608247422680411</v>
      </c>
      <c r="N7" s="4">
        <v>0.63414634146341464</v>
      </c>
      <c r="O7" s="4">
        <v>0.58100558659217871</v>
      </c>
      <c r="P7">
        <v>23.909502910699409</v>
      </c>
      <c r="Q7">
        <v>3.562782005988038</v>
      </c>
      <c r="R7">
        <v>1.191043704197154E-2</v>
      </c>
      <c r="S7">
        <v>0.98223580665402732</v>
      </c>
      <c r="T7">
        <v>0.98156964940355329</v>
      </c>
      <c r="U7">
        <f>+MAX(T7,T12)</f>
        <v>0.98156964940355329</v>
      </c>
      <c r="V7" t="s">
        <v>364</v>
      </c>
      <c r="W7" s="100">
        <v>0.98803448745831457</v>
      </c>
      <c r="X7" s="100">
        <v>-0.91301491964542292</v>
      </c>
      <c r="Y7" s="100">
        <v>-1.700523800226744</v>
      </c>
      <c r="Z7" s="100">
        <v>0.95689274312597239</v>
      </c>
      <c r="AA7" s="100">
        <v>0.98302284677926433</v>
      </c>
      <c r="AB7" s="100">
        <v>0.98803448745831457</v>
      </c>
      <c r="AC7" s="100">
        <v>0.78896350415920324</v>
      </c>
      <c r="AD7" s="100">
        <v>0.96208991512195097</v>
      </c>
      <c r="AE7" s="100">
        <v>0.96177760138099289</v>
      </c>
      <c r="AF7" s="100">
        <v>0.96452299305879352</v>
      </c>
    </row>
    <row r="8" spans="1:32" x14ac:dyDescent="0.3">
      <c r="A8">
        <v>0</v>
      </c>
      <c r="B8">
        <v>0</v>
      </c>
      <c r="C8" s="34">
        <v>0.13002823818199322</v>
      </c>
      <c r="D8" s="34">
        <v>0.12288834904707939</v>
      </c>
      <c r="E8">
        <v>6</v>
      </c>
      <c r="F8" s="63">
        <v>1.9300000000000001E-3</v>
      </c>
      <c r="G8" s="90">
        <v>-0.20031176181800692</v>
      </c>
      <c r="H8" s="34">
        <v>-0.19505562609630403</v>
      </c>
      <c r="I8" s="34">
        <v>0.51497005988023947</v>
      </c>
      <c r="J8" s="64">
        <v>0.53333333333333333</v>
      </c>
      <c r="K8" s="4">
        <v>0.37647058823529411</v>
      </c>
      <c r="L8" s="65">
        <v>0.44137931034482758</v>
      </c>
      <c r="M8" s="4">
        <v>0.50467289719626163</v>
      </c>
      <c r="N8" s="4">
        <v>0.65853658536585369</v>
      </c>
      <c r="O8" s="4">
        <v>0.5714285714285714</v>
      </c>
      <c r="P8">
        <v>15.65911057513121</v>
      </c>
      <c r="Q8">
        <v>41.712719452045206</v>
      </c>
      <c r="R8">
        <v>0.14514288894969729</v>
      </c>
      <c r="S8">
        <v>0.98836565239680851</v>
      </c>
      <c r="T8">
        <v>0.98792936436168888</v>
      </c>
      <c r="V8" t="s">
        <v>365</v>
      </c>
      <c r="W8" s="100">
        <v>0.98803448745831457</v>
      </c>
      <c r="X8" s="100">
        <v>-0.91301491964542292</v>
      </c>
      <c r="Y8" s="100">
        <v>-1.700523800226744</v>
      </c>
      <c r="Z8" s="100">
        <v>0.96473192975113464</v>
      </c>
      <c r="AA8" s="100">
        <v>0.98302284677926433</v>
      </c>
      <c r="AB8" s="100">
        <v>0.98803448745831457</v>
      </c>
      <c r="AC8" s="100">
        <v>0.78896350415920324</v>
      </c>
      <c r="AD8" s="100">
        <v>0.96208991512195097</v>
      </c>
      <c r="AE8" s="100">
        <v>0.96320731698609785</v>
      </c>
      <c r="AF8" s="100">
        <v>0.96027262752031894</v>
      </c>
    </row>
    <row r="9" spans="1:32" x14ac:dyDescent="0.3">
      <c r="A9">
        <v>0</v>
      </c>
      <c r="B9">
        <v>0</v>
      </c>
      <c r="C9" s="34">
        <v>5.0269460199177413E-2</v>
      </c>
      <c r="D9" s="34">
        <v>3.7524382136150232E-2</v>
      </c>
      <c r="E9">
        <v>6</v>
      </c>
      <c r="F9" s="63">
        <v>1.9300000000000001E-3</v>
      </c>
      <c r="G9" s="90">
        <v>-0.28007053980082275</v>
      </c>
      <c r="H9" s="34">
        <v>-0.25568323155739564</v>
      </c>
      <c r="I9" s="34">
        <v>0.47904191616766467</v>
      </c>
      <c r="J9" s="64">
        <v>0.48936170212765956</v>
      </c>
      <c r="K9" s="4">
        <v>0.54117647058823526</v>
      </c>
      <c r="L9" s="65">
        <v>0.51396648044692739</v>
      </c>
      <c r="M9" s="4">
        <v>0.46575342465753422</v>
      </c>
      <c r="N9" s="4">
        <v>0.41463414634146339</v>
      </c>
      <c r="O9" s="4">
        <v>0.43870967741935479</v>
      </c>
      <c r="P9">
        <v>217.14291868489519</v>
      </c>
      <c r="Q9">
        <v>11.29709827573862</v>
      </c>
      <c r="R9">
        <v>3.7462592613198668E-2</v>
      </c>
      <c r="S9">
        <v>0.83866796371156949</v>
      </c>
      <c r="T9">
        <v>0.83261801235075339</v>
      </c>
      <c r="V9" t="s">
        <v>366</v>
      </c>
      <c r="W9" s="100">
        <v>0.98803448745831457</v>
      </c>
      <c r="X9" s="100">
        <v>-0.91301491964542292</v>
      </c>
      <c r="Y9" s="100">
        <v>-1.700523800226744</v>
      </c>
      <c r="Z9" s="100">
        <v>0.96527392660375932</v>
      </c>
      <c r="AA9" s="100">
        <v>0.98302284677926433</v>
      </c>
      <c r="AB9" s="100">
        <v>0.98803448745831457</v>
      </c>
      <c r="AC9" s="100">
        <v>0.78896350415920324</v>
      </c>
      <c r="AD9" s="100">
        <v>0.96208991512195097</v>
      </c>
      <c r="AE9" s="100">
        <v>0.96210041224994247</v>
      </c>
      <c r="AF9" s="100">
        <v>0.96157353954951841</v>
      </c>
    </row>
    <row r="10" spans="1:32" x14ac:dyDescent="0.3">
      <c r="A10">
        <v>0</v>
      </c>
      <c r="B10">
        <v>0</v>
      </c>
      <c r="C10" s="34">
        <v>0.16683052926878111</v>
      </c>
      <c r="D10" s="34">
        <v>0.16362530243525325</v>
      </c>
      <c r="E10">
        <v>6</v>
      </c>
      <c r="F10" s="63">
        <v>1.9300000000000001E-3</v>
      </c>
      <c r="G10" s="90">
        <v>-0.16350947073121905</v>
      </c>
      <c r="H10" s="34">
        <v>-0.16701488249683927</v>
      </c>
      <c r="I10" s="34">
        <v>0.56886227544910184</v>
      </c>
      <c r="J10" s="64">
        <v>0.62745098039215685</v>
      </c>
      <c r="K10" s="4">
        <v>0.37647058823529411</v>
      </c>
      <c r="L10" s="65">
        <v>0.47058823529411764</v>
      </c>
      <c r="M10" s="4">
        <v>0.5431034482758621</v>
      </c>
      <c r="N10" s="4">
        <v>0.76829268292682928</v>
      </c>
      <c r="O10" s="4">
        <v>0.63636363636363646</v>
      </c>
      <c r="P10">
        <v>30.827271037700338</v>
      </c>
      <c r="Q10">
        <v>4.0647291897184452</v>
      </c>
      <c r="R10">
        <v>1.363645284561415E-2</v>
      </c>
      <c r="S10">
        <v>0.97709606907815083</v>
      </c>
      <c r="T10">
        <v>0.97623717166858148</v>
      </c>
    </row>
    <row r="11" spans="1:32" x14ac:dyDescent="0.3">
      <c r="A11">
        <v>0</v>
      </c>
      <c r="B11">
        <v>0</v>
      </c>
      <c r="C11" s="34">
        <v>0.16067710542359259</v>
      </c>
      <c r="D11" s="34">
        <v>0.15652262600785513</v>
      </c>
      <c r="E11">
        <v>6</v>
      </c>
      <c r="F11" s="63">
        <v>1.9300000000000001E-3</v>
      </c>
      <c r="G11" s="90">
        <v>-0.16966289457640799</v>
      </c>
      <c r="H11" s="34">
        <v>-0.17207659146717502</v>
      </c>
      <c r="I11" s="34">
        <v>0.58682634730538918</v>
      </c>
      <c r="J11" s="64">
        <v>0.61428571428571432</v>
      </c>
      <c r="K11" s="4">
        <v>0.50588235294117645</v>
      </c>
      <c r="L11" s="65">
        <v>0.55483870967741933</v>
      </c>
      <c r="M11" s="4">
        <v>0.5670103092783505</v>
      </c>
      <c r="N11" s="4">
        <v>0.67073170731707321</v>
      </c>
      <c r="O11" s="4">
        <v>0.61452513966480449</v>
      </c>
      <c r="P11">
        <v>48.987786802395057</v>
      </c>
      <c r="Q11">
        <v>5.4708023952095726</v>
      </c>
      <c r="R11">
        <v>1.8111216081783559E-2</v>
      </c>
      <c r="S11">
        <v>0.96360323677161819</v>
      </c>
      <c r="T11">
        <v>0.96223835815055392</v>
      </c>
    </row>
    <row r="12" spans="1:32" x14ac:dyDescent="0.3">
      <c r="A12">
        <v>0</v>
      </c>
      <c r="B12">
        <v>0</v>
      </c>
      <c r="C12" s="34">
        <v>6.1414931838544289E-2</v>
      </c>
      <c r="D12" s="34">
        <v>4.6337886713492774E-2</v>
      </c>
      <c r="E12">
        <v>6</v>
      </c>
      <c r="F12" s="63">
        <v>1.9300000000000001E-3</v>
      </c>
      <c r="G12" s="90">
        <v>-0.26892506816145656</v>
      </c>
      <c r="H12" s="34">
        <v>-0.25200506558456442</v>
      </c>
      <c r="I12" s="34">
        <v>0.56287425149700598</v>
      </c>
      <c r="J12" s="64">
        <v>0.58108108108108103</v>
      </c>
      <c r="K12" s="4">
        <v>0.50588235294117645</v>
      </c>
      <c r="L12" s="65">
        <v>0.54088050314465397</v>
      </c>
      <c r="M12" s="4">
        <v>0.54838709677419351</v>
      </c>
      <c r="N12" s="4">
        <v>0.62195121951219512</v>
      </c>
      <c r="O12" s="4">
        <v>0.58285714285714285</v>
      </c>
      <c r="P12">
        <v>51.684486053892059</v>
      </c>
      <c r="Q12">
        <v>5.6186766467065787</v>
      </c>
      <c r="R12">
        <v>1.8632170970192041E-2</v>
      </c>
      <c r="S12">
        <v>0.96159965321413254</v>
      </c>
      <c r="T12">
        <v>0.96015964020966249</v>
      </c>
    </row>
    <row r="13" spans="1:32" x14ac:dyDescent="0.3">
      <c r="A13" t="s">
        <v>360</v>
      </c>
      <c r="C13" s="101">
        <f>+AVERAGE(C15:C24)</f>
        <v>6.4718742751785532E-2</v>
      </c>
      <c r="D13" s="101">
        <f>+AVERAGE(D15:D24)</f>
        <v>5.3896706624209742E-2</v>
      </c>
      <c r="G13" s="101">
        <f>+AVERAGE(G15:G24)</f>
        <v>-0.26562125724821473</v>
      </c>
      <c r="H13" s="101">
        <f>+AVERAGE(H15:H24)</f>
        <v>-0.24565986229692244</v>
      </c>
      <c r="I13" s="101">
        <f>+AVERAGE(I15:I24)</f>
        <v>0.5353293413173652</v>
      </c>
      <c r="J13" s="97"/>
      <c r="K13" s="4"/>
      <c r="L13" s="65"/>
      <c r="M13" s="4"/>
      <c r="N13" s="4"/>
      <c r="O13" s="101">
        <f>+AVERAGE(O15:O24)</f>
        <v>0.5764165745630061</v>
      </c>
      <c r="T13" s="101">
        <f>+AVERAGE(U15:U19)</f>
        <v>0.97626354049967623</v>
      </c>
      <c r="U13" s="101">
        <f>+AVERAGE(T15:T24)</f>
        <v>0.93559907267980491</v>
      </c>
    </row>
    <row r="14" spans="1:32" x14ac:dyDescent="0.3">
      <c r="A14" s="61" t="s">
        <v>212</v>
      </c>
      <c r="B14" s="61" t="s">
        <v>198</v>
      </c>
      <c r="C14" s="61" t="s">
        <v>9</v>
      </c>
      <c r="D14" s="61" t="s">
        <v>10</v>
      </c>
      <c r="E14" s="70" t="s">
        <v>212</v>
      </c>
      <c r="F14" s="61" t="s">
        <v>198</v>
      </c>
      <c r="G14" s="61" t="s">
        <v>9</v>
      </c>
      <c r="H14" s="71" t="s">
        <v>10</v>
      </c>
      <c r="I14" s="66" t="s">
        <v>231</v>
      </c>
      <c r="J14" s="66" t="s">
        <v>232</v>
      </c>
      <c r="K14" s="66" t="s">
        <v>233</v>
      </c>
      <c r="L14" s="66" t="s">
        <v>234</v>
      </c>
      <c r="M14" s="66" t="s">
        <v>232</v>
      </c>
      <c r="N14" s="66" t="s">
        <v>233</v>
      </c>
      <c r="O14" s="67" t="s">
        <v>234</v>
      </c>
      <c r="P14" t="s">
        <v>298</v>
      </c>
      <c r="Q14" t="s">
        <v>299</v>
      </c>
      <c r="R14" t="s">
        <v>300</v>
      </c>
      <c r="S14" t="s">
        <v>301</v>
      </c>
      <c r="T14" t="s">
        <v>302</v>
      </c>
    </row>
    <row r="15" spans="1:32" x14ac:dyDescent="0.3">
      <c r="A15">
        <v>0</v>
      </c>
      <c r="B15">
        <v>0</v>
      </c>
      <c r="C15" s="34">
        <v>0.13002823818199322</v>
      </c>
      <c r="D15" s="34">
        <v>0.12288834904707939</v>
      </c>
      <c r="E15">
        <v>6</v>
      </c>
      <c r="F15" s="75">
        <v>1.9300000000000001E-3</v>
      </c>
      <c r="G15" s="90">
        <v>-0.20031176181800692</v>
      </c>
      <c r="H15" s="34">
        <v>-0.19505562609630403</v>
      </c>
      <c r="I15" s="34">
        <v>0.51497005988023947</v>
      </c>
      <c r="J15" s="64">
        <v>0.53333333333333333</v>
      </c>
      <c r="K15" s="4">
        <v>0.37647058823529411</v>
      </c>
      <c r="L15" s="65">
        <v>0.44137931034482758</v>
      </c>
      <c r="M15" s="4">
        <v>0.50467289719626163</v>
      </c>
      <c r="N15" s="4">
        <v>0.65853658536585369</v>
      </c>
      <c r="O15" s="4">
        <v>0.5714285714285714</v>
      </c>
      <c r="P15">
        <v>15.65911057513118</v>
      </c>
      <c r="Q15">
        <v>2.9842425449938621</v>
      </c>
      <c r="R15">
        <v>1.010727129610544E-2</v>
      </c>
      <c r="S15">
        <v>0.98836565239680851</v>
      </c>
      <c r="T15">
        <v>0.98792936436168888</v>
      </c>
      <c r="U15">
        <f>+MAX(T15,T20)</f>
        <v>0.98792936436168888</v>
      </c>
    </row>
    <row r="16" spans="1:32" x14ac:dyDescent="0.3">
      <c r="A16">
        <v>0</v>
      </c>
      <c r="B16">
        <v>0</v>
      </c>
      <c r="C16" s="34">
        <v>-6.9542957738202973E-2</v>
      </c>
      <c r="D16" s="34">
        <v>-8.2385768802211393E-2</v>
      </c>
      <c r="E16">
        <v>6</v>
      </c>
      <c r="F16" s="63">
        <v>1.9300000000000001E-3</v>
      </c>
      <c r="G16" s="90">
        <v>-0.39988295773820276</v>
      </c>
      <c r="H16" s="34">
        <v>-0.344583153905067</v>
      </c>
      <c r="I16" s="34">
        <v>0.51497005988023947</v>
      </c>
      <c r="J16" s="64">
        <v>0.5357142857142857</v>
      </c>
      <c r="K16" s="4">
        <v>0.35294117647058826</v>
      </c>
      <c r="L16" s="65">
        <v>0.42553191489361702</v>
      </c>
      <c r="M16" s="4">
        <v>0.50450450450450446</v>
      </c>
      <c r="N16" s="4">
        <v>0.68292682926829273</v>
      </c>
      <c r="O16" s="4">
        <v>0.58031088082901561</v>
      </c>
      <c r="P16">
        <v>33.774858452145338</v>
      </c>
      <c r="Q16">
        <v>4.3135370544633069</v>
      </c>
      <c r="R16">
        <v>1.461103467364715E-2</v>
      </c>
      <c r="S16">
        <v>0.97490608156858516</v>
      </c>
      <c r="T16">
        <v>0.97396505962740709</v>
      </c>
      <c r="U16">
        <f>+MAX(T16,T21)</f>
        <v>0.97396505962740709</v>
      </c>
    </row>
    <row r="17" spans="1:21" x14ac:dyDescent="0.3">
      <c r="A17">
        <v>0</v>
      </c>
      <c r="B17">
        <v>0</v>
      </c>
      <c r="C17" s="34">
        <v>-1.5679412486515502E-2</v>
      </c>
      <c r="D17" s="34">
        <v>-3.0490531019114423E-2</v>
      </c>
      <c r="E17">
        <v>6</v>
      </c>
      <c r="F17" s="63">
        <v>1.9300000000000001E-3</v>
      </c>
      <c r="G17" s="90">
        <v>-0.34601941248651541</v>
      </c>
      <c r="H17" s="34">
        <v>-0.30634559269327144</v>
      </c>
      <c r="I17" s="34">
        <v>0.50299401197604787</v>
      </c>
      <c r="J17" s="64">
        <v>0.52500000000000002</v>
      </c>
      <c r="K17" s="4">
        <v>0.24705882352941178</v>
      </c>
      <c r="L17" s="65">
        <v>0.33600000000000002</v>
      </c>
      <c r="M17" s="4">
        <v>0.49606299212598426</v>
      </c>
      <c r="N17" s="4">
        <v>0.76829268292682928</v>
      </c>
      <c r="O17" s="4">
        <v>0.60287081339712922</v>
      </c>
      <c r="P17">
        <v>346.57652830532328</v>
      </c>
      <c r="Q17">
        <v>16.087668442709681</v>
      </c>
      <c r="R17">
        <v>5.2290553157287208E-2</v>
      </c>
      <c r="S17">
        <v>0.74250186292092901</v>
      </c>
      <c r="T17">
        <v>0.7328456827804638</v>
      </c>
      <c r="U17">
        <f>+MAX(T17,T22)</f>
        <v>0.97623717166858148</v>
      </c>
    </row>
    <row r="18" spans="1:21" x14ac:dyDescent="0.3">
      <c r="A18">
        <v>0</v>
      </c>
      <c r="B18">
        <v>0</v>
      </c>
      <c r="C18" s="34">
        <v>0.16480070320543411</v>
      </c>
      <c r="D18" s="34">
        <v>0.16134867682571086</v>
      </c>
      <c r="E18">
        <v>6</v>
      </c>
      <c r="F18" s="63">
        <v>1.9300000000000001E-3</v>
      </c>
      <c r="G18" s="90">
        <v>-0.16553929679456647</v>
      </c>
      <c r="H18" s="34">
        <v>-0.16857273510190149</v>
      </c>
      <c r="I18" s="34">
        <v>0.58083832335329344</v>
      </c>
      <c r="J18" s="64">
        <v>0.60273972602739723</v>
      </c>
      <c r="K18" s="4">
        <v>0.51764705882352946</v>
      </c>
      <c r="L18" s="65">
        <v>0.55696202531645567</v>
      </c>
      <c r="M18" s="4">
        <v>0.56382978723404253</v>
      </c>
      <c r="N18" s="4">
        <v>0.64634146341463417</v>
      </c>
      <c r="O18" s="4">
        <v>0.60227272727272718</v>
      </c>
      <c r="P18">
        <v>50.283458083832222</v>
      </c>
      <c r="Q18">
        <v>5.5165868263472966</v>
      </c>
      <c r="R18">
        <v>1.8401817749629502E-2</v>
      </c>
      <c r="S18">
        <v>0.96264058375276462</v>
      </c>
      <c r="T18">
        <v>0.96123960564349331</v>
      </c>
      <c r="U18">
        <f>+MAX(T18,T23)</f>
        <v>0.96161645743715085</v>
      </c>
    </row>
    <row r="19" spans="1:21" x14ac:dyDescent="0.3">
      <c r="A19">
        <v>0</v>
      </c>
      <c r="B19">
        <v>0</v>
      </c>
      <c r="C19" s="34">
        <v>9.6631028858626088E-3</v>
      </c>
      <c r="D19" s="34">
        <v>-6.1480270915989241E-3</v>
      </c>
      <c r="E19">
        <v>6</v>
      </c>
      <c r="F19" s="63">
        <v>1.9300000000000001E-3</v>
      </c>
      <c r="G19" s="90">
        <v>-0.32067689711413799</v>
      </c>
      <c r="H19" s="34">
        <v>-0.28935344440919886</v>
      </c>
      <c r="I19" s="34">
        <v>0.55089820359281438</v>
      </c>
      <c r="J19" s="64">
        <v>0.5714285714285714</v>
      </c>
      <c r="K19" s="4">
        <v>0.47058823529411764</v>
      </c>
      <c r="L19" s="65">
        <v>0.51612903225806461</v>
      </c>
      <c r="M19" s="4">
        <v>0.53608247422680411</v>
      </c>
      <c r="N19" s="4">
        <v>0.63414634146341464</v>
      </c>
      <c r="O19" s="4">
        <v>0.58100558659217871</v>
      </c>
      <c r="P19">
        <v>23.909502910699409</v>
      </c>
      <c r="Q19">
        <v>3.562782005988038</v>
      </c>
      <c r="R19">
        <v>1.191043704197154E-2</v>
      </c>
      <c r="S19">
        <v>0.98223580665402732</v>
      </c>
      <c r="T19">
        <v>0.98156964940355329</v>
      </c>
      <c r="U19">
        <f>+MAX(T19,T24)</f>
        <v>0.98156964940355329</v>
      </c>
    </row>
    <row r="20" spans="1:21" x14ac:dyDescent="0.3">
      <c r="A20">
        <v>0</v>
      </c>
      <c r="B20">
        <v>0</v>
      </c>
      <c r="C20" s="34">
        <v>0.13002823818199322</v>
      </c>
      <c r="D20" s="34">
        <v>0.12288834904707939</v>
      </c>
      <c r="E20">
        <v>6</v>
      </c>
      <c r="F20" s="63">
        <v>1.9300000000000001E-3</v>
      </c>
      <c r="G20" s="90">
        <v>-0.20031176181800692</v>
      </c>
      <c r="H20" s="34">
        <v>-0.19505562609630403</v>
      </c>
      <c r="I20" s="34">
        <v>0.51497005988023947</v>
      </c>
      <c r="J20" s="64">
        <v>0.53333333333333333</v>
      </c>
      <c r="K20" s="4">
        <v>0.37647058823529411</v>
      </c>
      <c r="L20" s="65">
        <v>0.44137931034482758</v>
      </c>
      <c r="M20" s="4">
        <v>0.50467289719626163</v>
      </c>
      <c r="N20" s="4">
        <v>0.65853658536585369</v>
      </c>
      <c r="O20" s="4">
        <v>0.5714285714285714</v>
      </c>
      <c r="P20">
        <v>15.65911057513121</v>
      </c>
      <c r="Q20">
        <v>41.712719452045206</v>
      </c>
      <c r="R20">
        <v>0.14514288894969729</v>
      </c>
      <c r="S20">
        <v>0.98836565239680851</v>
      </c>
      <c r="T20">
        <v>0.98792936436168888</v>
      </c>
    </row>
    <row r="21" spans="1:21" x14ac:dyDescent="0.3">
      <c r="A21">
        <v>0</v>
      </c>
      <c r="B21">
        <v>0</v>
      </c>
      <c r="C21" s="34">
        <v>5.0269460199177413E-2</v>
      </c>
      <c r="D21" s="34">
        <v>3.7524382136150232E-2</v>
      </c>
      <c r="E21">
        <v>6</v>
      </c>
      <c r="F21" s="63">
        <v>1.9300000000000001E-3</v>
      </c>
      <c r="G21" s="90">
        <v>-0.28007053980082275</v>
      </c>
      <c r="H21" s="34">
        <v>-0.25568323155739564</v>
      </c>
      <c r="I21" s="34">
        <v>0.47904191616766467</v>
      </c>
      <c r="J21" s="64">
        <v>0.48936170212765956</v>
      </c>
      <c r="K21" s="4">
        <v>0.54117647058823526</v>
      </c>
      <c r="L21" s="65">
        <v>0.51396648044692739</v>
      </c>
      <c r="M21" s="4">
        <v>0.46575342465753422</v>
      </c>
      <c r="N21" s="4">
        <v>0.41463414634146339</v>
      </c>
      <c r="O21" s="4">
        <v>0.43870967741935479</v>
      </c>
      <c r="P21">
        <v>217.14291868489519</v>
      </c>
      <c r="Q21">
        <v>11.29709827573862</v>
      </c>
      <c r="R21">
        <v>3.7462592613198668E-2</v>
      </c>
      <c r="S21">
        <v>0.83866796371156949</v>
      </c>
      <c r="T21">
        <v>0.83261801235075339</v>
      </c>
    </row>
    <row r="22" spans="1:21" x14ac:dyDescent="0.3">
      <c r="A22">
        <v>0</v>
      </c>
      <c r="B22">
        <v>0</v>
      </c>
      <c r="C22" s="34">
        <v>0.16683052926878111</v>
      </c>
      <c r="D22" s="34">
        <v>0.16362530243525325</v>
      </c>
      <c r="E22">
        <v>6</v>
      </c>
      <c r="F22" s="63">
        <v>1.9300000000000001E-3</v>
      </c>
      <c r="G22" s="90">
        <v>-0.16350947073121905</v>
      </c>
      <c r="H22" s="34">
        <v>-0.16701488249683927</v>
      </c>
      <c r="I22" s="34">
        <v>0.56886227544910184</v>
      </c>
      <c r="J22" s="64">
        <v>0.62745098039215685</v>
      </c>
      <c r="K22" s="4">
        <v>0.37647058823529411</v>
      </c>
      <c r="L22" s="65">
        <v>0.47058823529411764</v>
      </c>
      <c r="M22" s="4">
        <v>0.5431034482758621</v>
      </c>
      <c r="N22" s="4">
        <v>0.76829268292682928</v>
      </c>
      <c r="O22" s="4">
        <v>0.63636363636363646</v>
      </c>
      <c r="P22">
        <v>30.827271037700338</v>
      </c>
      <c r="Q22">
        <v>4.0647291897184452</v>
      </c>
      <c r="R22">
        <v>1.363645284561415E-2</v>
      </c>
      <c r="S22">
        <v>0.97709606907815083</v>
      </c>
      <c r="T22">
        <v>0.97623717166858148</v>
      </c>
    </row>
    <row r="23" spans="1:21" x14ac:dyDescent="0.3">
      <c r="A23">
        <v>0</v>
      </c>
      <c r="B23">
        <v>0</v>
      </c>
      <c r="C23" s="34">
        <v>1.441933993657076E-2</v>
      </c>
      <c r="D23" s="34">
        <v>-1.9509115697869857E-3</v>
      </c>
      <c r="E23">
        <v>6</v>
      </c>
      <c r="F23" s="63">
        <v>1.9300000000000001E-3</v>
      </c>
      <c r="G23" s="90">
        <v>-0.31592066006342956</v>
      </c>
      <c r="H23" s="34">
        <v>-0.28685875027272445</v>
      </c>
      <c r="I23" s="34">
        <v>0.55688622754491013</v>
      </c>
      <c r="J23" s="64">
        <v>0.57746478873239437</v>
      </c>
      <c r="K23" s="4">
        <v>0.4823529411764706</v>
      </c>
      <c r="L23" s="65">
        <v>0.52564102564102566</v>
      </c>
      <c r="M23" s="4">
        <v>0.54166666666666663</v>
      </c>
      <c r="N23" s="4">
        <v>0.63414634146341464</v>
      </c>
      <c r="O23" s="4">
        <v>0.5842696629213483</v>
      </c>
      <c r="P23">
        <v>49.794572155688563</v>
      </c>
      <c r="Q23">
        <v>5.5307185628742479</v>
      </c>
      <c r="R23">
        <v>1.835629869331238E-2</v>
      </c>
      <c r="S23">
        <v>0.9630038143972538</v>
      </c>
      <c r="T23">
        <v>0.96161645743715085</v>
      </c>
    </row>
    <row r="24" spans="1:21" x14ac:dyDescent="0.3">
      <c r="A24">
        <v>0</v>
      </c>
      <c r="B24">
        <v>0</v>
      </c>
      <c r="C24" s="34">
        <v>6.6370185882761293E-2</v>
      </c>
      <c r="D24" s="34">
        <v>5.1667245233536087E-2</v>
      </c>
      <c r="E24">
        <v>6</v>
      </c>
      <c r="F24" s="63">
        <v>1.9300000000000001E-3</v>
      </c>
      <c r="G24" s="90">
        <v>-0.2639698141172393</v>
      </c>
      <c r="H24" s="34">
        <v>-0.24807558034021801</v>
      </c>
      <c r="I24" s="34">
        <v>0.56886227544910184</v>
      </c>
      <c r="J24" s="64">
        <v>0.59154929577464788</v>
      </c>
      <c r="K24" s="4">
        <v>0.49411764705882355</v>
      </c>
      <c r="L24" s="65">
        <v>0.53846153846153844</v>
      </c>
      <c r="M24" s="4">
        <v>0.55208333333333337</v>
      </c>
      <c r="N24" s="4">
        <v>0.64634146341463417</v>
      </c>
      <c r="O24" s="4">
        <v>0.5955056179775281</v>
      </c>
      <c r="P24">
        <v>51.839228119760371</v>
      </c>
      <c r="Q24">
        <v>5.5102035928143653</v>
      </c>
      <c r="R24">
        <v>1.8195569925582571E-2</v>
      </c>
      <c r="S24">
        <v>0.96148468353086025</v>
      </c>
      <c r="T24">
        <v>0.96004035916326746</v>
      </c>
    </row>
    <row r="25" spans="1:21" x14ac:dyDescent="0.3">
      <c r="A25" t="s">
        <v>361</v>
      </c>
      <c r="C25" s="101">
        <f>+AVERAGE(C27:C36)</f>
        <v>6.536485196061953E-2</v>
      </c>
      <c r="D25" s="101">
        <f>+AVERAGE(D27:D36)</f>
        <v>5.4871443082093907E-2</v>
      </c>
      <c r="G25" s="101">
        <f>+AVERAGE(G27:G36)</f>
        <v>-0.26497514803938083</v>
      </c>
      <c r="H25" s="101">
        <f>+AVERAGE(H27:H36)</f>
        <v>-0.24501115519398547</v>
      </c>
      <c r="I25" s="101">
        <f>+AVERAGE(I27:I36)</f>
        <v>0.53970059880239518</v>
      </c>
      <c r="O25" s="101">
        <f>+AVERAGE(O27:O36)</f>
        <v>0.57946365078154383</v>
      </c>
      <c r="P25" t="s">
        <v>298</v>
      </c>
      <c r="Q25" t="s">
        <v>299</v>
      </c>
      <c r="R25" t="s">
        <v>300</v>
      </c>
      <c r="S25" t="s">
        <v>301</v>
      </c>
      <c r="T25" s="101">
        <f>+AVERAGE(U26:U30)</f>
        <v>0.97551487011447047</v>
      </c>
      <c r="U25" s="101">
        <f>+AVERAGE(T27:T36)</f>
        <v>0.93372304526838013</v>
      </c>
    </row>
    <row r="26" spans="1:21" x14ac:dyDescent="0.3">
      <c r="A26">
        <v>0</v>
      </c>
      <c r="B26">
        <v>0</v>
      </c>
      <c r="C26" s="34">
        <v>0.13002823818199322</v>
      </c>
      <c r="D26" s="34">
        <v>0.12288834904707939</v>
      </c>
      <c r="E26">
        <v>6</v>
      </c>
      <c r="F26" s="75">
        <v>1.9300000000000001E-3</v>
      </c>
      <c r="G26" s="90">
        <v>-0.20031176181800692</v>
      </c>
      <c r="H26" s="34">
        <v>-0.19505562609630403</v>
      </c>
      <c r="I26" s="34">
        <v>0.51497005988023947</v>
      </c>
      <c r="J26" s="64">
        <v>0.53333333333333333</v>
      </c>
      <c r="K26" s="4">
        <v>0.37647058823529411</v>
      </c>
      <c r="L26" s="65">
        <v>0.44137931034482758</v>
      </c>
      <c r="M26" s="4">
        <v>0.50467289719626163</v>
      </c>
      <c r="N26" s="4">
        <v>0.65853658536585369</v>
      </c>
      <c r="O26" s="4">
        <v>0.5714285714285714</v>
      </c>
      <c r="P26">
        <v>15.65911057513118</v>
      </c>
      <c r="Q26">
        <v>2.9842425449938621</v>
      </c>
      <c r="R26">
        <v>1.010727129610544E-2</v>
      </c>
      <c r="S26">
        <v>0.98836565239680851</v>
      </c>
      <c r="T26">
        <v>0.98792936436168888</v>
      </c>
      <c r="U26">
        <f>+MAX(T26,T31)</f>
        <v>0.98792936436168888</v>
      </c>
    </row>
    <row r="27" spans="1:21" x14ac:dyDescent="0.3">
      <c r="A27">
        <v>0</v>
      </c>
      <c r="B27">
        <v>0</v>
      </c>
      <c r="C27" s="34">
        <v>-6.9542957738202973E-2</v>
      </c>
      <c r="D27" s="34">
        <v>-8.2385768802211393E-2</v>
      </c>
      <c r="E27">
        <v>6</v>
      </c>
      <c r="F27" s="63">
        <v>1.9300000000000001E-3</v>
      </c>
      <c r="G27" s="90">
        <v>-0.39988295773820276</v>
      </c>
      <c r="H27" s="34">
        <v>-0.344583153905067</v>
      </c>
      <c r="I27" s="34">
        <v>0.51497005988023947</v>
      </c>
      <c r="J27" s="64">
        <v>0.5357142857142857</v>
      </c>
      <c r="K27" s="4">
        <v>0.35294117647058826</v>
      </c>
      <c r="L27" s="65">
        <v>0.42553191489361702</v>
      </c>
      <c r="M27" s="4">
        <v>0.50450450450450446</v>
      </c>
      <c r="N27" s="4">
        <v>0.68292682926829273</v>
      </c>
      <c r="O27" s="4">
        <v>0.58031088082901561</v>
      </c>
      <c r="P27">
        <v>33.774858452145338</v>
      </c>
      <c r="Q27">
        <v>4.3135370544633069</v>
      </c>
      <c r="R27">
        <v>1.461103467364715E-2</v>
      </c>
      <c r="S27">
        <v>0.97490608156858516</v>
      </c>
      <c r="T27">
        <v>0.97396505962740709</v>
      </c>
      <c r="U27">
        <f>+MAX(T27,T32)</f>
        <v>0.97396505962740709</v>
      </c>
    </row>
    <row r="28" spans="1:21" x14ac:dyDescent="0.3">
      <c r="A28">
        <v>0</v>
      </c>
      <c r="B28">
        <v>0</v>
      </c>
      <c r="C28" s="34">
        <v>-1.5679412486515502E-2</v>
      </c>
      <c r="D28" s="34">
        <v>-3.0490531019114423E-2</v>
      </c>
      <c r="E28">
        <v>6</v>
      </c>
      <c r="F28" s="63">
        <v>1.9300000000000001E-3</v>
      </c>
      <c r="G28" s="90">
        <v>-0.34601941248651541</v>
      </c>
      <c r="H28" s="34">
        <v>-0.30634559269327144</v>
      </c>
      <c r="I28" s="34">
        <v>0.50299401197604787</v>
      </c>
      <c r="J28" s="64">
        <v>0.52500000000000002</v>
      </c>
      <c r="K28" s="4">
        <v>0.24705882352941178</v>
      </c>
      <c r="L28" s="65">
        <v>0.33600000000000002</v>
      </c>
      <c r="M28" s="4">
        <v>0.49606299212598426</v>
      </c>
      <c r="N28" s="4">
        <v>0.76829268292682928</v>
      </c>
      <c r="O28" s="4">
        <v>0.60287081339712922</v>
      </c>
      <c r="P28">
        <v>346.57652830532328</v>
      </c>
      <c r="Q28">
        <v>16.087668442709681</v>
      </c>
      <c r="R28">
        <v>5.2290553157287208E-2</v>
      </c>
      <c r="S28">
        <v>0.74250186292092901</v>
      </c>
      <c r="T28">
        <v>0.7328456827804638</v>
      </c>
      <c r="U28">
        <f>+MAX(T28,T33)</f>
        <v>0.97623717166858148</v>
      </c>
    </row>
    <row r="29" spans="1:21" x14ac:dyDescent="0.3">
      <c r="A29">
        <v>0</v>
      </c>
      <c r="B29">
        <v>0</v>
      </c>
      <c r="C29" s="34">
        <v>3.3047757586373919E-2</v>
      </c>
      <c r="D29" s="34">
        <v>1.7152772487541077E-2</v>
      </c>
      <c r="E29">
        <v>6</v>
      </c>
      <c r="F29" s="63">
        <v>1.9300000000000001E-3</v>
      </c>
      <c r="G29" s="90">
        <v>-0.29729224241362667</v>
      </c>
      <c r="H29" s="34">
        <v>-0.27284444649598127</v>
      </c>
      <c r="I29" s="34">
        <v>0.56287425149700598</v>
      </c>
      <c r="J29" s="64">
        <v>0.58823529411764708</v>
      </c>
      <c r="K29" s="4">
        <v>0.47058823529411764</v>
      </c>
      <c r="L29" s="65">
        <v>0.52287581699346408</v>
      </c>
      <c r="M29" s="4">
        <v>0.54545454545454541</v>
      </c>
      <c r="N29" s="4">
        <v>0.65853658536585369</v>
      </c>
      <c r="O29" s="4">
        <v>0.5966850828729281</v>
      </c>
      <c r="P29">
        <v>54.650783832335257</v>
      </c>
      <c r="Q29">
        <v>5.6603592814371204</v>
      </c>
      <c r="R29">
        <v>1.875071089167088E-2</v>
      </c>
      <c r="S29">
        <v>0.95939576434806939</v>
      </c>
      <c r="T29">
        <v>0.95787310551112204</v>
      </c>
      <c r="U29">
        <f>+MAX(T29,T34)</f>
        <v>0.95787310551112204</v>
      </c>
    </row>
    <row r="30" spans="1:21" x14ac:dyDescent="0.3">
      <c r="A30">
        <v>0</v>
      </c>
      <c r="B30">
        <v>0</v>
      </c>
      <c r="C30" s="34">
        <v>9.6631028858626088E-3</v>
      </c>
      <c r="D30" s="34">
        <v>-6.1480270915989241E-3</v>
      </c>
      <c r="E30">
        <v>6</v>
      </c>
      <c r="F30" s="63">
        <v>1.9300000000000001E-3</v>
      </c>
      <c r="G30" s="90">
        <v>-0.32067689711413799</v>
      </c>
      <c r="H30" s="34">
        <v>-0.28935344440919886</v>
      </c>
      <c r="I30" s="34">
        <v>0.55089820359281438</v>
      </c>
      <c r="J30" s="64">
        <v>0.5714285714285714</v>
      </c>
      <c r="K30" s="4">
        <v>0.47058823529411764</v>
      </c>
      <c r="L30" s="65">
        <v>0.51612903225806461</v>
      </c>
      <c r="M30" s="4">
        <v>0.53608247422680411</v>
      </c>
      <c r="N30" s="4">
        <v>0.63414634146341464</v>
      </c>
      <c r="O30" s="4">
        <v>0.58100558659217871</v>
      </c>
      <c r="P30">
        <v>23.909502910699409</v>
      </c>
      <c r="Q30">
        <v>3.562782005988038</v>
      </c>
      <c r="R30">
        <v>1.191043704197154E-2</v>
      </c>
      <c r="S30">
        <v>0.98223580665402732</v>
      </c>
      <c r="T30">
        <v>0.98156964940355329</v>
      </c>
      <c r="U30">
        <f>+MAX(T30,T35)</f>
        <v>0.98156964940355329</v>
      </c>
    </row>
    <row r="31" spans="1:21" x14ac:dyDescent="0.3">
      <c r="A31">
        <v>0</v>
      </c>
      <c r="B31">
        <v>0</v>
      </c>
      <c r="C31" s="34">
        <v>0.13002823818199322</v>
      </c>
      <c r="D31" s="34">
        <v>0.12288834904707939</v>
      </c>
      <c r="E31">
        <v>6</v>
      </c>
      <c r="F31" s="63">
        <v>1.9300000000000001E-3</v>
      </c>
      <c r="G31" s="90">
        <v>-0.20031176181800692</v>
      </c>
      <c r="H31" s="34">
        <v>-0.19505562609630403</v>
      </c>
      <c r="I31" s="34">
        <v>0.51497005988023947</v>
      </c>
      <c r="J31" s="64">
        <v>0.53333333333333333</v>
      </c>
      <c r="K31" s="4">
        <v>0.37647058823529411</v>
      </c>
      <c r="L31" s="65">
        <v>0.44137931034482758</v>
      </c>
      <c r="M31" s="4">
        <v>0.50467289719626163</v>
      </c>
      <c r="N31" s="4">
        <v>0.65853658536585369</v>
      </c>
      <c r="O31" s="4">
        <v>0.5714285714285714</v>
      </c>
      <c r="P31">
        <v>15.65911057513121</v>
      </c>
      <c r="Q31">
        <v>41.712719452045206</v>
      </c>
      <c r="R31">
        <v>0.14514288894969729</v>
      </c>
      <c r="S31">
        <v>0.98836565239680851</v>
      </c>
      <c r="T31">
        <v>0.98792936436168888</v>
      </c>
    </row>
    <row r="32" spans="1:21" x14ac:dyDescent="0.3">
      <c r="A32">
        <v>0</v>
      </c>
      <c r="B32">
        <v>0</v>
      </c>
      <c r="C32" s="34">
        <v>5.0269460199177413E-2</v>
      </c>
      <c r="D32" s="34">
        <v>3.7524382136150232E-2</v>
      </c>
      <c r="E32">
        <v>6</v>
      </c>
      <c r="F32" s="63">
        <v>1.9300000000000001E-3</v>
      </c>
      <c r="G32" s="90">
        <v>-0.28007053980082275</v>
      </c>
      <c r="H32" s="34">
        <v>-0.25568323155739564</v>
      </c>
      <c r="I32" s="34">
        <v>0.47904191616766467</v>
      </c>
      <c r="J32" s="64">
        <v>0.48936170212765956</v>
      </c>
      <c r="K32" s="4">
        <v>0.54117647058823526</v>
      </c>
      <c r="L32" s="65">
        <v>0.51396648044692739</v>
      </c>
      <c r="M32" s="4">
        <v>0.46575342465753422</v>
      </c>
      <c r="N32" s="4">
        <v>0.41463414634146339</v>
      </c>
      <c r="O32" s="4">
        <v>0.43870967741935479</v>
      </c>
      <c r="P32">
        <v>217.14291868489519</v>
      </c>
      <c r="Q32">
        <v>11.29709827573862</v>
      </c>
      <c r="R32">
        <v>3.7462592613198668E-2</v>
      </c>
      <c r="S32">
        <v>0.83866796371156949</v>
      </c>
      <c r="T32">
        <v>0.83261801235075339</v>
      </c>
    </row>
    <row r="33" spans="1:21" x14ac:dyDescent="0.3">
      <c r="A33">
        <v>0</v>
      </c>
      <c r="B33">
        <v>0</v>
      </c>
      <c r="C33" s="34">
        <v>0.16683052926878111</v>
      </c>
      <c r="D33" s="34">
        <v>0.16362530243525325</v>
      </c>
      <c r="E33">
        <v>6</v>
      </c>
      <c r="F33" s="63">
        <v>1.9300000000000001E-3</v>
      </c>
      <c r="G33" s="90">
        <v>-0.16350947073121905</v>
      </c>
      <c r="H33" s="34">
        <v>-0.16701488249683927</v>
      </c>
      <c r="I33" s="34">
        <v>0.56886227544910184</v>
      </c>
      <c r="J33" s="64">
        <v>0.62745098039215685</v>
      </c>
      <c r="K33" s="4">
        <v>0.37647058823529411</v>
      </c>
      <c r="L33" s="65">
        <v>0.47058823529411764</v>
      </c>
      <c r="M33" s="4">
        <v>0.5431034482758621</v>
      </c>
      <c r="N33" s="4">
        <v>0.76829268292682928</v>
      </c>
      <c r="O33" s="4">
        <v>0.63636363636363646</v>
      </c>
      <c r="P33">
        <v>30.827271037700338</v>
      </c>
      <c r="Q33">
        <v>4.0647291897184452</v>
      </c>
      <c r="R33">
        <v>1.363645284561415E-2</v>
      </c>
      <c r="S33">
        <v>0.97709606907815083</v>
      </c>
      <c r="T33">
        <v>0.97623717166858148</v>
      </c>
    </row>
    <row r="34" spans="1:21" x14ac:dyDescent="0.3">
      <c r="A34">
        <v>0</v>
      </c>
      <c r="B34">
        <v>0</v>
      </c>
      <c r="C34" s="34">
        <v>0.10976070912268959</v>
      </c>
      <c r="D34" s="34">
        <v>9.8634614114832653E-2</v>
      </c>
      <c r="E34">
        <v>6</v>
      </c>
      <c r="F34" s="63">
        <v>1.9300000000000001E-3</v>
      </c>
      <c r="G34" s="90">
        <v>-0.22057929087731099</v>
      </c>
      <c r="H34" s="34">
        <v>-0.21404163073607443</v>
      </c>
      <c r="I34" s="34">
        <v>0.58083832335329344</v>
      </c>
      <c r="J34" s="64">
        <v>0.60563380281690138</v>
      </c>
      <c r="K34" s="4">
        <v>0.50588235294117645</v>
      </c>
      <c r="L34" s="65">
        <v>0.55128205128205121</v>
      </c>
      <c r="M34" s="4">
        <v>0.5625</v>
      </c>
      <c r="N34" s="4">
        <v>0.65853658536585369</v>
      </c>
      <c r="O34" s="4">
        <v>0.60674157303370779</v>
      </c>
      <c r="P34">
        <v>57.211278293413017</v>
      </c>
      <c r="Q34">
        <v>5.9973952095808301</v>
      </c>
      <c r="R34">
        <v>1.9940996245805809E-2</v>
      </c>
      <c r="S34">
        <v>0.95749337771804366</v>
      </c>
      <c r="T34">
        <v>0.95589937938247027</v>
      </c>
    </row>
    <row r="35" spans="1:21" x14ac:dyDescent="0.3">
      <c r="A35">
        <v>0</v>
      </c>
      <c r="B35">
        <v>0</v>
      </c>
      <c r="C35" s="34">
        <v>0.1622973930729438</v>
      </c>
      <c r="D35" s="34">
        <v>0.15835100636744029</v>
      </c>
      <c r="E35">
        <v>6</v>
      </c>
      <c r="F35" s="63">
        <v>1.9300000000000001E-3</v>
      </c>
      <c r="G35" s="90">
        <v>-0.16804260692705678</v>
      </c>
      <c r="H35" s="34">
        <v>-0.17080285079327964</v>
      </c>
      <c r="I35" s="34">
        <v>0.58083832335329344</v>
      </c>
      <c r="J35" s="64">
        <v>0.60273972602739723</v>
      </c>
      <c r="K35" s="4">
        <v>0.51764705882352946</v>
      </c>
      <c r="L35" s="65">
        <v>0.55696202531645567</v>
      </c>
      <c r="M35" s="4">
        <v>0.56382978723404253</v>
      </c>
      <c r="N35" s="4">
        <v>0.64634146341463417</v>
      </c>
      <c r="O35" s="4">
        <v>0.60227272727272718</v>
      </c>
      <c r="P35">
        <v>49.92834788023945</v>
      </c>
      <c r="Q35">
        <v>5.4682874251496969</v>
      </c>
      <c r="R35">
        <v>1.819808983280417E-2</v>
      </c>
      <c r="S35">
        <v>0.96290442220809802</v>
      </c>
      <c r="T35">
        <v>0.96151333804090167</v>
      </c>
    </row>
    <row r="36" spans="1:21" x14ac:dyDescent="0.3">
      <c r="A36" t="s">
        <v>362</v>
      </c>
      <c r="C36" s="101">
        <f>+AVERAGE(C38:C47)</f>
        <v>7.6973699513092048E-2</v>
      </c>
      <c r="D36" s="101">
        <f>+AVERAGE(D38:D47)</f>
        <v>6.9562331145567036E-2</v>
      </c>
      <c r="G36" s="101">
        <f>+AVERAGE(G38:G47)</f>
        <v>-0.25336630048690828</v>
      </c>
      <c r="H36" s="101">
        <f>+AVERAGE(H38:H47)</f>
        <v>-0.23438669275644353</v>
      </c>
      <c r="I36" s="101">
        <f>+AVERAGE(I38:I47)</f>
        <v>0.54071856287425146</v>
      </c>
      <c r="O36" s="101">
        <f>+AVERAGE(O38:O47)</f>
        <v>0.57824795860618838</v>
      </c>
      <c r="P36" t="s">
        <v>298</v>
      </c>
      <c r="Q36" t="s">
        <v>299</v>
      </c>
      <c r="R36" t="s">
        <v>300</v>
      </c>
      <c r="S36" t="s">
        <v>301</v>
      </c>
      <c r="T36" s="101">
        <f>+AVERAGE(U37:U41)</f>
        <v>0.97677968955685945</v>
      </c>
      <c r="U36" s="101">
        <f>+AVERAGE(T38:T47)</f>
        <v>0.92912093046137156</v>
      </c>
    </row>
    <row r="37" spans="1:21" x14ac:dyDescent="0.3">
      <c r="A37">
        <v>0</v>
      </c>
      <c r="B37">
        <v>0</v>
      </c>
      <c r="C37" s="34">
        <v>0.13002823818199322</v>
      </c>
      <c r="D37" s="34">
        <v>0.12288834904707939</v>
      </c>
      <c r="E37">
        <v>6</v>
      </c>
      <c r="F37" s="75">
        <v>1.9300000000000001E-3</v>
      </c>
      <c r="G37" s="90">
        <v>-0.20031176181800692</v>
      </c>
      <c r="H37" s="34">
        <v>-0.19505562609630403</v>
      </c>
      <c r="I37" s="34">
        <v>0.51497005988023947</v>
      </c>
      <c r="J37" s="64">
        <v>0.53333333333333333</v>
      </c>
      <c r="K37" s="4">
        <v>0.37647058823529411</v>
      </c>
      <c r="L37" s="65">
        <v>0.44137931034482758</v>
      </c>
      <c r="M37" s="4">
        <v>0.50467289719626163</v>
      </c>
      <c r="N37" s="4">
        <v>0.65853658536585369</v>
      </c>
      <c r="O37" s="4">
        <v>0.5714285714285714</v>
      </c>
      <c r="P37">
        <v>15.65911057513118</v>
      </c>
      <c r="Q37">
        <v>2.9842425449938621</v>
      </c>
      <c r="R37">
        <v>1.010727129610544E-2</v>
      </c>
      <c r="S37">
        <v>0.98836565239680851</v>
      </c>
      <c r="T37">
        <v>0.98792936436168888</v>
      </c>
      <c r="U37">
        <f>+MAX(T37,T42)</f>
        <v>0.98792936436168888</v>
      </c>
    </row>
    <row r="38" spans="1:21" x14ac:dyDescent="0.3">
      <c r="A38">
        <v>0</v>
      </c>
      <c r="B38">
        <v>0</v>
      </c>
      <c r="C38" s="34">
        <v>-6.9542957738202973E-2</v>
      </c>
      <c r="D38" s="34">
        <v>-8.2385768802211393E-2</v>
      </c>
      <c r="E38">
        <v>6</v>
      </c>
      <c r="F38" s="63">
        <v>1.9300000000000001E-3</v>
      </c>
      <c r="G38" s="90">
        <v>-0.39988295773820276</v>
      </c>
      <c r="H38" s="34">
        <v>-0.344583153905067</v>
      </c>
      <c r="I38" s="34">
        <v>0.51497005988023947</v>
      </c>
      <c r="J38" s="64">
        <v>0.5357142857142857</v>
      </c>
      <c r="K38" s="4">
        <v>0.35294117647058826</v>
      </c>
      <c r="L38" s="65">
        <v>0.42553191489361702</v>
      </c>
      <c r="M38" s="4">
        <v>0.50450450450450446</v>
      </c>
      <c r="N38" s="4">
        <v>0.68292682926829273</v>
      </c>
      <c r="O38" s="4">
        <v>0.58031088082901561</v>
      </c>
      <c r="P38">
        <v>33.774858452145338</v>
      </c>
      <c r="Q38">
        <v>4.3135370544633069</v>
      </c>
      <c r="R38">
        <v>1.461103467364715E-2</v>
      </c>
      <c r="S38">
        <v>0.97490608156858516</v>
      </c>
      <c r="T38">
        <v>0.97396505962740709</v>
      </c>
      <c r="U38">
        <f>+MAX(T38,T43)</f>
        <v>0.97396505962740709</v>
      </c>
    </row>
    <row r="39" spans="1:21" x14ac:dyDescent="0.3">
      <c r="A39">
        <v>0</v>
      </c>
      <c r="B39">
        <v>0</v>
      </c>
      <c r="C39" s="34">
        <v>-1.5679412486515502E-2</v>
      </c>
      <c r="D39" s="34">
        <v>-3.0490531019114423E-2</v>
      </c>
      <c r="E39">
        <v>6</v>
      </c>
      <c r="F39" s="63">
        <v>1.9300000000000001E-3</v>
      </c>
      <c r="G39" s="90">
        <v>-0.34601941248651541</v>
      </c>
      <c r="H39" s="34">
        <v>-0.30634559269327144</v>
      </c>
      <c r="I39" s="34">
        <v>0.50299401197604787</v>
      </c>
      <c r="J39" s="64">
        <v>0.52500000000000002</v>
      </c>
      <c r="K39" s="4">
        <v>0.24705882352941178</v>
      </c>
      <c r="L39" s="65">
        <v>0.33600000000000002</v>
      </c>
      <c r="M39" s="4">
        <v>0.49606299212598426</v>
      </c>
      <c r="N39" s="4">
        <v>0.76829268292682928</v>
      </c>
      <c r="O39" s="4">
        <v>0.60287081339712922</v>
      </c>
      <c r="P39">
        <v>346.57652830532328</v>
      </c>
      <c r="Q39">
        <v>16.087668442709681</v>
      </c>
      <c r="R39">
        <v>5.2290553157287208E-2</v>
      </c>
      <c r="S39">
        <v>0.74250186292092901</v>
      </c>
      <c r="T39">
        <v>0.7328456827804638</v>
      </c>
      <c r="U39">
        <f>+MAX(T39,T44)</f>
        <v>0.97623717166858148</v>
      </c>
    </row>
    <row r="40" spans="1:21" x14ac:dyDescent="0.3">
      <c r="A40">
        <v>0</v>
      </c>
      <c r="B40">
        <v>0</v>
      </c>
      <c r="C40" s="34">
        <v>0.24398426934359813</v>
      </c>
      <c r="D40" s="34">
        <v>0.2577390157918677</v>
      </c>
      <c r="E40">
        <v>6</v>
      </c>
      <c r="F40" s="63">
        <v>1.9300000000000001E-3</v>
      </c>
      <c r="G40" s="90">
        <v>-8.6355730656402452E-2</v>
      </c>
      <c r="H40" s="34">
        <v>-9.8718771576545988E-2</v>
      </c>
      <c r="I40" s="34">
        <v>0.60479041916167664</v>
      </c>
      <c r="J40" s="64">
        <v>0.62666666666666671</v>
      </c>
      <c r="K40" s="4">
        <v>0.55294117647058827</v>
      </c>
      <c r="L40" s="65">
        <v>0.58750000000000002</v>
      </c>
      <c r="M40" s="4">
        <v>0.58695652173913049</v>
      </c>
      <c r="N40" s="4">
        <v>0.65853658536585369</v>
      </c>
      <c r="O40" s="4">
        <v>0.62068965517241381</v>
      </c>
      <c r="P40">
        <v>46.44659802993997</v>
      </c>
      <c r="Q40">
        <v>5.1926287425149624</v>
      </c>
      <c r="R40">
        <v>1.7277228825487229E-2</v>
      </c>
      <c r="S40">
        <v>0.96549127973307625</v>
      </c>
      <c r="T40">
        <v>0.96419720272306664</v>
      </c>
      <c r="U40">
        <f>+MAX(T40,T45)</f>
        <v>0.96419720272306664</v>
      </c>
    </row>
    <row r="41" spans="1:21" x14ac:dyDescent="0.3">
      <c r="A41">
        <v>0</v>
      </c>
      <c r="B41">
        <v>0</v>
      </c>
      <c r="C41" s="34">
        <v>9.6631028858626088E-3</v>
      </c>
      <c r="D41" s="34">
        <v>-6.1480270915989241E-3</v>
      </c>
      <c r="E41">
        <v>6</v>
      </c>
      <c r="F41" s="63">
        <v>1.9300000000000001E-3</v>
      </c>
      <c r="G41" s="90">
        <v>-0.32067689711413799</v>
      </c>
      <c r="H41" s="34">
        <v>-0.28935344440919886</v>
      </c>
      <c r="I41" s="34">
        <v>0.55089820359281438</v>
      </c>
      <c r="J41" s="64">
        <v>0.5714285714285714</v>
      </c>
      <c r="K41" s="4">
        <v>0.47058823529411764</v>
      </c>
      <c r="L41" s="65">
        <v>0.51612903225806461</v>
      </c>
      <c r="M41" s="4">
        <v>0.53608247422680411</v>
      </c>
      <c r="N41" s="4">
        <v>0.63414634146341464</v>
      </c>
      <c r="O41" s="4">
        <v>0.58100558659217871</v>
      </c>
      <c r="P41">
        <v>23.909502910699409</v>
      </c>
      <c r="Q41">
        <v>3.562782005988038</v>
      </c>
      <c r="R41">
        <v>1.191043704197154E-2</v>
      </c>
      <c r="S41">
        <v>0.98223580665402732</v>
      </c>
      <c r="T41">
        <v>0.98156964940355329</v>
      </c>
      <c r="U41">
        <f>+MAX(T41,T46)</f>
        <v>0.98156964940355329</v>
      </c>
    </row>
    <row r="42" spans="1:21" x14ac:dyDescent="0.3">
      <c r="A42">
        <v>0</v>
      </c>
      <c r="B42">
        <v>0</v>
      </c>
      <c r="C42" s="34">
        <v>0.13002823818199322</v>
      </c>
      <c r="D42" s="34">
        <v>0.12288834904707939</v>
      </c>
      <c r="E42">
        <v>6</v>
      </c>
      <c r="F42" s="63">
        <v>1.9300000000000001E-3</v>
      </c>
      <c r="G42" s="90">
        <v>-0.20031176181800692</v>
      </c>
      <c r="H42" s="34">
        <v>-0.19505562609630403</v>
      </c>
      <c r="I42" s="34">
        <v>0.51497005988023947</v>
      </c>
      <c r="J42" s="64">
        <v>0.53333333333333333</v>
      </c>
      <c r="K42" s="4">
        <v>0.37647058823529411</v>
      </c>
      <c r="L42" s="65">
        <v>0.44137931034482758</v>
      </c>
      <c r="M42" s="4">
        <v>0.50467289719626163</v>
      </c>
      <c r="N42" s="4">
        <v>0.65853658536585369</v>
      </c>
      <c r="O42" s="4">
        <v>0.5714285714285714</v>
      </c>
      <c r="P42">
        <v>15.65911057513121</v>
      </c>
      <c r="Q42">
        <v>41.712719452045206</v>
      </c>
      <c r="R42">
        <v>0.14514288894969729</v>
      </c>
      <c r="S42">
        <v>0.98836565239680851</v>
      </c>
      <c r="T42">
        <v>0.98792936436168888</v>
      </c>
    </row>
    <row r="43" spans="1:21" x14ac:dyDescent="0.3">
      <c r="A43">
        <v>0</v>
      </c>
      <c r="B43">
        <v>0</v>
      </c>
      <c r="C43" s="34">
        <v>5.0269460199177413E-2</v>
      </c>
      <c r="D43" s="34">
        <v>3.7524382136150232E-2</v>
      </c>
      <c r="E43">
        <v>6</v>
      </c>
      <c r="F43" s="63">
        <v>1.9300000000000001E-3</v>
      </c>
      <c r="G43" s="90">
        <v>-0.28007053980082275</v>
      </c>
      <c r="H43" s="34">
        <v>-0.25568323155739564</v>
      </c>
      <c r="I43" s="34">
        <v>0.47904191616766467</v>
      </c>
      <c r="J43" s="64">
        <v>0.48936170212765956</v>
      </c>
      <c r="K43" s="4">
        <v>0.54117647058823526</v>
      </c>
      <c r="L43" s="65">
        <v>0.51396648044692739</v>
      </c>
      <c r="M43" s="4">
        <v>0.46575342465753422</v>
      </c>
      <c r="N43" s="4">
        <v>0.41463414634146339</v>
      </c>
      <c r="O43" s="4">
        <v>0.43870967741935479</v>
      </c>
      <c r="P43">
        <v>217.14291868489519</v>
      </c>
      <c r="Q43">
        <v>11.29709827573862</v>
      </c>
      <c r="R43">
        <v>3.7462592613198668E-2</v>
      </c>
      <c r="S43">
        <v>0.83866796371156949</v>
      </c>
      <c r="T43">
        <v>0.83261801235075339</v>
      </c>
    </row>
    <row r="44" spans="1:21" x14ac:dyDescent="0.3">
      <c r="A44">
        <v>0</v>
      </c>
      <c r="B44">
        <v>0</v>
      </c>
      <c r="C44" s="34">
        <v>0.16683052926878111</v>
      </c>
      <c r="D44" s="34">
        <v>0.16362530243525325</v>
      </c>
      <c r="E44">
        <v>6</v>
      </c>
      <c r="F44" s="63">
        <v>1.9300000000000001E-3</v>
      </c>
      <c r="G44" s="90">
        <v>-0.16350947073121905</v>
      </c>
      <c r="H44" s="34">
        <v>-0.16701488249683927</v>
      </c>
      <c r="I44" s="34">
        <v>0.56886227544910184</v>
      </c>
      <c r="J44" s="64">
        <v>0.62745098039215685</v>
      </c>
      <c r="K44" s="4">
        <v>0.37647058823529411</v>
      </c>
      <c r="L44" s="65">
        <v>0.47058823529411764</v>
      </c>
      <c r="M44" s="4">
        <v>0.5431034482758621</v>
      </c>
      <c r="N44" s="4">
        <v>0.76829268292682928</v>
      </c>
      <c r="O44" s="4">
        <v>0.63636363636363646</v>
      </c>
      <c r="P44">
        <v>30.827271037700338</v>
      </c>
      <c r="Q44">
        <v>4.0647291897184452</v>
      </c>
      <c r="R44">
        <v>1.363645284561415E-2</v>
      </c>
      <c r="S44">
        <v>0.97709606907815083</v>
      </c>
      <c r="T44">
        <v>0.97623717166858148</v>
      </c>
    </row>
    <row r="45" spans="1:21" x14ac:dyDescent="0.3">
      <c r="A45">
        <v>0</v>
      </c>
      <c r="B45">
        <v>0</v>
      </c>
      <c r="C45" s="34">
        <v>0.17732293965889911</v>
      </c>
      <c r="D45" s="34">
        <v>0.17582367200958396</v>
      </c>
      <c r="E45">
        <v>6</v>
      </c>
      <c r="F45" s="63">
        <v>1.9300000000000001E-3</v>
      </c>
      <c r="G45" s="90">
        <v>-0.15301706034110146</v>
      </c>
      <c r="H45" s="34">
        <v>-0.15831258710924842</v>
      </c>
      <c r="I45" s="34">
        <v>0.58083832335329344</v>
      </c>
      <c r="J45" s="64">
        <v>0.60273972602739723</v>
      </c>
      <c r="K45" s="4">
        <v>0.51764705882352946</v>
      </c>
      <c r="L45" s="65">
        <v>0.55696202531645567</v>
      </c>
      <c r="M45" s="4">
        <v>0.56382978723404253</v>
      </c>
      <c r="N45" s="4">
        <v>0.64634146341463417</v>
      </c>
      <c r="O45" s="4">
        <v>0.60227272727272718</v>
      </c>
      <c r="P45">
        <v>53.334372580838213</v>
      </c>
      <c r="Q45">
        <v>5.6749041916167604</v>
      </c>
      <c r="R45">
        <v>1.8904814719111249E-2</v>
      </c>
      <c r="S45">
        <v>0.96037382667256643</v>
      </c>
      <c r="T45">
        <v>0.95888784517278769</v>
      </c>
    </row>
    <row r="46" spans="1:21" x14ac:dyDescent="0.3">
      <c r="A46">
        <v>0</v>
      </c>
      <c r="B46">
        <v>0</v>
      </c>
      <c r="C46" s="34">
        <v>-2.6264883309640719E-2</v>
      </c>
      <c r="D46" s="34">
        <v>-4.2317706190616734E-2</v>
      </c>
      <c r="E46">
        <v>6</v>
      </c>
      <c r="F46" s="63">
        <v>1.9300000000000001E-3</v>
      </c>
      <c r="G46" s="90">
        <v>-0.35660488330964152</v>
      </c>
      <c r="H46" s="34">
        <v>-0.3163556031205802</v>
      </c>
      <c r="I46" s="34">
        <v>0.54491017964071853</v>
      </c>
      <c r="J46" s="64">
        <v>0.56338028169014087</v>
      </c>
      <c r="K46" s="4">
        <v>0.47058823529411764</v>
      </c>
      <c r="L46" s="65">
        <v>0.51282051282051277</v>
      </c>
      <c r="M46" s="4">
        <v>0.53125</v>
      </c>
      <c r="N46" s="4">
        <v>0.62195121951219512</v>
      </c>
      <c r="O46" s="4">
        <v>0.5730337078651685</v>
      </c>
      <c r="P46">
        <v>54.819646856287328</v>
      </c>
      <c r="Q46">
        <v>5.7094311377245459</v>
      </c>
      <c r="R46">
        <v>1.90300191754725E-2</v>
      </c>
      <c r="S46">
        <v>0.95927030312799833</v>
      </c>
      <c r="T46">
        <v>0.95774293949529821</v>
      </c>
    </row>
    <row r="47" spans="1:21" x14ac:dyDescent="0.3">
      <c r="A47" t="s">
        <v>364</v>
      </c>
      <c r="C47" s="101">
        <f>+AVERAGE(C49:C58)</f>
        <v>0.10312570912696802</v>
      </c>
      <c r="D47" s="101">
        <f>+AVERAGE(D49:D58)</f>
        <v>9.9364623139277269E-2</v>
      </c>
      <c r="G47" s="101">
        <f>+AVERAGE(G49:G58)</f>
        <v>-0.2272142908730323</v>
      </c>
      <c r="H47" s="101">
        <f>+AVERAGE(H49:H58)</f>
        <v>-0.21244403459998445</v>
      </c>
      <c r="I47" s="101">
        <f>+AVERAGE(I49:I58)</f>
        <v>0.54491017964071853</v>
      </c>
      <c r="O47" s="101">
        <f>+AVERAGE(O49:O58)</f>
        <v>0.57579432972168709</v>
      </c>
      <c r="T47" s="101">
        <f>+AVERAGE(U48:U52)</f>
        <v>0.92521637703011539</v>
      </c>
      <c r="U47" s="101">
        <f>+AVERAGE(T49:T58)</f>
        <v>0.49797998586706382</v>
      </c>
    </row>
    <row r="48" spans="1:21" x14ac:dyDescent="0.3">
      <c r="A48" s="61" t="s">
        <v>212</v>
      </c>
      <c r="B48" s="61" t="s">
        <v>198</v>
      </c>
      <c r="C48" s="61" t="s">
        <v>9</v>
      </c>
      <c r="D48" s="61" t="s">
        <v>10</v>
      </c>
      <c r="E48" s="70" t="s">
        <v>212</v>
      </c>
      <c r="F48" s="61" t="s">
        <v>198</v>
      </c>
      <c r="G48" s="61" t="s">
        <v>9</v>
      </c>
      <c r="H48" s="71" t="s">
        <v>10</v>
      </c>
      <c r="I48" s="66" t="s">
        <v>231</v>
      </c>
      <c r="J48" s="66" t="s">
        <v>232</v>
      </c>
      <c r="K48" s="66" t="s">
        <v>233</v>
      </c>
      <c r="L48" s="66" t="s">
        <v>234</v>
      </c>
      <c r="M48" s="66" t="s">
        <v>232</v>
      </c>
      <c r="N48" s="66" t="s">
        <v>233</v>
      </c>
      <c r="O48" s="67" t="s">
        <v>234</v>
      </c>
      <c r="P48" t="s">
        <v>298</v>
      </c>
      <c r="Q48" t="s">
        <v>299</v>
      </c>
      <c r="R48" t="s">
        <v>300</v>
      </c>
      <c r="S48" t="s">
        <v>301</v>
      </c>
      <c r="T48" t="s">
        <v>302</v>
      </c>
    </row>
    <row r="49" spans="1:21" x14ac:dyDescent="0.3">
      <c r="A49">
        <v>0</v>
      </c>
      <c r="B49">
        <v>0</v>
      </c>
      <c r="C49" s="34">
        <v>0.25420188664729138</v>
      </c>
      <c r="D49" s="34">
        <v>0.27163126852280622</v>
      </c>
      <c r="E49">
        <v>6</v>
      </c>
      <c r="F49" s="75">
        <v>1.9300000000000001E-3</v>
      </c>
      <c r="G49" s="90">
        <v>-7.6138113352708744E-2</v>
      </c>
      <c r="H49" s="34">
        <v>-8.7889090028921341E-2</v>
      </c>
      <c r="I49" s="34">
        <v>0.52694610778443118</v>
      </c>
      <c r="J49" s="64">
        <v>0.53658536585365857</v>
      </c>
      <c r="K49" s="4">
        <v>0.51764705882352946</v>
      </c>
      <c r="L49" s="65">
        <v>0.52694610778443129</v>
      </c>
      <c r="M49" s="4">
        <v>0.51764705882352946</v>
      </c>
      <c r="N49" s="4">
        <v>0.53658536585365857</v>
      </c>
      <c r="O49" s="4">
        <v>0.52694610778443129</v>
      </c>
      <c r="P49">
        <v>15.42571837414499</v>
      </c>
      <c r="Q49">
        <v>2.9631118074715399</v>
      </c>
      <c r="R49">
        <v>1.0046700748313009E-2</v>
      </c>
      <c r="S49">
        <v>0.98853905726428926</v>
      </c>
      <c r="T49">
        <v>0.98803448745831457</v>
      </c>
      <c r="U49">
        <f>+MAX(T49,T54)</f>
        <v>0.98803448745831457</v>
      </c>
    </row>
    <row r="50" spans="1:21" x14ac:dyDescent="0.3">
      <c r="A50">
        <v>0</v>
      </c>
      <c r="B50">
        <v>0</v>
      </c>
      <c r="C50" s="34">
        <v>8.1040354323447542E-2</v>
      </c>
      <c r="D50" s="34">
        <v>6.8853062630683859E-2</v>
      </c>
      <c r="E50">
        <v>6</v>
      </c>
      <c r="F50" s="63">
        <v>1.9300000000000001E-3</v>
      </c>
      <c r="G50" s="90">
        <v>-0.24929964567655261</v>
      </c>
      <c r="H50" s="34">
        <v>-0.23422033284445293</v>
      </c>
      <c r="I50" s="34">
        <v>0.51497005988023947</v>
      </c>
      <c r="J50" s="64">
        <v>0.54545454545454541</v>
      </c>
      <c r="K50" s="4">
        <v>0.28235294117647058</v>
      </c>
      <c r="L50" s="65">
        <v>0.37209302325581395</v>
      </c>
      <c r="M50" s="4">
        <v>0.50406504065040647</v>
      </c>
      <c r="N50" s="4">
        <v>0.75609756097560976</v>
      </c>
      <c r="O50" s="4">
        <v>0.60487804878048768</v>
      </c>
      <c r="P50">
        <v>2466.2235982940492</v>
      </c>
      <c r="Q50">
        <v>42.053999167950039</v>
      </c>
      <c r="R50">
        <v>0.13419112797817959</v>
      </c>
      <c r="S50">
        <v>-0.83234561580495336</v>
      </c>
      <c r="T50">
        <v>-0.91301491964542292</v>
      </c>
      <c r="U50">
        <f>+MAX(T50,T55)</f>
        <v>0.78896350415920324</v>
      </c>
    </row>
    <row r="51" spans="1:21" x14ac:dyDescent="0.3">
      <c r="A51">
        <v>0</v>
      </c>
      <c r="B51">
        <v>0</v>
      </c>
      <c r="C51" s="34">
        <v>5.72701149250225E-2</v>
      </c>
      <c r="D51" s="34">
        <v>4.3494060043455102E-2</v>
      </c>
      <c r="E51">
        <v>6</v>
      </c>
      <c r="F51" s="63">
        <v>1.9300000000000001E-3</v>
      </c>
      <c r="G51" s="90">
        <v>-0.27306988507497765</v>
      </c>
      <c r="H51" s="34">
        <v>-0.25265607520650679</v>
      </c>
      <c r="I51" s="34">
        <v>0.53293413173652693</v>
      </c>
      <c r="J51" s="64">
        <v>0.64</v>
      </c>
      <c r="K51" s="4">
        <v>0.18823529411764706</v>
      </c>
      <c r="L51" s="65">
        <v>0.29090909090909089</v>
      </c>
      <c r="M51" s="4">
        <v>0.5140845070422535</v>
      </c>
      <c r="N51" s="4">
        <v>0.8902439024390244</v>
      </c>
      <c r="O51" s="4">
        <v>0.6517857142857143</v>
      </c>
      <c r="P51">
        <v>3481.465541893614</v>
      </c>
      <c r="Q51">
        <v>49.441246785624948</v>
      </c>
      <c r="R51">
        <v>0.1558440102851982</v>
      </c>
      <c r="S51">
        <v>-1.586646290578628</v>
      </c>
      <c r="T51">
        <v>-1.700523800226744</v>
      </c>
      <c r="U51">
        <f>+MAX(T51,T56)</f>
        <v>0.96208991512195097</v>
      </c>
    </row>
    <row r="52" spans="1:21" x14ac:dyDescent="0.3">
      <c r="A52">
        <v>0</v>
      </c>
      <c r="B52">
        <v>0</v>
      </c>
      <c r="C52" s="34">
        <v>6.2021634631480409E-2</v>
      </c>
      <c r="D52" s="34">
        <v>4.7915427680598657E-2</v>
      </c>
      <c r="E52">
        <v>6</v>
      </c>
      <c r="F52" s="63">
        <v>1.9300000000000001E-3</v>
      </c>
      <c r="G52" s="90">
        <v>-0.26831836536852005</v>
      </c>
      <c r="H52" s="34">
        <v>-0.24998239373147532</v>
      </c>
      <c r="I52" s="34">
        <v>0.57485029940119758</v>
      </c>
      <c r="J52" s="64">
        <v>0.59210526315789469</v>
      </c>
      <c r="K52" s="4">
        <v>0.52941176470588236</v>
      </c>
      <c r="L52" s="65">
        <v>0.55900621118012417</v>
      </c>
      <c r="M52" s="4">
        <v>0.56043956043956045</v>
      </c>
      <c r="N52" s="4">
        <v>0.62195121951219512</v>
      </c>
      <c r="O52" s="4">
        <v>0.58959537572254339</v>
      </c>
      <c r="P52">
        <v>55.573081562874187</v>
      </c>
      <c r="Q52">
        <v>5.7195748502993977</v>
      </c>
      <c r="R52">
        <v>1.9149065392602041E-2</v>
      </c>
      <c r="S52">
        <v>0.95871051901825066</v>
      </c>
      <c r="T52">
        <v>0.95689274312597239</v>
      </c>
      <c r="U52">
        <f>+MAX(T52,T57)</f>
        <v>0.96177760138099289</v>
      </c>
    </row>
    <row r="53" spans="1:21" x14ac:dyDescent="0.3">
      <c r="A53">
        <v>0</v>
      </c>
      <c r="B53">
        <v>0</v>
      </c>
      <c r="C53" s="34">
        <v>4.4118075736546455E-2</v>
      </c>
      <c r="D53" s="34">
        <v>2.8959229777557775E-2</v>
      </c>
      <c r="E53">
        <v>6</v>
      </c>
      <c r="F53" s="63">
        <v>1.9300000000000001E-3</v>
      </c>
      <c r="G53" s="90">
        <v>-0.28622192426345411</v>
      </c>
      <c r="H53" s="34">
        <v>-0.26384375366293256</v>
      </c>
      <c r="I53" s="34">
        <v>0.59281437125748504</v>
      </c>
      <c r="J53" s="64">
        <v>0.58947368421052626</v>
      </c>
      <c r="K53" s="4">
        <v>0.6588235294117647</v>
      </c>
      <c r="L53" s="65">
        <v>0.62222222222222212</v>
      </c>
      <c r="M53" s="4">
        <v>0.59722222222222221</v>
      </c>
      <c r="N53" s="4">
        <v>0.52439024390243905</v>
      </c>
      <c r="O53" s="4">
        <v>0.55844155844155841</v>
      </c>
      <c r="P53">
        <v>21.886633227404559</v>
      </c>
      <c r="Q53">
        <v>3.4537502395209638</v>
      </c>
      <c r="R53">
        <v>1.1617806218790371E-2</v>
      </c>
      <c r="S53">
        <v>0.98373875083074114</v>
      </c>
      <c r="T53">
        <v>0.98302284677926433</v>
      </c>
      <c r="U53">
        <f>+MAX(T53,T58)</f>
        <v>0.98302284677926433</v>
      </c>
    </row>
    <row r="54" spans="1:21" x14ac:dyDescent="0.3">
      <c r="A54">
        <v>0</v>
      </c>
      <c r="B54">
        <v>0</v>
      </c>
      <c r="C54" s="34">
        <v>0.25420188664729138</v>
      </c>
      <c r="D54" s="34">
        <v>0.27163126852280622</v>
      </c>
      <c r="E54">
        <v>6</v>
      </c>
      <c r="F54" s="63">
        <v>1.9300000000000001E-3</v>
      </c>
      <c r="G54" s="90">
        <v>-7.6138113352708744E-2</v>
      </c>
      <c r="H54" s="34">
        <v>-8.7889090028921341E-2</v>
      </c>
      <c r="I54" s="34">
        <v>0.52694610778443118</v>
      </c>
      <c r="J54" s="64">
        <v>0.53658536585365857</v>
      </c>
      <c r="K54" s="4">
        <v>0.51764705882352946</v>
      </c>
      <c r="L54" s="65">
        <v>0.52694610778443129</v>
      </c>
      <c r="M54" s="4">
        <v>0.51764705882352946</v>
      </c>
      <c r="N54" s="4">
        <v>0.53658536585365857</v>
      </c>
      <c r="O54" s="4">
        <v>0.52694610778443129</v>
      </c>
      <c r="P54">
        <v>15.425718374145021</v>
      </c>
      <c r="Q54">
        <v>41.769958264939191</v>
      </c>
      <c r="R54">
        <v>0.14540552502105569</v>
      </c>
      <c r="S54">
        <v>0.98853905726428926</v>
      </c>
      <c r="T54">
        <v>0.98803448745831457</v>
      </c>
    </row>
    <row r="55" spans="1:21" x14ac:dyDescent="0.3">
      <c r="A55">
        <v>0</v>
      </c>
      <c r="B55">
        <v>0</v>
      </c>
      <c r="C55" s="34">
        <v>3.8846839168108854E-2</v>
      </c>
      <c r="D55" s="34">
        <v>2.576645159090811E-2</v>
      </c>
      <c r="E55">
        <v>6</v>
      </c>
      <c r="F55" s="63">
        <v>1.9300000000000001E-3</v>
      </c>
      <c r="G55" s="90">
        <v>-0.29149316083189158</v>
      </c>
      <c r="H55" s="34">
        <v>-0.26408810923081821</v>
      </c>
      <c r="I55" s="34">
        <v>0.49700598802395207</v>
      </c>
      <c r="J55" s="64">
        <v>0.50526315789473686</v>
      </c>
      <c r="K55" s="4">
        <v>0.56470588235294117</v>
      </c>
      <c r="L55" s="65">
        <v>0.53333333333333333</v>
      </c>
      <c r="M55" s="4">
        <v>0.4861111111111111</v>
      </c>
      <c r="N55" s="4">
        <v>0.42682926829268292</v>
      </c>
      <c r="O55" s="4">
        <v>0.45454545454545453</v>
      </c>
      <c r="P55">
        <v>272.06436332463352</v>
      </c>
      <c r="Q55">
        <v>11.99455479434415</v>
      </c>
      <c r="R55">
        <v>3.9407850056640659E-2</v>
      </c>
      <c r="S55">
        <v>0.79786263350188746</v>
      </c>
      <c r="T55">
        <v>0.78896350415920324</v>
      </c>
    </row>
    <row r="56" spans="1:21" x14ac:dyDescent="0.3">
      <c r="A56">
        <v>0</v>
      </c>
      <c r="B56">
        <v>0</v>
      </c>
      <c r="C56" s="34">
        <v>-0.10639295302630562</v>
      </c>
      <c r="D56" s="34">
        <v>-0.11521473761012137</v>
      </c>
      <c r="E56">
        <v>6</v>
      </c>
      <c r="F56" s="63">
        <v>1.9300000000000001E-3</v>
      </c>
      <c r="G56" s="90">
        <v>-0.43673295302630538</v>
      </c>
      <c r="H56" s="34">
        <v>-0.36775902137968114</v>
      </c>
      <c r="I56" s="34">
        <v>0.49101796407185627</v>
      </c>
      <c r="J56" s="64">
        <v>0.5</v>
      </c>
      <c r="K56" s="4">
        <v>0.10588235294117647</v>
      </c>
      <c r="L56" s="65">
        <v>0.17475728155339806</v>
      </c>
      <c r="M56" s="4">
        <v>0.48993288590604028</v>
      </c>
      <c r="N56" s="4">
        <v>0.8902439024390244</v>
      </c>
      <c r="O56" s="4">
        <v>0.63203463203463206</v>
      </c>
      <c r="P56">
        <v>48.872983153160199</v>
      </c>
      <c r="Q56">
        <v>5.5947362125572866</v>
      </c>
      <c r="R56">
        <v>1.835471502505082E-2</v>
      </c>
      <c r="S56">
        <v>0.96368853315897718</v>
      </c>
      <c r="T56">
        <v>0.96208991512195097</v>
      </c>
    </row>
    <row r="57" spans="1:21" x14ac:dyDescent="0.3">
      <c r="A57">
        <v>0</v>
      </c>
      <c r="B57">
        <v>0</v>
      </c>
      <c r="C57" s="34">
        <v>0.25458871477562339</v>
      </c>
      <c r="D57" s="34">
        <v>0.27159860367661282</v>
      </c>
      <c r="E57">
        <v>6</v>
      </c>
      <c r="F57" s="63">
        <v>1.9300000000000001E-3</v>
      </c>
      <c r="G57" s="90">
        <v>-7.5751285224377213E-2</v>
      </c>
      <c r="H57" s="34">
        <v>-8.8347000983478932E-2</v>
      </c>
      <c r="I57" s="34">
        <v>0.60479041916167664</v>
      </c>
      <c r="J57" s="64">
        <v>0.62337662337662336</v>
      </c>
      <c r="K57" s="4">
        <v>0.56470588235294117</v>
      </c>
      <c r="L57" s="65">
        <v>0.59259259259259256</v>
      </c>
      <c r="M57" s="4">
        <v>0.58888888888888891</v>
      </c>
      <c r="N57" s="4">
        <v>0.64634146341463417</v>
      </c>
      <c r="O57" s="4">
        <v>0.61627906976744184</v>
      </c>
      <c r="P57">
        <v>49.275612275449028</v>
      </c>
      <c r="Q57">
        <v>5.3953293413173613</v>
      </c>
      <c r="R57">
        <v>1.8099199548478159E-2</v>
      </c>
      <c r="S57">
        <v>0.96338938927456552</v>
      </c>
      <c r="T57">
        <v>0.96177760138099289</v>
      </c>
    </row>
    <row r="58" spans="1:21" x14ac:dyDescent="0.3">
      <c r="A58">
        <v>0</v>
      </c>
      <c r="B58">
        <v>0</v>
      </c>
      <c r="C58" s="34">
        <v>9.136053744117395E-2</v>
      </c>
      <c r="D58" s="34">
        <v>7.901159655746523E-2</v>
      </c>
      <c r="E58">
        <v>6</v>
      </c>
      <c r="F58" s="63">
        <v>1.9300000000000001E-3</v>
      </c>
      <c r="G58" s="90">
        <v>-0.23897946255882679</v>
      </c>
      <c r="H58" s="34">
        <v>-0.22776547890265589</v>
      </c>
      <c r="I58" s="34">
        <v>0.58682634730538918</v>
      </c>
      <c r="J58" s="64">
        <v>0.60256410256410253</v>
      </c>
      <c r="K58" s="4">
        <v>0.55294117647058827</v>
      </c>
      <c r="L58" s="65">
        <v>0.57668711656441718</v>
      </c>
      <c r="M58" s="4">
        <v>0.5730337078651685</v>
      </c>
      <c r="N58" s="4">
        <v>0.62195121951219512</v>
      </c>
      <c r="O58" s="4">
        <v>0.59649122807017541</v>
      </c>
      <c r="P58">
        <v>45.736303892215503</v>
      </c>
      <c r="Q58">
        <v>5.2632335329341284</v>
      </c>
      <c r="R58">
        <v>1.769142797193007E-2</v>
      </c>
      <c r="S58">
        <v>0.9660190114237841</v>
      </c>
      <c r="T58">
        <v>0.96452299305879352</v>
      </c>
    </row>
    <row r="59" spans="1:21" x14ac:dyDescent="0.3">
      <c r="A59" t="s">
        <v>365</v>
      </c>
      <c r="C59" s="101">
        <f>+AVERAGE(C61:C70)</f>
        <v>0.10746282365856126</v>
      </c>
      <c r="D59" s="101">
        <f>+AVERAGE(D61:D70)</f>
        <v>0.10312609687211818</v>
      </c>
      <c r="G59" s="101">
        <f>+AVERAGE(G61:G70)</f>
        <v>-0.222877176341439</v>
      </c>
      <c r="H59" s="101">
        <f>+AVERAGE(H61:H70)</f>
        <v>-0.20978344113109704</v>
      </c>
      <c r="I59" s="101">
        <f>+AVERAGE(I61:I70)</f>
        <v>0.54491017964071853</v>
      </c>
      <c r="O59" s="101">
        <f>+AVERAGE(O61:O70)</f>
        <v>0.57578760838817444</v>
      </c>
      <c r="T59" s="101">
        <f>+AVERAGE(U60:U64)</f>
        <v>0.92595495912265091</v>
      </c>
      <c r="U59" s="101">
        <f>+AVERAGE(T61:T70)</f>
        <v>0.49848183953624325</v>
      </c>
    </row>
    <row r="60" spans="1:21" x14ac:dyDescent="0.3">
      <c r="A60" s="61" t="s">
        <v>212</v>
      </c>
      <c r="B60" s="61" t="s">
        <v>198</v>
      </c>
      <c r="C60" s="61" t="s">
        <v>9</v>
      </c>
      <c r="D60" s="61" t="s">
        <v>10</v>
      </c>
      <c r="E60" s="70" t="s">
        <v>212</v>
      </c>
      <c r="F60" s="61" t="s">
        <v>198</v>
      </c>
      <c r="G60" s="61" t="s">
        <v>9</v>
      </c>
      <c r="H60" s="71" t="s">
        <v>10</v>
      </c>
      <c r="I60" s="66" t="s">
        <v>231</v>
      </c>
      <c r="J60" s="66" t="s">
        <v>232</v>
      </c>
      <c r="K60" s="66" t="s">
        <v>233</v>
      </c>
      <c r="L60" s="66" t="s">
        <v>234</v>
      </c>
      <c r="M60" s="66" t="s">
        <v>232</v>
      </c>
      <c r="N60" s="66" t="s">
        <v>233</v>
      </c>
      <c r="O60" s="67" t="s">
        <v>234</v>
      </c>
      <c r="P60" t="s">
        <v>298</v>
      </c>
      <c r="Q60" t="s">
        <v>299</v>
      </c>
      <c r="R60" t="s">
        <v>300</v>
      </c>
      <c r="S60" t="s">
        <v>301</v>
      </c>
      <c r="T60" t="s">
        <v>302</v>
      </c>
    </row>
    <row r="61" spans="1:21" x14ac:dyDescent="0.3">
      <c r="A61">
        <v>0</v>
      </c>
      <c r="B61">
        <v>0</v>
      </c>
      <c r="C61" s="34">
        <v>0.25420188664729138</v>
      </c>
      <c r="D61" s="34">
        <v>0.27163126852280622</v>
      </c>
      <c r="E61">
        <v>6</v>
      </c>
      <c r="F61" s="75">
        <v>1.9300000000000001E-3</v>
      </c>
      <c r="G61" s="90">
        <v>-7.6138113352708744E-2</v>
      </c>
      <c r="H61" s="34">
        <v>-8.7889090028921341E-2</v>
      </c>
      <c r="I61" s="34">
        <v>0.52694610778443118</v>
      </c>
      <c r="J61" s="64">
        <v>0.53658536585365857</v>
      </c>
      <c r="K61" s="4">
        <v>0.51764705882352946</v>
      </c>
      <c r="L61" s="65">
        <v>0.52694610778443129</v>
      </c>
      <c r="M61" s="4">
        <v>0.51764705882352946</v>
      </c>
      <c r="N61" s="4">
        <v>0.53658536585365857</v>
      </c>
      <c r="O61" s="4">
        <v>0.52694610778443129</v>
      </c>
      <c r="P61">
        <v>15.42571837414499</v>
      </c>
      <c r="Q61">
        <v>2.9631118074715399</v>
      </c>
      <c r="R61">
        <v>1.0046700748313009E-2</v>
      </c>
      <c r="S61">
        <v>0.98853905726428926</v>
      </c>
      <c r="T61">
        <v>0.98803448745831457</v>
      </c>
      <c r="U61">
        <f>+MAX(T61,T66)</f>
        <v>0.98803448745831457</v>
      </c>
    </row>
    <row r="62" spans="1:21" x14ac:dyDescent="0.3">
      <c r="A62">
        <v>0</v>
      </c>
      <c r="B62">
        <v>0</v>
      </c>
      <c r="C62" s="34">
        <v>8.1040354323447542E-2</v>
      </c>
      <c r="D62" s="34">
        <v>6.8853062630683859E-2</v>
      </c>
      <c r="E62">
        <v>6</v>
      </c>
      <c r="F62" s="63">
        <v>1.9300000000000001E-3</v>
      </c>
      <c r="G62" s="90">
        <v>-0.24929964567655261</v>
      </c>
      <c r="H62" s="34">
        <v>-0.23422033284445293</v>
      </c>
      <c r="I62" s="34">
        <v>0.51497005988023947</v>
      </c>
      <c r="J62" s="64">
        <v>0.54545454545454541</v>
      </c>
      <c r="K62" s="4">
        <v>0.28235294117647058</v>
      </c>
      <c r="L62" s="65">
        <v>0.37209302325581395</v>
      </c>
      <c r="M62" s="4">
        <v>0.50406504065040647</v>
      </c>
      <c r="N62" s="4">
        <v>0.75609756097560976</v>
      </c>
      <c r="O62" s="4">
        <v>0.60487804878048768</v>
      </c>
      <c r="P62">
        <v>2466.2235982940492</v>
      </c>
      <c r="Q62">
        <v>42.053999167950039</v>
      </c>
      <c r="R62">
        <v>0.13419112797817959</v>
      </c>
      <c r="S62">
        <v>-0.83234561580495336</v>
      </c>
      <c r="T62">
        <v>-0.91301491964542292</v>
      </c>
      <c r="U62">
        <f>+MAX(T62,T67)</f>
        <v>0.78896350415920324</v>
      </c>
    </row>
    <row r="63" spans="1:21" x14ac:dyDescent="0.3">
      <c r="A63">
        <v>0</v>
      </c>
      <c r="B63">
        <v>0</v>
      </c>
      <c r="C63" s="34">
        <v>5.72701149250225E-2</v>
      </c>
      <c r="D63" s="34">
        <v>4.3494060043455102E-2</v>
      </c>
      <c r="E63">
        <v>6</v>
      </c>
      <c r="F63" s="63">
        <v>1.9300000000000001E-3</v>
      </c>
      <c r="G63" s="90">
        <v>-0.27306988507497765</v>
      </c>
      <c r="H63" s="34">
        <v>-0.25265607520650679</v>
      </c>
      <c r="I63" s="34">
        <v>0.53293413173652693</v>
      </c>
      <c r="J63" s="64">
        <v>0.64</v>
      </c>
      <c r="K63" s="4">
        <v>0.18823529411764706</v>
      </c>
      <c r="L63" s="65">
        <v>0.29090909090909089</v>
      </c>
      <c r="M63" s="4">
        <v>0.5140845070422535</v>
      </c>
      <c r="N63" s="4">
        <v>0.8902439024390244</v>
      </c>
      <c r="O63" s="4">
        <v>0.6517857142857143</v>
      </c>
      <c r="P63">
        <v>3481.465541893614</v>
      </c>
      <c r="Q63">
        <v>49.441246785624948</v>
      </c>
      <c r="R63">
        <v>0.1558440102851982</v>
      </c>
      <c r="S63">
        <v>-1.586646290578628</v>
      </c>
      <c r="T63">
        <v>-1.700523800226744</v>
      </c>
      <c r="U63">
        <f>+MAX(T63,T68)</f>
        <v>0.96208991512195097</v>
      </c>
    </row>
    <row r="64" spans="1:21" x14ac:dyDescent="0.3">
      <c r="A64">
        <v>0</v>
      </c>
      <c r="B64">
        <v>0</v>
      </c>
      <c r="C64" s="34">
        <v>0.15051693068586769</v>
      </c>
      <c r="D64" s="34">
        <v>0.14526033368118704</v>
      </c>
      <c r="E64">
        <v>6</v>
      </c>
      <c r="F64" s="63">
        <v>1.9300000000000001E-3</v>
      </c>
      <c r="G64" s="90">
        <v>-0.17982306931413289</v>
      </c>
      <c r="H64" s="34">
        <v>-0.17978958047530569</v>
      </c>
      <c r="I64" s="34">
        <v>0.58682634730538918</v>
      </c>
      <c r="J64" s="64">
        <v>0.60256410256410253</v>
      </c>
      <c r="K64" s="4">
        <v>0.55294117647058827</v>
      </c>
      <c r="L64" s="65">
        <v>0.57668711656441718</v>
      </c>
      <c r="M64" s="4">
        <v>0.5730337078651685</v>
      </c>
      <c r="N64" s="4">
        <v>0.62195121951219512</v>
      </c>
      <c r="O64" s="4">
        <v>0.59649122807017541</v>
      </c>
      <c r="P64">
        <v>45.466946556886107</v>
      </c>
      <c r="Q64">
        <v>5.247634730538917</v>
      </c>
      <c r="R64">
        <v>1.7694056423234371E-2</v>
      </c>
      <c r="S64">
        <v>0.96621913753271327</v>
      </c>
      <c r="T64">
        <v>0.96473192975113464</v>
      </c>
      <c r="U64">
        <f>+MAX(T64,T69)</f>
        <v>0.96473192975113464</v>
      </c>
    </row>
    <row r="65" spans="1:21" x14ac:dyDescent="0.3">
      <c r="A65">
        <v>0</v>
      </c>
      <c r="B65">
        <v>0</v>
      </c>
      <c r="C65" s="34">
        <v>4.4118075736546455E-2</v>
      </c>
      <c r="D65" s="34">
        <v>2.8959229777557775E-2</v>
      </c>
      <c r="E65">
        <v>6</v>
      </c>
      <c r="F65" s="63">
        <v>1.9300000000000001E-3</v>
      </c>
      <c r="G65" s="90">
        <v>-0.28622192426345411</v>
      </c>
      <c r="H65" s="34">
        <v>-0.26384375366293256</v>
      </c>
      <c r="I65" s="34">
        <v>0.59281437125748504</v>
      </c>
      <c r="J65" s="64">
        <v>0.58947368421052626</v>
      </c>
      <c r="K65" s="4">
        <v>0.6588235294117647</v>
      </c>
      <c r="L65" s="65">
        <v>0.62222222222222212</v>
      </c>
      <c r="M65" s="4">
        <v>0.59722222222222221</v>
      </c>
      <c r="N65" s="4">
        <v>0.52439024390243905</v>
      </c>
      <c r="O65" s="4">
        <v>0.55844155844155841</v>
      </c>
      <c r="P65">
        <v>21.886633227404559</v>
      </c>
      <c r="Q65">
        <v>3.4537502395209638</v>
      </c>
      <c r="R65">
        <v>1.1617806218790371E-2</v>
      </c>
      <c r="S65">
        <v>0.98373875083074114</v>
      </c>
      <c r="T65">
        <v>0.98302284677926433</v>
      </c>
      <c r="U65">
        <f>+MAX(T65,T70)</f>
        <v>0.98302284677926433</v>
      </c>
    </row>
    <row r="66" spans="1:21" x14ac:dyDescent="0.3">
      <c r="A66">
        <v>0</v>
      </c>
      <c r="B66">
        <v>0</v>
      </c>
      <c r="C66" s="34">
        <v>0.25420188664729138</v>
      </c>
      <c r="D66" s="34">
        <v>0.27163126852280622</v>
      </c>
      <c r="E66">
        <v>6</v>
      </c>
      <c r="F66" s="63">
        <v>1.9300000000000001E-3</v>
      </c>
      <c r="G66" s="90">
        <v>-7.6138113352708744E-2</v>
      </c>
      <c r="H66" s="34">
        <v>-8.7889090028921341E-2</v>
      </c>
      <c r="I66" s="34">
        <v>0.52694610778443118</v>
      </c>
      <c r="J66" s="64">
        <v>0.53658536585365857</v>
      </c>
      <c r="K66" s="4">
        <v>0.51764705882352946</v>
      </c>
      <c r="L66" s="65">
        <v>0.52694610778443129</v>
      </c>
      <c r="M66" s="4">
        <v>0.51764705882352946</v>
      </c>
      <c r="N66" s="4">
        <v>0.53658536585365857</v>
      </c>
      <c r="O66" s="4">
        <v>0.52694610778443129</v>
      </c>
      <c r="P66">
        <v>15.425718374145021</v>
      </c>
      <c r="Q66">
        <v>41.769958264939191</v>
      </c>
      <c r="R66">
        <v>0.14540552502105569</v>
      </c>
      <c r="S66">
        <v>0.98853905726428926</v>
      </c>
      <c r="T66">
        <v>0.98803448745831457</v>
      </c>
    </row>
    <row r="67" spans="1:21" x14ac:dyDescent="0.3">
      <c r="A67">
        <v>0</v>
      </c>
      <c r="B67">
        <v>0</v>
      </c>
      <c r="C67" s="34">
        <v>3.8846839168108854E-2</v>
      </c>
      <c r="D67" s="34">
        <v>2.576645159090811E-2</v>
      </c>
      <c r="E67">
        <v>6</v>
      </c>
      <c r="F67" s="63">
        <v>1.9300000000000001E-3</v>
      </c>
      <c r="G67" s="90">
        <v>-0.29149316083189158</v>
      </c>
      <c r="H67" s="34">
        <v>-0.26408810923081821</v>
      </c>
      <c r="I67" s="34">
        <v>0.49700598802395207</v>
      </c>
      <c r="J67" s="64">
        <v>0.50526315789473686</v>
      </c>
      <c r="K67" s="4">
        <v>0.56470588235294117</v>
      </c>
      <c r="L67" s="65">
        <v>0.53333333333333333</v>
      </c>
      <c r="M67" s="4">
        <v>0.4861111111111111</v>
      </c>
      <c r="N67" s="4">
        <v>0.42682926829268292</v>
      </c>
      <c r="O67" s="4">
        <v>0.45454545454545453</v>
      </c>
      <c r="P67">
        <v>272.06436332463352</v>
      </c>
      <c r="Q67">
        <v>11.99455479434415</v>
      </c>
      <c r="R67">
        <v>3.9407850056640659E-2</v>
      </c>
      <c r="S67">
        <v>0.79786263350188746</v>
      </c>
      <c r="T67">
        <v>0.78896350415920324</v>
      </c>
    </row>
    <row r="68" spans="1:21" x14ac:dyDescent="0.3">
      <c r="A68">
        <v>0</v>
      </c>
      <c r="B68">
        <v>0</v>
      </c>
      <c r="C68" s="34">
        <v>-0.10639295302630562</v>
      </c>
      <c r="D68" s="34">
        <v>-0.11521473761012137</v>
      </c>
      <c r="E68">
        <v>6</v>
      </c>
      <c r="F68" s="63">
        <v>1.9300000000000001E-3</v>
      </c>
      <c r="G68" s="90">
        <v>-0.43673295302630538</v>
      </c>
      <c r="H68" s="34">
        <v>-0.36775902137968114</v>
      </c>
      <c r="I68" s="34">
        <v>0.49101796407185627</v>
      </c>
      <c r="J68" s="64">
        <v>0.5</v>
      </c>
      <c r="K68" s="4">
        <v>0.10588235294117647</v>
      </c>
      <c r="L68" s="65">
        <v>0.17475728155339806</v>
      </c>
      <c r="M68" s="4">
        <v>0.48993288590604028</v>
      </c>
      <c r="N68" s="4">
        <v>0.8902439024390244</v>
      </c>
      <c r="O68" s="4">
        <v>0.63203463203463206</v>
      </c>
      <c r="P68">
        <v>48.872983153160199</v>
      </c>
      <c r="Q68">
        <v>5.5947362125572866</v>
      </c>
      <c r="R68">
        <v>1.835471502505082E-2</v>
      </c>
      <c r="S68">
        <v>0.96368853315897718</v>
      </c>
      <c r="T68">
        <v>0.96208991512195097</v>
      </c>
    </row>
    <row r="69" spans="1:21" x14ac:dyDescent="0.3">
      <c r="A69">
        <v>0</v>
      </c>
      <c r="B69">
        <v>0</v>
      </c>
      <c r="C69" s="34">
        <v>0.18054758109340022</v>
      </c>
      <c r="D69" s="34">
        <v>0.18035745831972497</v>
      </c>
      <c r="E69">
        <v>6</v>
      </c>
      <c r="F69" s="63">
        <v>1.9300000000000001E-3</v>
      </c>
      <c r="G69" s="90">
        <v>-0.14979241890660036</v>
      </c>
      <c r="H69" s="34">
        <v>-0.15439449640312072</v>
      </c>
      <c r="I69" s="34">
        <v>0.59281437125748504</v>
      </c>
      <c r="J69" s="64">
        <v>0.61038961038961037</v>
      </c>
      <c r="K69" s="4">
        <v>0.55294117647058827</v>
      </c>
      <c r="L69" s="65">
        <v>0.58024691358024705</v>
      </c>
      <c r="M69" s="4">
        <v>0.57777777777777772</v>
      </c>
      <c r="N69" s="4">
        <v>0.63414634146341464</v>
      </c>
      <c r="O69" s="4">
        <v>0.60465116279069764</v>
      </c>
      <c r="P69">
        <v>47.432449251496926</v>
      </c>
      <c r="Q69">
        <v>5.3517065868263449</v>
      </c>
      <c r="R69">
        <v>1.7971012273836798E-2</v>
      </c>
      <c r="S69">
        <v>0.96475881566740695</v>
      </c>
      <c r="T69">
        <v>0.96320731698609785</v>
      </c>
    </row>
    <row r="70" spans="1:21" x14ac:dyDescent="0.3">
      <c r="A70">
        <v>0</v>
      </c>
      <c r="B70">
        <v>0</v>
      </c>
      <c r="C70" s="34">
        <v>0.12027752038494233</v>
      </c>
      <c r="D70" s="34">
        <v>0.11052257324217382</v>
      </c>
      <c r="E70">
        <v>6</v>
      </c>
      <c r="F70" s="63">
        <v>1.9300000000000001E-3</v>
      </c>
      <c r="G70" s="90">
        <v>-0.21006247961505825</v>
      </c>
      <c r="H70" s="34">
        <v>-0.2053048620503099</v>
      </c>
      <c r="I70" s="34">
        <v>0.58682634730538918</v>
      </c>
      <c r="J70" s="64">
        <v>0.60526315789473684</v>
      </c>
      <c r="K70" s="4">
        <v>0.54117647058823526</v>
      </c>
      <c r="L70" s="65">
        <v>0.5714285714285714</v>
      </c>
      <c r="M70" s="4">
        <v>0.5714285714285714</v>
      </c>
      <c r="N70" s="4">
        <v>0.63414634146341464</v>
      </c>
      <c r="O70" s="4">
        <v>0.60115606936416188</v>
      </c>
      <c r="P70">
        <v>51.215796856287341</v>
      </c>
      <c r="Q70">
        <v>5.5393113772455056</v>
      </c>
      <c r="R70">
        <v>1.863017764436219E-2</v>
      </c>
      <c r="S70">
        <v>0.96194787816705252</v>
      </c>
      <c r="T70">
        <v>0.96027262752031894</v>
      </c>
    </row>
    <row r="71" spans="1:21" x14ac:dyDescent="0.3">
      <c r="A71" t="s">
        <v>366</v>
      </c>
      <c r="C71" s="101">
        <f>+AVERAGE(C73:C82)</f>
        <v>7.4583294099322753E-2</v>
      </c>
      <c r="D71" s="101">
        <f>+AVERAGE(D73:D82)</f>
        <v>6.7462473290687427E-2</v>
      </c>
      <c r="G71" s="101">
        <f>+AVERAGE(G73:G82)</f>
        <v>-0.25575670590067756</v>
      </c>
      <c r="H71" s="101">
        <f>+AVERAGE(H73:H82)</f>
        <v>-0.23559913187339143</v>
      </c>
      <c r="I71" s="101">
        <f>+AVERAGE(I73:I82)</f>
        <v>0.54011976047904198</v>
      </c>
      <c r="O71" s="101">
        <f>+AVERAGE(O73:O82)</f>
        <v>0.57113634755697285</v>
      </c>
      <c r="T71" s="101">
        <f>+AVERAGE(U72:U76)</f>
        <v>0.92609045833580705</v>
      </c>
      <c r="U71" s="101">
        <f>+AVERAGE(T73:T82)</f>
        <v>0.49855543995081009</v>
      </c>
    </row>
    <row r="72" spans="1:21" x14ac:dyDescent="0.3">
      <c r="A72" s="61" t="s">
        <v>212</v>
      </c>
      <c r="B72" s="61" t="s">
        <v>198</v>
      </c>
      <c r="C72" s="61" t="s">
        <v>9</v>
      </c>
      <c r="D72" s="61" t="s">
        <v>10</v>
      </c>
      <c r="E72" s="70" t="s">
        <v>212</v>
      </c>
      <c r="F72" s="61" t="s">
        <v>198</v>
      </c>
      <c r="G72" s="61" t="s">
        <v>9</v>
      </c>
      <c r="H72" s="71" t="s">
        <v>10</v>
      </c>
      <c r="I72" s="66" t="s">
        <v>231</v>
      </c>
      <c r="J72" s="66" t="s">
        <v>232</v>
      </c>
      <c r="K72" s="66" t="s">
        <v>233</v>
      </c>
      <c r="L72" s="66" t="s">
        <v>234</v>
      </c>
      <c r="M72" s="66" t="s">
        <v>232</v>
      </c>
      <c r="N72" s="66" t="s">
        <v>233</v>
      </c>
      <c r="O72" s="67" t="s">
        <v>234</v>
      </c>
      <c r="P72" t="s">
        <v>298</v>
      </c>
      <c r="Q72" t="s">
        <v>299</v>
      </c>
      <c r="R72" t="s">
        <v>300</v>
      </c>
      <c r="S72" t="s">
        <v>301</v>
      </c>
      <c r="T72" t="s">
        <v>302</v>
      </c>
    </row>
    <row r="73" spans="1:21" x14ac:dyDescent="0.3">
      <c r="A73">
        <v>0</v>
      </c>
      <c r="B73">
        <v>0</v>
      </c>
      <c r="C73" s="34">
        <v>0.25420188664729138</v>
      </c>
      <c r="D73" s="34">
        <v>0.27163126852280622</v>
      </c>
      <c r="E73">
        <v>6</v>
      </c>
      <c r="F73" s="75">
        <v>1.9300000000000001E-3</v>
      </c>
      <c r="G73" s="90">
        <v>-7.6138113352708744E-2</v>
      </c>
      <c r="H73" s="34">
        <v>-8.7889090028921341E-2</v>
      </c>
      <c r="I73" s="34">
        <v>0.52694610778443118</v>
      </c>
      <c r="J73" s="64">
        <v>0.53658536585365857</v>
      </c>
      <c r="K73" s="4">
        <v>0.51764705882352946</v>
      </c>
      <c r="L73" s="65">
        <v>0.52694610778443129</v>
      </c>
      <c r="M73" s="4">
        <v>0.51764705882352946</v>
      </c>
      <c r="N73" s="4">
        <v>0.53658536585365857</v>
      </c>
      <c r="O73" s="4">
        <v>0.52694610778443129</v>
      </c>
      <c r="P73">
        <v>15.42571837414499</v>
      </c>
      <c r="Q73">
        <v>2.9631118074715399</v>
      </c>
      <c r="R73">
        <v>1.0046700748313009E-2</v>
      </c>
      <c r="S73">
        <v>0.98853905726428926</v>
      </c>
      <c r="T73">
        <v>0.98803448745831457</v>
      </c>
      <c r="U73">
        <f>+MAX(T73,T78)</f>
        <v>0.98803448745831457</v>
      </c>
    </row>
    <row r="74" spans="1:21" x14ac:dyDescent="0.3">
      <c r="A74">
        <v>0</v>
      </c>
      <c r="B74">
        <v>0</v>
      </c>
      <c r="C74" s="34">
        <v>8.1040354323447542E-2</v>
      </c>
      <c r="D74" s="34">
        <v>6.8853062630683859E-2</v>
      </c>
      <c r="E74">
        <v>6</v>
      </c>
      <c r="F74" s="63">
        <v>1.9300000000000001E-3</v>
      </c>
      <c r="G74" s="90">
        <v>-0.24929964567655261</v>
      </c>
      <c r="H74" s="34">
        <v>-0.23422033284445293</v>
      </c>
      <c r="I74" s="34">
        <v>0.51497005988023947</v>
      </c>
      <c r="J74" s="64">
        <v>0.54545454545454541</v>
      </c>
      <c r="K74" s="4">
        <v>0.28235294117647058</v>
      </c>
      <c r="L74" s="65">
        <v>0.37209302325581395</v>
      </c>
      <c r="M74" s="4">
        <v>0.50406504065040647</v>
      </c>
      <c r="N74" s="4">
        <v>0.75609756097560976</v>
      </c>
      <c r="O74" s="4">
        <v>0.60487804878048768</v>
      </c>
      <c r="P74">
        <v>2466.2235982940492</v>
      </c>
      <c r="Q74">
        <v>42.053999167950039</v>
      </c>
      <c r="R74">
        <v>0.13419112797817959</v>
      </c>
      <c r="S74">
        <v>-0.83234561580495336</v>
      </c>
      <c r="T74">
        <v>-0.91301491964542292</v>
      </c>
      <c r="U74">
        <f>+MAX(T74,T79)</f>
        <v>0.78896350415920324</v>
      </c>
    </row>
    <row r="75" spans="1:21" x14ac:dyDescent="0.3">
      <c r="A75">
        <v>0</v>
      </c>
      <c r="B75">
        <v>0</v>
      </c>
      <c r="C75" s="34">
        <v>5.72701149250225E-2</v>
      </c>
      <c r="D75" s="34">
        <v>4.3494060043455102E-2</v>
      </c>
      <c r="E75">
        <v>6</v>
      </c>
      <c r="F75" s="63">
        <v>1.9300000000000001E-3</v>
      </c>
      <c r="G75" s="90">
        <v>-0.27306988507497765</v>
      </c>
      <c r="H75" s="34">
        <v>-0.25265607520650679</v>
      </c>
      <c r="I75" s="34">
        <v>0.53293413173652693</v>
      </c>
      <c r="J75" s="64">
        <v>0.64</v>
      </c>
      <c r="K75" s="4">
        <v>0.18823529411764706</v>
      </c>
      <c r="L75" s="65">
        <v>0.29090909090909089</v>
      </c>
      <c r="M75" s="4">
        <v>0.5140845070422535</v>
      </c>
      <c r="N75" s="4">
        <v>0.8902439024390244</v>
      </c>
      <c r="O75" s="4">
        <v>0.6517857142857143</v>
      </c>
      <c r="P75">
        <v>3481.465541893614</v>
      </c>
      <c r="Q75">
        <v>49.441246785624948</v>
      </c>
      <c r="R75">
        <v>0.1558440102851982</v>
      </c>
      <c r="S75">
        <v>-1.586646290578628</v>
      </c>
      <c r="T75">
        <v>-1.700523800226744</v>
      </c>
      <c r="U75">
        <f>+MAX(T75,T80)</f>
        <v>0.96208991512195097</v>
      </c>
    </row>
    <row r="76" spans="1:21" x14ac:dyDescent="0.3">
      <c r="A76">
        <v>0</v>
      </c>
      <c r="B76">
        <v>0</v>
      </c>
      <c r="C76" s="34">
        <v>0.10453352143922079</v>
      </c>
      <c r="D76" s="34">
        <v>9.3289185560627083E-2</v>
      </c>
      <c r="E76">
        <v>6</v>
      </c>
      <c r="F76" s="63">
        <v>1.9300000000000001E-3</v>
      </c>
      <c r="G76" s="90">
        <v>-0.22580647856077979</v>
      </c>
      <c r="H76" s="34">
        <v>-0.21754417657244265</v>
      </c>
      <c r="I76" s="34">
        <v>0.57485029940119758</v>
      </c>
      <c r="J76" s="64">
        <v>0.59210526315789469</v>
      </c>
      <c r="K76" s="4">
        <v>0.52941176470588236</v>
      </c>
      <c r="L76" s="65">
        <v>0.55900621118012417</v>
      </c>
      <c r="M76" s="4">
        <v>0.56043956043956045</v>
      </c>
      <c r="N76" s="4">
        <v>0.62195121951219512</v>
      </c>
      <c r="O76" s="4">
        <v>0.58959537572254339</v>
      </c>
      <c r="P76">
        <v>44.768214197604728</v>
      </c>
      <c r="Q76">
        <v>5.1987964071856254</v>
      </c>
      <c r="R76">
        <v>1.7499272063191958E-2</v>
      </c>
      <c r="S76">
        <v>0.96673827909637189</v>
      </c>
      <c r="T76">
        <v>0.96527392660375932</v>
      </c>
      <c r="U76">
        <f>+MAX(T76,T81)</f>
        <v>0.96527392660375932</v>
      </c>
    </row>
    <row r="77" spans="1:21" x14ac:dyDescent="0.3">
      <c r="A77">
        <v>0</v>
      </c>
      <c r="B77">
        <v>0</v>
      </c>
      <c r="C77" s="34">
        <v>4.4118075736546455E-2</v>
      </c>
      <c r="D77" s="34">
        <v>2.8959229777557775E-2</v>
      </c>
      <c r="E77">
        <v>6</v>
      </c>
      <c r="F77" s="63">
        <v>1.9300000000000001E-3</v>
      </c>
      <c r="G77" s="90">
        <v>-0.28622192426345411</v>
      </c>
      <c r="H77" s="34">
        <v>-0.26384375366293256</v>
      </c>
      <c r="I77" s="34">
        <v>0.59281437125748504</v>
      </c>
      <c r="J77" s="64">
        <v>0.58947368421052626</v>
      </c>
      <c r="K77" s="4">
        <v>0.6588235294117647</v>
      </c>
      <c r="L77" s="65">
        <v>0.62222222222222212</v>
      </c>
      <c r="M77" s="4">
        <v>0.59722222222222221</v>
      </c>
      <c r="N77" s="4">
        <v>0.52439024390243905</v>
      </c>
      <c r="O77" s="4">
        <v>0.55844155844155841</v>
      </c>
      <c r="P77">
        <v>21.886633227404559</v>
      </c>
      <c r="Q77">
        <v>3.4537502395209638</v>
      </c>
      <c r="R77">
        <v>1.1617806218790371E-2</v>
      </c>
      <c r="S77">
        <v>0.98373875083074114</v>
      </c>
      <c r="T77">
        <v>0.98302284677926433</v>
      </c>
      <c r="U77">
        <f>+MAX(T77,T82)</f>
        <v>0.98302284677926433</v>
      </c>
    </row>
    <row r="78" spans="1:21" x14ac:dyDescent="0.3">
      <c r="A78">
        <v>0</v>
      </c>
      <c r="B78">
        <v>0</v>
      </c>
      <c r="C78" s="34">
        <v>0.25420188664729138</v>
      </c>
      <c r="D78" s="34">
        <v>0.27163126852280622</v>
      </c>
      <c r="E78">
        <v>6</v>
      </c>
      <c r="F78" s="63">
        <v>1.9300000000000001E-3</v>
      </c>
      <c r="G78" s="90">
        <v>-7.6138113352708744E-2</v>
      </c>
      <c r="H78" s="34">
        <v>-8.7889090028921341E-2</v>
      </c>
      <c r="I78" s="34">
        <v>0.52694610778443118</v>
      </c>
      <c r="J78" s="64">
        <v>0.53658536585365857</v>
      </c>
      <c r="K78" s="4">
        <v>0.51764705882352946</v>
      </c>
      <c r="L78" s="65">
        <v>0.52694610778443129</v>
      </c>
      <c r="M78" s="4">
        <v>0.51764705882352946</v>
      </c>
      <c r="N78" s="4">
        <v>0.53658536585365857</v>
      </c>
      <c r="O78" s="4">
        <v>0.52694610778443129</v>
      </c>
      <c r="P78">
        <v>15.425718374145021</v>
      </c>
      <c r="Q78">
        <v>41.769958264939191</v>
      </c>
      <c r="R78">
        <v>0.14540552502105569</v>
      </c>
      <c r="S78">
        <v>0.98853905726428926</v>
      </c>
      <c r="T78">
        <v>0.98803448745831457</v>
      </c>
    </row>
    <row r="79" spans="1:21" x14ac:dyDescent="0.3">
      <c r="A79">
        <v>0</v>
      </c>
      <c r="B79">
        <v>0</v>
      </c>
      <c r="C79" s="34">
        <v>3.8846839168108854E-2</v>
      </c>
      <c r="D79" s="34">
        <v>2.576645159090811E-2</v>
      </c>
      <c r="E79">
        <v>6</v>
      </c>
      <c r="F79" s="63">
        <v>1.9300000000000001E-3</v>
      </c>
      <c r="G79" s="90">
        <v>-0.29149316083189158</v>
      </c>
      <c r="H79" s="34">
        <v>-0.26408810923081821</v>
      </c>
      <c r="I79" s="34">
        <v>0.49700598802395207</v>
      </c>
      <c r="J79" s="64">
        <v>0.50526315789473686</v>
      </c>
      <c r="K79" s="4">
        <v>0.56470588235294117</v>
      </c>
      <c r="L79" s="65">
        <v>0.53333333333333333</v>
      </c>
      <c r="M79" s="4">
        <v>0.4861111111111111</v>
      </c>
      <c r="N79" s="4">
        <v>0.42682926829268292</v>
      </c>
      <c r="O79" s="4">
        <v>0.45454545454545453</v>
      </c>
      <c r="P79">
        <v>272.06436332463352</v>
      </c>
      <c r="Q79">
        <v>11.99455479434415</v>
      </c>
      <c r="R79">
        <v>3.9407850056640659E-2</v>
      </c>
      <c r="S79">
        <v>0.79786263350188746</v>
      </c>
      <c r="T79">
        <v>0.78896350415920324</v>
      </c>
    </row>
    <row r="80" spans="1:21" x14ac:dyDescent="0.3">
      <c r="A80">
        <v>0</v>
      </c>
      <c r="B80">
        <v>0</v>
      </c>
      <c r="C80" s="34">
        <v>-0.10639295302630562</v>
      </c>
      <c r="D80" s="34">
        <v>-0.11521473761012137</v>
      </c>
      <c r="E80">
        <v>6</v>
      </c>
      <c r="F80" s="63">
        <v>1.9300000000000001E-3</v>
      </c>
      <c r="G80" s="90">
        <v>-0.43673295302630538</v>
      </c>
      <c r="H80" s="34">
        <v>-0.36775902137968114</v>
      </c>
      <c r="I80" s="34">
        <v>0.49101796407185627</v>
      </c>
      <c r="J80" s="64">
        <v>0.5</v>
      </c>
      <c r="K80" s="4">
        <v>0.10588235294117647</v>
      </c>
      <c r="L80" s="65">
        <v>0.17475728155339806</v>
      </c>
      <c r="M80" s="4">
        <v>0.48993288590604028</v>
      </c>
      <c r="N80" s="4">
        <v>0.8902439024390244</v>
      </c>
      <c r="O80" s="4">
        <v>0.63203463203463206</v>
      </c>
      <c r="P80">
        <v>48.872983153160199</v>
      </c>
      <c r="Q80">
        <v>5.5947362125572866</v>
      </c>
      <c r="R80">
        <v>1.835471502505082E-2</v>
      </c>
      <c r="S80">
        <v>0.96368853315897718</v>
      </c>
      <c r="T80">
        <v>0.96208991512195097</v>
      </c>
    </row>
    <row r="81" spans="1:21" x14ac:dyDescent="0.3">
      <c r="A81">
        <v>0</v>
      </c>
      <c r="B81">
        <v>0</v>
      </c>
      <c r="C81" s="34">
        <v>2.132491516719616E-2</v>
      </c>
      <c r="D81" s="34">
        <v>5.5107320111506854E-3</v>
      </c>
      <c r="E81">
        <v>6</v>
      </c>
      <c r="F81" s="63">
        <v>1.9300000000000001E-3</v>
      </c>
      <c r="G81" s="90">
        <v>-0.30901508483280427</v>
      </c>
      <c r="H81" s="34">
        <v>-0.28099110494563689</v>
      </c>
      <c r="I81" s="34">
        <v>0.58083832335329344</v>
      </c>
      <c r="J81" s="64">
        <v>0.59259259259259256</v>
      </c>
      <c r="K81" s="4">
        <v>0.56470588235294117</v>
      </c>
      <c r="L81" s="65">
        <v>0.57831325301204817</v>
      </c>
      <c r="M81" s="4">
        <v>0.56976744186046513</v>
      </c>
      <c r="N81" s="4">
        <v>0.59756097560975607</v>
      </c>
      <c r="O81" s="4">
        <v>0.58333333333333337</v>
      </c>
      <c r="P81">
        <v>48.859450449101743</v>
      </c>
      <c r="Q81">
        <v>5.403023952095805</v>
      </c>
      <c r="R81">
        <v>1.8158272851824961E-2</v>
      </c>
      <c r="S81">
        <v>0.96369858763699312</v>
      </c>
      <c r="T81">
        <v>0.96210041224994247</v>
      </c>
    </row>
    <row r="82" spans="1:21" x14ac:dyDescent="0.3">
      <c r="A82">
        <v>0</v>
      </c>
      <c r="B82">
        <v>0</v>
      </c>
      <c r="C82" s="34">
        <v>-3.3117000345919221E-3</v>
      </c>
      <c r="D82" s="34">
        <v>-1.9295788142999371E-2</v>
      </c>
      <c r="E82">
        <v>6</v>
      </c>
      <c r="F82" s="63">
        <v>1.9300000000000001E-3</v>
      </c>
      <c r="G82" s="90">
        <v>-0.33365170003459266</v>
      </c>
      <c r="H82" s="34">
        <v>-0.29911056483360049</v>
      </c>
      <c r="I82" s="34">
        <v>0.56287425149700598</v>
      </c>
      <c r="J82" s="64">
        <v>0.58108108108108103</v>
      </c>
      <c r="K82" s="4">
        <v>0.50588235294117645</v>
      </c>
      <c r="L82" s="65">
        <v>0.54088050314465397</v>
      </c>
      <c r="M82" s="4">
        <v>0.54838709677419351</v>
      </c>
      <c r="N82" s="4">
        <v>0.62195121951219512</v>
      </c>
      <c r="O82" s="4">
        <v>0.58285714285714285</v>
      </c>
      <c r="P82">
        <v>49.538685029940041</v>
      </c>
      <c r="Q82">
        <v>5.5323353293413131</v>
      </c>
      <c r="R82">
        <v>1.8643690126426051E-2</v>
      </c>
      <c r="S82">
        <v>0.96319393246008089</v>
      </c>
      <c r="T82">
        <v>0.96157353954951841</v>
      </c>
      <c r="U82" s="101">
        <f>+AVERAGE(T84:T93)</f>
        <v>0.47367207444714532</v>
      </c>
    </row>
    <row r="83" spans="1:21" x14ac:dyDescent="0.3">
      <c r="A83" t="s">
        <v>367</v>
      </c>
      <c r="C83" s="101">
        <f>+AVERAGE(C85:C94)</f>
        <v>8.3159739961242513E-2</v>
      </c>
      <c r="D83" s="101">
        <f>+AVERAGE(D85:D94)</f>
        <v>7.3691939443827195E-2</v>
      </c>
      <c r="G83" s="101">
        <f>+AVERAGE(G85:G94)</f>
        <v>-0.24718026003875782</v>
      </c>
      <c r="H83" s="101">
        <f>+AVERAGE(H85:H94)</f>
        <v>-0.23120185050445277</v>
      </c>
      <c r="I83" s="101">
        <f>+AVERAGE(I85:I94)</f>
        <v>0.54365269461077848</v>
      </c>
      <c r="O83" s="101">
        <f>+AVERAGE(O85:O94)</f>
        <v>0.57113905441297175</v>
      </c>
      <c r="T83" s="101">
        <f>+AVERAGE(U84:U88)</f>
        <v>0.93697226336484629</v>
      </c>
    </row>
    <row r="84" spans="1:21" x14ac:dyDescent="0.3">
      <c r="A84" s="33">
        <v>0</v>
      </c>
      <c r="B84" s="33">
        <v>0</v>
      </c>
      <c r="C84" s="40">
        <v>0.24900566326774787</v>
      </c>
      <c r="D84" s="40">
        <v>0.26474844679331511</v>
      </c>
      <c r="E84" s="80">
        <v>6</v>
      </c>
      <c r="F84" s="81">
        <v>1.9300000000000001E-3</v>
      </c>
      <c r="G84" s="40">
        <v>-8.1334336732252266E-2</v>
      </c>
      <c r="H84" s="82">
        <v>-9.3102645063906822E-2</v>
      </c>
      <c r="I84" s="30">
        <v>0.53293413173652693</v>
      </c>
      <c r="J84" s="83">
        <v>0.54545454545454541</v>
      </c>
      <c r="K84" s="30">
        <v>0.49411764705882355</v>
      </c>
      <c r="L84" s="30">
        <v>0.5185185185185186</v>
      </c>
      <c r="M84" s="30">
        <v>0.52222222222222225</v>
      </c>
      <c r="N84" s="30">
        <v>0.57317073170731703</v>
      </c>
      <c r="O84" s="84">
        <v>0.54651162790697683</v>
      </c>
      <c r="P84" s="31">
        <v>15.482849312821189</v>
      </c>
      <c r="Q84" s="31">
        <v>2.9792129921884989</v>
      </c>
      <c r="R84" s="31">
        <v>1.0097037464126549E-2</v>
      </c>
      <c r="S84" s="31">
        <v>0.98849661033243663</v>
      </c>
      <c r="T84" s="31">
        <v>0.98751919813846067</v>
      </c>
      <c r="U84">
        <f>+MAX(T84,T89)</f>
        <v>0.98751919813846079</v>
      </c>
    </row>
    <row r="85" spans="1:21" x14ac:dyDescent="0.3">
      <c r="A85" s="33">
        <v>0</v>
      </c>
      <c r="B85" s="33">
        <v>0</v>
      </c>
      <c r="C85" s="40">
        <v>8.1040354323447542E-2</v>
      </c>
      <c r="D85" s="40">
        <v>6.8853062630683859E-2</v>
      </c>
      <c r="E85" s="80">
        <v>6</v>
      </c>
      <c r="F85" s="81">
        <v>1.9300000000000001E-3</v>
      </c>
      <c r="G85" s="40">
        <v>-0.24929964567655261</v>
      </c>
      <c r="H85" s="82">
        <v>-0.23422033284445293</v>
      </c>
      <c r="I85" s="30">
        <v>0.51497005988023947</v>
      </c>
      <c r="J85" s="83">
        <v>0.54545454545454541</v>
      </c>
      <c r="K85" s="30">
        <v>0.28235294117647058</v>
      </c>
      <c r="L85" s="30">
        <v>0.37209302325581395</v>
      </c>
      <c r="M85" s="30">
        <v>0.50406504065040647</v>
      </c>
      <c r="N85" s="30">
        <v>0.75609756097560976</v>
      </c>
      <c r="O85" s="84">
        <v>0.60487804878048768</v>
      </c>
      <c r="P85" s="31">
        <v>2552.808029582241</v>
      </c>
      <c r="Q85" s="31">
        <v>42.701683351781988</v>
      </c>
      <c r="R85" s="31">
        <v>0.1360043703423848</v>
      </c>
      <c r="S85" s="31">
        <v>-0.89667579380569462</v>
      </c>
      <c r="T85" s="31">
        <v>-1.0578312534101</v>
      </c>
      <c r="U85">
        <f>+MAX(T85,T90)</f>
        <v>0.78996397311272681</v>
      </c>
    </row>
    <row r="86" spans="1:21" x14ac:dyDescent="0.3">
      <c r="A86" s="33">
        <v>0</v>
      </c>
      <c r="B86" s="33">
        <v>0</v>
      </c>
      <c r="C86" s="40">
        <v>3.8151179212443674E-2</v>
      </c>
      <c r="D86" s="40">
        <v>2.3595107951711398E-2</v>
      </c>
      <c r="E86" s="80">
        <v>6</v>
      </c>
      <c r="F86" s="81">
        <v>1.9300000000000001E-3</v>
      </c>
      <c r="G86" s="40">
        <v>-0.29218882078755648</v>
      </c>
      <c r="H86" s="82">
        <v>-0.26708284875792088</v>
      </c>
      <c r="I86" s="30">
        <v>0.52694610778443118</v>
      </c>
      <c r="J86" s="83">
        <v>0.61538461538461542</v>
      </c>
      <c r="K86" s="30">
        <v>0.18823529411764706</v>
      </c>
      <c r="L86" s="30">
        <v>0.28828828828828829</v>
      </c>
      <c r="M86" s="30">
        <v>0.51063829787234039</v>
      </c>
      <c r="N86" s="30">
        <v>0.87804878048780488</v>
      </c>
      <c r="O86" s="84">
        <v>0.64573991031390132</v>
      </c>
      <c r="P86" s="31">
        <v>3462.9308669724169</v>
      </c>
      <c r="Q86" s="31">
        <v>49.300415352322688</v>
      </c>
      <c r="R86" s="31">
        <v>0.15540703162526029</v>
      </c>
      <c r="S86" s="31">
        <v>-1.572875466896738</v>
      </c>
      <c r="T86" s="31">
        <v>-1.79148580068535</v>
      </c>
      <c r="U86">
        <f>+MAX(T86,T91)</f>
        <v>0.96819701694625016</v>
      </c>
    </row>
    <row r="87" spans="1:21" x14ac:dyDescent="0.3">
      <c r="A87" s="33">
        <v>0</v>
      </c>
      <c r="B87" s="33">
        <v>0</v>
      </c>
      <c r="C87" s="40">
        <v>8.8133653366328363E-2</v>
      </c>
      <c r="D87" s="40">
        <v>7.5033703180707817E-2</v>
      </c>
      <c r="E87" s="80">
        <v>6</v>
      </c>
      <c r="F87" s="81">
        <v>1.9300000000000001E-3</v>
      </c>
      <c r="G87" s="40">
        <v>-0.24220634663367194</v>
      </c>
      <c r="H87" s="82">
        <v>-0.23113112929057272</v>
      </c>
      <c r="I87" s="30">
        <v>0.58083832335329344</v>
      </c>
      <c r="J87" s="83">
        <v>0.58620689655172409</v>
      </c>
      <c r="K87" s="30">
        <v>0.6</v>
      </c>
      <c r="L87" s="30">
        <v>0.59302325581395354</v>
      </c>
      <c r="M87" s="30">
        <v>0.57499999999999996</v>
      </c>
      <c r="N87" s="30">
        <v>0.56097560975609762</v>
      </c>
      <c r="O87" s="84">
        <v>0.5679012345679012</v>
      </c>
      <c r="P87" s="31">
        <v>52.145460928143613</v>
      </c>
      <c r="Q87" s="31">
        <v>5.7320059880239471</v>
      </c>
      <c r="R87" s="31">
        <v>1.930261218914147E-2</v>
      </c>
      <c r="S87" s="31">
        <v>0.96125715982042104</v>
      </c>
      <c r="T87" s="31">
        <v>0.95796528451104501</v>
      </c>
      <c r="U87">
        <f>+MAX(T87,T92)</f>
        <v>0.95796528451104501</v>
      </c>
    </row>
    <row r="88" spans="1:21" x14ac:dyDescent="0.3">
      <c r="A88" s="33">
        <v>0</v>
      </c>
      <c r="B88" s="33">
        <v>0</v>
      </c>
      <c r="C88" s="40">
        <v>-3.7020241344612584E-2</v>
      </c>
      <c r="D88" s="40">
        <v>-5.1405904733516215E-2</v>
      </c>
      <c r="E88" s="80">
        <v>6</v>
      </c>
      <c r="F88" s="81">
        <v>1.9300000000000001E-3</v>
      </c>
      <c r="G88" s="40">
        <v>-0.36736024134461331</v>
      </c>
      <c r="H88" s="82">
        <v>-0.32165373340703346</v>
      </c>
      <c r="I88" s="30">
        <v>0.53892215568862278</v>
      </c>
      <c r="J88" s="83">
        <v>0.54255319148936165</v>
      </c>
      <c r="K88" s="30">
        <v>0.6</v>
      </c>
      <c r="L88" s="30">
        <v>0.56983240223463683</v>
      </c>
      <c r="M88" s="30">
        <v>0.53424657534246578</v>
      </c>
      <c r="N88" s="30">
        <v>0.47560975609756095</v>
      </c>
      <c r="O88" s="84">
        <v>0.50322580645161297</v>
      </c>
      <c r="P88" s="31">
        <v>23.302369371043991</v>
      </c>
      <c r="Q88" s="31">
        <v>3.5539623652694772</v>
      </c>
      <c r="R88" s="31">
        <v>1.19529565896523E-2</v>
      </c>
      <c r="S88" s="31">
        <v>0.98268689246813001</v>
      </c>
      <c r="T88" s="31">
        <v>0.98121584411574891</v>
      </c>
      <c r="U88">
        <f>+MAX(T88,T93)</f>
        <v>0.98121584411574891</v>
      </c>
    </row>
    <row r="89" spans="1:21" x14ac:dyDescent="0.3">
      <c r="A89" s="33">
        <v>0</v>
      </c>
      <c r="B89" s="33">
        <v>0</v>
      </c>
      <c r="C89" s="40">
        <v>0.24900566326774787</v>
      </c>
      <c r="D89" s="40">
        <v>0.26474844679331511</v>
      </c>
      <c r="E89" s="80">
        <v>6</v>
      </c>
      <c r="F89" s="81">
        <v>1.9300000000000001E-3</v>
      </c>
      <c r="G89" s="40">
        <v>-8.1334336732252266E-2</v>
      </c>
      <c r="H89" s="82">
        <v>-9.3102645063906822E-2</v>
      </c>
      <c r="I89" s="30">
        <v>0.53293413173652693</v>
      </c>
      <c r="J89" s="83">
        <v>0.54545454545454541</v>
      </c>
      <c r="K89" s="30">
        <v>0.49411764705882355</v>
      </c>
      <c r="L89" s="30">
        <v>0.5185185185185186</v>
      </c>
      <c r="M89" s="30">
        <v>0.52222222222222225</v>
      </c>
      <c r="N89" s="30">
        <v>0.57317073170731703</v>
      </c>
      <c r="O89" s="84">
        <v>0.54651162790697683</v>
      </c>
      <c r="P89" s="31">
        <v>15.48284931282114</v>
      </c>
      <c r="Q89" s="31">
        <v>41.771496636017353</v>
      </c>
      <c r="R89" s="31">
        <v>0.14540651189232251</v>
      </c>
      <c r="S89" s="31">
        <v>0.98849661033243674</v>
      </c>
      <c r="T89" s="31">
        <v>0.98751919813846079</v>
      </c>
    </row>
    <row r="90" spans="1:21" x14ac:dyDescent="0.3">
      <c r="A90" s="33">
        <v>0</v>
      </c>
      <c r="B90" s="33">
        <v>0</v>
      </c>
      <c r="C90" s="40">
        <v>7.7951259115817226E-2</v>
      </c>
      <c r="D90" s="40">
        <v>6.6631985292687892E-2</v>
      </c>
      <c r="E90" s="80">
        <v>6</v>
      </c>
      <c r="F90" s="81">
        <v>1.9300000000000001E-3</v>
      </c>
      <c r="G90" s="40">
        <v>-0.25238874088418323</v>
      </c>
      <c r="H90" s="82">
        <v>-0.23476210560194696</v>
      </c>
      <c r="I90" s="30">
        <v>0.50299401197604787</v>
      </c>
      <c r="J90" s="83">
        <v>0.51041666666666663</v>
      </c>
      <c r="K90" s="30">
        <v>0.57647058823529407</v>
      </c>
      <c r="L90" s="30">
        <v>0.54143646408839774</v>
      </c>
      <c r="M90" s="30">
        <v>0.49295774647887325</v>
      </c>
      <c r="N90" s="30">
        <v>0.42682926829268292</v>
      </c>
      <c r="O90" s="84">
        <v>0.45751633986928109</v>
      </c>
      <c r="P90" s="31">
        <v>260.55666860480329</v>
      </c>
      <c r="Q90" s="31">
        <v>11.750659267986309</v>
      </c>
      <c r="R90" s="31">
        <v>3.8563021938684182E-2</v>
      </c>
      <c r="S90" s="31">
        <v>0.80641257762799523</v>
      </c>
      <c r="T90" s="31">
        <v>0.78996397311272681</v>
      </c>
    </row>
    <row r="91" spans="1:21" x14ac:dyDescent="0.3">
      <c r="A91" s="33">
        <v>0</v>
      </c>
      <c r="B91" s="33">
        <v>0</v>
      </c>
      <c r="C91" s="40">
        <v>4.9906452933312542E-2</v>
      </c>
      <c r="D91" s="40">
        <v>3.5236432220653223E-2</v>
      </c>
      <c r="E91" s="80">
        <v>6</v>
      </c>
      <c r="F91" s="81">
        <v>1.9300000000000001E-3</v>
      </c>
      <c r="G91" s="40">
        <v>-0.28043354706668761</v>
      </c>
      <c r="H91" s="82">
        <v>-0.25917673757347426</v>
      </c>
      <c r="I91" s="30">
        <v>0.54491017964071853</v>
      </c>
      <c r="J91" s="83">
        <v>0.65517241379310343</v>
      </c>
      <c r="K91" s="30">
        <v>0.22352941176470589</v>
      </c>
      <c r="L91" s="30">
        <v>0.33333333333333337</v>
      </c>
      <c r="M91" s="30">
        <v>0.52173913043478259</v>
      </c>
      <c r="N91" s="30">
        <v>0.87804878048780488</v>
      </c>
      <c r="O91" s="84">
        <v>0.65454545454545454</v>
      </c>
      <c r="P91" s="31">
        <v>39.452656951216483</v>
      </c>
      <c r="Q91" s="31">
        <v>4.8648940518398494</v>
      </c>
      <c r="R91" s="31">
        <v>1.613291589802654E-2</v>
      </c>
      <c r="S91" s="31">
        <v>0.97068761200467635</v>
      </c>
      <c r="T91" s="31">
        <v>0.96819701694625016</v>
      </c>
    </row>
    <row r="92" spans="1:21" x14ac:dyDescent="0.3">
      <c r="A92" s="33">
        <v>0</v>
      </c>
      <c r="B92" s="33">
        <v>0</v>
      </c>
      <c r="C92" s="40">
        <v>5.980446014557747E-2</v>
      </c>
      <c r="D92" s="40">
        <v>4.5203979866543523E-2</v>
      </c>
      <c r="E92" s="80">
        <v>6</v>
      </c>
      <c r="F92" s="81">
        <v>1.9300000000000001E-3</v>
      </c>
      <c r="G92" s="40">
        <v>-0.27053553985442313</v>
      </c>
      <c r="H92" s="82">
        <v>-0.2523529224581107</v>
      </c>
      <c r="I92" s="30">
        <v>0.58083832335329344</v>
      </c>
      <c r="J92" s="83">
        <v>0.59740259740259738</v>
      </c>
      <c r="K92" s="30">
        <v>0.54117647058823526</v>
      </c>
      <c r="L92" s="30">
        <v>0.56790123456790131</v>
      </c>
      <c r="M92" s="30">
        <v>0.56666666666666665</v>
      </c>
      <c r="N92" s="30">
        <v>0.62195121951219512</v>
      </c>
      <c r="O92" s="84">
        <v>0.59302325581395354</v>
      </c>
      <c r="P92" s="31">
        <v>55.591066017964017</v>
      </c>
      <c r="Q92" s="31">
        <v>5.9984131736526942</v>
      </c>
      <c r="R92" s="31">
        <v>2.0213070063868171E-2</v>
      </c>
      <c r="S92" s="31">
        <v>0.95869715699484803</v>
      </c>
      <c r="T92" s="31">
        <v>0.95518776510552139</v>
      </c>
    </row>
    <row r="93" spans="1:21" x14ac:dyDescent="0.3">
      <c r="A93" s="33">
        <v>0</v>
      </c>
      <c r="B93" s="33">
        <v>0</v>
      </c>
      <c r="C93" s="40">
        <v>7.2912056043271584E-2</v>
      </c>
      <c r="D93" s="40">
        <v>5.8805966622556299E-2</v>
      </c>
      <c r="E93" s="80">
        <v>6</v>
      </c>
      <c r="F93" s="81">
        <v>1.9300000000000001E-3</v>
      </c>
      <c r="G93" s="40">
        <v>-0.25742794395672869</v>
      </c>
      <c r="H93" s="82">
        <v>-0.2427640440901091</v>
      </c>
      <c r="I93" s="30">
        <v>0.56886227544910184</v>
      </c>
      <c r="J93" s="83">
        <v>0.57647058823529407</v>
      </c>
      <c r="K93" s="30">
        <v>0.57647058823529407</v>
      </c>
      <c r="L93" s="30">
        <v>0.57647058823529407</v>
      </c>
      <c r="M93" s="30">
        <v>0.56097560975609762</v>
      </c>
      <c r="N93" s="30">
        <v>0.56097560975609762</v>
      </c>
      <c r="O93" s="84">
        <v>0.56097560975609762</v>
      </c>
      <c r="P93" s="31">
        <v>51.519941916167568</v>
      </c>
      <c r="Q93" s="31">
        <v>5.7266467065868198</v>
      </c>
      <c r="R93" s="31">
        <v>1.9330645683853322E-2</v>
      </c>
      <c r="S93" s="31">
        <v>0.96172190560421367</v>
      </c>
      <c r="T93" s="31">
        <v>0.95846951849868933</v>
      </c>
    </row>
    <row r="94" spans="1:21" x14ac:dyDescent="0.3">
      <c r="A94" t="s">
        <v>369</v>
      </c>
      <c r="C94" s="101">
        <f>+AVERAGE(C96:C105)</f>
        <v>0.15171256254909146</v>
      </c>
      <c r="D94" s="101">
        <f>+AVERAGE(D96:D105)</f>
        <v>0.15021661461292904</v>
      </c>
      <c r="G94" s="101">
        <f>+AVERAGE(G96:G105)</f>
        <v>-0.1786274374509087</v>
      </c>
      <c r="H94" s="101">
        <f>+AVERAGE(H96:H105)</f>
        <v>-0.17577200595700021</v>
      </c>
      <c r="I94" s="101">
        <f>+AVERAGE(I96:I105)</f>
        <v>0.54431137724550904</v>
      </c>
      <c r="O94" s="101">
        <f>+AVERAGE(O96:O105)</f>
        <v>0.57707325612405058</v>
      </c>
      <c r="T94" s="101">
        <f>+AVERAGE(U95:U99)</f>
        <v>0.91193835207963525</v>
      </c>
      <c r="U94" s="101">
        <f>+AVERAGE(T96:T105)</f>
        <v>0.46232321166017981</v>
      </c>
    </row>
    <row r="95" spans="1:21" x14ac:dyDescent="0.3">
      <c r="A95" s="61" t="s">
        <v>212</v>
      </c>
      <c r="B95" s="61" t="s">
        <v>198</v>
      </c>
      <c r="C95" s="61" t="s">
        <v>9</v>
      </c>
      <c r="D95" s="61" t="s">
        <v>10</v>
      </c>
      <c r="E95" s="70" t="s">
        <v>212</v>
      </c>
      <c r="F95" s="61" t="s">
        <v>198</v>
      </c>
      <c r="G95" s="61" t="s">
        <v>9</v>
      </c>
      <c r="H95" s="71" t="s">
        <v>10</v>
      </c>
      <c r="I95" s="66" t="s">
        <v>231</v>
      </c>
      <c r="J95" s="66" t="s">
        <v>232</v>
      </c>
      <c r="K95" s="66" t="s">
        <v>233</v>
      </c>
      <c r="L95" s="66" t="s">
        <v>234</v>
      </c>
      <c r="M95" s="66" t="s">
        <v>232</v>
      </c>
      <c r="N95" s="66" t="s">
        <v>233</v>
      </c>
      <c r="O95" s="67" t="s">
        <v>234</v>
      </c>
      <c r="P95" t="s">
        <v>298</v>
      </c>
      <c r="Q95" t="s">
        <v>299</v>
      </c>
      <c r="R95" t="s">
        <v>300</v>
      </c>
      <c r="S95" t="s">
        <v>301</v>
      </c>
      <c r="T95" t="s">
        <v>302</v>
      </c>
    </row>
    <row r="96" spans="1:21" x14ac:dyDescent="0.3">
      <c r="A96">
        <v>0</v>
      </c>
      <c r="B96">
        <v>0</v>
      </c>
      <c r="C96" s="34">
        <v>0.1884731637775236</v>
      </c>
      <c r="D96" s="34">
        <v>0.18917658202906168</v>
      </c>
      <c r="E96">
        <v>6</v>
      </c>
      <c r="F96" s="75">
        <v>1.9300000000000001E-3</v>
      </c>
      <c r="G96" s="90">
        <v>-0.14186683622247656</v>
      </c>
      <c r="H96" s="34">
        <v>-0.14866037008909216</v>
      </c>
      <c r="I96" s="34">
        <v>0.52694610778443118</v>
      </c>
      <c r="J96" s="64">
        <v>0.53749999999999998</v>
      </c>
      <c r="K96" s="4">
        <v>0.50588235294117645</v>
      </c>
      <c r="L96" s="65">
        <v>0.52121212121212113</v>
      </c>
      <c r="M96" s="4">
        <v>0.51724137931034486</v>
      </c>
      <c r="N96" s="4">
        <v>0.54878048780487809</v>
      </c>
      <c r="O96" s="4">
        <v>0.53254437869822491</v>
      </c>
      <c r="P96">
        <v>19.59337086782277</v>
      </c>
      <c r="Q96">
        <v>3.4480847734255611</v>
      </c>
      <c r="R96">
        <v>1.1801159265389161E-2</v>
      </c>
      <c r="S96">
        <v>0.98544259035014925</v>
      </c>
      <c r="T96">
        <v>0.98430824674106998</v>
      </c>
      <c r="U96">
        <f>+MAX(T96,T101)</f>
        <v>0.98430824674106998</v>
      </c>
    </row>
    <row r="97" spans="1:21" x14ac:dyDescent="0.3">
      <c r="A97">
        <v>0</v>
      </c>
      <c r="B97">
        <v>0</v>
      </c>
      <c r="C97" s="34">
        <v>7.1799833494091442E-2</v>
      </c>
      <c r="D97" s="34">
        <v>5.8945185102771067E-2</v>
      </c>
      <c r="E97">
        <v>6</v>
      </c>
      <c r="F97" s="63">
        <v>1.9300000000000001E-3</v>
      </c>
      <c r="G97" s="90">
        <v>-0.25854016650590872</v>
      </c>
      <c r="H97" s="34">
        <v>-0.24141264124966255</v>
      </c>
      <c r="I97" s="34">
        <v>0.50898203592814373</v>
      </c>
      <c r="J97" s="64">
        <v>0.53488372093023251</v>
      </c>
      <c r="K97" s="4">
        <v>0.27058823529411763</v>
      </c>
      <c r="L97" s="65">
        <v>0.35937499999999994</v>
      </c>
      <c r="M97" s="4">
        <v>0.5</v>
      </c>
      <c r="N97" s="4">
        <v>0.75609756097560976</v>
      </c>
      <c r="O97" s="4">
        <v>0.60194174757281549</v>
      </c>
      <c r="P97">
        <v>2618.6991805330349</v>
      </c>
      <c r="Q97">
        <v>43.189214852826488</v>
      </c>
      <c r="R97">
        <v>0.13737995769515909</v>
      </c>
      <c r="S97">
        <v>-0.94563135551897348</v>
      </c>
      <c r="T97">
        <v>-1.0972389936113609</v>
      </c>
      <c r="U97">
        <f>+MAX(T97,T102)</f>
        <v>0.7562251913365805</v>
      </c>
    </row>
    <row r="98" spans="1:21" x14ac:dyDescent="0.3">
      <c r="A98">
        <v>0</v>
      </c>
      <c r="B98">
        <v>0</v>
      </c>
      <c r="C98" s="34">
        <v>3.8151179212443674E-2</v>
      </c>
      <c r="D98" s="34">
        <v>2.3595107951711398E-2</v>
      </c>
      <c r="E98">
        <v>6</v>
      </c>
      <c r="F98" s="63">
        <v>1.9300000000000001E-3</v>
      </c>
      <c r="G98" s="90">
        <v>-0.29218882078755648</v>
      </c>
      <c r="H98" s="34">
        <v>-0.26708284875792088</v>
      </c>
      <c r="I98" s="34">
        <v>0.52694610778443118</v>
      </c>
      <c r="J98" s="64">
        <v>0.61538461538461542</v>
      </c>
      <c r="K98" s="4">
        <v>0.18823529411764706</v>
      </c>
      <c r="L98" s="65">
        <v>0.28828828828828829</v>
      </c>
      <c r="M98" s="4">
        <v>0.51063829787234039</v>
      </c>
      <c r="N98" s="4">
        <v>0.87804878048780488</v>
      </c>
      <c r="O98" s="4">
        <v>0.64573991031390132</v>
      </c>
      <c r="P98">
        <v>3462.9315854920501</v>
      </c>
      <c r="Q98">
        <v>49.300467363813873</v>
      </c>
      <c r="R98">
        <v>0.1554072237486922</v>
      </c>
      <c r="S98">
        <v>-1.5728760007397771</v>
      </c>
      <c r="T98">
        <v>-1.7733598449532659</v>
      </c>
      <c r="U98">
        <f>+MAX(T98,T103)</f>
        <v>0.96000088975629105</v>
      </c>
    </row>
    <row r="99" spans="1:21" x14ac:dyDescent="0.3">
      <c r="A99">
        <v>0</v>
      </c>
      <c r="B99">
        <v>0</v>
      </c>
      <c r="C99" s="34">
        <v>0.20769784054619858</v>
      </c>
      <c r="D99" s="34">
        <v>0.21384731113515415</v>
      </c>
      <c r="E99">
        <v>6</v>
      </c>
      <c r="F99" s="63">
        <v>1.9300000000000001E-3</v>
      </c>
      <c r="G99" s="90">
        <v>-0.12264215945380158</v>
      </c>
      <c r="H99" s="34">
        <v>-0.12927306574305228</v>
      </c>
      <c r="I99" s="34">
        <v>0.57485029940119758</v>
      </c>
      <c r="J99" s="64">
        <v>0.59210526315789469</v>
      </c>
      <c r="K99" s="4">
        <v>0.52941176470588236</v>
      </c>
      <c r="L99" s="65">
        <v>0.55900621118012417</v>
      </c>
      <c r="M99" s="4">
        <v>0.56043956043956045</v>
      </c>
      <c r="N99" s="4">
        <v>0.62195121951219512</v>
      </c>
      <c r="O99" s="4">
        <v>0.58959537572254339</v>
      </c>
      <c r="P99">
        <v>65.90443488023962</v>
      </c>
      <c r="Q99">
        <v>6.246736526946111</v>
      </c>
      <c r="R99">
        <v>2.112407269927093E-2</v>
      </c>
      <c r="S99">
        <v>0.95103456864233937</v>
      </c>
      <c r="T99">
        <v>0.94721908048459957</v>
      </c>
      <c r="U99">
        <f>+MAX(T99,T104)</f>
        <v>0.94721908048459957</v>
      </c>
    </row>
    <row r="100" spans="1:21" x14ac:dyDescent="0.3">
      <c r="A100">
        <v>0</v>
      </c>
      <c r="B100">
        <v>0</v>
      </c>
      <c r="C100" s="34">
        <v>0.28708896691256885</v>
      </c>
      <c r="D100" s="34">
        <v>0.31342618286171142</v>
      </c>
      <c r="E100">
        <v>6</v>
      </c>
      <c r="F100" s="63">
        <v>1.9300000000000001E-3</v>
      </c>
      <c r="G100" s="90">
        <v>-4.325103308743157E-2</v>
      </c>
      <c r="H100" s="34">
        <v>-5.8515932998944628E-2</v>
      </c>
      <c r="I100" s="34">
        <v>0.57485029940119758</v>
      </c>
      <c r="J100" s="64">
        <v>0.6</v>
      </c>
      <c r="K100" s="4">
        <v>0.49411764705882355</v>
      </c>
      <c r="L100" s="65">
        <v>0.54193548387096768</v>
      </c>
      <c r="M100" s="4">
        <v>0.55670103092783507</v>
      </c>
      <c r="N100" s="4">
        <v>0.65853658536585369</v>
      </c>
      <c r="O100" s="4">
        <v>0.6033519553072626</v>
      </c>
      <c r="P100">
        <v>36.783619182616569</v>
      </c>
      <c r="Q100">
        <v>4.5776607784431604</v>
      </c>
      <c r="R100">
        <v>1.557745408728943E-2</v>
      </c>
      <c r="S100">
        <v>0.97267064373671186</v>
      </c>
      <c r="T100">
        <v>0.97054108350840373</v>
      </c>
      <c r="U100">
        <f>+MAX(T100,T105)</f>
        <v>0.97054108350840373</v>
      </c>
    </row>
    <row r="101" spans="1:21" x14ac:dyDescent="0.3">
      <c r="A101">
        <v>0</v>
      </c>
      <c r="B101">
        <v>0</v>
      </c>
      <c r="C101" s="34">
        <v>0.1884731637775236</v>
      </c>
      <c r="D101" s="34">
        <v>0.18917658202906168</v>
      </c>
      <c r="E101">
        <v>6</v>
      </c>
      <c r="F101" s="63">
        <v>1.9300000000000001E-3</v>
      </c>
      <c r="G101" s="90">
        <v>-0.14186683622247656</v>
      </c>
      <c r="H101" s="34">
        <v>-0.14866037008909216</v>
      </c>
      <c r="I101" s="34">
        <v>0.52694610778443118</v>
      </c>
      <c r="J101" s="64">
        <v>0.53749999999999998</v>
      </c>
      <c r="K101" s="4">
        <v>0.50588235294117645</v>
      </c>
      <c r="L101" s="65">
        <v>0.52121212121212113</v>
      </c>
      <c r="M101" s="4">
        <v>0.51724137931034486</v>
      </c>
      <c r="N101" s="4">
        <v>0.54878048780487809</v>
      </c>
      <c r="O101" s="4">
        <v>0.53254437869822491</v>
      </c>
      <c r="P101">
        <v>19.593606231656729</v>
      </c>
      <c r="Q101">
        <v>41.848283912334438</v>
      </c>
      <c r="R101">
        <v>0.14559005665078459</v>
      </c>
      <c r="S101">
        <v>0.98544241548040523</v>
      </c>
      <c r="T101">
        <v>0.98430805824511214</v>
      </c>
    </row>
    <row r="102" spans="1:21" x14ac:dyDescent="0.3">
      <c r="A102">
        <v>0</v>
      </c>
      <c r="B102">
        <v>0</v>
      </c>
      <c r="C102" s="34">
        <v>9.202283703330133E-2</v>
      </c>
      <c r="D102" s="34">
        <v>8.1603062604043805E-2</v>
      </c>
      <c r="E102">
        <v>6</v>
      </c>
      <c r="F102" s="63">
        <v>1.9300000000000001E-3</v>
      </c>
      <c r="G102" s="90">
        <v>-0.2383171629666988</v>
      </c>
      <c r="H102" s="34">
        <v>-0.22412904629018346</v>
      </c>
      <c r="I102" s="34">
        <v>0.50299401197604787</v>
      </c>
      <c r="J102" s="64">
        <v>0.51063829787234039</v>
      </c>
      <c r="K102" s="4">
        <v>0.56470588235294117</v>
      </c>
      <c r="L102" s="65">
        <v>0.53631284916201105</v>
      </c>
      <c r="M102" s="4">
        <v>0.49315068493150682</v>
      </c>
      <c r="N102" s="4">
        <v>0.43902439024390244</v>
      </c>
      <c r="O102" s="4">
        <v>0.46451612903225808</v>
      </c>
      <c r="P102">
        <v>304.38728901480209</v>
      </c>
      <c r="Q102">
        <v>12.72627696222683</v>
      </c>
      <c r="R102">
        <v>4.1750842582945397E-2</v>
      </c>
      <c r="S102">
        <v>0.77384746666164694</v>
      </c>
      <c r="T102">
        <v>0.7562251913365805</v>
      </c>
    </row>
    <row r="103" spans="1:21" x14ac:dyDescent="0.3">
      <c r="A103">
        <v>0</v>
      </c>
      <c r="B103">
        <v>0</v>
      </c>
      <c r="C103" s="34">
        <v>8.8652742050564989E-2</v>
      </c>
      <c r="D103" s="34">
        <v>7.5835372514269833E-2</v>
      </c>
      <c r="E103">
        <v>6</v>
      </c>
      <c r="F103" s="63">
        <v>1.9300000000000001E-3</v>
      </c>
      <c r="G103" s="90">
        <v>-0.24168725794943516</v>
      </c>
      <c r="H103" s="34">
        <v>-0.23035730984585112</v>
      </c>
      <c r="I103" s="34">
        <v>0.56287425149700598</v>
      </c>
      <c r="J103" s="64">
        <v>0.66666666666666663</v>
      </c>
      <c r="K103" s="4">
        <v>0.28235294117647058</v>
      </c>
      <c r="L103" s="65">
        <v>0.39669421487603307</v>
      </c>
      <c r="M103" s="4">
        <v>0.53435114503816794</v>
      </c>
      <c r="N103" s="4">
        <v>0.85365853658536583</v>
      </c>
      <c r="O103" s="4">
        <v>0.65727699530516426</v>
      </c>
      <c r="P103">
        <v>49.944540196099979</v>
      </c>
      <c r="Q103">
        <v>5.5609854657889146</v>
      </c>
      <c r="R103">
        <v>1.880271726105362E-2</v>
      </c>
      <c r="S103">
        <v>0.96289239170161944</v>
      </c>
      <c r="T103">
        <v>0.96000088975629105</v>
      </c>
    </row>
    <row r="104" spans="1:21" x14ac:dyDescent="0.3">
      <c r="A104">
        <v>0</v>
      </c>
      <c r="B104">
        <v>0</v>
      </c>
      <c r="C104" s="34">
        <v>0.14450598678443363</v>
      </c>
      <c r="D104" s="34">
        <v>0.1394673340907463</v>
      </c>
      <c r="E104">
        <v>6</v>
      </c>
      <c r="F104" s="63">
        <v>1.9300000000000001E-3</v>
      </c>
      <c r="G104" s="90">
        <v>-0.18583401321556653</v>
      </c>
      <c r="H104" s="34">
        <v>-0.18281758815107635</v>
      </c>
      <c r="I104" s="34">
        <v>0.55089820359281438</v>
      </c>
      <c r="J104" s="64">
        <v>0.5641025641025641</v>
      </c>
      <c r="K104" s="4">
        <v>0.51764705882352946</v>
      </c>
      <c r="L104" s="65">
        <v>0.53987730061349692</v>
      </c>
      <c r="M104" s="4">
        <v>0.5393258426966292</v>
      </c>
      <c r="N104" s="4">
        <v>0.58536585365853655</v>
      </c>
      <c r="O104" s="4">
        <v>0.56140350877192979</v>
      </c>
      <c r="P104">
        <v>76.900280988024022</v>
      </c>
      <c r="Q104">
        <v>7.0502095808383274</v>
      </c>
      <c r="R104">
        <v>2.354917008241425E-2</v>
      </c>
      <c r="S104">
        <v>0.94286491589000909</v>
      </c>
      <c r="T104">
        <v>0.93841283141390586</v>
      </c>
    </row>
    <row r="105" spans="1:21" x14ac:dyDescent="0.3">
      <c r="A105">
        <v>0</v>
      </c>
      <c r="B105">
        <v>0</v>
      </c>
      <c r="C105" s="34">
        <v>0.21025991190226501</v>
      </c>
      <c r="D105" s="34">
        <v>0.21709342581075936</v>
      </c>
      <c r="E105">
        <v>6</v>
      </c>
      <c r="F105" s="63">
        <v>1.9300000000000001E-3</v>
      </c>
      <c r="G105" s="90">
        <v>-0.12008008809773513</v>
      </c>
      <c r="H105" s="34">
        <v>-0.12681088635512641</v>
      </c>
      <c r="I105" s="34">
        <v>0.58682634730538918</v>
      </c>
      <c r="J105" s="64">
        <v>0.59523809523809523</v>
      </c>
      <c r="K105" s="4">
        <v>0.58823529411764708</v>
      </c>
      <c r="L105" s="65">
        <v>0.59171597633136097</v>
      </c>
      <c r="M105" s="4">
        <v>0.57831325301204817</v>
      </c>
      <c r="N105" s="4">
        <v>0.58536585365853655</v>
      </c>
      <c r="O105" s="4">
        <v>0.58181818181818179</v>
      </c>
      <c r="P105">
        <v>58.916422455089908</v>
      </c>
      <c r="Q105">
        <v>5.8629940119760526</v>
      </c>
      <c r="R105">
        <v>1.9679154241322092E-2</v>
      </c>
      <c r="S105">
        <v>0.95622649606500731</v>
      </c>
      <c r="T105">
        <v>0.95281557368046244</v>
      </c>
    </row>
    <row r="106" spans="1:21" x14ac:dyDescent="0.3">
      <c r="A106" t="s">
        <v>370</v>
      </c>
      <c r="C106" s="101">
        <f>+AVERAGE(C108:C117)</f>
        <v>0.23947196118613118</v>
      </c>
      <c r="D106" s="101">
        <f>+AVERAGE(D108:D117)</f>
        <v>0.26548826844435469</v>
      </c>
      <c r="G106" s="101">
        <f>+AVERAGE(G108:G117)</f>
        <v>-9.086803881386904E-2</v>
      </c>
      <c r="H106" s="101">
        <f>+AVERAGE(H108:H117)</f>
        <v>-9.2426643823710325E-2</v>
      </c>
      <c r="I106" s="101">
        <f>+AVERAGE(I108:I117)</f>
        <v>0.57125748502994012</v>
      </c>
      <c r="O106" s="101">
        <f>+AVERAGE(O108:O117)</f>
        <v>0.60209883739503778</v>
      </c>
      <c r="T106" s="101">
        <f>+AVERAGE(U107:U111)</f>
        <v>0.9004282963208351</v>
      </c>
      <c r="U106" s="101">
        <f>+AVERAGE(T108:T117)</f>
        <v>0.48413633354332991</v>
      </c>
    </row>
    <row r="107" spans="1:21" x14ac:dyDescent="0.3">
      <c r="A107" s="61" t="s">
        <v>212</v>
      </c>
      <c r="B107" s="61" t="s">
        <v>198</v>
      </c>
      <c r="C107" s="61" t="s">
        <v>9</v>
      </c>
      <c r="D107" s="61" t="s">
        <v>10</v>
      </c>
      <c r="E107" s="70" t="s">
        <v>212</v>
      </c>
      <c r="F107" s="61" t="s">
        <v>198</v>
      </c>
      <c r="G107" s="61" t="s">
        <v>9</v>
      </c>
      <c r="H107" s="71" t="s">
        <v>10</v>
      </c>
      <c r="I107" s="66" t="s">
        <v>231</v>
      </c>
      <c r="J107" s="66" t="s">
        <v>232</v>
      </c>
      <c r="K107" s="66" t="s">
        <v>233</v>
      </c>
      <c r="L107" s="66" t="s">
        <v>234</v>
      </c>
      <c r="M107" s="66" t="s">
        <v>232</v>
      </c>
      <c r="N107" s="66" t="s">
        <v>233</v>
      </c>
      <c r="O107" s="67" t="s">
        <v>234</v>
      </c>
      <c r="P107" t="s">
        <v>298</v>
      </c>
      <c r="Q107" t="s">
        <v>299</v>
      </c>
      <c r="R107" t="s">
        <v>300</v>
      </c>
      <c r="S107" t="s">
        <v>301</v>
      </c>
      <c r="T107" t="s">
        <v>302</v>
      </c>
    </row>
    <row r="108" spans="1:21" x14ac:dyDescent="0.3">
      <c r="A108">
        <v>0</v>
      </c>
      <c r="B108">
        <v>0</v>
      </c>
      <c r="C108" s="34">
        <v>0.34128910331000051</v>
      </c>
      <c r="D108" s="34">
        <v>0.38708358673024368</v>
      </c>
      <c r="E108">
        <v>6</v>
      </c>
      <c r="F108" s="75">
        <v>1.9300000000000001E-3</v>
      </c>
      <c r="G108" s="90">
        <v>1.0949103310000501E-2</v>
      </c>
      <c r="H108" s="34">
        <v>-5.0820484591374403E-3</v>
      </c>
      <c r="I108" s="34">
        <v>0.6227544910179641</v>
      </c>
      <c r="J108" s="64">
        <v>0.62790697674418605</v>
      </c>
      <c r="K108" s="4">
        <v>0.63529411764705879</v>
      </c>
      <c r="L108" s="65">
        <v>0.63157894736842102</v>
      </c>
      <c r="M108" s="4">
        <v>0.61728395061728392</v>
      </c>
      <c r="N108" s="4">
        <v>0.6097560975609756</v>
      </c>
      <c r="O108" s="4">
        <v>0.61349693251533743</v>
      </c>
      <c r="P108">
        <v>21.57194088804275</v>
      </c>
      <c r="Q108">
        <v>3.4994245990322179</v>
      </c>
      <c r="R108">
        <v>1.1974919398817341E-2</v>
      </c>
      <c r="S108">
        <v>0.98397255977197251</v>
      </c>
      <c r="T108">
        <v>0.98337153076342143</v>
      </c>
      <c r="U108">
        <f>+MAX(T108,T113)</f>
        <v>0.98337153076342143</v>
      </c>
    </row>
    <row r="109" spans="1:21" x14ac:dyDescent="0.3">
      <c r="A109">
        <v>0</v>
      </c>
      <c r="B109">
        <v>0</v>
      </c>
      <c r="C109" s="34">
        <v>8.1040354323447542E-2</v>
      </c>
      <c r="D109" s="34">
        <v>6.8853062630683859E-2</v>
      </c>
      <c r="E109">
        <v>6</v>
      </c>
      <c r="F109" s="63">
        <v>1.9300000000000001E-3</v>
      </c>
      <c r="G109" s="90">
        <v>-0.24929964567655261</v>
      </c>
      <c r="H109" s="34">
        <v>-0.23422033284445293</v>
      </c>
      <c r="I109" s="34">
        <v>0.51497005988023947</v>
      </c>
      <c r="J109" s="64">
        <v>0.54545454545454541</v>
      </c>
      <c r="K109" s="4">
        <v>0.28235294117647058</v>
      </c>
      <c r="L109" s="65">
        <v>0.37209302325581395</v>
      </c>
      <c r="M109" s="4">
        <v>0.50406504065040647</v>
      </c>
      <c r="N109" s="4">
        <v>0.75609756097560976</v>
      </c>
      <c r="O109" s="4">
        <v>0.60487804878048768</v>
      </c>
      <c r="P109">
        <v>2488.7199713172781</v>
      </c>
      <c r="Q109">
        <v>42.222871524679142</v>
      </c>
      <c r="R109">
        <v>0.13466226800977471</v>
      </c>
      <c r="S109">
        <v>-0.84905988717480807</v>
      </c>
      <c r="T109">
        <v>-0.91839963294386351</v>
      </c>
      <c r="U109">
        <f>+MAX(T109,T114)</f>
        <v>0.71632420723373746</v>
      </c>
    </row>
    <row r="110" spans="1:21" x14ac:dyDescent="0.3">
      <c r="A110">
        <v>0</v>
      </c>
      <c r="B110">
        <v>0</v>
      </c>
      <c r="C110" s="34">
        <v>5.72701149250225E-2</v>
      </c>
      <c r="D110" s="34">
        <v>4.3494060043455102E-2</v>
      </c>
      <c r="E110">
        <v>6</v>
      </c>
      <c r="F110" s="63">
        <v>1.9300000000000001E-3</v>
      </c>
      <c r="G110" s="90">
        <v>-0.27306988507497765</v>
      </c>
      <c r="H110" s="34">
        <v>-0.25265607520650679</v>
      </c>
      <c r="I110" s="34">
        <v>0.53293413173652693</v>
      </c>
      <c r="J110" s="64">
        <v>0.64</v>
      </c>
      <c r="K110" s="4">
        <v>0.18823529411764706</v>
      </c>
      <c r="L110" s="65">
        <v>0.29090909090909089</v>
      </c>
      <c r="M110" s="4">
        <v>0.5140845070422535</v>
      </c>
      <c r="N110" s="4">
        <v>0.8902439024390244</v>
      </c>
      <c r="O110" s="4">
        <v>0.6517857142857143</v>
      </c>
      <c r="P110">
        <v>3481.4869190681979</v>
      </c>
      <c r="Q110">
        <v>49.441368969894953</v>
      </c>
      <c r="R110">
        <v>0.15584436226257989</v>
      </c>
      <c r="S110">
        <v>-1.586662173312114</v>
      </c>
      <c r="T110">
        <v>-1.6836620048113189</v>
      </c>
      <c r="U110">
        <f>+MAX(T110,T115)</f>
        <v>0.95269654806054727</v>
      </c>
    </row>
    <row r="111" spans="1:21" x14ac:dyDescent="0.3">
      <c r="A111">
        <v>0</v>
      </c>
      <c r="B111">
        <v>0</v>
      </c>
      <c r="C111" s="34">
        <v>0.36081357666209252</v>
      </c>
      <c r="D111" s="34">
        <v>0.41558438236898188</v>
      </c>
      <c r="E111">
        <v>6</v>
      </c>
      <c r="F111" s="63">
        <v>1.9300000000000001E-3</v>
      </c>
      <c r="G111" s="90">
        <v>3.0473576662091655E-2</v>
      </c>
      <c r="H111" s="34">
        <v>1.6606443058334409E-2</v>
      </c>
      <c r="I111" s="34">
        <v>0.60479041916167664</v>
      </c>
      <c r="J111" s="64">
        <v>0.61176470588235299</v>
      </c>
      <c r="K111" s="4">
        <v>0.61176470588235299</v>
      </c>
      <c r="L111" s="65">
        <v>0.61176470588235299</v>
      </c>
      <c r="M111" s="4">
        <v>0.59756097560975607</v>
      </c>
      <c r="N111" s="4">
        <v>0.59756097560975607</v>
      </c>
      <c r="O111" s="4">
        <v>0.59756097560975607</v>
      </c>
      <c r="P111">
        <v>78.59694640718574</v>
      </c>
      <c r="Q111">
        <v>6.8838922155688689</v>
      </c>
      <c r="R111">
        <v>2.3737426405885151E-2</v>
      </c>
      <c r="S111">
        <v>0.94160433374148078</v>
      </c>
      <c r="T111">
        <v>0.9394144962567863</v>
      </c>
      <c r="U111">
        <f>+MAX(T111,T116)</f>
        <v>0.94932089922563412</v>
      </c>
    </row>
    <row r="112" spans="1:21" x14ac:dyDescent="0.3">
      <c r="A112">
        <v>0</v>
      </c>
      <c r="B112">
        <v>0</v>
      </c>
      <c r="C112" s="34">
        <v>0.33180071558965224</v>
      </c>
      <c r="D112" s="34">
        <v>0.3740390454747714</v>
      </c>
      <c r="E112">
        <v>6</v>
      </c>
      <c r="F112" s="63">
        <v>1.9300000000000001E-3</v>
      </c>
      <c r="G112" s="90">
        <v>1.4607155896516632E-3</v>
      </c>
      <c r="H112" s="34">
        <v>-1.43854302968923E-2</v>
      </c>
      <c r="I112" s="34">
        <v>0.58682634730538918</v>
      </c>
      <c r="J112" s="64">
        <v>0.60256410256410253</v>
      </c>
      <c r="K112" s="4">
        <v>0.55294117647058827</v>
      </c>
      <c r="L112" s="65">
        <v>0.57668711656441718</v>
      </c>
      <c r="M112" s="4">
        <v>0.5730337078651685</v>
      </c>
      <c r="N112" s="4">
        <v>0.62195121951219512</v>
      </c>
      <c r="O112" s="4">
        <v>0.59649122807017541</v>
      </c>
      <c r="P112">
        <v>34.614853797960293</v>
      </c>
      <c r="Q112">
        <v>4.416783532934164</v>
      </c>
      <c r="R112">
        <v>1.498280234460765E-2</v>
      </c>
      <c r="S112">
        <v>0.97428198495777285</v>
      </c>
      <c r="T112">
        <v>0.97331755939368936</v>
      </c>
      <c r="U112">
        <f>+MAX(T112,T117)</f>
        <v>0.97331755939368936</v>
      </c>
    </row>
    <row r="113" spans="1:21" x14ac:dyDescent="0.3">
      <c r="A113">
        <v>0</v>
      </c>
      <c r="B113">
        <v>0</v>
      </c>
      <c r="C113" s="34">
        <v>0.34128910331000051</v>
      </c>
      <c r="D113" s="34">
        <v>0.38708358673024368</v>
      </c>
      <c r="E113">
        <v>6</v>
      </c>
      <c r="F113" s="63">
        <v>1.9300000000000001E-3</v>
      </c>
      <c r="G113" s="90">
        <v>1.0949103310000501E-2</v>
      </c>
      <c r="H113" s="34">
        <v>-5.0820484591374403E-3</v>
      </c>
      <c r="I113" s="34">
        <v>0.6227544910179641</v>
      </c>
      <c r="J113" s="64">
        <v>0.62790697674418605</v>
      </c>
      <c r="K113" s="4">
        <v>0.63529411764705879</v>
      </c>
      <c r="L113" s="65">
        <v>0.63157894736842102</v>
      </c>
      <c r="M113" s="4">
        <v>0.61728395061728392</v>
      </c>
      <c r="N113" s="4">
        <v>0.6097560975609756</v>
      </c>
      <c r="O113" s="4">
        <v>0.61349693251533743</v>
      </c>
      <c r="P113">
        <v>21.571940888042729</v>
      </c>
      <c r="Q113">
        <v>42.069775697236778</v>
      </c>
      <c r="R113">
        <v>0.14633192612907589</v>
      </c>
      <c r="S113">
        <v>0.98397255977197251</v>
      </c>
      <c r="T113">
        <v>0.98337153076342143</v>
      </c>
    </row>
    <row r="114" spans="1:21" x14ac:dyDescent="0.3">
      <c r="A114">
        <v>0</v>
      </c>
      <c r="B114">
        <v>0</v>
      </c>
      <c r="C114" s="34">
        <v>0.2072798803795346</v>
      </c>
      <c r="D114" s="34">
        <v>0.21388101049301433</v>
      </c>
      <c r="E114">
        <v>6</v>
      </c>
      <c r="F114" s="63">
        <v>1.9300000000000001E-3</v>
      </c>
      <c r="G114" s="90">
        <v>-0.12306011962046556</v>
      </c>
      <c r="H114" s="34">
        <v>-0.12892508702243402</v>
      </c>
      <c r="I114" s="34">
        <v>0.52095808383233533</v>
      </c>
      <c r="J114" s="64">
        <v>0.52631578947368418</v>
      </c>
      <c r="K114" s="4">
        <v>0.58823529411764708</v>
      </c>
      <c r="L114" s="65">
        <v>0.55555555555555547</v>
      </c>
      <c r="M114" s="4">
        <v>0.51388888888888884</v>
      </c>
      <c r="N114" s="4">
        <v>0.45121951219512196</v>
      </c>
      <c r="O114" s="4">
        <v>0.48051948051948051</v>
      </c>
      <c r="P114">
        <v>368.00966738785729</v>
      </c>
      <c r="Q114">
        <v>13.51775719247774</v>
      </c>
      <c r="R114">
        <v>4.4213442023296398E-2</v>
      </c>
      <c r="S114">
        <v>0.72657754914095185</v>
      </c>
      <c r="T114">
        <v>0.71632420723373746</v>
      </c>
    </row>
    <row r="115" spans="1:21" x14ac:dyDescent="0.3">
      <c r="A115">
        <v>0</v>
      </c>
      <c r="B115">
        <v>0</v>
      </c>
      <c r="C115" s="34">
        <v>-3.8553986391879007E-2</v>
      </c>
      <c r="D115" s="34">
        <v>-5.2783971993002485E-2</v>
      </c>
      <c r="E115">
        <v>6</v>
      </c>
      <c r="F115" s="63">
        <v>1.9300000000000001E-3</v>
      </c>
      <c r="G115" s="90">
        <v>-0.36889398639187865</v>
      </c>
      <c r="H115" s="34">
        <v>-0.32268475936688934</v>
      </c>
      <c r="I115" s="34">
        <v>0.52095808383233533</v>
      </c>
      <c r="J115" s="64">
        <v>0.59259259259259256</v>
      </c>
      <c r="K115" s="4">
        <v>0.18823529411764706</v>
      </c>
      <c r="L115" s="65">
        <v>0.2857142857142857</v>
      </c>
      <c r="M115" s="4">
        <v>0.50714285714285712</v>
      </c>
      <c r="N115" s="4">
        <v>0.86585365853658536</v>
      </c>
      <c r="O115" s="4">
        <v>0.63963963963963966</v>
      </c>
      <c r="P115">
        <v>61.366278189549632</v>
      </c>
      <c r="Q115">
        <v>6.2725233147746806</v>
      </c>
      <c r="R115">
        <v>2.0919465295241621E-2</v>
      </c>
      <c r="S115">
        <v>0.95440631138366006</v>
      </c>
      <c r="T115">
        <v>0.95269654806054727</v>
      </c>
    </row>
    <row r="116" spans="1:21" x14ac:dyDescent="0.3">
      <c r="A116">
        <v>0</v>
      </c>
      <c r="B116">
        <v>0</v>
      </c>
      <c r="C116" s="34">
        <v>0.33607554601943845</v>
      </c>
      <c r="D116" s="34">
        <v>0.38011930358385815</v>
      </c>
      <c r="E116">
        <v>6</v>
      </c>
      <c r="F116" s="63">
        <v>1.9300000000000001E-3</v>
      </c>
      <c r="G116" s="90">
        <v>5.7355460194381883E-3</v>
      </c>
      <c r="H116" s="34">
        <v>-9.8261969510067132E-3</v>
      </c>
      <c r="I116" s="34">
        <v>0.6107784431137725</v>
      </c>
      <c r="J116" s="64">
        <v>0.625</v>
      </c>
      <c r="K116" s="4">
        <v>0.58823529411764708</v>
      </c>
      <c r="L116" s="65">
        <v>0.60606060606060608</v>
      </c>
      <c r="M116" s="4">
        <v>0.5977011494252874</v>
      </c>
      <c r="N116" s="4">
        <v>0.63414634146341464</v>
      </c>
      <c r="O116" s="4">
        <v>0.61538461538461542</v>
      </c>
      <c r="P116">
        <v>65.74547245508991</v>
      </c>
      <c r="Q116">
        <v>6.380598802395216</v>
      </c>
      <c r="R116">
        <v>2.1601706465520249E-2</v>
      </c>
      <c r="S116">
        <v>0.95115267395241843</v>
      </c>
      <c r="T116">
        <v>0.94932089922563412</v>
      </c>
    </row>
    <row r="117" spans="1:21" x14ac:dyDescent="0.3">
      <c r="A117">
        <v>0</v>
      </c>
      <c r="B117">
        <v>0</v>
      </c>
      <c r="C117" s="34">
        <v>0.37641520373400156</v>
      </c>
      <c r="D117" s="34">
        <v>0.43752861838129786</v>
      </c>
      <c r="E117">
        <v>6</v>
      </c>
      <c r="F117" s="63">
        <v>1.9300000000000001E-3</v>
      </c>
      <c r="G117" s="90">
        <v>4.6075203734001549E-2</v>
      </c>
      <c r="H117" s="34">
        <v>3.1989097311019433E-2</v>
      </c>
      <c r="I117" s="34">
        <v>0.57485029940119758</v>
      </c>
      <c r="J117" s="64">
        <v>0.6029411764705882</v>
      </c>
      <c r="K117" s="4">
        <v>0.4823529411764706</v>
      </c>
      <c r="L117" s="65">
        <v>0.53594771241830075</v>
      </c>
      <c r="M117" s="4">
        <v>0.55555555555555558</v>
      </c>
      <c r="N117" s="4">
        <v>0.67073170731707321</v>
      </c>
      <c r="O117" s="4">
        <v>0.60773480662983437</v>
      </c>
      <c r="P117">
        <v>70.561916766467121</v>
      </c>
      <c r="Q117">
        <v>6.5657485029940119</v>
      </c>
      <c r="R117">
        <v>2.271523376428702E-2</v>
      </c>
      <c r="S117">
        <v>0.94757417011204259</v>
      </c>
      <c r="T117">
        <v>0.94560820149124414</v>
      </c>
    </row>
    <row r="118" spans="1:21" x14ac:dyDescent="0.3">
      <c r="A118" s="103" t="s">
        <v>371</v>
      </c>
      <c r="B118" s="103"/>
      <c r="C118" s="104">
        <f>+AVERAGE(C120:C129)</f>
        <v>0.26048208783184773</v>
      </c>
      <c r="D118" s="104">
        <f>+AVERAGE(D120:D129)</f>
        <v>0.29638898833721267</v>
      </c>
      <c r="E118" s="103"/>
      <c r="F118" s="103"/>
      <c r="G118" s="104">
        <f>+AVERAGE(G120:G129)</f>
        <v>-6.9857912168152458E-2</v>
      </c>
      <c r="H118" s="104">
        <f>+AVERAGE(H120:H129)</f>
        <v>-7.0067284849760325E-2</v>
      </c>
      <c r="I118" s="104">
        <f>+AVERAGE(I120:I129)</f>
        <v>0.56826347305389224</v>
      </c>
      <c r="J118" s="103"/>
      <c r="K118" s="103"/>
      <c r="L118" s="103"/>
      <c r="M118" s="103"/>
      <c r="N118" s="103"/>
      <c r="O118" s="104">
        <f>+AVERAGE(O120:O129)</f>
        <v>0.60129986160299675</v>
      </c>
      <c r="P118" s="103"/>
      <c r="Q118" s="103"/>
      <c r="R118" s="103"/>
      <c r="S118" s="103"/>
      <c r="T118" s="104">
        <f>+AVERAGE(U119:U123)</f>
        <v>0.90260487048653859</v>
      </c>
      <c r="U118" s="104">
        <f>+AVERAGE(T120:T129)</f>
        <v>0.48506194401780878</v>
      </c>
    </row>
    <row r="119" spans="1:21" x14ac:dyDescent="0.3">
      <c r="A119" s="61" t="s">
        <v>212</v>
      </c>
      <c r="B119" s="61" t="s">
        <v>198</v>
      </c>
      <c r="C119" s="61" t="s">
        <v>9</v>
      </c>
      <c r="D119" s="61" t="s">
        <v>10</v>
      </c>
      <c r="E119" s="70" t="s">
        <v>212</v>
      </c>
      <c r="F119" s="61" t="s">
        <v>198</v>
      </c>
      <c r="G119" s="61" t="s">
        <v>9</v>
      </c>
      <c r="H119" s="71" t="s">
        <v>10</v>
      </c>
      <c r="I119" s="66" t="s">
        <v>231</v>
      </c>
      <c r="J119" s="66" t="s">
        <v>232</v>
      </c>
      <c r="K119" s="66" t="s">
        <v>233</v>
      </c>
      <c r="L119" s="66" t="s">
        <v>234</v>
      </c>
      <c r="M119" s="66" t="s">
        <v>232</v>
      </c>
      <c r="N119" s="66" t="s">
        <v>233</v>
      </c>
      <c r="O119" s="67" t="s">
        <v>234</v>
      </c>
      <c r="P119" t="s">
        <v>298</v>
      </c>
      <c r="Q119" t="s">
        <v>299</v>
      </c>
      <c r="R119" t="s">
        <v>300</v>
      </c>
      <c r="S119" t="s">
        <v>301</v>
      </c>
      <c r="T119" t="s">
        <v>302</v>
      </c>
    </row>
    <row r="120" spans="1:21" x14ac:dyDescent="0.3">
      <c r="A120">
        <v>0</v>
      </c>
      <c r="B120">
        <v>0</v>
      </c>
      <c r="C120" s="34">
        <v>0.34128910331000051</v>
      </c>
      <c r="D120" s="34">
        <v>0.38708358673024368</v>
      </c>
      <c r="E120">
        <v>6</v>
      </c>
      <c r="F120" s="75">
        <v>1.9300000000000001E-3</v>
      </c>
      <c r="G120" s="90">
        <v>1.0949103310000501E-2</v>
      </c>
      <c r="H120" s="34">
        <v>-5.0820484591374403E-3</v>
      </c>
      <c r="I120" s="34">
        <v>0.6227544910179641</v>
      </c>
      <c r="J120" s="64">
        <v>0.62790697674418605</v>
      </c>
      <c r="K120" s="4">
        <v>0.63529411764705879</v>
      </c>
      <c r="L120" s="65">
        <v>0.63157894736842102</v>
      </c>
      <c r="M120" s="4">
        <v>0.61728395061728392</v>
      </c>
      <c r="N120" s="4">
        <v>0.6097560975609756</v>
      </c>
      <c r="O120" s="4">
        <v>0.61349693251533743</v>
      </c>
      <c r="P120">
        <v>21.57194088804275</v>
      </c>
      <c r="Q120">
        <v>3.4994245990322179</v>
      </c>
      <c r="R120">
        <v>1.1974919398817341E-2</v>
      </c>
      <c r="S120">
        <v>0.98397255977197251</v>
      </c>
      <c r="T120">
        <v>0.98337153076342143</v>
      </c>
      <c r="U120">
        <f>+MAX(T120,T125)</f>
        <v>0.98337153076342143</v>
      </c>
    </row>
    <row r="121" spans="1:21" x14ac:dyDescent="0.3">
      <c r="A121">
        <v>0</v>
      </c>
      <c r="B121">
        <v>0</v>
      </c>
      <c r="C121" s="34">
        <v>8.1040354323447542E-2</v>
      </c>
      <c r="D121" s="34">
        <v>6.8853062630683859E-2</v>
      </c>
      <c r="E121">
        <v>6</v>
      </c>
      <c r="F121" s="63">
        <v>1.9300000000000001E-3</v>
      </c>
      <c r="G121" s="90">
        <v>-0.24929964567655261</v>
      </c>
      <c r="H121" s="34">
        <v>-0.23422033284445293</v>
      </c>
      <c r="I121" s="34">
        <v>0.51497005988023947</v>
      </c>
      <c r="J121" s="64">
        <v>0.54545454545454541</v>
      </c>
      <c r="K121" s="4">
        <v>0.28235294117647058</v>
      </c>
      <c r="L121" s="65">
        <v>0.37209302325581395</v>
      </c>
      <c r="M121" s="4">
        <v>0.50406504065040647</v>
      </c>
      <c r="N121" s="4">
        <v>0.75609756097560976</v>
      </c>
      <c r="O121" s="4">
        <v>0.60487804878048768</v>
      </c>
      <c r="P121">
        <v>2488.7199713172781</v>
      </c>
      <c r="Q121">
        <v>42.222871524679142</v>
      </c>
      <c r="R121">
        <v>0.13466226800977471</v>
      </c>
      <c r="S121">
        <v>-0.84905988717480807</v>
      </c>
      <c r="T121">
        <v>-0.91839963294386351</v>
      </c>
      <c r="U121">
        <f>+MAX(T121,T126)</f>
        <v>0.71632420723373746</v>
      </c>
    </row>
    <row r="122" spans="1:21" x14ac:dyDescent="0.3">
      <c r="A122">
        <v>0</v>
      </c>
      <c r="B122">
        <v>0</v>
      </c>
      <c r="C122" s="34">
        <v>5.72701149250225E-2</v>
      </c>
      <c r="D122" s="34">
        <v>4.3494060043455102E-2</v>
      </c>
      <c r="E122">
        <v>6</v>
      </c>
      <c r="F122" s="63">
        <v>1.9300000000000001E-3</v>
      </c>
      <c r="G122" s="90">
        <v>-0.27306988507497765</v>
      </c>
      <c r="H122" s="34">
        <v>-0.25265607520650679</v>
      </c>
      <c r="I122" s="34">
        <v>0.53293413173652693</v>
      </c>
      <c r="J122" s="64">
        <v>0.64</v>
      </c>
      <c r="K122" s="4">
        <v>0.18823529411764706</v>
      </c>
      <c r="L122" s="65">
        <v>0.29090909090909089</v>
      </c>
      <c r="M122" s="4">
        <v>0.5140845070422535</v>
      </c>
      <c r="N122" s="4">
        <v>0.8902439024390244</v>
      </c>
      <c r="O122" s="4">
        <v>0.6517857142857143</v>
      </c>
      <c r="P122">
        <v>3481.4869190681979</v>
      </c>
      <c r="Q122">
        <v>49.441368969894953</v>
      </c>
      <c r="R122">
        <v>0.15584436226257989</v>
      </c>
      <c r="S122">
        <v>-1.586662173312114</v>
      </c>
      <c r="T122">
        <v>-1.6836620048113189</v>
      </c>
      <c r="U122">
        <f>+MAX(T122,T127)</f>
        <v>0.95269654806054727</v>
      </c>
    </row>
    <row r="123" spans="1:21" x14ac:dyDescent="0.3">
      <c r="A123">
        <v>0</v>
      </c>
      <c r="B123">
        <v>0</v>
      </c>
      <c r="C123" s="34">
        <v>0.40485818171737281</v>
      </c>
      <c r="D123" s="34">
        <v>0.47913098165972623</v>
      </c>
      <c r="E123">
        <v>6</v>
      </c>
      <c r="F123" s="63">
        <v>1.9300000000000001E-3</v>
      </c>
      <c r="G123" s="90">
        <v>7.4518181717372789E-2</v>
      </c>
      <c r="H123" s="34">
        <v>6.2078805640650533E-2</v>
      </c>
      <c r="I123" s="34">
        <v>0.58083832335329344</v>
      </c>
      <c r="J123" s="64">
        <v>0.60273972602739723</v>
      </c>
      <c r="K123" s="4">
        <v>0.51764705882352946</v>
      </c>
      <c r="L123" s="65">
        <v>0.55696202531645567</v>
      </c>
      <c r="M123" s="4">
        <v>0.56382978723404253</v>
      </c>
      <c r="N123" s="4">
        <v>0.64634146341463417</v>
      </c>
      <c r="O123" s="4">
        <v>0.60227272727272718</v>
      </c>
      <c r="P123">
        <v>73.429246257485161</v>
      </c>
      <c r="Q123">
        <v>6.6660179640718642</v>
      </c>
      <c r="R123">
        <v>2.2801279770281839E-2</v>
      </c>
      <c r="S123">
        <v>0.94544381233524999</v>
      </c>
      <c r="T123">
        <v>0.94339795529782189</v>
      </c>
      <c r="U123">
        <f>+MAX(T123,T128)</f>
        <v>0.9580271958884482</v>
      </c>
    </row>
    <row r="124" spans="1:21" x14ac:dyDescent="0.3">
      <c r="A124">
        <v>0</v>
      </c>
      <c r="B124">
        <v>0</v>
      </c>
      <c r="C124" s="34">
        <v>0.33180071558965224</v>
      </c>
      <c r="D124" s="34">
        <v>0.3740390454747714</v>
      </c>
      <c r="E124">
        <v>6</v>
      </c>
      <c r="F124" s="63">
        <v>1.9300000000000001E-3</v>
      </c>
      <c r="G124" s="90">
        <v>1.4607155896516632E-3</v>
      </c>
      <c r="H124" s="34">
        <v>-1.43854302968923E-2</v>
      </c>
      <c r="I124" s="34">
        <v>0.58682634730538918</v>
      </c>
      <c r="J124" s="64">
        <v>0.60256410256410253</v>
      </c>
      <c r="K124" s="4">
        <v>0.55294117647058827</v>
      </c>
      <c r="L124" s="65">
        <v>0.57668711656441718</v>
      </c>
      <c r="M124" s="4">
        <v>0.5730337078651685</v>
      </c>
      <c r="N124" s="4">
        <v>0.62195121951219512</v>
      </c>
      <c r="O124" s="4">
        <v>0.59649122807017541</v>
      </c>
      <c r="P124">
        <v>34.614853797960293</v>
      </c>
      <c r="Q124">
        <v>4.416783532934164</v>
      </c>
      <c r="R124">
        <v>1.498280234460765E-2</v>
      </c>
      <c r="S124">
        <v>0.97428198495777285</v>
      </c>
      <c r="T124">
        <v>0.97331755939368936</v>
      </c>
      <c r="U124">
        <f>+MAX(T124,T129)</f>
        <v>0.97331755939368936</v>
      </c>
    </row>
    <row r="125" spans="1:21" x14ac:dyDescent="0.3">
      <c r="A125">
        <v>0</v>
      </c>
      <c r="B125">
        <v>0</v>
      </c>
      <c r="C125" s="34">
        <v>0.34128910331000051</v>
      </c>
      <c r="D125" s="34">
        <v>0.38708358673024368</v>
      </c>
      <c r="E125">
        <v>6</v>
      </c>
      <c r="F125" s="63">
        <v>1.9300000000000001E-3</v>
      </c>
      <c r="G125" s="90">
        <v>1.0949103310000501E-2</v>
      </c>
      <c r="H125" s="34">
        <v>-5.0820484591374403E-3</v>
      </c>
      <c r="I125" s="34">
        <v>0.6227544910179641</v>
      </c>
      <c r="J125" s="64">
        <v>0.62790697674418605</v>
      </c>
      <c r="K125" s="4">
        <v>0.63529411764705879</v>
      </c>
      <c r="L125" s="65">
        <v>0.63157894736842102</v>
      </c>
      <c r="M125" s="4">
        <v>0.61728395061728392</v>
      </c>
      <c r="N125" s="4">
        <v>0.6097560975609756</v>
      </c>
      <c r="O125" s="4">
        <v>0.61349693251533743</v>
      </c>
      <c r="P125">
        <v>21.571940888042729</v>
      </c>
      <c r="Q125">
        <v>42.069775697236778</v>
      </c>
      <c r="R125">
        <v>0.14633192612907589</v>
      </c>
      <c r="S125">
        <v>0.98397255977197251</v>
      </c>
      <c r="T125">
        <v>0.98337153076342143</v>
      </c>
    </row>
    <row r="126" spans="1:21" x14ac:dyDescent="0.3">
      <c r="A126">
        <v>0</v>
      </c>
      <c r="B126">
        <v>0</v>
      </c>
      <c r="C126" s="34">
        <v>0.2072798803795346</v>
      </c>
      <c r="D126" s="34">
        <v>0.21388101049301433</v>
      </c>
      <c r="E126">
        <v>6</v>
      </c>
      <c r="F126" s="63">
        <v>1.9300000000000001E-3</v>
      </c>
      <c r="G126" s="90">
        <v>-0.12306011962046556</v>
      </c>
      <c r="H126" s="34">
        <v>-0.12892508702243402</v>
      </c>
      <c r="I126" s="34">
        <v>0.52095808383233533</v>
      </c>
      <c r="J126" s="64">
        <v>0.52631578947368418</v>
      </c>
      <c r="K126" s="4">
        <v>0.58823529411764708</v>
      </c>
      <c r="L126" s="65">
        <v>0.55555555555555547</v>
      </c>
      <c r="M126" s="4">
        <v>0.51388888888888884</v>
      </c>
      <c r="N126" s="4">
        <v>0.45121951219512196</v>
      </c>
      <c r="O126" s="4">
        <v>0.48051948051948051</v>
      </c>
      <c r="P126">
        <v>368.00966738785729</v>
      </c>
      <c r="Q126">
        <v>13.51775719247774</v>
      </c>
      <c r="R126">
        <v>4.4213442023296398E-2</v>
      </c>
      <c r="S126">
        <v>0.72657754914095185</v>
      </c>
      <c r="T126">
        <v>0.71632420723373746</v>
      </c>
    </row>
    <row r="127" spans="1:21" x14ac:dyDescent="0.3">
      <c r="A127">
        <v>0</v>
      </c>
      <c r="B127">
        <v>0</v>
      </c>
      <c r="C127" s="34">
        <v>-3.8553986391879007E-2</v>
      </c>
      <c r="D127" s="34">
        <v>-5.2783971993002485E-2</v>
      </c>
      <c r="E127">
        <v>6</v>
      </c>
      <c r="F127" s="63">
        <v>1.9300000000000001E-3</v>
      </c>
      <c r="G127" s="90">
        <v>-0.36889398639187865</v>
      </c>
      <c r="H127" s="34">
        <v>-0.32268475936688934</v>
      </c>
      <c r="I127" s="34">
        <v>0.52095808383233533</v>
      </c>
      <c r="J127" s="64">
        <v>0.59259259259259256</v>
      </c>
      <c r="K127" s="4">
        <v>0.18823529411764706</v>
      </c>
      <c r="L127" s="65">
        <v>0.2857142857142857</v>
      </c>
      <c r="M127" s="4">
        <v>0.50714285714285712</v>
      </c>
      <c r="N127" s="4">
        <v>0.86585365853658536</v>
      </c>
      <c r="O127" s="4">
        <v>0.63963963963963966</v>
      </c>
      <c r="P127">
        <v>61.366278189549632</v>
      </c>
      <c r="Q127">
        <v>6.2725233147746806</v>
      </c>
      <c r="R127">
        <v>2.0919465295241621E-2</v>
      </c>
      <c r="S127">
        <v>0.95440631138366006</v>
      </c>
      <c r="T127">
        <v>0.95269654806054727</v>
      </c>
    </row>
    <row r="128" spans="1:21" x14ac:dyDescent="0.3">
      <c r="A128">
        <v>0</v>
      </c>
      <c r="B128">
        <v>0</v>
      </c>
      <c r="C128" s="34">
        <v>0.42032330030044834</v>
      </c>
      <c r="D128" s="34">
        <v>0.50235623897769222</v>
      </c>
      <c r="E128">
        <v>6</v>
      </c>
      <c r="F128" s="63">
        <v>1.9300000000000001E-3</v>
      </c>
      <c r="G128" s="90">
        <v>8.9983300300448321E-2</v>
      </c>
      <c r="H128" s="34">
        <v>7.894907786837474E-2</v>
      </c>
      <c r="I128" s="34">
        <v>0.58083832335329344</v>
      </c>
      <c r="J128" s="64">
        <v>0.6</v>
      </c>
      <c r="K128" s="4">
        <v>0.52941176470588236</v>
      </c>
      <c r="L128" s="65">
        <v>0.5625</v>
      </c>
      <c r="M128" s="4">
        <v>0.56521739130434778</v>
      </c>
      <c r="N128" s="4">
        <v>0.63414634146341464</v>
      </c>
      <c r="O128" s="4">
        <v>0.59770114942528729</v>
      </c>
      <c r="P128">
        <v>54.450883982035933</v>
      </c>
      <c r="Q128">
        <v>5.63865269461078</v>
      </c>
      <c r="R128">
        <v>1.925740714730809E-2</v>
      </c>
      <c r="S128">
        <v>0.95954428519368506</v>
      </c>
      <c r="T128">
        <v>0.9580271958884482</v>
      </c>
    </row>
    <row r="129" spans="1:21" x14ac:dyDescent="0.3">
      <c r="A129">
        <v>0</v>
      </c>
      <c r="B129">
        <v>0</v>
      </c>
      <c r="C129" s="34">
        <v>0.45822411085487663</v>
      </c>
      <c r="D129" s="34">
        <v>0.56075228262529886</v>
      </c>
      <c r="E129">
        <v>6</v>
      </c>
      <c r="F129" s="63">
        <v>1.9300000000000001E-3</v>
      </c>
      <c r="G129" s="90">
        <v>0.12788411085487605</v>
      </c>
      <c r="H129" s="34">
        <v>0.12133504964882173</v>
      </c>
      <c r="I129" s="34">
        <v>0.59880239520958078</v>
      </c>
      <c r="J129" s="64">
        <v>0.61842105263157898</v>
      </c>
      <c r="K129" s="4">
        <v>0.55294117647058827</v>
      </c>
      <c r="L129" s="65">
        <v>0.58385093167701863</v>
      </c>
      <c r="M129" s="4">
        <v>0.58241758241758246</v>
      </c>
      <c r="N129" s="4">
        <v>0.64634146341463417</v>
      </c>
      <c r="O129" s="4">
        <v>0.61271676300578037</v>
      </c>
      <c r="P129">
        <v>75.016356586826348</v>
      </c>
      <c r="Q129">
        <v>6.7559281437125733</v>
      </c>
      <c r="R129">
        <v>2.3365897401869271E-2</v>
      </c>
      <c r="S129">
        <v>0.94426462701897185</v>
      </c>
      <c r="T129">
        <v>0.94217455053218324</v>
      </c>
    </row>
    <row r="130" spans="1:21" x14ac:dyDescent="0.3">
      <c r="A130" t="s">
        <v>372</v>
      </c>
      <c r="C130" s="101">
        <f>+AVERAGE(C132:C141)</f>
        <v>0.24803341501126591</v>
      </c>
      <c r="D130" s="101">
        <f>+AVERAGE(D132:D141)</f>
        <v>0.27893814371553616</v>
      </c>
      <c r="G130" s="101">
        <f>+AVERAGE(G132:G141)</f>
        <v>-8.2306584988734222E-2</v>
      </c>
      <c r="H130" s="101">
        <f>+AVERAGE(H132:H141)</f>
        <v>-8.2736933275576546E-2</v>
      </c>
      <c r="I130" s="101">
        <f>+AVERAGE(I132:I141)</f>
        <v>0.56946107784431133</v>
      </c>
      <c r="O130" s="101">
        <f>+AVERAGE(O132:O141)</f>
        <v>0.60006779551845235</v>
      </c>
      <c r="T130" s="101">
        <f>+AVERAGE(U131:U135)</f>
        <v>0.90249592654981803</v>
      </c>
      <c r="U130" s="101">
        <f>+AVERAGE(T132:T141)</f>
        <v>0.48759112297985607</v>
      </c>
    </row>
    <row r="131" spans="1:21" x14ac:dyDescent="0.3">
      <c r="A131" s="61" t="s">
        <v>212</v>
      </c>
      <c r="B131" s="61" t="s">
        <v>198</v>
      </c>
      <c r="C131" s="61" t="s">
        <v>9</v>
      </c>
      <c r="D131" s="61" t="s">
        <v>10</v>
      </c>
      <c r="E131" s="70" t="s">
        <v>212</v>
      </c>
      <c r="F131" s="61" t="s">
        <v>198</v>
      </c>
      <c r="G131" s="61" t="s">
        <v>9</v>
      </c>
      <c r="H131" s="71" t="s">
        <v>10</v>
      </c>
      <c r="I131" s="66" t="s">
        <v>231</v>
      </c>
      <c r="J131" s="66" t="s">
        <v>232</v>
      </c>
      <c r="K131" s="66" t="s">
        <v>233</v>
      </c>
      <c r="L131" s="66" t="s">
        <v>234</v>
      </c>
      <c r="M131" s="66" t="s">
        <v>232</v>
      </c>
      <c r="N131" s="66" t="s">
        <v>233</v>
      </c>
      <c r="O131" s="67" t="s">
        <v>234</v>
      </c>
      <c r="P131" t="s">
        <v>298</v>
      </c>
      <c r="Q131" t="s">
        <v>299</v>
      </c>
      <c r="R131" t="s">
        <v>300</v>
      </c>
      <c r="S131" t="s">
        <v>301</v>
      </c>
      <c r="T131" t="s">
        <v>302</v>
      </c>
    </row>
    <row r="132" spans="1:21" x14ac:dyDescent="0.3">
      <c r="A132">
        <v>0</v>
      </c>
      <c r="B132">
        <v>0</v>
      </c>
      <c r="C132" s="34">
        <v>0.34128910331000051</v>
      </c>
      <c r="D132" s="34">
        <v>0.38708358673024368</v>
      </c>
      <c r="E132">
        <v>6</v>
      </c>
      <c r="F132" s="75">
        <v>1.9300000000000001E-3</v>
      </c>
      <c r="G132" s="90">
        <v>1.0949103310000501E-2</v>
      </c>
      <c r="H132" s="34">
        <v>-5.0820484591374403E-3</v>
      </c>
      <c r="I132" s="34">
        <v>0.6227544910179641</v>
      </c>
      <c r="J132" s="64">
        <v>0.62790697674418605</v>
      </c>
      <c r="K132" s="4">
        <v>0.63529411764705879</v>
      </c>
      <c r="L132" s="65">
        <v>0.63157894736842102</v>
      </c>
      <c r="M132" s="4">
        <v>0.61728395061728392</v>
      </c>
      <c r="N132" s="4">
        <v>0.6097560975609756</v>
      </c>
      <c r="O132" s="4">
        <v>0.61349693251533743</v>
      </c>
      <c r="P132">
        <v>21.57194088804275</v>
      </c>
      <c r="Q132">
        <v>3.4994245990322179</v>
      </c>
      <c r="R132">
        <v>1.1974919398817341E-2</v>
      </c>
      <c r="S132">
        <v>0.98397255977197251</v>
      </c>
      <c r="T132">
        <v>0.98337153076342143</v>
      </c>
      <c r="U132">
        <f>+MAX(T132,T137)</f>
        <v>0.98337153076342143</v>
      </c>
    </row>
    <row r="133" spans="1:21" x14ac:dyDescent="0.3">
      <c r="A133">
        <v>0</v>
      </c>
      <c r="B133">
        <v>0</v>
      </c>
      <c r="C133" s="34">
        <v>8.1040354323447542E-2</v>
      </c>
      <c r="D133" s="34">
        <v>6.8853062630683859E-2</v>
      </c>
      <c r="E133">
        <v>6</v>
      </c>
      <c r="F133" s="63">
        <v>1.9300000000000001E-3</v>
      </c>
      <c r="G133" s="90">
        <v>-0.24929964567655261</v>
      </c>
      <c r="H133" s="34">
        <v>-0.23422033284445293</v>
      </c>
      <c r="I133" s="34">
        <v>0.51497005988023947</v>
      </c>
      <c r="J133" s="64">
        <v>0.54545454545454541</v>
      </c>
      <c r="K133" s="4">
        <v>0.28235294117647058</v>
      </c>
      <c r="L133" s="65">
        <v>0.37209302325581395</v>
      </c>
      <c r="M133" s="4">
        <v>0.50406504065040647</v>
      </c>
      <c r="N133" s="4">
        <v>0.75609756097560976</v>
      </c>
      <c r="O133" s="4">
        <v>0.60487804878048768</v>
      </c>
      <c r="P133">
        <v>2488.7199713172781</v>
      </c>
      <c r="Q133">
        <v>42.222871524679142</v>
      </c>
      <c r="R133">
        <v>0.13466226800977471</v>
      </c>
      <c r="S133">
        <v>-0.84905988717480807</v>
      </c>
      <c r="T133">
        <v>-0.91839963294386351</v>
      </c>
      <c r="U133">
        <f>+MAX(T133,T138)</f>
        <v>0.71632420723373746</v>
      </c>
    </row>
    <row r="134" spans="1:21" x14ac:dyDescent="0.3">
      <c r="A134">
        <v>0</v>
      </c>
      <c r="B134">
        <v>0</v>
      </c>
      <c r="C134" s="34">
        <v>5.72701149250225E-2</v>
      </c>
      <c r="D134" s="34">
        <v>4.3494060043455102E-2</v>
      </c>
      <c r="E134">
        <v>6</v>
      </c>
      <c r="F134" s="63">
        <v>1.9300000000000001E-3</v>
      </c>
      <c r="G134" s="90">
        <v>-0.27306988507497765</v>
      </c>
      <c r="H134" s="34">
        <v>-0.25265607520650679</v>
      </c>
      <c r="I134" s="34">
        <v>0.53293413173652693</v>
      </c>
      <c r="J134" s="64">
        <v>0.64</v>
      </c>
      <c r="K134" s="4">
        <v>0.18823529411764706</v>
      </c>
      <c r="L134" s="65">
        <v>0.29090909090909089</v>
      </c>
      <c r="M134" s="4">
        <v>0.5140845070422535</v>
      </c>
      <c r="N134" s="4">
        <v>0.8902439024390244</v>
      </c>
      <c r="O134" s="4">
        <v>0.6517857142857143</v>
      </c>
      <c r="P134">
        <v>3481.4869190681979</v>
      </c>
      <c r="Q134">
        <v>49.441368969894953</v>
      </c>
      <c r="R134">
        <v>0.15584436226257989</v>
      </c>
      <c r="S134">
        <v>-1.586662173312114</v>
      </c>
      <c r="T134">
        <v>-1.6836620048113189</v>
      </c>
      <c r="U134">
        <f>+MAX(T134,T139)</f>
        <v>0.95269654806054727</v>
      </c>
    </row>
    <row r="135" spans="1:21" x14ac:dyDescent="0.3">
      <c r="A135">
        <v>0</v>
      </c>
      <c r="B135">
        <v>0</v>
      </c>
      <c r="C135" s="34">
        <v>0.38439543781581803</v>
      </c>
      <c r="D135" s="34">
        <v>0.44894826906779139</v>
      </c>
      <c r="E135">
        <v>6</v>
      </c>
      <c r="F135" s="63">
        <v>1.9300000000000001E-3</v>
      </c>
      <c r="G135" s="90">
        <v>5.4055437815818001E-2</v>
      </c>
      <c r="H135" s="34">
        <v>4.0145829223081089E-2</v>
      </c>
      <c r="I135" s="34">
        <v>0.58083832335329344</v>
      </c>
      <c r="J135" s="64">
        <v>0.60273972602739723</v>
      </c>
      <c r="K135" s="4">
        <v>0.51764705882352946</v>
      </c>
      <c r="L135" s="65">
        <v>0.55696202531645567</v>
      </c>
      <c r="M135" s="4">
        <v>0.56382978723404253</v>
      </c>
      <c r="N135" s="4">
        <v>0.64634146341463417</v>
      </c>
      <c r="O135" s="4">
        <v>0.60227272727272718</v>
      </c>
      <c r="P135">
        <v>55.016211344311436</v>
      </c>
      <c r="Q135">
        <v>5.7521377245509004</v>
      </c>
      <c r="R135">
        <v>1.969206603690226E-2</v>
      </c>
      <c r="S135">
        <v>0.95912426037741272</v>
      </c>
      <c r="T135">
        <v>0.95759142014156573</v>
      </c>
      <c r="U135">
        <f>+MAX(T135,T140)</f>
        <v>0.95759142014156573</v>
      </c>
    </row>
    <row r="136" spans="1:21" x14ac:dyDescent="0.3">
      <c r="A136">
        <v>0</v>
      </c>
      <c r="B136">
        <v>0</v>
      </c>
      <c r="C136" s="34">
        <v>0.33180071558965224</v>
      </c>
      <c r="D136" s="34">
        <v>0.3740390454747714</v>
      </c>
      <c r="E136">
        <v>6</v>
      </c>
      <c r="F136" s="63">
        <v>1.9300000000000001E-3</v>
      </c>
      <c r="G136" s="90">
        <v>1.4607155896516632E-3</v>
      </c>
      <c r="H136" s="34">
        <v>-1.43854302968923E-2</v>
      </c>
      <c r="I136" s="34">
        <v>0.58682634730538918</v>
      </c>
      <c r="J136" s="64">
        <v>0.60256410256410253</v>
      </c>
      <c r="K136" s="4">
        <v>0.55294117647058827</v>
      </c>
      <c r="L136" s="65">
        <v>0.57668711656441718</v>
      </c>
      <c r="M136" s="4">
        <v>0.5730337078651685</v>
      </c>
      <c r="N136" s="4">
        <v>0.62195121951219512</v>
      </c>
      <c r="O136" s="4">
        <v>0.59649122807017541</v>
      </c>
      <c r="P136">
        <v>34.614853797960293</v>
      </c>
      <c r="Q136">
        <v>4.416783532934164</v>
      </c>
      <c r="R136">
        <v>1.498280234460765E-2</v>
      </c>
      <c r="S136">
        <v>0.97428198495777285</v>
      </c>
      <c r="T136">
        <v>0.97331755939368936</v>
      </c>
      <c r="U136">
        <f>+MAX(T136,T141)</f>
        <v>0.97331755939368936</v>
      </c>
    </row>
    <row r="137" spans="1:21" x14ac:dyDescent="0.3">
      <c r="A137">
        <v>0</v>
      </c>
      <c r="B137">
        <v>0</v>
      </c>
      <c r="C137" s="34">
        <v>0.34128910331000051</v>
      </c>
      <c r="D137" s="34">
        <v>0.38708358673024368</v>
      </c>
      <c r="E137">
        <v>6</v>
      </c>
      <c r="F137" s="63">
        <v>1.9300000000000001E-3</v>
      </c>
      <c r="G137" s="90">
        <v>1.0949103310000501E-2</v>
      </c>
      <c r="H137" s="34">
        <v>-5.0820484591374403E-3</v>
      </c>
      <c r="I137" s="34">
        <v>0.6227544910179641</v>
      </c>
      <c r="J137" s="64">
        <v>0.62790697674418605</v>
      </c>
      <c r="K137" s="4">
        <v>0.63529411764705879</v>
      </c>
      <c r="L137" s="65">
        <v>0.63157894736842102</v>
      </c>
      <c r="M137" s="4">
        <v>0.61728395061728392</v>
      </c>
      <c r="N137" s="4">
        <v>0.6097560975609756</v>
      </c>
      <c r="O137" s="4">
        <v>0.61349693251533743</v>
      </c>
      <c r="P137">
        <v>21.571940888042729</v>
      </c>
      <c r="Q137">
        <v>42.069775697236778</v>
      </c>
      <c r="R137">
        <v>0.14633192612907589</v>
      </c>
      <c r="S137">
        <v>0.98397255977197251</v>
      </c>
      <c r="T137">
        <v>0.98337153076342143</v>
      </c>
    </row>
    <row r="138" spans="1:21" x14ac:dyDescent="0.3">
      <c r="A138">
        <v>0</v>
      </c>
      <c r="B138">
        <v>0</v>
      </c>
      <c r="C138" s="34">
        <v>0.2072798803795346</v>
      </c>
      <c r="D138" s="34">
        <v>0.21388101049301433</v>
      </c>
      <c r="E138">
        <v>6</v>
      </c>
      <c r="F138" s="63">
        <v>1.9300000000000001E-3</v>
      </c>
      <c r="G138" s="90">
        <v>-0.12306011962046556</v>
      </c>
      <c r="H138" s="34">
        <v>-0.12892508702243402</v>
      </c>
      <c r="I138" s="34">
        <v>0.52095808383233533</v>
      </c>
      <c r="J138" s="64">
        <v>0.52631578947368418</v>
      </c>
      <c r="K138" s="4">
        <v>0.58823529411764708</v>
      </c>
      <c r="L138" s="65">
        <v>0.55555555555555547</v>
      </c>
      <c r="M138" s="4">
        <v>0.51388888888888884</v>
      </c>
      <c r="N138" s="4">
        <v>0.45121951219512196</v>
      </c>
      <c r="O138" s="4">
        <v>0.48051948051948051</v>
      </c>
      <c r="P138">
        <v>368.00966738785729</v>
      </c>
      <c r="Q138">
        <v>13.51775719247774</v>
      </c>
      <c r="R138">
        <v>4.4213442023296398E-2</v>
      </c>
      <c r="S138">
        <v>0.72657754914095185</v>
      </c>
      <c r="T138">
        <v>0.71632420723373746</v>
      </c>
    </row>
    <row r="139" spans="1:21" x14ac:dyDescent="0.3">
      <c r="A139">
        <v>0</v>
      </c>
      <c r="B139">
        <v>0</v>
      </c>
      <c r="C139" s="34">
        <v>-3.8553986391879007E-2</v>
      </c>
      <c r="D139" s="34">
        <v>-5.2783971993002485E-2</v>
      </c>
      <c r="E139">
        <v>6</v>
      </c>
      <c r="F139" s="63">
        <v>1.9300000000000001E-3</v>
      </c>
      <c r="G139" s="90">
        <v>-0.36889398639187865</v>
      </c>
      <c r="H139" s="34">
        <v>-0.32268475936688934</v>
      </c>
      <c r="I139" s="34">
        <v>0.52095808383233533</v>
      </c>
      <c r="J139" s="64">
        <v>0.59259259259259256</v>
      </c>
      <c r="K139" s="4">
        <v>0.18823529411764706</v>
      </c>
      <c r="L139" s="65">
        <v>0.2857142857142857</v>
      </c>
      <c r="M139" s="4">
        <v>0.50714285714285712</v>
      </c>
      <c r="N139" s="4">
        <v>0.86585365853658536</v>
      </c>
      <c r="O139" s="4">
        <v>0.63963963963963966</v>
      </c>
      <c r="P139">
        <v>61.366278189549632</v>
      </c>
      <c r="Q139">
        <v>6.2725233147746806</v>
      </c>
      <c r="R139">
        <v>2.0919465295241621E-2</v>
      </c>
      <c r="S139">
        <v>0.95440631138366006</v>
      </c>
      <c r="T139">
        <v>0.95269654806054727</v>
      </c>
    </row>
    <row r="140" spans="1:21" x14ac:dyDescent="0.3">
      <c r="A140">
        <v>0</v>
      </c>
      <c r="B140">
        <v>0</v>
      </c>
      <c r="C140" s="34">
        <v>0.47956090700028436</v>
      </c>
      <c r="D140" s="34">
        <v>0.59447199522582839</v>
      </c>
      <c r="E140">
        <v>6</v>
      </c>
      <c r="F140" s="63">
        <v>1.9300000000000001E-3</v>
      </c>
      <c r="G140" s="90">
        <v>0.14922090700028376</v>
      </c>
      <c r="H140" s="34">
        <v>0.14569546048529461</v>
      </c>
      <c r="I140" s="34">
        <v>0.60479041916167664</v>
      </c>
      <c r="J140" s="64">
        <v>0.62337662337662336</v>
      </c>
      <c r="K140" s="4">
        <v>0.56470588235294117</v>
      </c>
      <c r="L140" s="65">
        <v>0.59259259259259256</v>
      </c>
      <c r="M140" s="4">
        <v>0.58888888888888891</v>
      </c>
      <c r="N140" s="4">
        <v>0.64634146341463417</v>
      </c>
      <c r="O140" s="4">
        <v>0.61627906976744184</v>
      </c>
      <c r="P140">
        <v>61.967265419161663</v>
      </c>
      <c r="Q140">
        <v>6.1035029940119783</v>
      </c>
      <c r="R140">
        <v>2.0799588390380281E-2</v>
      </c>
      <c r="S140">
        <v>0.95395979213208193</v>
      </c>
      <c r="T140">
        <v>0.95223328433703502</v>
      </c>
    </row>
    <row r="141" spans="1:21" x14ac:dyDescent="0.3">
      <c r="A141">
        <v>0</v>
      </c>
      <c r="B141">
        <v>0</v>
      </c>
      <c r="C141" s="34">
        <v>0.29496251985077787</v>
      </c>
      <c r="D141" s="34">
        <v>0.32431079275233232</v>
      </c>
      <c r="E141">
        <v>6</v>
      </c>
      <c r="F141" s="63">
        <v>1.9300000000000001E-3</v>
      </c>
      <c r="G141" s="90">
        <v>-3.5377480149222248E-2</v>
      </c>
      <c r="H141" s="34">
        <v>-5.0174840808690786E-2</v>
      </c>
      <c r="I141" s="34">
        <v>0.58682634730538918</v>
      </c>
      <c r="J141" s="64">
        <v>0.59523809523809523</v>
      </c>
      <c r="K141" s="4">
        <v>0.58823529411764708</v>
      </c>
      <c r="L141" s="65">
        <v>0.59171597633136097</v>
      </c>
      <c r="M141" s="4">
        <v>0.57831325301204817</v>
      </c>
      <c r="N141" s="4">
        <v>0.58536585365853655</v>
      </c>
      <c r="O141" s="4">
        <v>0.58181818181818179</v>
      </c>
      <c r="P141">
        <v>53.102233383233603</v>
      </c>
      <c r="Q141">
        <v>5.6679341317365317</v>
      </c>
      <c r="R141">
        <v>1.933732647201768E-2</v>
      </c>
      <c r="S141">
        <v>0.96054630058826551</v>
      </c>
      <c r="T141">
        <v>0.95906678686032543</v>
      </c>
    </row>
    <row r="142" spans="1:21" x14ac:dyDescent="0.3">
      <c r="A142" t="s">
        <v>373</v>
      </c>
      <c r="C142" s="101">
        <f>+AVERAGE(C144:C153)</f>
        <v>0.15717188117388523</v>
      </c>
      <c r="D142" s="101">
        <f>+AVERAGE(D144:D153)</f>
        <v>0.16284183158286339</v>
      </c>
      <c r="G142" s="101">
        <f>+AVERAGE(G144:G153)</f>
        <v>-0.17316811882611491</v>
      </c>
      <c r="H142" s="101">
        <f>+AVERAGE(H144:H153)</f>
        <v>-0.16676448883661321</v>
      </c>
      <c r="I142" s="101">
        <f>+AVERAGE(I144:I153)</f>
        <v>0.53413173652694612</v>
      </c>
      <c r="O142" s="101">
        <f>+AVERAGE(O144:O153)</f>
        <v>0.5771310078786126</v>
      </c>
      <c r="T142" s="101">
        <f>+AVERAGE(U143:U147)</f>
        <v>0.96092017242272365</v>
      </c>
      <c r="U142" s="101">
        <f>+AVERAGE(T144:T153)</f>
        <v>0.90525012145966366</v>
      </c>
    </row>
    <row r="143" spans="1:21" x14ac:dyDescent="0.3">
      <c r="A143" s="61" t="s">
        <v>212</v>
      </c>
      <c r="B143" s="61" t="s">
        <v>198</v>
      </c>
      <c r="C143" s="61" t="s">
        <v>9</v>
      </c>
      <c r="D143" s="61" t="s">
        <v>10</v>
      </c>
      <c r="E143" s="70" t="s">
        <v>212</v>
      </c>
      <c r="F143" s="61" t="s">
        <v>198</v>
      </c>
      <c r="G143" s="61" t="s">
        <v>9</v>
      </c>
      <c r="H143" s="71" t="s">
        <v>10</v>
      </c>
      <c r="I143" s="66" t="s">
        <v>231</v>
      </c>
      <c r="J143" s="66" t="s">
        <v>232</v>
      </c>
      <c r="K143" s="66" t="s">
        <v>233</v>
      </c>
      <c r="L143" s="66" t="s">
        <v>234</v>
      </c>
      <c r="M143" s="66" t="s">
        <v>232</v>
      </c>
      <c r="N143" s="66" t="s">
        <v>233</v>
      </c>
      <c r="O143" s="67" t="s">
        <v>234</v>
      </c>
      <c r="P143" t="s">
        <v>298</v>
      </c>
      <c r="Q143" t="s">
        <v>299</v>
      </c>
      <c r="R143" t="s">
        <v>300</v>
      </c>
      <c r="S143" t="s">
        <v>301</v>
      </c>
      <c r="T143" t="s">
        <v>302</v>
      </c>
    </row>
    <row r="144" spans="1:21" x14ac:dyDescent="0.3">
      <c r="A144">
        <v>0</v>
      </c>
      <c r="B144">
        <v>0</v>
      </c>
      <c r="C144" s="34">
        <v>2.2875151423855714E-2</v>
      </c>
      <c r="D144" s="34">
        <v>7.4765466566896069E-3</v>
      </c>
      <c r="E144">
        <v>6</v>
      </c>
      <c r="F144" s="75">
        <v>1.9300000000000001E-3</v>
      </c>
      <c r="G144" s="90">
        <v>-0.30746484857614442</v>
      </c>
      <c r="H144" s="34">
        <v>-0.27923991568180412</v>
      </c>
      <c r="I144" s="34">
        <v>0.52095808383233533</v>
      </c>
      <c r="J144" s="64">
        <v>0.53846153846153844</v>
      </c>
      <c r="K144" s="4">
        <v>0.41176470588235292</v>
      </c>
      <c r="L144" s="65">
        <v>0.46666666666666667</v>
      </c>
      <c r="M144" s="4">
        <v>0.50980392156862742</v>
      </c>
      <c r="N144" s="4">
        <v>0.63414634146341464</v>
      </c>
      <c r="O144" s="4">
        <v>0.56521739130434767</v>
      </c>
      <c r="P144">
        <v>23.406429401404701</v>
      </c>
      <c r="Q144">
        <v>3.653579288090087</v>
      </c>
      <c r="R144">
        <v>1.250229926989716E-2</v>
      </c>
      <c r="S144">
        <v>0.98260957833467355</v>
      </c>
      <c r="T144">
        <v>0.98206950312767582</v>
      </c>
      <c r="U144">
        <f>+MAX(T144,T149)</f>
        <v>0.98206950312767594</v>
      </c>
    </row>
    <row r="145" spans="1:21" x14ac:dyDescent="0.3">
      <c r="A145">
        <v>0</v>
      </c>
      <c r="B145">
        <v>0</v>
      </c>
      <c r="C145" s="34">
        <v>0.33419366284144431</v>
      </c>
      <c r="D145" s="34">
        <v>0.37800584660303022</v>
      </c>
      <c r="E145">
        <v>6</v>
      </c>
      <c r="F145" s="63">
        <v>1.9300000000000001E-3</v>
      </c>
      <c r="G145" s="90">
        <v>3.8536628414443112E-3</v>
      </c>
      <c r="H145" s="34">
        <v>-1.0933785634666855E-2</v>
      </c>
      <c r="I145" s="34">
        <v>0.56287425149700598</v>
      </c>
      <c r="J145" s="64">
        <v>0.57692307692307687</v>
      </c>
      <c r="K145" s="4">
        <v>0.52941176470588236</v>
      </c>
      <c r="L145" s="65">
        <v>0.5521472392638036</v>
      </c>
      <c r="M145" s="4">
        <v>0.550561797752809</v>
      </c>
      <c r="N145" s="4">
        <v>0.59756097560975607</v>
      </c>
      <c r="O145" s="4">
        <v>0.57309941520467844</v>
      </c>
      <c r="P145">
        <v>34.103656799835662</v>
      </c>
      <c r="Q145">
        <v>4.5232133433182611</v>
      </c>
      <c r="R145">
        <v>1.5334390237190789E-2</v>
      </c>
      <c r="S145">
        <v>0.9746617921978683</v>
      </c>
      <c r="T145">
        <v>0.97387489133444805</v>
      </c>
      <c r="U145">
        <f>+MAX(T145,T150)</f>
        <v>0.97387489133444805</v>
      </c>
    </row>
    <row r="146" spans="1:21" x14ac:dyDescent="0.3">
      <c r="A146">
        <v>0</v>
      </c>
      <c r="B146">
        <v>0</v>
      </c>
      <c r="C146" s="34">
        <v>-1.5679412486515502E-2</v>
      </c>
      <c r="D146" s="34">
        <v>-3.0490531019114423E-2</v>
      </c>
      <c r="E146">
        <v>6</v>
      </c>
      <c r="F146" s="63">
        <v>1.9300000000000001E-3</v>
      </c>
      <c r="G146" s="90">
        <v>-0.34601941248651541</v>
      </c>
      <c r="H146" s="34">
        <v>-0.30634559269327144</v>
      </c>
      <c r="I146" s="34">
        <v>0.50299401197604787</v>
      </c>
      <c r="J146" s="64">
        <v>0.52500000000000002</v>
      </c>
      <c r="K146" s="4">
        <v>0.24705882352941178</v>
      </c>
      <c r="L146" s="65">
        <v>0.33600000000000002</v>
      </c>
      <c r="M146" s="4">
        <v>0.49606299212598426</v>
      </c>
      <c r="N146" s="4">
        <v>0.76829268292682928</v>
      </c>
      <c r="O146" s="4">
        <v>0.60287081339712922</v>
      </c>
      <c r="P146">
        <v>537.29748743702953</v>
      </c>
      <c r="Q146">
        <v>20.235498697794782</v>
      </c>
      <c r="R146">
        <v>6.5837951560834912E-2</v>
      </c>
      <c r="S146">
        <v>0.60080071564911131</v>
      </c>
      <c r="T146">
        <v>0.58840322234628872</v>
      </c>
      <c r="U146">
        <f>+MAX(T146,T151)</f>
        <v>0.96507178333930388</v>
      </c>
    </row>
    <row r="147" spans="1:21" x14ac:dyDescent="0.3">
      <c r="A147">
        <v>0</v>
      </c>
      <c r="B147">
        <v>0</v>
      </c>
      <c r="C147" s="34">
        <v>0.22389976511158383</v>
      </c>
      <c r="D147" s="34">
        <v>0.23268533780365877</v>
      </c>
      <c r="E147">
        <v>6</v>
      </c>
      <c r="F147" s="63">
        <v>1.9300000000000001E-3</v>
      </c>
      <c r="G147" s="90">
        <v>-0.10644023488841631</v>
      </c>
      <c r="H147" s="34">
        <v>-0.11680474498772149</v>
      </c>
      <c r="I147" s="34">
        <v>0.53293413173652693</v>
      </c>
      <c r="J147" s="64">
        <v>0.55223880597014929</v>
      </c>
      <c r="K147" s="4">
        <v>0.43529411764705883</v>
      </c>
      <c r="L147" s="65">
        <v>0.48684210526315791</v>
      </c>
      <c r="M147" s="4">
        <v>0.52</v>
      </c>
      <c r="N147" s="4">
        <v>0.63414634146341464</v>
      </c>
      <c r="O147" s="4">
        <v>0.5714285714285714</v>
      </c>
      <c r="P147">
        <v>100.9535684131735</v>
      </c>
      <c r="Q147">
        <v>7.7473952095808301</v>
      </c>
      <c r="R147">
        <v>2.5998105838239409E-2</v>
      </c>
      <c r="S147">
        <v>0.92499389406147092</v>
      </c>
      <c r="T147">
        <v>0.92266451188946697</v>
      </c>
      <c r="U147">
        <f>+MAX(T147,T152)</f>
        <v>0.92266451188946697</v>
      </c>
    </row>
    <row r="148" spans="1:21" x14ac:dyDescent="0.3">
      <c r="A148">
        <v>0</v>
      </c>
      <c r="B148">
        <v>0</v>
      </c>
      <c r="C148" s="34">
        <v>0.18804835223913527</v>
      </c>
      <c r="D148" s="34">
        <v>0.18929363463706977</v>
      </c>
      <c r="E148">
        <v>6</v>
      </c>
      <c r="F148" s="63">
        <v>1.9300000000000001E-3</v>
      </c>
      <c r="G148" s="90">
        <v>-0.142291647760865</v>
      </c>
      <c r="H148" s="34">
        <v>-0.14795690841578543</v>
      </c>
      <c r="I148" s="34">
        <v>0.53293413173652693</v>
      </c>
      <c r="J148" s="64">
        <v>0.5636363636363636</v>
      </c>
      <c r="K148" s="4">
        <v>0.36470588235294116</v>
      </c>
      <c r="L148" s="65">
        <v>0.44285714285714284</v>
      </c>
      <c r="M148" s="4">
        <v>0.5178571428571429</v>
      </c>
      <c r="N148" s="4">
        <v>0.70731707317073167</v>
      </c>
      <c r="O148" s="4">
        <v>0.59793814432989689</v>
      </c>
      <c r="P148">
        <v>55.831934149884731</v>
      </c>
      <c r="Q148">
        <v>5.9963636826347546</v>
      </c>
      <c r="R148">
        <v>2.0198789607314981E-2</v>
      </c>
      <c r="S148">
        <v>0.95851819768806934</v>
      </c>
      <c r="T148">
        <v>0.95722994295788522</v>
      </c>
      <c r="U148">
        <f>+MAX(T148,T153)</f>
        <v>0.95722994295788522</v>
      </c>
    </row>
    <row r="149" spans="1:21" x14ac:dyDescent="0.3">
      <c r="A149">
        <v>0</v>
      </c>
      <c r="B149">
        <v>0</v>
      </c>
      <c r="C149" s="34">
        <v>2.2875151423855714E-2</v>
      </c>
      <c r="D149" s="34">
        <v>7.4765466566896069E-3</v>
      </c>
      <c r="E149">
        <v>6</v>
      </c>
      <c r="F149" s="63">
        <v>1.9300000000000001E-3</v>
      </c>
      <c r="G149" s="90">
        <v>-0.30746484857614442</v>
      </c>
      <c r="H149" s="34">
        <v>-0.27923991568180412</v>
      </c>
      <c r="I149" s="34">
        <v>0.52095808383233533</v>
      </c>
      <c r="J149" s="64">
        <v>0.53846153846153844</v>
      </c>
      <c r="K149" s="4">
        <v>0.41176470588235292</v>
      </c>
      <c r="L149" s="65">
        <v>0.46666666666666667</v>
      </c>
      <c r="M149" s="4">
        <v>0.50980392156862742</v>
      </c>
      <c r="N149" s="4">
        <v>0.63414634146341464</v>
      </c>
      <c r="O149" s="4">
        <v>0.56521739130434767</v>
      </c>
      <c r="P149">
        <v>23.406429401404569</v>
      </c>
      <c r="Q149">
        <v>41.881451179027053</v>
      </c>
      <c r="R149">
        <v>0.1455228327078168</v>
      </c>
      <c r="S149">
        <v>0.98260957833467366</v>
      </c>
      <c r="T149">
        <v>0.98206950312767594</v>
      </c>
    </row>
    <row r="150" spans="1:21" x14ac:dyDescent="0.3">
      <c r="A150">
        <v>0</v>
      </c>
      <c r="B150">
        <v>0</v>
      </c>
      <c r="C150" s="34">
        <v>9.8689814572345491E-2</v>
      </c>
      <c r="D150" s="34">
        <v>8.8978234255092825E-2</v>
      </c>
      <c r="E150">
        <v>6</v>
      </c>
      <c r="F150" s="63">
        <v>1.9300000000000001E-3</v>
      </c>
      <c r="G150" s="90">
        <v>-0.23165018542765495</v>
      </c>
      <c r="H150" s="34">
        <v>-0.21868151241913902</v>
      </c>
      <c r="I150" s="34">
        <v>0.50898203592814373</v>
      </c>
      <c r="J150" s="64">
        <v>0.5168539325842697</v>
      </c>
      <c r="K150" s="4">
        <v>0.54117647058823526</v>
      </c>
      <c r="L150" s="65">
        <v>0.52873563218390807</v>
      </c>
      <c r="M150" s="4">
        <v>0.5</v>
      </c>
      <c r="N150" s="4">
        <v>0.47560975609756095</v>
      </c>
      <c r="O150" s="4">
        <v>0.48749999999999999</v>
      </c>
      <c r="P150">
        <v>214.49806800857851</v>
      </c>
      <c r="Q150">
        <v>11.10390512274191</v>
      </c>
      <c r="R150">
        <v>3.6955668339049577E-2</v>
      </c>
      <c r="S150">
        <v>0.84063302500794179</v>
      </c>
      <c r="T150">
        <v>0.83568374007030022</v>
      </c>
    </row>
    <row r="151" spans="1:21" x14ac:dyDescent="0.3">
      <c r="A151">
        <v>0</v>
      </c>
      <c r="B151">
        <v>0</v>
      </c>
      <c r="C151" s="34">
        <v>6.7242208638121817E-2</v>
      </c>
      <c r="D151" s="34">
        <v>5.2822538186835591E-2</v>
      </c>
      <c r="E151">
        <v>6</v>
      </c>
      <c r="F151" s="63">
        <v>1.9300000000000001E-3</v>
      </c>
      <c r="G151" s="90">
        <v>-0.26309779136187816</v>
      </c>
      <c r="H151" s="34">
        <v>-0.24703823277962381</v>
      </c>
      <c r="I151" s="34">
        <v>0.54491017964071853</v>
      </c>
      <c r="J151" s="64">
        <v>0.58490566037735847</v>
      </c>
      <c r="K151" s="4">
        <v>0.36470588235294116</v>
      </c>
      <c r="L151" s="65">
        <v>0.44927536231884058</v>
      </c>
      <c r="M151" s="4">
        <v>0.52631578947368418</v>
      </c>
      <c r="N151" s="4">
        <v>0.73170731707317072</v>
      </c>
      <c r="O151" s="4">
        <v>0.61224489795918358</v>
      </c>
      <c r="P151">
        <v>45.595213741535439</v>
      </c>
      <c r="Q151">
        <v>5.2009144207385933</v>
      </c>
      <c r="R151">
        <v>1.760532039319156E-2</v>
      </c>
      <c r="S151">
        <v>0.96612383805799951</v>
      </c>
      <c r="T151">
        <v>0.96507178333930388</v>
      </c>
    </row>
    <row r="152" spans="1:21" x14ac:dyDescent="0.3">
      <c r="A152">
        <v>0</v>
      </c>
      <c r="B152">
        <v>0</v>
      </c>
      <c r="C152" s="34">
        <v>0.31993867549403338</v>
      </c>
      <c r="D152" s="34">
        <v>0.35797113972863648</v>
      </c>
      <c r="E152">
        <v>6</v>
      </c>
      <c r="F152" s="63">
        <v>1.9300000000000001E-3</v>
      </c>
      <c r="G152" s="90">
        <v>-1.0401324505966914E-2</v>
      </c>
      <c r="H152" s="34">
        <v>-2.5813061488387901E-2</v>
      </c>
      <c r="I152" s="34">
        <v>0.56886227544910184</v>
      </c>
      <c r="J152" s="64">
        <v>0.59701492537313428</v>
      </c>
      <c r="K152" s="4">
        <v>0.47058823529411764</v>
      </c>
      <c r="L152" s="65">
        <v>0.52631578947368407</v>
      </c>
      <c r="M152" s="4">
        <v>0.55000000000000004</v>
      </c>
      <c r="N152" s="4">
        <v>0.67073170731707321</v>
      </c>
      <c r="O152" s="4">
        <v>0.60439560439560447</v>
      </c>
      <c r="P152">
        <v>107.4498189640718</v>
      </c>
      <c r="Q152">
        <v>8.2027125748502971</v>
      </c>
      <c r="R152">
        <v>2.7524026791148348E-2</v>
      </c>
      <c r="S152">
        <v>0.92016733404301077</v>
      </c>
      <c r="T152">
        <v>0.91768805870273162</v>
      </c>
    </row>
    <row r="153" spans="1:21" x14ac:dyDescent="0.3">
      <c r="A153">
        <v>0</v>
      </c>
      <c r="B153">
        <v>0</v>
      </c>
      <c r="C153" s="34">
        <v>0.30963544248099206</v>
      </c>
      <c r="D153" s="34">
        <v>0.34419902232004562</v>
      </c>
      <c r="E153">
        <v>6</v>
      </c>
      <c r="F153" s="63">
        <v>1.9300000000000001E-3</v>
      </c>
      <c r="G153" s="90">
        <v>-2.0704557519007939E-2</v>
      </c>
      <c r="H153" s="34">
        <v>-3.5591218583927983E-2</v>
      </c>
      <c r="I153" s="34">
        <v>0.54491017964071853</v>
      </c>
      <c r="J153" s="64">
        <v>0.5714285714285714</v>
      </c>
      <c r="K153" s="4">
        <v>0.42352941176470588</v>
      </c>
      <c r="L153" s="65">
        <v>0.4864864864864864</v>
      </c>
      <c r="M153" s="4">
        <v>0.52884615384615385</v>
      </c>
      <c r="N153" s="4">
        <v>0.67073170731707321</v>
      </c>
      <c r="O153" s="4">
        <v>0.59139784946236562</v>
      </c>
      <c r="P153">
        <v>94.320130191616698</v>
      </c>
      <c r="Q153">
        <v>7.7127425149700528</v>
      </c>
      <c r="R153">
        <v>2.6186849311364641E-2</v>
      </c>
      <c r="S153">
        <v>0.92992238126408722</v>
      </c>
      <c r="T153">
        <v>0.92774605770086016</v>
      </c>
    </row>
    <row r="154" spans="1:21" x14ac:dyDescent="0.3">
      <c r="A154" t="s">
        <v>374</v>
      </c>
      <c r="C154" s="101">
        <f>+AVERAGE(C156:C165)</f>
        <v>0.17005863421340775</v>
      </c>
      <c r="D154" s="101">
        <f>+AVERAGE(D156:D165)</f>
        <v>0.18080656284728672</v>
      </c>
      <c r="G154" s="101">
        <f>+AVERAGE(G156:G165)</f>
        <v>-0.16028136578659236</v>
      </c>
      <c r="H154" s="101">
        <f>+AVERAGE(H156:H165)</f>
        <v>-0.15372659301938085</v>
      </c>
      <c r="I154" s="101">
        <f>+AVERAGE(I156:I165)</f>
        <v>0.54071856287425146</v>
      </c>
      <c r="O154" s="101">
        <f>+AVERAGE(O156:O165)</f>
        <v>0.58500083491260335</v>
      </c>
      <c r="T154" s="101">
        <f>+AVERAGE(U155:U159)</f>
        <v>0.96103849370112726</v>
      </c>
      <c r="U154" s="101">
        <f>+AVERAGE(T156:T165)</f>
        <v>0.90541997507372618</v>
      </c>
    </row>
    <row r="155" spans="1:21" x14ac:dyDescent="0.3">
      <c r="A155" s="61" t="s">
        <v>212</v>
      </c>
      <c r="B155" s="61" t="s">
        <v>198</v>
      </c>
      <c r="C155" s="61" t="s">
        <v>9</v>
      </c>
      <c r="D155" s="61" t="s">
        <v>10</v>
      </c>
      <c r="E155" s="70" t="s">
        <v>212</v>
      </c>
      <c r="F155" s="61" t="s">
        <v>198</v>
      </c>
      <c r="G155" s="61" t="s">
        <v>9</v>
      </c>
      <c r="H155" s="71" t="s">
        <v>10</v>
      </c>
      <c r="I155" s="66" t="s">
        <v>231</v>
      </c>
      <c r="J155" s="66" t="s">
        <v>232</v>
      </c>
      <c r="K155" s="66" t="s">
        <v>233</v>
      </c>
      <c r="L155" s="66" t="s">
        <v>234</v>
      </c>
      <c r="M155" s="66" t="s">
        <v>232</v>
      </c>
      <c r="N155" s="66" t="s">
        <v>233</v>
      </c>
      <c r="O155" s="67" t="s">
        <v>234</v>
      </c>
      <c r="P155" t="s">
        <v>298</v>
      </c>
      <c r="Q155" t="s">
        <v>299</v>
      </c>
      <c r="R155" t="s">
        <v>300</v>
      </c>
      <c r="S155" t="s">
        <v>301</v>
      </c>
      <c r="T155" t="s">
        <v>302</v>
      </c>
    </row>
    <row r="156" spans="1:21" x14ac:dyDescent="0.3">
      <c r="A156">
        <v>0</v>
      </c>
      <c r="B156">
        <v>0</v>
      </c>
      <c r="C156" s="34">
        <v>2.2875151423855714E-2</v>
      </c>
      <c r="D156" s="34">
        <v>7.4765466566896069E-3</v>
      </c>
      <c r="E156">
        <v>6</v>
      </c>
      <c r="F156" s="75">
        <v>1.9300000000000001E-3</v>
      </c>
      <c r="G156" s="90">
        <v>-0.30746484857614442</v>
      </c>
      <c r="H156" s="34">
        <v>-0.27923991568180412</v>
      </c>
      <c r="I156" s="34">
        <v>0.52095808383233533</v>
      </c>
      <c r="J156" s="64">
        <v>0.53846153846153844</v>
      </c>
      <c r="K156" s="4">
        <v>0.41176470588235292</v>
      </c>
      <c r="L156" s="65">
        <v>0.46666666666666667</v>
      </c>
      <c r="M156" s="4">
        <v>0.50980392156862742</v>
      </c>
      <c r="N156" s="4">
        <v>0.63414634146341464</v>
      </c>
      <c r="O156" s="4">
        <v>0.56521739130434767</v>
      </c>
      <c r="P156">
        <v>23.406429401404701</v>
      </c>
      <c r="Q156">
        <v>3.653579288090087</v>
      </c>
      <c r="R156">
        <v>1.250229926989716E-2</v>
      </c>
      <c r="S156">
        <v>0.98260957833467355</v>
      </c>
      <c r="T156">
        <v>0.98206950312767582</v>
      </c>
      <c r="U156">
        <f>+MAX(T156,T161)</f>
        <v>0.98206950312767594</v>
      </c>
    </row>
    <row r="157" spans="1:21" x14ac:dyDescent="0.3">
      <c r="A157">
        <v>0</v>
      </c>
      <c r="B157">
        <v>0</v>
      </c>
      <c r="C157" s="34">
        <v>0.33419366284144431</v>
      </c>
      <c r="D157" s="34">
        <v>0.37800584660303022</v>
      </c>
      <c r="E157">
        <v>6</v>
      </c>
      <c r="F157" s="63">
        <v>1.9300000000000001E-3</v>
      </c>
      <c r="G157" s="90">
        <v>3.8536628414443112E-3</v>
      </c>
      <c r="H157" s="34">
        <v>-1.0933785634666855E-2</v>
      </c>
      <c r="I157" s="34">
        <v>0.56287425149700598</v>
      </c>
      <c r="J157" s="64">
        <v>0.57692307692307687</v>
      </c>
      <c r="K157" s="4">
        <v>0.52941176470588236</v>
      </c>
      <c r="L157" s="65">
        <v>0.5521472392638036</v>
      </c>
      <c r="M157" s="4">
        <v>0.550561797752809</v>
      </c>
      <c r="N157" s="4">
        <v>0.59756097560975607</v>
      </c>
      <c r="O157" s="4">
        <v>0.57309941520467844</v>
      </c>
      <c r="P157">
        <v>34.103656799835662</v>
      </c>
      <c r="Q157">
        <v>4.5232133433182611</v>
      </c>
      <c r="R157">
        <v>1.5334390237190789E-2</v>
      </c>
      <c r="S157">
        <v>0.9746617921978683</v>
      </c>
      <c r="T157">
        <v>0.97387489133444805</v>
      </c>
      <c r="U157">
        <f>+MAX(T157,T162)</f>
        <v>0.97387489133444805</v>
      </c>
    </row>
    <row r="158" spans="1:21" x14ac:dyDescent="0.3">
      <c r="A158">
        <v>0</v>
      </c>
      <c r="B158">
        <v>0</v>
      </c>
      <c r="C158" s="34">
        <v>-1.5679412486515502E-2</v>
      </c>
      <c r="D158" s="34">
        <v>-3.0490531019114423E-2</v>
      </c>
      <c r="E158">
        <v>6</v>
      </c>
      <c r="F158" s="63">
        <v>1.9300000000000001E-3</v>
      </c>
      <c r="G158" s="90">
        <v>-0.34601941248651541</v>
      </c>
      <c r="H158" s="34">
        <v>-0.30634559269327144</v>
      </c>
      <c r="I158" s="34">
        <v>0.50299401197604787</v>
      </c>
      <c r="J158" s="64">
        <v>0.52500000000000002</v>
      </c>
      <c r="K158" s="4">
        <v>0.24705882352941178</v>
      </c>
      <c r="L158" s="65">
        <v>0.33600000000000002</v>
      </c>
      <c r="M158" s="4">
        <v>0.49606299212598426</v>
      </c>
      <c r="N158" s="4">
        <v>0.76829268292682928</v>
      </c>
      <c r="O158" s="4">
        <v>0.60287081339712922</v>
      </c>
      <c r="P158">
        <v>537.29748743702953</v>
      </c>
      <c r="Q158">
        <v>20.235498697794782</v>
      </c>
      <c r="R158">
        <v>6.5837951560834912E-2</v>
      </c>
      <c r="S158">
        <v>0.60080071564911131</v>
      </c>
      <c r="T158">
        <v>0.58840322234628872</v>
      </c>
      <c r="U158">
        <f>+MAX(T158,T163)</f>
        <v>0.96507178333930388</v>
      </c>
    </row>
    <row r="159" spans="1:21" x14ac:dyDescent="0.3">
      <c r="A159">
        <v>0</v>
      </c>
      <c r="B159">
        <v>0</v>
      </c>
      <c r="C159" s="34">
        <v>0.26058607103651316</v>
      </c>
      <c r="D159" s="34">
        <v>0.27919827728042074</v>
      </c>
      <c r="E159">
        <v>6</v>
      </c>
      <c r="F159" s="63">
        <v>1.9300000000000001E-3</v>
      </c>
      <c r="G159" s="90">
        <v>-6.9753928963486977E-2</v>
      </c>
      <c r="H159" s="34">
        <v>-8.2980619547610407E-2</v>
      </c>
      <c r="I159" s="34">
        <v>0.55688622754491013</v>
      </c>
      <c r="J159" s="64">
        <v>0.58461538461538465</v>
      </c>
      <c r="K159" s="4">
        <v>0.44705882352941179</v>
      </c>
      <c r="L159" s="65">
        <v>0.5066666666666666</v>
      </c>
      <c r="M159" s="4">
        <v>0.53921568627450978</v>
      </c>
      <c r="N159" s="4">
        <v>0.67073170731707321</v>
      </c>
      <c r="O159" s="4">
        <v>0.59782608695652173</v>
      </c>
      <c r="P159">
        <v>100.33574311377249</v>
      </c>
      <c r="Q159">
        <v>7.9123353293413183</v>
      </c>
      <c r="R159">
        <v>2.6745290128042502E-2</v>
      </c>
      <c r="S159">
        <v>0.92545292359937403</v>
      </c>
      <c r="T159">
        <v>0.9231377970030813</v>
      </c>
      <c r="U159">
        <f>+MAX(T159,T164)</f>
        <v>0.9231377970030813</v>
      </c>
    </row>
    <row r="160" spans="1:21" x14ac:dyDescent="0.3">
      <c r="A160">
        <v>0</v>
      </c>
      <c r="B160">
        <v>0</v>
      </c>
      <c r="C160" s="34">
        <v>0.18804835223913527</v>
      </c>
      <c r="D160" s="34">
        <v>0.18929363463706977</v>
      </c>
      <c r="E160">
        <v>6</v>
      </c>
      <c r="F160" s="63">
        <v>1.9300000000000001E-3</v>
      </c>
      <c r="G160" s="90">
        <v>-0.142291647760865</v>
      </c>
      <c r="H160" s="34">
        <v>-0.14795690841578543</v>
      </c>
      <c r="I160" s="34">
        <v>0.53293413173652693</v>
      </c>
      <c r="J160" s="64">
        <v>0.5636363636363636</v>
      </c>
      <c r="K160" s="4">
        <v>0.36470588235294116</v>
      </c>
      <c r="L160" s="65">
        <v>0.44285714285714284</v>
      </c>
      <c r="M160" s="4">
        <v>0.5178571428571429</v>
      </c>
      <c r="N160" s="4">
        <v>0.70731707317073167</v>
      </c>
      <c r="O160" s="4">
        <v>0.59793814432989689</v>
      </c>
      <c r="P160">
        <v>55.831934149884731</v>
      </c>
      <c r="Q160">
        <v>5.9963636826347546</v>
      </c>
      <c r="R160">
        <v>2.0198789607314981E-2</v>
      </c>
      <c r="S160">
        <v>0.95851819768806934</v>
      </c>
      <c r="T160">
        <v>0.95722994295788522</v>
      </c>
      <c r="U160">
        <f>+MAX(T160,T165)</f>
        <v>0.95722994295788522</v>
      </c>
    </row>
    <row r="161" spans="1:21" x14ac:dyDescent="0.3">
      <c r="A161">
        <v>0</v>
      </c>
      <c r="B161">
        <v>0</v>
      </c>
      <c r="C161" s="34">
        <v>2.2875151423855714E-2</v>
      </c>
      <c r="D161" s="34">
        <v>7.4765466566896069E-3</v>
      </c>
      <c r="E161">
        <v>6</v>
      </c>
      <c r="F161" s="63">
        <v>1.9300000000000001E-3</v>
      </c>
      <c r="G161" s="90">
        <v>-0.30746484857614442</v>
      </c>
      <c r="H161" s="34">
        <v>-0.27923991568180412</v>
      </c>
      <c r="I161" s="34">
        <v>0.52095808383233533</v>
      </c>
      <c r="J161" s="64">
        <v>0.53846153846153844</v>
      </c>
      <c r="K161" s="4">
        <v>0.41176470588235292</v>
      </c>
      <c r="L161" s="65">
        <v>0.46666666666666667</v>
      </c>
      <c r="M161" s="4">
        <v>0.50980392156862742</v>
      </c>
      <c r="N161" s="4">
        <v>0.63414634146341464</v>
      </c>
      <c r="O161" s="4">
        <v>0.56521739130434767</v>
      </c>
      <c r="P161">
        <v>23.406429401404569</v>
      </c>
      <c r="Q161">
        <v>41.881451179027053</v>
      </c>
      <c r="R161">
        <v>0.1455228327078168</v>
      </c>
      <c r="S161">
        <v>0.98260957833467366</v>
      </c>
      <c r="T161">
        <v>0.98206950312767594</v>
      </c>
    </row>
    <row r="162" spans="1:21" x14ac:dyDescent="0.3">
      <c r="A162">
        <v>0</v>
      </c>
      <c r="B162">
        <v>0</v>
      </c>
      <c r="C162" s="34">
        <v>9.8689814572345491E-2</v>
      </c>
      <c r="D162" s="34">
        <v>8.8978234255092825E-2</v>
      </c>
      <c r="E162">
        <v>6</v>
      </c>
      <c r="F162" s="63">
        <v>1.9300000000000001E-3</v>
      </c>
      <c r="G162" s="90">
        <v>-0.23165018542765495</v>
      </c>
      <c r="H162" s="34">
        <v>-0.21868151241913902</v>
      </c>
      <c r="I162" s="34">
        <v>0.50898203592814373</v>
      </c>
      <c r="J162" s="64">
        <v>0.5168539325842697</v>
      </c>
      <c r="K162" s="4">
        <v>0.54117647058823526</v>
      </c>
      <c r="L162" s="65">
        <v>0.52873563218390807</v>
      </c>
      <c r="M162" s="4">
        <v>0.5</v>
      </c>
      <c r="N162" s="4">
        <v>0.47560975609756095</v>
      </c>
      <c r="O162" s="4">
        <v>0.48749999999999999</v>
      </c>
      <c r="P162">
        <v>214.49806800857851</v>
      </c>
      <c r="Q162">
        <v>11.10390512274191</v>
      </c>
      <c r="R162">
        <v>3.6955668339049577E-2</v>
      </c>
      <c r="S162">
        <v>0.84063302500794179</v>
      </c>
      <c r="T162">
        <v>0.83568374007030022</v>
      </c>
    </row>
    <row r="163" spans="1:21" x14ac:dyDescent="0.3">
      <c r="A163">
        <v>0</v>
      </c>
      <c r="B163">
        <v>0</v>
      </c>
      <c r="C163" s="34">
        <v>6.7242208638121817E-2</v>
      </c>
      <c r="D163" s="34">
        <v>5.2822538186835591E-2</v>
      </c>
      <c r="E163">
        <v>6</v>
      </c>
      <c r="F163" s="63">
        <v>1.9300000000000001E-3</v>
      </c>
      <c r="G163" s="90">
        <v>-0.26309779136187816</v>
      </c>
      <c r="H163" s="34">
        <v>-0.24703823277962381</v>
      </c>
      <c r="I163" s="34">
        <v>0.54491017964071853</v>
      </c>
      <c r="J163" s="64">
        <v>0.58490566037735847</v>
      </c>
      <c r="K163" s="4">
        <v>0.36470588235294116</v>
      </c>
      <c r="L163" s="65">
        <v>0.44927536231884058</v>
      </c>
      <c r="M163" s="4">
        <v>0.52631578947368418</v>
      </c>
      <c r="N163" s="4">
        <v>0.73170731707317072</v>
      </c>
      <c r="O163" s="4">
        <v>0.61224489795918358</v>
      </c>
      <c r="P163">
        <v>45.595213741535439</v>
      </c>
      <c r="Q163">
        <v>5.2009144207385933</v>
      </c>
      <c r="R163">
        <v>1.760532039319156E-2</v>
      </c>
      <c r="S163">
        <v>0.96612383805799951</v>
      </c>
      <c r="T163">
        <v>0.96507178333930388</v>
      </c>
    </row>
    <row r="164" spans="1:21" x14ac:dyDescent="0.3">
      <c r="A164">
        <v>0</v>
      </c>
      <c r="B164">
        <v>0</v>
      </c>
      <c r="C164" s="34">
        <v>0.30177514531048305</v>
      </c>
      <c r="D164" s="34">
        <v>0.33352687900239253</v>
      </c>
      <c r="E164">
        <v>6</v>
      </c>
      <c r="F164" s="63">
        <v>1.9300000000000001E-3</v>
      </c>
      <c r="G164" s="90">
        <v>-2.8564854689516941E-2</v>
      </c>
      <c r="H164" s="34">
        <v>-4.3364172842275436E-2</v>
      </c>
      <c r="I164" s="34">
        <v>0.55688622754491013</v>
      </c>
      <c r="J164" s="64">
        <v>0.5901639344262295</v>
      </c>
      <c r="K164" s="4">
        <v>0.42352941176470588</v>
      </c>
      <c r="L164" s="65">
        <v>0.49315068493150682</v>
      </c>
      <c r="M164" s="4">
        <v>0.53773584905660377</v>
      </c>
      <c r="N164" s="4">
        <v>0.69512195121951215</v>
      </c>
      <c r="O164" s="4">
        <v>0.6063829787234043</v>
      </c>
      <c r="P164">
        <v>110.2834541916167</v>
      </c>
      <c r="Q164">
        <v>8.3589820359281433</v>
      </c>
      <c r="R164">
        <v>2.793538182296422E-2</v>
      </c>
      <c r="S164">
        <v>0.91806201030449242</v>
      </c>
      <c r="T164">
        <v>0.91551735223941455</v>
      </c>
    </row>
    <row r="165" spans="1:21" x14ac:dyDescent="0.3">
      <c r="A165">
        <v>0</v>
      </c>
      <c r="B165">
        <v>0</v>
      </c>
      <c r="C165" s="34">
        <v>0.41998019713483836</v>
      </c>
      <c r="D165" s="34">
        <v>0.5017776562137608</v>
      </c>
      <c r="E165">
        <v>6</v>
      </c>
      <c r="F165" s="63">
        <v>1.9300000000000001E-3</v>
      </c>
      <c r="G165" s="90">
        <v>8.9640197134838381E-2</v>
      </c>
      <c r="H165" s="34">
        <v>7.8514725502172075E-2</v>
      </c>
      <c r="I165" s="34">
        <v>0.59880239520958078</v>
      </c>
      <c r="J165" s="64">
        <v>0.64516129032258063</v>
      </c>
      <c r="K165" s="4">
        <v>0.47058823529411764</v>
      </c>
      <c r="L165" s="65">
        <v>0.54421768707482987</v>
      </c>
      <c r="M165" s="4">
        <v>0.5714285714285714</v>
      </c>
      <c r="N165" s="4">
        <v>0.73170731707317072</v>
      </c>
      <c r="O165" s="4">
        <v>0.64171122994652396</v>
      </c>
      <c r="P165">
        <v>89.887055089820251</v>
      </c>
      <c r="Q165">
        <v>7.4801197604790381</v>
      </c>
      <c r="R165">
        <v>2.5481605723317691E-2</v>
      </c>
      <c r="S165">
        <v>0.9332160508782007</v>
      </c>
      <c r="T165">
        <v>0.93114201519118833</v>
      </c>
    </row>
    <row r="166" spans="1:21" x14ac:dyDescent="0.3">
      <c r="A166" t="s">
        <v>375</v>
      </c>
      <c r="C166" s="101">
        <f>+AVERAGE(C168:C177)</f>
        <v>0.16654455229184878</v>
      </c>
      <c r="D166" s="101">
        <f>+AVERAGE(D168:D177)</f>
        <v>0.17592864732118074</v>
      </c>
      <c r="G166" s="101">
        <f>+AVERAGE(G168:G177)</f>
        <v>-0.16379544770815138</v>
      </c>
      <c r="H166" s="101">
        <f>+AVERAGE(H168:H177)</f>
        <v>-0.15722208862005277</v>
      </c>
      <c r="I166" s="101">
        <f>+AVERAGE(I168:I177)</f>
        <v>0.5371257485029941</v>
      </c>
      <c r="O166" s="101">
        <f>+AVERAGE(O168:O177)</f>
        <v>0.58182623782002241</v>
      </c>
      <c r="T166" s="101">
        <f>+AVERAGE(U167:U171)</f>
        <v>0.96065682850037748</v>
      </c>
      <c r="U166" s="101">
        <f>+AVERAGE(T168:T177)</f>
        <v>0.90310154747321625</v>
      </c>
    </row>
    <row r="167" spans="1:21" x14ac:dyDescent="0.3">
      <c r="A167" s="61" t="s">
        <v>212</v>
      </c>
      <c r="B167" s="61" t="s">
        <v>198</v>
      </c>
      <c r="C167" s="61" t="s">
        <v>9</v>
      </c>
      <c r="D167" s="61" t="s">
        <v>10</v>
      </c>
      <c r="E167" s="70" t="s">
        <v>212</v>
      </c>
      <c r="F167" s="61" t="s">
        <v>198</v>
      </c>
      <c r="G167" s="61" t="s">
        <v>9</v>
      </c>
      <c r="H167" s="71" t="s">
        <v>10</v>
      </c>
      <c r="I167" s="66" t="s">
        <v>231</v>
      </c>
      <c r="J167" s="66" t="s">
        <v>232</v>
      </c>
      <c r="K167" s="66" t="s">
        <v>233</v>
      </c>
      <c r="L167" s="66" t="s">
        <v>234</v>
      </c>
      <c r="M167" s="66" t="s">
        <v>232</v>
      </c>
      <c r="N167" s="66" t="s">
        <v>233</v>
      </c>
      <c r="O167" s="67" t="s">
        <v>234</v>
      </c>
      <c r="P167" t="s">
        <v>298</v>
      </c>
      <c r="Q167" t="s">
        <v>299</v>
      </c>
      <c r="R167" t="s">
        <v>300</v>
      </c>
      <c r="S167" t="s">
        <v>301</v>
      </c>
      <c r="T167" t="s">
        <v>302</v>
      </c>
    </row>
    <row r="168" spans="1:21" x14ac:dyDescent="0.3">
      <c r="A168">
        <v>0</v>
      </c>
      <c r="B168">
        <v>0</v>
      </c>
      <c r="C168" s="34">
        <v>2.2875151423855714E-2</v>
      </c>
      <c r="D168" s="34">
        <v>7.4765466566896069E-3</v>
      </c>
      <c r="E168">
        <v>6</v>
      </c>
      <c r="F168" s="75">
        <v>1.9300000000000001E-3</v>
      </c>
      <c r="G168" s="90">
        <v>-0.30746484857614442</v>
      </c>
      <c r="H168" s="34">
        <v>-0.27923991568180412</v>
      </c>
      <c r="I168" s="34">
        <v>0.52095808383233533</v>
      </c>
      <c r="J168" s="64">
        <v>0.53846153846153844</v>
      </c>
      <c r="K168" s="4">
        <v>0.41176470588235292</v>
      </c>
      <c r="L168" s="65">
        <v>0.46666666666666667</v>
      </c>
      <c r="M168" s="4">
        <v>0.50980392156862742</v>
      </c>
      <c r="N168" s="4">
        <v>0.63414634146341464</v>
      </c>
      <c r="O168" s="4">
        <v>0.56521739130434767</v>
      </c>
      <c r="P168">
        <v>23.406429401404701</v>
      </c>
      <c r="Q168">
        <v>3.653579288090087</v>
      </c>
      <c r="R168">
        <v>1.250229926989716E-2</v>
      </c>
      <c r="S168">
        <v>0.98260957833467355</v>
      </c>
      <c r="T168">
        <v>0.98206950312767582</v>
      </c>
      <c r="U168">
        <f>+MAX(T168,T173)</f>
        <v>0.98206950312767594</v>
      </c>
    </row>
    <row r="169" spans="1:21" x14ac:dyDescent="0.3">
      <c r="A169">
        <v>0</v>
      </c>
      <c r="B169">
        <v>0</v>
      </c>
      <c r="C169" s="34">
        <v>0.33419366284144431</v>
      </c>
      <c r="D169" s="34">
        <v>0.37800584660303022</v>
      </c>
      <c r="E169">
        <v>6</v>
      </c>
      <c r="F169" s="63">
        <v>1.9300000000000001E-3</v>
      </c>
      <c r="G169" s="90">
        <v>3.8536628414443112E-3</v>
      </c>
      <c r="H169" s="34">
        <v>-1.0933785634666855E-2</v>
      </c>
      <c r="I169" s="34">
        <v>0.56287425149700598</v>
      </c>
      <c r="J169" s="64">
        <v>0.57692307692307687</v>
      </c>
      <c r="K169" s="4">
        <v>0.52941176470588236</v>
      </c>
      <c r="L169" s="65">
        <v>0.5521472392638036</v>
      </c>
      <c r="M169" s="4">
        <v>0.550561797752809</v>
      </c>
      <c r="N169" s="4">
        <v>0.59756097560975607</v>
      </c>
      <c r="O169" s="4">
        <v>0.57309941520467844</v>
      </c>
      <c r="P169">
        <v>34.103656799835662</v>
      </c>
      <c r="Q169">
        <v>4.5232133433182611</v>
      </c>
      <c r="R169">
        <v>1.5334390237190789E-2</v>
      </c>
      <c r="S169">
        <v>0.9746617921978683</v>
      </c>
      <c r="T169">
        <v>0.97387489133444805</v>
      </c>
      <c r="U169">
        <f>+MAX(T169,T174)</f>
        <v>0.97387489133444805</v>
      </c>
    </row>
    <row r="170" spans="1:21" x14ac:dyDescent="0.3">
      <c r="A170">
        <v>0</v>
      </c>
      <c r="B170">
        <v>0</v>
      </c>
      <c r="C170" s="34">
        <v>-1.5679412486515502E-2</v>
      </c>
      <c r="D170" s="34">
        <v>-3.0490531019114423E-2</v>
      </c>
      <c r="E170">
        <v>6</v>
      </c>
      <c r="F170" s="63">
        <v>1.9300000000000001E-3</v>
      </c>
      <c r="G170" s="90">
        <v>-0.34601941248651541</v>
      </c>
      <c r="H170" s="34">
        <v>-0.30634559269327144</v>
      </c>
      <c r="I170" s="34">
        <v>0.50299401197604787</v>
      </c>
      <c r="J170" s="64">
        <v>0.52500000000000002</v>
      </c>
      <c r="K170" s="4">
        <v>0.24705882352941178</v>
      </c>
      <c r="L170" s="65">
        <v>0.33600000000000002</v>
      </c>
      <c r="M170" s="4">
        <v>0.49606299212598426</v>
      </c>
      <c r="N170" s="4">
        <v>0.76829268292682928</v>
      </c>
      <c r="O170" s="4">
        <v>0.60287081339712922</v>
      </c>
      <c r="P170">
        <v>537.29748743702953</v>
      </c>
      <c r="Q170">
        <v>20.235498697794782</v>
      </c>
      <c r="R170">
        <v>6.5837951560834912E-2</v>
      </c>
      <c r="S170">
        <v>0.60080071564911131</v>
      </c>
      <c r="T170">
        <v>0.58840322234628872</v>
      </c>
      <c r="U170">
        <f>+MAX(T170,T175)</f>
        <v>0.96507178333930388</v>
      </c>
    </row>
    <row r="171" spans="1:21" x14ac:dyDescent="0.3">
      <c r="A171">
        <v>0</v>
      </c>
      <c r="B171">
        <v>0</v>
      </c>
      <c r="C171" s="34">
        <v>0.34033580358229404</v>
      </c>
      <c r="D171" s="34">
        <v>0.38642900142845521</v>
      </c>
      <c r="E171">
        <v>6</v>
      </c>
      <c r="F171" s="63">
        <v>1.9300000000000001E-3</v>
      </c>
      <c r="G171" s="90">
        <v>9.9958035822937386E-3</v>
      </c>
      <c r="H171" s="34">
        <v>-4.8743841288935797E-3</v>
      </c>
      <c r="I171" s="34">
        <v>0.56886227544910184</v>
      </c>
      <c r="J171" s="64">
        <v>0.61016949152542377</v>
      </c>
      <c r="K171" s="4">
        <v>0.42352941176470588</v>
      </c>
      <c r="L171" s="65">
        <v>0.5</v>
      </c>
      <c r="M171" s="4">
        <v>0.54629629629629628</v>
      </c>
      <c r="N171" s="4">
        <v>0.71951219512195119</v>
      </c>
      <c r="O171" s="4">
        <v>0.6210526315789473</v>
      </c>
      <c r="P171">
        <v>112.9319054910179</v>
      </c>
      <c r="Q171">
        <v>8.42810179640718</v>
      </c>
      <c r="R171">
        <v>2.8453438023429631E-2</v>
      </c>
      <c r="S171">
        <v>0.91609427383060282</v>
      </c>
      <c r="T171">
        <v>0.91348850593714326</v>
      </c>
      <c r="U171">
        <f>+MAX(T171,T176)</f>
        <v>0.92161113620008239</v>
      </c>
    </row>
    <row r="172" spans="1:21" x14ac:dyDescent="0.3">
      <c r="A172">
        <v>0</v>
      </c>
      <c r="B172">
        <v>0</v>
      </c>
      <c r="C172" s="34">
        <v>0.18804835223913527</v>
      </c>
      <c r="D172" s="34">
        <v>0.18929363463706977</v>
      </c>
      <c r="E172">
        <v>6</v>
      </c>
      <c r="F172" s="63">
        <v>1.9300000000000001E-3</v>
      </c>
      <c r="G172" s="90">
        <v>-0.142291647760865</v>
      </c>
      <c r="H172" s="34">
        <v>-0.14795690841578543</v>
      </c>
      <c r="I172" s="34">
        <v>0.53293413173652693</v>
      </c>
      <c r="J172" s="64">
        <v>0.5636363636363636</v>
      </c>
      <c r="K172" s="4">
        <v>0.36470588235294116</v>
      </c>
      <c r="L172" s="65">
        <v>0.44285714285714284</v>
      </c>
      <c r="M172" s="4">
        <v>0.5178571428571429</v>
      </c>
      <c r="N172" s="4">
        <v>0.70731707317073167</v>
      </c>
      <c r="O172" s="4">
        <v>0.59793814432989689</v>
      </c>
      <c r="P172">
        <v>55.831934149884731</v>
      </c>
      <c r="Q172">
        <v>5.9963636826347546</v>
      </c>
      <c r="R172">
        <v>2.0198789607314981E-2</v>
      </c>
      <c r="S172">
        <v>0.95851819768806934</v>
      </c>
      <c r="T172">
        <v>0.95722994295788522</v>
      </c>
      <c r="U172">
        <f>+MAX(T172,T177)</f>
        <v>0.95722994295788522</v>
      </c>
    </row>
    <row r="173" spans="1:21" x14ac:dyDescent="0.3">
      <c r="A173">
        <v>0</v>
      </c>
      <c r="B173">
        <v>0</v>
      </c>
      <c r="C173" s="34">
        <v>2.2875151423855714E-2</v>
      </c>
      <c r="D173" s="34">
        <v>7.4765466566896069E-3</v>
      </c>
      <c r="E173">
        <v>6</v>
      </c>
      <c r="F173" s="63">
        <v>1.9300000000000001E-3</v>
      </c>
      <c r="G173" s="90">
        <v>-0.30746484857614442</v>
      </c>
      <c r="H173" s="34">
        <v>-0.27923991568180412</v>
      </c>
      <c r="I173" s="34">
        <v>0.52095808383233533</v>
      </c>
      <c r="J173" s="64">
        <v>0.53846153846153844</v>
      </c>
      <c r="K173" s="4">
        <v>0.41176470588235292</v>
      </c>
      <c r="L173" s="65">
        <v>0.46666666666666667</v>
      </c>
      <c r="M173" s="4">
        <v>0.50980392156862742</v>
      </c>
      <c r="N173" s="4">
        <v>0.63414634146341464</v>
      </c>
      <c r="O173" s="4">
        <v>0.56521739130434767</v>
      </c>
      <c r="P173">
        <v>23.406429401404569</v>
      </c>
      <c r="Q173">
        <v>41.881451179027053</v>
      </c>
      <c r="R173">
        <v>0.1455228327078168</v>
      </c>
      <c r="S173">
        <v>0.98260957833467366</v>
      </c>
      <c r="T173">
        <v>0.98206950312767594</v>
      </c>
    </row>
    <row r="174" spans="1:21" x14ac:dyDescent="0.3">
      <c r="A174">
        <v>0</v>
      </c>
      <c r="B174">
        <v>0</v>
      </c>
      <c r="C174" s="34">
        <v>9.8689814572345491E-2</v>
      </c>
      <c r="D174" s="34">
        <v>8.8978234255092825E-2</v>
      </c>
      <c r="E174">
        <v>6</v>
      </c>
      <c r="F174" s="63">
        <v>1.9300000000000001E-3</v>
      </c>
      <c r="G174" s="90">
        <v>-0.23165018542765495</v>
      </c>
      <c r="H174" s="34">
        <v>-0.21868151241913902</v>
      </c>
      <c r="I174" s="34">
        <v>0.50898203592814373</v>
      </c>
      <c r="J174" s="64">
        <v>0.5168539325842697</v>
      </c>
      <c r="K174" s="4">
        <v>0.54117647058823526</v>
      </c>
      <c r="L174" s="65">
        <v>0.52873563218390807</v>
      </c>
      <c r="M174" s="4">
        <v>0.5</v>
      </c>
      <c r="N174" s="4">
        <v>0.47560975609756095</v>
      </c>
      <c r="O174" s="4">
        <v>0.48749999999999999</v>
      </c>
      <c r="P174">
        <v>214.49806800857851</v>
      </c>
      <c r="Q174">
        <v>11.10390512274191</v>
      </c>
      <c r="R174">
        <v>3.6955668339049577E-2</v>
      </c>
      <c r="S174">
        <v>0.84063302500794179</v>
      </c>
      <c r="T174">
        <v>0.83568374007030022</v>
      </c>
    </row>
    <row r="175" spans="1:21" x14ac:dyDescent="0.3">
      <c r="A175">
        <v>0</v>
      </c>
      <c r="B175">
        <v>0</v>
      </c>
      <c r="C175" s="34">
        <v>6.7242208638121817E-2</v>
      </c>
      <c r="D175" s="34">
        <v>5.2822538186835591E-2</v>
      </c>
      <c r="E175">
        <v>6</v>
      </c>
      <c r="F175" s="63">
        <v>1.9300000000000001E-3</v>
      </c>
      <c r="G175" s="90">
        <v>-0.26309779136187816</v>
      </c>
      <c r="H175" s="34">
        <v>-0.24703823277962381</v>
      </c>
      <c r="I175" s="34">
        <v>0.54491017964071853</v>
      </c>
      <c r="J175" s="64">
        <v>0.58490566037735847</v>
      </c>
      <c r="K175" s="4">
        <v>0.36470588235294116</v>
      </c>
      <c r="L175" s="65">
        <v>0.44927536231884058</v>
      </c>
      <c r="M175" s="4">
        <v>0.52631578947368418</v>
      </c>
      <c r="N175" s="4">
        <v>0.73170731707317072</v>
      </c>
      <c r="O175" s="4">
        <v>0.61224489795918358</v>
      </c>
      <c r="P175">
        <v>45.595213741535439</v>
      </c>
      <c r="Q175">
        <v>5.2009144207385933</v>
      </c>
      <c r="R175">
        <v>1.760532039319156E-2</v>
      </c>
      <c r="S175">
        <v>0.96612383805799951</v>
      </c>
      <c r="T175">
        <v>0.96507178333930388</v>
      </c>
    </row>
    <row r="176" spans="1:21" x14ac:dyDescent="0.3">
      <c r="A176">
        <v>0</v>
      </c>
      <c r="B176">
        <v>0</v>
      </c>
      <c r="C176" s="34">
        <v>0.37968830242327706</v>
      </c>
      <c r="D176" s="34">
        <v>0.44223363322142017</v>
      </c>
      <c r="E176">
        <v>6</v>
      </c>
      <c r="F176" s="63">
        <v>1.9300000000000001E-3</v>
      </c>
      <c r="G176" s="90">
        <v>4.9348302423277056E-2</v>
      </c>
      <c r="H176" s="34">
        <v>3.5411285714513942E-2</v>
      </c>
      <c r="I176" s="34">
        <v>0.58083832335329344</v>
      </c>
      <c r="J176" s="64">
        <v>0.60869565217391308</v>
      </c>
      <c r="K176" s="4">
        <v>0.49411764705882355</v>
      </c>
      <c r="L176" s="65">
        <v>0.54545454545454553</v>
      </c>
      <c r="M176" s="4">
        <v>0.56122448979591832</v>
      </c>
      <c r="N176" s="4">
        <v>0.67073170731707321</v>
      </c>
      <c r="O176" s="4">
        <v>0.61111111111111105</v>
      </c>
      <c r="P176">
        <v>102.3286426167664</v>
      </c>
      <c r="Q176">
        <v>7.9667844311377216</v>
      </c>
      <c r="R176">
        <v>2.690199096842627E-2</v>
      </c>
      <c r="S176">
        <v>0.92397224655550159</v>
      </c>
      <c r="T176">
        <v>0.92161113620008239</v>
      </c>
    </row>
    <row r="177" spans="1:21" x14ac:dyDescent="0.3">
      <c r="A177">
        <v>0</v>
      </c>
      <c r="B177">
        <v>0</v>
      </c>
      <c r="C177" s="34">
        <v>0.2271764882606738</v>
      </c>
      <c r="D177" s="34">
        <v>0.23706102258563899</v>
      </c>
      <c r="E177">
        <v>6</v>
      </c>
      <c r="F177" s="63">
        <v>1.9300000000000001E-3</v>
      </c>
      <c r="G177" s="90">
        <v>-0.10316351173932635</v>
      </c>
      <c r="H177" s="34">
        <v>-0.11332192448005328</v>
      </c>
      <c r="I177" s="34">
        <v>0.52694610778443118</v>
      </c>
      <c r="J177" s="64">
        <v>0.55000000000000004</v>
      </c>
      <c r="K177" s="4">
        <v>0.38823529411764707</v>
      </c>
      <c r="L177" s="65">
        <v>0.45517241379310353</v>
      </c>
      <c r="M177" s="4">
        <v>0.51401869158878499</v>
      </c>
      <c r="N177" s="4">
        <v>0.67073170731707321</v>
      </c>
      <c r="O177" s="4">
        <v>0.58201058201058187</v>
      </c>
      <c r="P177">
        <v>115.5104048922154</v>
      </c>
      <c r="Q177">
        <v>8.4905568862275409</v>
      </c>
      <c r="R177">
        <v>2.8426227710346339E-2</v>
      </c>
      <c r="S177">
        <v>0.91417850995728311</v>
      </c>
      <c r="T177">
        <v>0.91151324629136021</v>
      </c>
    </row>
    <row r="178" spans="1:21" x14ac:dyDescent="0.3">
      <c r="A178" t="s">
        <v>383</v>
      </c>
      <c r="C178" s="101">
        <f>+AVERAGE(C180:C189)</f>
        <v>-2.023069112638512E-3</v>
      </c>
      <c r="D178" s="101">
        <f>+AVERAGE(D180:D189)</f>
        <v>-9.754812337455631E-3</v>
      </c>
      <c r="G178" s="101">
        <f>+AVERAGE(G180:G189)</f>
        <v>-0.33236306911263869</v>
      </c>
      <c r="H178" s="101">
        <f>+AVERAGE(H180:H189)</f>
        <v>-0.29157017053885037</v>
      </c>
      <c r="I178" s="101">
        <f>+AVERAGE(I180:I189)</f>
        <v>0.51976047904191625</v>
      </c>
      <c r="O178" s="101">
        <f>+AVERAGE(O180:O189)</f>
        <v>0.57594069808695214</v>
      </c>
      <c r="T178" s="101">
        <f>+AVERAGE(U179:U183)</f>
        <v>0.92028911714831396</v>
      </c>
      <c r="U178" s="101">
        <f>+AVERAGE(T180:T189)</f>
        <v>0.88743410091271213</v>
      </c>
    </row>
    <row r="179" spans="1:21" x14ac:dyDescent="0.3">
      <c r="A179" s="61" t="s">
        <v>212</v>
      </c>
      <c r="B179" s="61" t="s">
        <v>198</v>
      </c>
      <c r="C179" s="61" t="s">
        <v>9</v>
      </c>
      <c r="D179" s="61" t="s">
        <v>10</v>
      </c>
      <c r="E179" s="70" t="s">
        <v>212</v>
      </c>
      <c r="F179" s="61" t="s">
        <v>198</v>
      </c>
      <c r="G179" s="61" t="s">
        <v>9</v>
      </c>
      <c r="H179" s="71" t="s">
        <v>10</v>
      </c>
      <c r="I179" s="66" t="s">
        <v>231</v>
      </c>
      <c r="J179" s="66" t="s">
        <v>232</v>
      </c>
      <c r="K179" s="66" t="s">
        <v>233</v>
      </c>
      <c r="L179" s="66" t="s">
        <v>234</v>
      </c>
      <c r="M179" s="66" t="s">
        <v>232</v>
      </c>
      <c r="N179" s="66" t="s">
        <v>233</v>
      </c>
      <c r="O179" s="67" t="s">
        <v>234</v>
      </c>
      <c r="P179" t="s">
        <v>298</v>
      </c>
      <c r="Q179" t="s">
        <v>299</v>
      </c>
      <c r="R179" t="s">
        <v>300</v>
      </c>
      <c r="S179" t="s">
        <v>301</v>
      </c>
      <c r="T179" t="s">
        <v>302</v>
      </c>
    </row>
    <row r="180" spans="1:21" x14ac:dyDescent="0.3">
      <c r="A180">
        <v>0</v>
      </c>
      <c r="B180">
        <v>0</v>
      </c>
      <c r="C180" s="34">
        <v>-0.10913114816017697</v>
      </c>
      <c r="D180" s="34">
        <v>-0.11772211869858977</v>
      </c>
      <c r="E180">
        <v>6</v>
      </c>
      <c r="F180" s="75">
        <v>1.9300000000000001E-3</v>
      </c>
      <c r="G180" s="90">
        <v>-0.43947114816017718</v>
      </c>
      <c r="H180" s="34">
        <v>-0.36956981149784884</v>
      </c>
      <c r="I180" s="34">
        <v>0.50898203592814373</v>
      </c>
      <c r="J180" s="64">
        <v>0.52727272727272723</v>
      </c>
      <c r="K180" s="4">
        <v>0.3411764705882353</v>
      </c>
      <c r="L180" s="65">
        <v>0.41428571428571426</v>
      </c>
      <c r="M180" s="4">
        <v>0.5</v>
      </c>
      <c r="N180" s="4">
        <v>0.68292682926829273</v>
      </c>
      <c r="O180" s="4">
        <v>0.57731958762886593</v>
      </c>
      <c r="P180">
        <v>85.358180861094453</v>
      </c>
      <c r="Q180">
        <v>7.439236878427856</v>
      </c>
      <c r="R180">
        <v>2.5648265701490491E-2</v>
      </c>
      <c r="S180">
        <v>0.93658089697053315</v>
      </c>
      <c r="T180">
        <v>0.93541367421538957</v>
      </c>
      <c r="U180">
        <f>+MAX(T180,T185)</f>
        <v>0.93541367421538957</v>
      </c>
    </row>
    <row r="181" spans="1:21" x14ac:dyDescent="0.3">
      <c r="A181">
        <v>0</v>
      </c>
      <c r="B181">
        <v>0</v>
      </c>
      <c r="C181" s="34">
        <v>-0.24316707017767869</v>
      </c>
      <c r="D181" s="34">
        <v>-0.22912069266729565</v>
      </c>
      <c r="E181">
        <v>6</v>
      </c>
      <c r="F181" s="63">
        <v>1.9300000000000001E-3</v>
      </c>
      <c r="G181" s="90">
        <v>-0.57350707017767866</v>
      </c>
      <c r="H181" s="34">
        <v>-0.45009536698529157</v>
      </c>
      <c r="I181" s="34">
        <v>0.47305389221556887</v>
      </c>
      <c r="J181" s="64">
        <v>0.47058823529411764</v>
      </c>
      <c r="K181" s="4">
        <v>0.28235294117647058</v>
      </c>
      <c r="L181" s="65">
        <v>0.35294117647058826</v>
      </c>
      <c r="M181" s="4">
        <v>0.47413793103448276</v>
      </c>
      <c r="N181" s="4">
        <v>0.67073170731707321</v>
      </c>
      <c r="O181" s="4">
        <v>0.55555555555555558</v>
      </c>
      <c r="P181">
        <v>105.2239244671416</v>
      </c>
      <c r="Q181">
        <v>8.0578439204287644</v>
      </c>
      <c r="R181">
        <v>2.7731365172189319E-2</v>
      </c>
      <c r="S181">
        <v>0.92182112083895074</v>
      </c>
      <c r="T181">
        <v>0.92038224576236705</v>
      </c>
      <c r="U181">
        <f>+MAX(T181,T186)</f>
        <v>0.92038224576236705</v>
      </c>
    </row>
    <row r="182" spans="1:21" x14ac:dyDescent="0.3">
      <c r="A182">
        <v>0</v>
      </c>
      <c r="B182">
        <v>0</v>
      </c>
      <c r="C182" s="34">
        <v>-7.1022390948266109E-2</v>
      </c>
      <c r="D182" s="34">
        <v>-8.3186024939207862E-2</v>
      </c>
      <c r="E182">
        <v>6</v>
      </c>
      <c r="F182" s="63">
        <v>1.9300000000000001E-3</v>
      </c>
      <c r="G182" s="90">
        <v>-0.40136239094826587</v>
      </c>
      <c r="H182" s="34">
        <v>-0.34462832552369177</v>
      </c>
      <c r="I182" s="34">
        <v>0.49700598802395207</v>
      </c>
      <c r="J182" s="64">
        <v>0.51219512195121952</v>
      </c>
      <c r="K182" s="4">
        <v>0.24705882352941178</v>
      </c>
      <c r="L182" s="65">
        <v>0.33333333333333337</v>
      </c>
      <c r="M182" s="4">
        <v>0.49206349206349204</v>
      </c>
      <c r="N182" s="4">
        <v>0.75609756097560976</v>
      </c>
      <c r="O182" s="4">
        <v>0.59615384615384615</v>
      </c>
      <c r="P182">
        <v>243.5813706422725</v>
      </c>
      <c r="Q182">
        <v>13.347495490674691</v>
      </c>
      <c r="R182">
        <v>4.3855197868589248E-2</v>
      </c>
      <c r="S182">
        <v>0.81902482122997111</v>
      </c>
      <c r="T182">
        <v>0.81569398971886631</v>
      </c>
      <c r="U182">
        <f>+MAX(T182,T187)</f>
        <v>0.91495119960963311</v>
      </c>
    </row>
    <row r="183" spans="1:21" x14ac:dyDescent="0.3">
      <c r="A183">
        <v>0</v>
      </c>
      <c r="B183">
        <v>0</v>
      </c>
      <c r="C183" s="34">
        <v>0.10077467271198766</v>
      </c>
      <c r="D183" s="34">
        <v>8.9724901367477863E-2</v>
      </c>
      <c r="E183">
        <v>6</v>
      </c>
      <c r="F183" s="63">
        <v>1.9300000000000001E-3</v>
      </c>
      <c r="G183" s="90">
        <v>-0.22956532728801263</v>
      </c>
      <c r="H183" s="34">
        <v>-0.21962683306757114</v>
      </c>
      <c r="I183" s="34">
        <v>0.53293413173652693</v>
      </c>
      <c r="J183" s="64">
        <v>0.55223880597014929</v>
      </c>
      <c r="K183" s="4">
        <v>0.43529411764705883</v>
      </c>
      <c r="L183" s="65">
        <v>0.48684210526315791</v>
      </c>
      <c r="M183" s="4">
        <v>0.52</v>
      </c>
      <c r="N183" s="4">
        <v>0.63414634146341464</v>
      </c>
      <c r="O183" s="4">
        <v>0.5714285714285714</v>
      </c>
      <c r="P183">
        <v>165.6676218562875</v>
      </c>
      <c r="Q183">
        <v>10.034371257485031</v>
      </c>
      <c r="R183">
        <v>3.5625124377822948E-2</v>
      </c>
      <c r="S183">
        <v>0.87691288786662258</v>
      </c>
      <c r="T183">
        <v>0.87464748089484268</v>
      </c>
      <c r="U183">
        <f>+MAX(T183,T188)</f>
        <v>0.91040934900586601</v>
      </c>
    </row>
    <row r="184" spans="1:21" x14ac:dyDescent="0.3">
      <c r="A184">
        <v>0</v>
      </c>
      <c r="B184">
        <v>0</v>
      </c>
      <c r="C184" s="34">
        <v>0.15731753874011906</v>
      </c>
      <c r="D184" s="34">
        <v>0.15325521157908384</v>
      </c>
      <c r="E184">
        <v>6</v>
      </c>
      <c r="F184" s="63">
        <v>1.9300000000000001E-3</v>
      </c>
      <c r="G184" s="90">
        <v>-0.17302246125988124</v>
      </c>
      <c r="H184" s="34">
        <v>-0.17386254624714914</v>
      </c>
      <c r="I184" s="34">
        <v>0.55089820359281438</v>
      </c>
      <c r="J184" s="64">
        <v>0.5757575757575758</v>
      </c>
      <c r="K184" s="4">
        <v>0.44705882352941179</v>
      </c>
      <c r="L184" s="65">
        <v>0.50331125827814571</v>
      </c>
      <c r="M184" s="4">
        <v>0.53465346534653468</v>
      </c>
      <c r="N184" s="4">
        <v>0.65853658536585369</v>
      </c>
      <c r="O184" s="4">
        <v>0.5901639344262295</v>
      </c>
      <c r="P184">
        <v>98.033997701712167</v>
      </c>
      <c r="Q184">
        <v>7.8896237125748128</v>
      </c>
      <c r="R184">
        <v>2.7478801273895771E-2</v>
      </c>
      <c r="S184">
        <v>0.92716306582549068</v>
      </c>
      <c r="T184">
        <v>0.92582250875479422</v>
      </c>
      <c r="U184">
        <f>+MAX(T184,T189)</f>
        <v>0.92582250875479422</v>
      </c>
    </row>
    <row r="185" spans="1:21" x14ac:dyDescent="0.3">
      <c r="A185">
        <v>0</v>
      </c>
      <c r="B185">
        <v>0</v>
      </c>
      <c r="C185" s="34">
        <v>-0.10913114816017697</v>
      </c>
      <c r="D185" s="34">
        <v>-0.11772211869858977</v>
      </c>
      <c r="E185">
        <v>6</v>
      </c>
      <c r="F185" s="63">
        <v>1.9300000000000001E-3</v>
      </c>
      <c r="G185" s="90">
        <v>-0.43947114816017718</v>
      </c>
      <c r="H185" s="34">
        <v>-0.36956981149784884</v>
      </c>
      <c r="I185" s="34">
        <v>0.50898203592814373</v>
      </c>
      <c r="J185" s="64">
        <v>0.52727272727272723</v>
      </c>
      <c r="K185" s="4">
        <v>0.3411764705882353</v>
      </c>
      <c r="L185" s="65">
        <v>0.41428571428571426</v>
      </c>
      <c r="M185" s="4">
        <v>0.5</v>
      </c>
      <c r="N185" s="4">
        <v>0.68292682926829273</v>
      </c>
      <c r="O185" s="4">
        <v>0.57731958762886593</v>
      </c>
      <c r="P185">
        <v>85.358180861094596</v>
      </c>
      <c r="Q185">
        <v>41.576876276417558</v>
      </c>
      <c r="R185">
        <v>0.14394504000900971</v>
      </c>
      <c r="S185">
        <v>0.93658089697053304</v>
      </c>
      <c r="T185">
        <v>0.93541367421538946</v>
      </c>
    </row>
    <row r="186" spans="1:21" x14ac:dyDescent="0.3">
      <c r="A186">
        <v>0</v>
      </c>
      <c r="B186">
        <v>0</v>
      </c>
      <c r="C186" s="34">
        <v>7.5379886249305854E-3</v>
      </c>
      <c r="D186" s="34">
        <v>-7.6087976955926569E-3</v>
      </c>
      <c r="E186">
        <v>6</v>
      </c>
      <c r="F186" s="63">
        <v>1.9300000000000001E-3</v>
      </c>
      <c r="G186" s="90">
        <v>-0.32280201137506959</v>
      </c>
      <c r="H186" s="34">
        <v>-0.289851170709579</v>
      </c>
      <c r="I186" s="34">
        <v>0.51497005988023947</v>
      </c>
      <c r="J186" s="64">
        <v>0.52631578947368418</v>
      </c>
      <c r="K186" s="4">
        <v>0.47058823529411764</v>
      </c>
      <c r="L186" s="65">
        <v>0.49689440993788814</v>
      </c>
      <c r="M186" s="4">
        <v>0.50549450549450547</v>
      </c>
      <c r="N186" s="4">
        <v>0.56097560975609762</v>
      </c>
      <c r="O186" s="4">
        <v>0.53179190751445093</v>
      </c>
      <c r="P186">
        <v>340.017296512619</v>
      </c>
      <c r="Q186">
        <v>13.785825595214741</v>
      </c>
      <c r="R186">
        <v>4.5616688990768893E-2</v>
      </c>
      <c r="S186">
        <v>0.74737521650765326</v>
      </c>
      <c r="T186">
        <v>0.74272568061515609</v>
      </c>
    </row>
    <row r="187" spans="1:21" x14ac:dyDescent="0.3">
      <c r="A187">
        <v>0</v>
      </c>
      <c r="B187">
        <v>0</v>
      </c>
      <c r="C187" s="34">
        <v>-5.955361400125112E-3</v>
      </c>
      <c r="D187" s="34">
        <v>-2.1411632464123396E-2</v>
      </c>
      <c r="E187">
        <v>6</v>
      </c>
      <c r="F187" s="63">
        <v>1.9300000000000001E-3</v>
      </c>
      <c r="G187" s="90">
        <v>-0.33629536140012528</v>
      </c>
      <c r="H187" s="34">
        <v>-0.3001906659756291</v>
      </c>
      <c r="I187" s="34">
        <v>0.51497005988023947</v>
      </c>
      <c r="J187" s="64">
        <v>0.54347826086956519</v>
      </c>
      <c r="K187" s="4">
        <v>0.29411764705882354</v>
      </c>
      <c r="L187" s="65">
        <v>0.38167938931297707</v>
      </c>
      <c r="M187" s="4">
        <v>0.50413223140495866</v>
      </c>
      <c r="N187" s="4">
        <v>0.74390243902439024</v>
      </c>
      <c r="O187" s="4">
        <v>0.60098522167487678</v>
      </c>
      <c r="P187">
        <v>112.40167012983849</v>
      </c>
      <c r="Q187">
        <v>8.4315631444215171</v>
      </c>
      <c r="R187">
        <v>2.846515414668651E-2</v>
      </c>
      <c r="S187">
        <v>0.91648822612271208</v>
      </c>
      <c r="T187">
        <v>0.91495119960963311</v>
      </c>
    </row>
    <row r="188" spans="1:21" x14ac:dyDescent="0.3">
      <c r="A188">
        <v>0</v>
      </c>
      <c r="B188">
        <v>0</v>
      </c>
      <c r="C188" s="34">
        <v>0.1084918655538933</v>
      </c>
      <c r="D188" s="34">
        <v>9.7937000599607277E-2</v>
      </c>
      <c r="E188">
        <v>6</v>
      </c>
      <c r="F188" s="63">
        <v>1.9300000000000001E-3</v>
      </c>
      <c r="G188" s="90">
        <v>-0.22184813444610715</v>
      </c>
      <c r="H188" s="34">
        <v>-0.21393571726547</v>
      </c>
      <c r="I188" s="34">
        <v>0.54491017964071853</v>
      </c>
      <c r="J188" s="64">
        <v>0.56716417910447758</v>
      </c>
      <c r="K188" s="4">
        <v>0.44705882352941179</v>
      </c>
      <c r="L188" s="65">
        <v>0.5</v>
      </c>
      <c r="M188" s="4">
        <v>0.53</v>
      </c>
      <c r="N188" s="4">
        <v>0.64634146341463417</v>
      </c>
      <c r="O188" s="4">
        <v>0.58241758241758246</v>
      </c>
      <c r="P188">
        <v>118.4042426646707</v>
      </c>
      <c r="Q188">
        <v>8.6875748502994039</v>
      </c>
      <c r="R188">
        <v>3.0543603521863961E-2</v>
      </c>
      <c r="S188">
        <v>0.91202845715636238</v>
      </c>
      <c r="T188">
        <v>0.91040934900586601</v>
      </c>
    </row>
    <row r="189" spans="1:21" x14ac:dyDescent="0.3">
      <c r="A189">
        <v>0</v>
      </c>
      <c r="B189">
        <v>0</v>
      </c>
      <c r="C189" s="34">
        <v>0.14405436208910818</v>
      </c>
      <c r="D189" s="34">
        <v>0.13830614824267382</v>
      </c>
      <c r="E189">
        <v>6</v>
      </c>
      <c r="F189" s="63">
        <v>1.9300000000000001E-3</v>
      </c>
      <c r="G189" s="90">
        <v>-0.18628563791089212</v>
      </c>
      <c r="H189" s="34">
        <v>-0.18437145661842427</v>
      </c>
      <c r="I189" s="34">
        <v>0.55089820359281438</v>
      </c>
      <c r="J189" s="64">
        <v>0.56944444444444442</v>
      </c>
      <c r="K189" s="4">
        <v>0.4823529411764706</v>
      </c>
      <c r="L189" s="65">
        <v>0.52229299363057313</v>
      </c>
      <c r="M189" s="4">
        <v>0.5368421052631579</v>
      </c>
      <c r="N189" s="4">
        <v>0.62195121951219512</v>
      </c>
      <c r="O189" s="4">
        <v>0.57627118644067798</v>
      </c>
      <c r="P189">
        <v>133.6399953592815</v>
      </c>
      <c r="Q189">
        <v>9.3529041916167692</v>
      </c>
      <c r="R189">
        <v>3.2780885645730042E-2</v>
      </c>
      <c r="S189">
        <v>0.90070865441310355</v>
      </c>
      <c r="T189">
        <v>0.89888120633481716</v>
      </c>
    </row>
    <row r="190" spans="1:21" x14ac:dyDescent="0.3">
      <c r="A190" t="s">
        <v>385</v>
      </c>
      <c r="C190" s="101">
        <f>+AVERAGE(C192:C201)</f>
        <v>-2.7726333166084194E-2</v>
      </c>
      <c r="D190" s="101">
        <f>+AVERAGE(D192:D201)</f>
        <v>-4.0142310385964212E-2</v>
      </c>
      <c r="G190" s="101">
        <f>+AVERAGE(G192:G201)</f>
        <v>-0.35806633316608433</v>
      </c>
      <c r="H190" s="101">
        <f>+AVERAGE(H192:H201)</f>
        <v>-0.3136190205242117</v>
      </c>
      <c r="I190" s="101">
        <f>+AVERAGE(I192:I201)</f>
        <v>0.51976047904191613</v>
      </c>
      <c r="O190" s="101">
        <f>+AVERAGE(O192:O201)</f>
        <v>0.60001209703315417</v>
      </c>
      <c r="T190" s="101">
        <f>+AVERAGE(U191:U195)</f>
        <v>0.81865152009569364</v>
      </c>
      <c r="U190" s="101">
        <f>+AVERAGE(T192:T201)</f>
        <v>0.42454875330461939</v>
      </c>
    </row>
    <row r="191" spans="1:21" x14ac:dyDescent="0.3">
      <c r="A191" s="61" t="s">
        <v>212</v>
      </c>
      <c r="B191" s="61" t="s">
        <v>198</v>
      </c>
      <c r="C191" s="61" t="s">
        <v>9</v>
      </c>
      <c r="D191" s="61" t="s">
        <v>10</v>
      </c>
      <c r="E191" s="70" t="s">
        <v>212</v>
      </c>
      <c r="F191" s="61" t="s">
        <v>198</v>
      </c>
      <c r="G191" s="61" t="s">
        <v>9</v>
      </c>
      <c r="H191" s="71" t="s">
        <v>10</v>
      </c>
      <c r="I191" s="66" t="s">
        <v>231</v>
      </c>
      <c r="J191" s="66" t="s">
        <v>232</v>
      </c>
      <c r="K191" s="66" t="s">
        <v>233</v>
      </c>
      <c r="L191" s="66" t="s">
        <v>234</v>
      </c>
      <c r="M191" s="66" t="s">
        <v>232</v>
      </c>
      <c r="N191" s="66" t="s">
        <v>233</v>
      </c>
      <c r="O191" s="67" t="s">
        <v>234</v>
      </c>
      <c r="P191" t="s">
        <v>298</v>
      </c>
      <c r="Q191" t="s">
        <v>299</v>
      </c>
      <c r="R191" t="s">
        <v>300</v>
      </c>
      <c r="S191" t="s">
        <v>301</v>
      </c>
      <c r="T191" t="s">
        <v>302</v>
      </c>
    </row>
    <row r="192" spans="1:21" x14ac:dyDescent="0.3">
      <c r="A192">
        <v>0</v>
      </c>
      <c r="B192">
        <v>0</v>
      </c>
      <c r="C192" s="34">
        <v>-8.226937708299796E-2</v>
      </c>
      <c r="D192" s="34">
        <v>-9.3310460047488594E-2</v>
      </c>
      <c r="E192">
        <v>6</v>
      </c>
      <c r="F192" s="75">
        <v>1.9300000000000001E-3</v>
      </c>
      <c r="G192" s="90">
        <v>-0.41260937708299805</v>
      </c>
      <c r="H192" s="34">
        <v>-0.35170153698726114</v>
      </c>
      <c r="I192" s="34">
        <v>0.52095808383233533</v>
      </c>
      <c r="J192" s="64">
        <v>0.53846153846153844</v>
      </c>
      <c r="K192" s="4">
        <v>0.41176470588235292</v>
      </c>
      <c r="L192" s="65">
        <v>0.46666666666666667</v>
      </c>
      <c r="M192" s="4">
        <v>0.50980392156862742</v>
      </c>
      <c r="N192" s="4">
        <v>0.63414634146341464</v>
      </c>
      <c r="O192" s="4">
        <v>0.56521739130434767</v>
      </c>
      <c r="P192">
        <v>79.42385157835912</v>
      </c>
      <c r="Q192">
        <v>7.0481842780713349</v>
      </c>
      <c r="R192">
        <v>2.4400144963666132E-2</v>
      </c>
      <c r="S192">
        <v>0.94098996281982794</v>
      </c>
      <c r="T192">
        <v>0.93953292486476192</v>
      </c>
      <c r="U192">
        <f>+MAX(T192,T197)</f>
        <v>0.93953292486476192</v>
      </c>
    </row>
    <row r="193" spans="1:21" x14ac:dyDescent="0.3">
      <c r="A193">
        <v>0</v>
      </c>
      <c r="B193">
        <v>0</v>
      </c>
      <c r="C193" s="34">
        <v>8.1040354323447542E-2</v>
      </c>
      <c r="D193" s="34">
        <v>6.8853062630683859E-2</v>
      </c>
      <c r="E193">
        <v>6</v>
      </c>
      <c r="F193" s="63">
        <v>1.9300000000000001E-3</v>
      </c>
      <c r="G193" s="90">
        <v>-0.24929964567655261</v>
      </c>
      <c r="H193" s="34">
        <v>-0.23422033284445293</v>
      </c>
      <c r="I193" s="34">
        <v>0.51497005988023947</v>
      </c>
      <c r="J193" s="64">
        <v>0.54545454545454541</v>
      </c>
      <c r="K193" s="4">
        <v>0.28235294117647058</v>
      </c>
      <c r="L193" s="65">
        <v>0.37209302325581395</v>
      </c>
      <c r="M193" s="4">
        <v>0.50406504065040647</v>
      </c>
      <c r="N193" s="4">
        <v>0.75609756097560976</v>
      </c>
      <c r="O193" s="4">
        <v>0.60487804878048768</v>
      </c>
      <c r="P193">
        <v>2470.8302592491959</v>
      </c>
      <c r="Q193">
        <v>42.088434369029919</v>
      </c>
      <c r="R193">
        <v>0.1342870870420963</v>
      </c>
      <c r="S193">
        <v>-0.83576825558931978</v>
      </c>
      <c r="T193">
        <v>-0.88109586683843899</v>
      </c>
      <c r="U193">
        <f>+MAX(T193,T198)</f>
        <v>0.66828024254844198</v>
      </c>
    </row>
    <row r="194" spans="1:21" x14ac:dyDescent="0.3">
      <c r="A194">
        <v>0</v>
      </c>
      <c r="B194">
        <v>0</v>
      </c>
      <c r="C194" s="34">
        <v>5.72701149250225E-2</v>
      </c>
      <c r="D194" s="34">
        <v>4.3494060043455102E-2</v>
      </c>
      <c r="E194">
        <v>6</v>
      </c>
      <c r="F194" s="63">
        <v>1.9300000000000001E-3</v>
      </c>
      <c r="G194" s="90">
        <v>-0.27306988507497765</v>
      </c>
      <c r="H194" s="34">
        <v>-0.25265607520650679</v>
      </c>
      <c r="I194" s="34">
        <v>0.53293413173652693</v>
      </c>
      <c r="J194" s="64">
        <v>0.64</v>
      </c>
      <c r="K194" s="4">
        <v>0.18823529411764706</v>
      </c>
      <c r="L194" s="65">
        <v>0.29090909090909089</v>
      </c>
      <c r="M194" s="4">
        <v>0.5140845070422535</v>
      </c>
      <c r="N194" s="4">
        <v>0.8902439024390244</v>
      </c>
      <c r="O194" s="4">
        <v>0.6517857142857143</v>
      </c>
      <c r="P194">
        <v>3503.0215138901508</v>
      </c>
      <c r="Q194">
        <v>49.604089118961042</v>
      </c>
      <c r="R194">
        <v>0.1563491634948786</v>
      </c>
      <c r="S194">
        <v>-1.6026618662991721</v>
      </c>
      <c r="T194">
        <v>-1.6669251222571759</v>
      </c>
      <c r="U194">
        <f>+MAX(T194,T199)</f>
        <v>0.83032934450770313</v>
      </c>
    </row>
    <row r="195" spans="1:21" x14ac:dyDescent="0.3">
      <c r="A195">
        <v>0</v>
      </c>
      <c r="B195">
        <v>0</v>
      </c>
      <c r="C195" s="34">
        <v>-3.4102125687913938E-2</v>
      </c>
      <c r="D195" s="34">
        <v>-4.9022756317308666E-2</v>
      </c>
      <c r="E195">
        <v>6</v>
      </c>
      <c r="F195" s="63">
        <v>1.9300000000000001E-3</v>
      </c>
      <c r="G195" s="90">
        <v>-0.36444212568791384</v>
      </c>
      <c r="H195" s="34">
        <v>-0.32042129225541505</v>
      </c>
      <c r="I195" s="34">
        <v>0.52095808383233533</v>
      </c>
      <c r="J195" s="64">
        <v>0.58064516129032262</v>
      </c>
      <c r="K195" s="4">
        <v>0.21176470588235294</v>
      </c>
      <c r="L195" s="65">
        <v>0.31034482758620691</v>
      </c>
      <c r="M195" s="4">
        <v>0.50735294117647056</v>
      </c>
      <c r="N195" s="4">
        <v>0.84146341463414631</v>
      </c>
      <c r="O195" s="4">
        <v>0.6330275229357798</v>
      </c>
      <c r="P195">
        <v>235.09487035928129</v>
      </c>
      <c r="Q195">
        <v>12.49263473053891</v>
      </c>
      <c r="R195">
        <v>4.3432675332194109E-2</v>
      </c>
      <c r="S195">
        <v>0.82533008957539722</v>
      </c>
      <c r="T195">
        <v>0.82101725228096256</v>
      </c>
      <c r="U195">
        <f>+MAX(T195,T200)</f>
        <v>0.83646356846186776</v>
      </c>
    </row>
    <row r="196" spans="1:21" x14ac:dyDescent="0.3">
      <c r="A196">
        <v>0</v>
      </c>
      <c r="B196">
        <v>0</v>
      </c>
      <c r="C196" s="34">
        <v>-3.6423125799592962E-2</v>
      </c>
      <c r="D196" s="34">
        <v>-5.1531169818527414E-2</v>
      </c>
      <c r="E196">
        <v>6</v>
      </c>
      <c r="F196" s="63">
        <v>1.9300000000000001E-3</v>
      </c>
      <c r="G196" s="90">
        <v>-0.36676312579959391</v>
      </c>
      <c r="H196" s="34">
        <v>-0.32252865696982319</v>
      </c>
      <c r="I196" s="34">
        <v>0.53892215568862278</v>
      </c>
      <c r="J196" s="64">
        <v>0.57407407407407407</v>
      </c>
      <c r="K196" s="4">
        <v>0.36470588235294116</v>
      </c>
      <c r="L196" s="65">
        <v>0.4460431654676259</v>
      </c>
      <c r="M196" s="4">
        <v>0.52212389380530977</v>
      </c>
      <c r="N196" s="4">
        <v>0.71951219512195119</v>
      </c>
      <c r="O196" s="4">
        <v>0.6051282051282052</v>
      </c>
      <c r="P196">
        <v>118.2632100777703</v>
      </c>
      <c r="Q196">
        <v>8.6086260479042078</v>
      </c>
      <c r="R196">
        <v>3.0158471059812259E-2</v>
      </c>
      <c r="S196">
        <v>0.9121332410220554</v>
      </c>
      <c r="T196">
        <v>0.90996369141766165</v>
      </c>
      <c r="U196">
        <f>+MAX(T196,T201)</f>
        <v>0.90996369141766165</v>
      </c>
    </row>
    <row r="197" spans="1:21" x14ac:dyDescent="0.3">
      <c r="A197">
        <v>0</v>
      </c>
      <c r="B197">
        <v>0</v>
      </c>
      <c r="C197" s="34">
        <v>-8.226937708299796E-2</v>
      </c>
      <c r="D197" s="34">
        <v>-9.3310460047488594E-2</v>
      </c>
      <c r="E197">
        <v>6</v>
      </c>
      <c r="F197" s="63">
        <v>1.9300000000000001E-3</v>
      </c>
      <c r="G197" s="90">
        <v>-0.41260937708299805</v>
      </c>
      <c r="H197" s="34">
        <v>-0.35170153698726114</v>
      </c>
      <c r="I197" s="34">
        <v>0.52095808383233533</v>
      </c>
      <c r="J197" s="64">
        <v>0.53846153846153844</v>
      </c>
      <c r="K197" s="4">
        <v>0.41176470588235292</v>
      </c>
      <c r="L197" s="65">
        <v>0.46666666666666667</v>
      </c>
      <c r="M197" s="4">
        <v>0.50980392156862742</v>
      </c>
      <c r="N197" s="4">
        <v>0.63414634146341464</v>
      </c>
      <c r="O197" s="4">
        <v>0.56521739130434767</v>
      </c>
      <c r="P197">
        <v>79.423851578359447</v>
      </c>
      <c r="Q197">
        <v>41.79431309357296</v>
      </c>
      <c r="R197">
        <v>0.14500512638885249</v>
      </c>
      <c r="S197">
        <v>0.94098996281982761</v>
      </c>
      <c r="T197">
        <v>0.93953292486476159</v>
      </c>
    </row>
    <row r="198" spans="1:21" x14ac:dyDescent="0.3">
      <c r="A198">
        <v>0</v>
      </c>
      <c r="B198">
        <v>0</v>
      </c>
      <c r="C198" s="34">
        <v>-0.17311311971723145</v>
      </c>
      <c r="D198" s="34">
        <v>-0.17265422057645205</v>
      </c>
      <c r="E198">
        <v>6</v>
      </c>
      <c r="F198" s="63">
        <v>1.9300000000000001E-3</v>
      </c>
      <c r="G198" s="90">
        <v>-0.50345311971723183</v>
      </c>
      <c r="H198" s="34">
        <v>-0.40923107746526499</v>
      </c>
      <c r="I198" s="34">
        <v>0.47305389221556887</v>
      </c>
      <c r="J198" s="64">
        <v>0.4823529411764706</v>
      </c>
      <c r="K198" s="4">
        <v>0.4823529411764706</v>
      </c>
      <c r="L198" s="65">
        <v>0.4823529411764706</v>
      </c>
      <c r="M198" s="4">
        <v>0.46341463414634149</v>
      </c>
      <c r="N198" s="4">
        <v>0.46341463414634149</v>
      </c>
      <c r="O198" s="4">
        <v>0.46341463414634149</v>
      </c>
      <c r="P198">
        <v>435.71581265534098</v>
      </c>
      <c r="Q198">
        <v>15.857694889634731</v>
      </c>
      <c r="R198">
        <v>5.1819955878828289E-2</v>
      </c>
      <c r="S198">
        <v>0.67627348971594947</v>
      </c>
      <c r="T198">
        <v>0.66828024254844198</v>
      </c>
    </row>
    <row r="199" spans="1:21" x14ac:dyDescent="0.3">
      <c r="A199">
        <v>0</v>
      </c>
      <c r="B199">
        <v>0</v>
      </c>
      <c r="C199" s="34">
        <v>7.4803086964398975E-4</v>
      </c>
      <c r="D199" s="34">
        <v>-1.4892071339301474E-2</v>
      </c>
      <c r="E199">
        <v>6</v>
      </c>
      <c r="F199" s="63">
        <v>1.9300000000000001E-3</v>
      </c>
      <c r="G199" s="90">
        <v>-0.32959196913035632</v>
      </c>
      <c r="H199" s="34">
        <v>-0.29563452583940047</v>
      </c>
      <c r="I199" s="34">
        <v>0.53293413173652693</v>
      </c>
      <c r="J199" s="64">
        <v>0.62068965517241381</v>
      </c>
      <c r="K199" s="4">
        <v>0.21176470588235294</v>
      </c>
      <c r="L199" s="65">
        <v>0.31578947368421051</v>
      </c>
      <c r="M199" s="4">
        <v>0.51449275362318836</v>
      </c>
      <c r="N199" s="4">
        <v>0.86585365853658536</v>
      </c>
      <c r="O199" s="4">
        <v>0.64545454545454539</v>
      </c>
      <c r="P199">
        <v>222.863383566734</v>
      </c>
      <c r="Q199">
        <v>12.168575173908209</v>
      </c>
      <c r="R199">
        <v>4.1331458932776573E-2</v>
      </c>
      <c r="S199">
        <v>0.83441779403763805</v>
      </c>
      <c r="T199">
        <v>0.83032934450770313</v>
      </c>
    </row>
    <row r="200" spans="1:21" x14ac:dyDescent="0.3">
      <c r="A200">
        <v>0</v>
      </c>
      <c r="B200">
        <v>0</v>
      </c>
      <c r="C200" s="34">
        <v>-2.7400606737511553E-2</v>
      </c>
      <c r="D200" s="34">
        <v>-4.2582369413777924E-2</v>
      </c>
      <c r="E200">
        <v>6</v>
      </c>
      <c r="F200" s="63">
        <v>1.9300000000000001E-3</v>
      </c>
      <c r="G200" s="90">
        <v>-0.35774060673751146</v>
      </c>
      <c r="H200" s="34">
        <v>-0.31576310990211337</v>
      </c>
      <c r="I200" s="34">
        <v>0.51497005988023947</v>
      </c>
      <c r="J200" s="64">
        <v>0.5625</v>
      </c>
      <c r="K200" s="4">
        <v>0.21176470588235294</v>
      </c>
      <c r="L200" s="65">
        <v>0.30769230769230765</v>
      </c>
      <c r="M200" s="4">
        <v>0.50370370370370365</v>
      </c>
      <c r="N200" s="4">
        <v>0.82926829268292679</v>
      </c>
      <c r="O200" s="4">
        <v>0.62672811059907829</v>
      </c>
      <c r="P200">
        <v>214.80604505988009</v>
      </c>
      <c r="Q200">
        <v>11.85008982035928</v>
      </c>
      <c r="R200">
        <v>4.0728012373395031E-2</v>
      </c>
      <c r="S200">
        <v>0.84040420536640104</v>
      </c>
      <c r="T200">
        <v>0.83646356846186776</v>
      </c>
    </row>
    <row r="201" spans="1:21" x14ac:dyDescent="0.3">
      <c r="A201">
        <v>0</v>
      </c>
      <c r="B201">
        <v>0</v>
      </c>
      <c r="C201" s="34">
        <v>1.9255900329289869E-2</v>
      </c>
      <c r="D201" s="34">
        <v>3.5332810265636364E-3</v>
      </c>
      <c r="E201">
        <v>6</v>
      </c>
      <c r="F201" s="63">
        <v>1.9300000000000001E-3</v>
      </c>
      <c r="G201" s="90">
        <v>-0.31108409967071027</v>
      </c>
      <c r="H201" s="34">
        <v>-0.2823320607846182</v>
      </c>
      <c r="I201" s="34">
        <v>0.52694610778443118</v>
      </c>
      <c r="J201" s="64">
        <v>0.6</v>
      </c>
      <c r="K201" s="4">
        <v>0.21176470588235294</v>
      </c>
      <c r="L201" s="65">
        <v>0.31304347826086953</v>
      </c>
      <c r="M201" s="4">
        <v>0.51094890510948909</v>
      </c>
      <c r="N201" s="4">
        <v>0.85365853658536583</v>
      </c>
      <c r="O201" s="4">
        <v>0.63926940639269414</v>
      </c>
      <c r="P201">
        <v>199.14248263473041</v>
      </c>
      <c r="Q201">
        <v>11.551257485029931</v>
      </c>
      <c r="R201">
        <v>3.9572230692351343E-2</v>
      </c>
      <c r="S201">
        <v>0.85204186058852427</v>
      </c>
      <c r="T201">
        <v>0.84838857319564831</v>
      </c>
    </row>
    <row r="202" spans="1:21" x14ac:dyDescent="0.3">
      <c r="A202" t="s">
        <v>382</v>
      </c>
      <c r="C202" s="101">
        <f>+AVERAGE(C204:C213)</f>
        <v>-1.7139546266841582E-2</v>
      </c>
      <c r="D202" s="101">
        <f>+AVERAGE(D204:D213)</f>
        <v>-2.915717095568373E-2</v>
      </c>
      <c r="G202" s="101">
        <f>+AVERAGE(G204:G213)</f>
        <v>-0.34747954626684174</v>
      </c>
      <c r="H202" s="101">
        <f>+AVERAGE(H204:H213)</f>
        <v>-0.3056253218252013</v>
      </c>
      <c r="I202" s="101">
        <f>+AVERAGE(I204:I213)</f>
        <v>0.51916167664670654</v>
      </c>
      <c r="O202" s="101">
        <f>+AVERAGE(O204:O213)</f>
        <v>0.59902431036199011</v>
      </c>
      <c r="T202" s="101">
        <f>+AVERAGE(U203:U207)</f>
        <v>0.82357435881471841</v>
      </c>
      <c r="U202" s="101">
        <f>+AVERAGE(T204:T213)</f>
        <v>0.42912610002292861</v>
      </c>
    </row>
    <row r="203" spans="1:21" x14ac:dyDescent="0.3">
      <c r="A203" s="61" t="s">
        <v>212</v>
      </c>
      <c r="B203" s="61" t="s">
        <v>198</v>
      </c>
      <c r="C203" s="61" t="s">
        <v>9</v>
      </c>
      <c r="D203" s="61" t="s">
        <v>10</v>
      </c>
      <c r="E203" s="70" t="s">
        <v>212</v>
      </c>
      <c r="F203" s="61" t="s">
        <v>198</v>
      </c>
      <c r="G203" s="61" t="s">
        <v>9</v>
      </c>
      <c r="H203" s="71" t="s">
        <v>10</v>
      </c>
      <c r="I203" s="66" t="s">
        <v>231</v>
      </c>
      <c r="J203" s="66" t="s">
        <v>232</v>
      </c>
      <c r="K203" s="66" t="s">
        <v>233</v>
      </c>
      <c r="L203" s="66" t="s">
        <v>234</v>
      </c>
      <c r="M203" s="66" t="s">
        <v>232</v>
      </c>
      <c r="N203" s="66" t="s">
        <v>233</v>
      </c>
      <c r="O203" s="67" t="s">
        <v>234</v>
      </c>
      <c r="P203" t="s">
        <v>298</v>
      </c>
      <c r="Q203" t="s">
        <v>299</v>
      </c>
      <c r="R203" t="s">
        <v>300</v>
      </c>
      <c r="S203" t="s">
        <v>301</v>
      </c>
      <c r="T203" t="s">
        <v>302</v>
      </c>
    </row>
    <row r="204" spans="1:21" x14ac:dyDescent="0.3">
      <c r="A204">
        <v>0</v>
      </c>
      <c r="B204">
        <v>0</v>
      </c>
      <c r="C204" s="34">
        <v>-8.226937708299796E-2</v>
      </c>
      <c r="D204" s="34">
        <v>-9.3310460047488594E-2</v>
      </c>
      <c r="E204">
        <v>6</v>
      </c>
      <c r="F204" s="75">
        <v>1.9300000000000001E-3</v>
      </c>
      <c r="G204" s="90">
        <v>-0.41260937708299805</v>
      </c>
      <c r="H204" s="34">
        <v>-0.35170153698726114</v>
      </c>
      <c r="I204" s="34">
        <v>0.52095808383233533</v>
      </c>
      <c r="J204" s="64">
        <v>0.53846153846153844</v>
      </c>
      <c r="K204" s="4">
        <v>0.41176470588235292</v>
      </c>
      <c r="L204" s="65">
        <v>0.46666666666666667</v>
      </c>
      <c r="M204" s="4">
        <v>0.50980392156862742</v>
      </c>
      <c r="N204" s="4">
        <v>0.63414634146341464</v>
      </c>
      <c r="O204" s="4">
        <v>0.56521739130434767</v>
      </c>
      <c r="P204">
        <v>79.42385157835912</v>
      </c>
      <c r="Q204">
        <v>7.0481842780713349</v>
      </c>
      <c r="R204">
        <v>2.4400144963666132E-2</v>
      </c>
      <c r="S204">
        <v>0.94098996281982794</v>
      </c>
      <c r="T204">
        <v>0.93953292486476192</v>
      </c>
      <c r="U204">
        <f>+MAX(T204,T209)</f>
        <v>0.93953292486476192</v>
      </c>
    </row>
    <row r="205" spans="1:21" x14ac:dyDescent="0.3">
      <c r="A205">
        <v>0</v>
      </c>
      <c r="B205">
        <v>0</v>
      </c>
      <c r="C205" s="34">
        <v>8.1040354323447542E-2</v>
      </c>
      <c r="D205" s="34">
        <v>6.8853062630683859E-2</v>
      </c>
      <c r="E205">
        <v>6</v>
      </c>
      <c r="F205" s="63">
        <v>1.9300000000000001E-3</v>
      </c>
      <c r="G205" s="90">
        <v>-0.24929964567655261</v>
      </c>
      <c r="H205" s="34">
        <v>-0.23422033284445293</v>
      </c>
      <c r="I205" s="34">
        <v>0.51497005988023947</v>
      </c>
      <c r="J205" s="64">
        <v>0.54545454545454541</v>
      </c>
      <c r="K205" s="4">
        <v>0.28235294117647058</v>
      </c>
      <c r="L205" s="65">
        <v>0.37209302325581395</v>
      </c>
      <c r="M205" s="4">
        <v>0.50406504065040647</v>
      </c>
      <c r="N205" s="4">
        <v>0.75609756097560976</v>
      </c>
      <c r="O205" s="4">
        <v>0.60487804878048768</v>
      </c>
      <c r="P205">
        <v>2470.8302592491959</v>
      </c>
      <c r="Q205">
        <v>42.088434369029919</v>
      </c>
      <c r="R205">
        <v>0.1342870870420963</v>
      </c>
      <c r="S205">
        <v>-0.83576825558931978</v>
      </c>
      <c r="T205">
        <v>-0.88109586683843899</v>
      </c>
      <c r="U205">
        <f>+MAX(T205,T210)</f>
        <v>0.66828024254844198</v>
      </c>
    </row>
    <row r="206" spans="1:21" x14ac:dyDescent="0.3">
      <c r="A206">
        <v>0</v>
      </c>
      <c r="B206">
        <v>0</v>
      </c>
      <c r="C206" s="34">
        <v>5.72701149250225E-2</v>
      </c>
      <c r="D206" s="34">
        <v>4.3494060043455102E-2</v>
      </c>
      <c r="E206">
        <v>6</v>
      </c>
      <c r="F206" s="63">
        <v>1.9300000000000001E-3</v>
      </c>
      <c r="G206" s="90">
        <v>-0.27306988507497765</v>
      </c>
      <c r="H206" s="34">
        <v>-0.25265607520650679</v>
      </c>
      <c r="I206" s="34">
        <v>0.53293413173652693</v>
      </c>
      <c r="J206" s="64">
        <v>0.64</v>
      </c>
      <c r="K206" s="4">
        <v>0.18823529411764706</v>
      </c>
      <c r="L206" s="65">
        <v>0.29090909090909089</v>
      </c>
      <c r="M206" s="4">
        <v>0.5140845070422535</v>
      </c>
      <c r="N206" s="4">
        <v>0.8902439024390244</v>
      </c>
      <c r="O206" s="4">
        <v>0.6517857142857143</v>
      </c>
      <c r="P206">
        <v>3503.0215138901508</v>
      </c>
      <c r="Q206">
        <v>49.604089118961042</v>
      </c>
      <c r="R206">
        <v>0.1563491634948786</v>
      </c>
      <c r="S206">
        <v>-1.6026618662991721</v>
      </c>
      <c r="T206">
        <v>-1.6669251222571759</v>
      </c>
      <c r="U206">
        <f>+MAX(T206,T211)</f>
        <v>0.83032934450770313</v>
      </c>
    </row>
    <row r="207" spans="1:21" x14ac:dyDescent="0.3">
      <c r="A207">
        <v>0</v>
      </c>
      <c r="B207">
        <v>0</v>
      </c>
      <c r="C207" s="34">
        <v>6.5304878953768492E-2</v>
      </c>
      <c r="D207" s="34">
        <v>5.1421959724254264E-2</v>
      </c>
      <c r="E207">
        <v>6</v>
      </c>
      <c r="F207" s="63">
        <v>1.9300000000000001E-3</v>
      </c>
      <c r="G207" s="90">
        <v>-0.26503512104623167</v>
      </c>
      <c r="H207" s="34">
        <v>-0.2474494709464525</v>
      </c>
      <c r="I207" s="34">
        <v>0.51497005988023947</v>
      </c>
      <c r="J207" s="64">
        <v>0.55555555555555558</v>
      </c>
      <c r="K207" s="4">
        <v>0.23529411764705882</v>
      </c>
      <c r="L207" s="65">
        <v>0.33057851239669422</v>
      </c>
      <c r="M207" s="4">
        <v>0.50381679389312972</v>
      </c>
      <c r="N207" s="4">
        <v>0.80487804878048785</v>
      </c>
      <c r="O207" s="4">
        <v>0.61971830985915488</v>
      </c>
      <c r="P207">
        <v>190.95536422155669</v>
      </c>
      <c r="Q207">
        <v>11.326077844311371</v>
      </c>
      <c r="R207">
        <v>3.8642395317510667E-2</v>
      </c>
      <c r="S207">
        <v>0.8581246953083087</v>
      </c>
      <c r="T207">
        <v>0.85462160136530396</v>
      </c>
      <c r="U207">
        <f>+MAX(T207,T212)</f>
        <v>0.85615492333796683</v>
      </c>
    </row>
    <row r="208" spans="1:21" x14ac:dyDescent="0.3">
      <c r="A208">
        <v>0</v>
      </c>
      <c r="B208">
        <v>0</v>
      </c>
      <c r="C208" s="34">
        <v>-3.6423125799592962E-2</v>
      </c>
      <c r="D208" s="34">
        <v>-5.1531169818527414E-2</v>
      </c>
      <c r="E208">
        <v>6</v>
      </c>
      <c r="F208" s="63">
        <v>1.9300000000000001E-3</v>
      </c>
      <c r="G208" s="90">
        <v>-0.36676312579959391</v>
      </c>
      <c r="H208" s="34">
        <v>-0.32252865696982319</v>
      </c>
      <c r="I208" s="34">
        <v>0.53892215568862278</v>
      </c>
      <c r="J208" s="64">
        <v>0.57407407407407407</v>
      </c>
      <c r="K208" s="4">
        <v>0.36470588235294116</v>
      </c>
      <c r="L208" s="65">
        <v>0.4460431654676259</v>
      </c>
      <c r="M208" s="4">
        <v>0.52212389380530977</v>
      </c>
      <c r="N208" s="4">
        <v>0.71951219512195119</v>
      </c>
      <c r="O208" s="4">
        <v>0.6051282051282052</v>
      </c>
      <c r="P208">
        <v>118.2632100777703</v>
      </c>
      <c r="Q208">
        <v>8.6086260479042078</v>
      </c>
      <c r="R208">
        <v>3.0158471059812259E-2</v>
      </c>
      <c r="S208">
        <v>0.9121332410220554</v>
      </c>
      <c r="T208">
        <v>0.90996369141766165</v>
      </c>
      <c r="U208">
        <f>+MAX(T208,T213)</f>
        <v>0.90996369141766165</v>
      </c>
    </row>
    <row r="209" spans="1:21" x14ac:dyDescent="0.3">
      <c r="A209">
        <v>0</v>
      </c>
      <c r="B209">
        <v>0</v>
      </c>
      <c r="C209" s="34">
        <v>-8.226937708299796E-2</v>
      </c>
      <c r="D209" s="34">
        <v>-9.3310460047488594E-2</v>
      </c>
      <c r="E209">
        <v>6</v>
      </c>
      <c r="F209" s="63">
        <v>1.9300000000000001E-3</v>
      </c>
      <c r="G209" s="90">
        <v>-0.41260937708299805</v>
      </c>
      <c r="H209" s="34">
        <v>-0.35170153698726114</v>
      </c>
      <c r="I209" s="34">
        <v>0.52095808383233533</v>
      </c>
      <c r="J209" s="64">
        <v>0.53846153846153844</v>
      </c>
      <c r="K209" s="4">
        <v>0.41176470588235292</v>
      </c>
      <c r="L209" s="65">
        <v>0.46666666666666667</v>
      </c>
      <c r="M209" s="4">
        <v>0.50980392156862742</v>
      </c>
      <c r="N209" s="4">
        <v>0.63414634146341464</v>
      </c>
      <c r="O209" s="4">
        <v>0.56521739130434767</v>
      </c>
      <c r="P209">
        <v>79.423851578359447</v>
      </c>
      <c r="Q209">
        <v>41.79431309357296</v>
      </c>
      <c r="R209">
        <v>0.14500512638885249</v>
      </c>
      <c r="S209">
        <v>0.94098996281982761</v>
      </c>
      <c r="T209">
        <v>0.93953292486476159</v>
      </c>
    </row>
    <row r="210" spans="1:21" x14ac:dyDescent="0.3">
      <c r="A210">
        <v>0</v>
      </c>
      <c r="B210">
        <v>0</v>
      </c>
      <c r="C210" s="34">
        <v>-0.17311311971723145</v>
      </c>
      <c r="D210" s="34">
        <v>-0.17265422057645205</v>
      </c>
      <c r="E210">
        <v>6</v>
      </c>
      <c r="F210" s="63">
        <v>1.9300000000000001E-3</v>
      </c>
      <c r="G210" s="90">
        <v>-0.50345311971723183</v>
      </c>
      <c r="H210" s="34">
        <v>-0.40923107746526499</v>
      </c>
      <c r="I210" s="34">
        <v>0.47305389221556887</v>
      </c>
      <c r="J210" s="64">
        <v>0.4823529411764706</v>
      </c>
      <c r="K210" s="4">
        <v>0.4823529411764706</v>
      </c>
      <c r="L210" s="65">
        <v>0.4823529411764706</v>
      </c>
      <c r="M210" s="4">
        <v>0.46341463414634149</v>
      </c>
      <c r="N210" s="4">
        <v>0.46341463414634149</v>
      </c>
      <c r="O210" s="4">
        <v>0.46341463414634149</v>
      </c>
      <c r="P210">
        <v>435.71581265534098</v>
      </c>
      <c r="Q210">
        <v>15.857694889634731</v>
      </c>
      <c r="R210">
        <v>5.1819955878828289E-2</v>
      </c>
      <c r="S210">
        <v>0.67627348971594947</v>
      </c>
      <c r="T210">
        <v>0.66828024254844198</v>
      </c>
    </row>
    <row r="211" spans="1:21" x14ac:dyDescent="0.3">
      <c r="A211">
        <v>0</v>
      </c>
      <c r="B211">
        <v>0</v>
      </c>
      <c r="C211" s="34">
        <v>7.4803086964398975E-4</v>
      </c>
      <c r="D211" s="34">
        <v>-1.4892071339301474E-2</v>
      </c>
      <c r="E211">
        <v>6</v>
      </c>
      <c r="F211" s="63">
        <v>1.9300000000000001E-3</v>
      </c>
      <c r="G211" s="90">
        <v>-0.32959196913035632</v>
      </c>
      <c r="H211" s="34">
        <v>-0.29563452583940047</v>
      </c>
      <c r="I211" s="34">
        <v>0.53293413173652693</v>
      </c>
      <c r="J211" s="64">
        <v>0.62068965517241381</v>
      </c>
      <c r="K211" s="4">
        <v>0.21176470588235294</v>
      </c>
      <c r="L211" s="65">
        <v>0.31578947368421051</v>
      </c>
      <c r="M211" s="4">
        <v>0.51449275362318836</v>
      </c>
      <c r="N211" s="4">
        <v>0.86585365853658536</v>
      </c>
      <c r="O211" s="4">
        <v>0.64545454545454539</v>
      </c>
      <c r="P211">
        <v>222.863383566734</v>
      </c>
      <c r="Q211">
        <v>12.168575173908209</v>
      </c>
      <c r="R211">
        <v>4.1331458932776573E-2</v>
      </c>
      <c r="S211">
        <v>0.83441779403763805</v>
      </c>
      <c r="T211">
        <v>0.83032934450770313</v>
      </c>
    </row>
    <row r="212" spans="1:21" x14ac:dyDescent="0.3">
      <c r="A212">
        <v>0</v>
      </c>
      <c r="B212">
        <v>0</v>
      </c>
      <c r="C212" s="34">
        <v>5.7413846759209845E-2</v>
      </c>
      <c r="D212" s="34">
        <v>4.3054367693349631E-2</v>
      </c>
      <c r="E212">
        <v>6</v>
      </c>
      <c r="F212" s="63">
        <v>1.9300000000000001E-3</v>
      </c>
      <c r="G212" s="90">
        <v>-0.27292615324079028</v>
      </c>
      <c r="H212" s="34">
        <v>-0.25354826861923518</v>
      </c>
      <c r="I212" s="34">
        <v>0.52694610778443118</v>
      </c>
      <c r="J212" s="64">
        <v>0.59375</v>
      </c>
      <c r="K212" s="4">
        <v>0.22352941176470589</v>
      </c>
      <c r="L212" s="65">
        <v>0.3247863247863248</v>
      </c>
      <c r="M212" s="4">
        <v>0.51111111111111107</v>
      </c>
      <c r="N212" s="4">
        <v>0.84146341463414631</v>
      </c>
      <c r="O212" s="4">
        <v>0.63594470046082952</v>
      </c>
      <c r="P212">
        <v>188.94133697604769</v>
      </c>
      <c r="Q212">
        <v>11.24026946107784</v>
      </c>
      <c r="R212">
        <v>3.8388857437096247E-2</v>
      </c>
      <c r="S212">
        <v>0.85962106976355801</v>
      </c>
      <c r="T212">
        <v>0.85615492333796683</v>
      </c>
    </row>
    <row r="213" spans="1:21" x14ac:dyDescent="0.3">
      <c r="A213">
        <v>0</v>
      </c>
      <c r="B213">
        <v>0</v>
      </c>
      <c r="C213" s="34">
        <v>-5.9097688816687879E-2</v>
      </c>
      <c r="D213" s="34">
        <v>-7.2696777819322017E-2</v>
      </c>
      <c r="E213">
        <v>6</v>
      </c>
      <c r="F213" s="63">
        <v>1.9300000000000001E-3</v>
      </c>
      <c r="G213" s="90">
        <v>-0.38943768881668783</v>
      </c>
      <c r="H213" s="34">
        <v>-0.33758173638635403</v>
      </c>
      <c r="I213" s="34">
        <v>0.51497005988023947</v>
      </c>
      <c r="J213" s="64">
        <v>0.5714285714285714</v>
      </c>
      <c r="K213" s="4">
        <v>0.18823529411764706</v>
      </c>
      <c r="L213" s="65">
        <v>0.2831858407079646</v>
      </c>
      <c r="M213" s="4">
        <v>0.50359712230215825</v>
      </c>
      <c r="N213" s="4">
        <v>0.85365853658536583</v>
      </c>
      <c r="O213" s="4">
        <v>0.63348416289592768</v>
      </c>
      <c r="P213">
        <v>209.0229839820359</v>
      </c>
      <c r="Q213">
        <v>11.8727245508982</v>
      </c>
      <c r="R213">
        <v>4.0713957262968031E-2</v>
      </c>
      <c r="S213">
        <v>0.84470088252870301</v>
      </c>
      <c r="T213">
        <v>0.84086633641830066</v>
      </c>
    </row>
    <row r="214" spans="1:21" x14ac:dyDescent="0.3">
      <c r="A214" t="s">
        <v>368</v>
      </c>
      <c r="C214" s="101">
        <f>+AVERAGE(C216:C225)</f>
        <v>8.2586425674086757E-3</v>
      </c>
      <c r="D214" s="101">
        <f>+AVERAGE(D216:D225)</f>
        <v>2.8220849779329706E-3</v>
      </c>
      <c r="G214" s="101">
        <f>+AVERAGE(G216:G225)</f>
        <v>-0.32208135743259153</v>
      </c>
      <c r="H214" s="101">
        <f>+AVERAGE(H216:H225)</f>
        <v>-0.28236176015611081</v>
      </c>
      <c r="I214" s="101">
        <f>+AVERAGE(I216:I225)</f>
        <v>0.52215568862275452</v>
      </c>
      <c r="O214" s="101">
        <f>+AVERAGE(O216:O225)</f>
        <v>0.57862368426573296</v>
      </c>
      <c r="T214" s="101">
        <f>+AVERAGE(U215:U219)</f>
        <v>0.92093119542745827</v>
      </c>
      <c r="U214" s="101">
        <f>+AVERAGE(T216:T225)</f>
        <v>0.88823100929646071</v>
      </c>
    </row>
    <row r="215" spans="1:21" x14ac:dyDescent="0.3">
      <c r="A215" s="61" t="s">
        <v>212</v>
      </c>
      <c r="B215" s="61" t="s">
        <v>198</v>
      </c>
      <c r="C215" s="61" t="s">
        <v>9</v>
      </c>
      <c r="D215" s="61" t="s">
        <v>10</v>
      </c>
      <c r="E215" s="70" t="s">
        <v>212</v>
      </c>
      <c r="F215" s="61" t="s">
        <v>198</v>
      </c>
      <c r="G215" s="61" t="s">
        <v>9</v>
      </c>
      <c r="H215" s="71" t="s">
        <v>10</v>
      </c>
      <c r="I215" s="66" t="s">
        <v>231</v>
      </c>
      <c r="J215" s="66" t="s">
        <v>232</v>
      </c>
      <c r="K215" s="66" t="s">
        <v>233</v>
      </c>
      <c r="L215" s="66" t="s">
        <v>234</v>
      </c>
      <c r="M215" s="66" t="s">
        <v>232</v>
      </c>
      <c r="N215" s="66" t="s">
        <v>233</v>
      </c>
      <c r="O215" s="67" t="s">
        <v>234</v>
      </c>
      <c r="P215" t="s">
        <v>298</v>
      </c>
      <c r="Q215" t="s">
        <v>299</v>
      </c>
      <c r="R215" t="s">
        <v>300</v>
      </c>
      <c r="S215" t="s">
        <v>301</v>
      </c>
      <c r="T215" t="s">
        <v>302</v>
      </c>
    </row>
    <row r="216" spans="1:21" x14ac:dyDescent="0.3">
      <c r="A216">
        <v>0</v>
      </c>
      <c r="B216">
        <v>0</v>
      </c>
      <c r="C216" s="34">
        <v>-0.10913114816017697</v>
      </c>
      <c r="D216" s="34">
        <v>-0.11772211869858977</v>
      </c>
      <c r="E216">
        <v>6</v>
      </c>
      <c r="F216" s="75">
        <v>1.9300000000000001E-3</v>
      </c>
      <c r="G216" s="90">
        <v>-0.43947114816017718</v>
      </c>
      <c r="H216" s="34">
        <v>-0.36956981149784884</v>
      </c>
      <c r="I216" s="34">
        <v>0.50898203592814373</v>
      </c>
      <c r="J216" s="64">
        <v>0.52727272727272723</v>
      </c>
      <c r="K216" s="4">
        <v>0.3411764705882353</v>
      </c>
      <c r="L216" s="65">
        <v>0.41428571428571426</v>
      </c>
      <c r="M216" s="4">
        <v>0.5</v>
      </c>
      <c r="N216" s="4">
        <v>0.68292682926829273</v>
      </c>
      <c r="O216" s="4">
        <v>0.57731958762886593</v>
      </c>
      <c r="P216">
        <v>85.358180861094453</v>
      </c>
      <c r="Q216">
        <v>7.439236878427856</v>
      </c>
      <c r="R216">
        <v>2.5648265701490491E-2</v>
      </c>
      <c r="S216">
        <v>0.93658089697053315</v>
      </c>
      <c r="T216">
        <v>0.93541367421538957</v>
      </c>
      <c r="U216">
        <f>+MAX(T216,T221)</f>
        <v>0.93541367421538957</v>
      </c>
    </row>
    <row r="217" spans="1:21" x14ac:dyDescent="0.3">
      <c r="A217">
        <v>0</v>
      </c>
      <c r="B217">
        <v>0</v>
      </c>
      <c r="C217" s="34">
        <v>-0.24316707017767869</v>
      </c>
      <c r="D217" s="34">
        <v>-0.22912069266729565</v>
      </c>
      <c r="E217">
        <v>6</v>
      </c>
      <c r="F217" s="63">
        <v>1.9300000000000001E-3</v>
      </c>
      <c r="G217" s="90">
        <v>-0.57350707017767866</v>
      </c>
      <c r="H217" s="34">
        <v>-0.45009536698529157</v>
      </c>
      <c r="I217" s="34">
        <v>0.47305389221556887</v>
      </c>
      <c r="J217" s="64">
        <v>0.47058823529411764</v>
      </c>
      <c r="K217" s="4">
        <v>0.28235294117647058</v>
      </c>
      <c r="L217" s="65">
        <v>0.35294117647058826</v>
      </c>
      <c r="M217" s="4">
        <v>0.47413793103448276</v>
      </c>
      <c r="N217" s="4">
        <v>0.67073170731707321</v>
      </c>
      <c r="O217" s="4">
        <v>0.55555555555555558</v>
      </c>
      <c r="P217">
        <v>105.2239244671416</v>
      </c>
      <c r="Q217">
        <v>8.0578439204287644</v>
      </c>
      <c r="R217">
        <v>2.7731365172189319E-2</v>
      </c>
      <c r="S217">
        <v>0.92182112083895074</v>
      </c>
      <c r="T217">
        <v>0.92038224576236705</v>
      </c>
      <c r="U217">
        <f>+MAX(T217,T222)</f>
        <v>0.92038224576236705</v>
      </c>
    </row>
    <row r="218" spans="1:21" x14ac:dyDescent="0.3">
      <c r="A218">
        <v>0</v>
      </c>
      <c r="B218">
        <v>0</v>
      </c>
      <c r="C218" s="34">
        <v>-7.1022390948266109E-2</v>
      </c>
      <c r="D218" s="34">
        <v>-8.3186024939207862E-2</v>
      </c>
      <c r="E218">
        <v>6</v>
      </c>
      <c r="F218" s="63">
        <v>1.9300000000000001E-3</v>
      </c>
      <c r="G218" s="90">
        <v>-0.40136239094826587</v>
      </c>
      <c r="H218" s="34">
        <v>-0.34462832552369177</v>
      </c>
      <c r="I218" s="34">
        <v>0.49700598802395207</v>
      </c>
      <c r="J218" s="64">
        <v>0.51219512195121952</v>
      </c>
      <c r="K218" s="4">
        <v>0.24705882352941178</v>
      </c>
      <c r="L218" s="65">
        <v>0.33333333333333337</v>
      </c>
      <c r="M218" s="4">
        <v>0.49206349206349204</v>
      </c>
      <c r="N218" s="4">
        <v>0.75609756097560976</v>
      </c>
      <c r="O218" s="4">
        <v>0.59615384615384615</v>
      </c>
      <c r="P218">
        <v>243.5813706422725</v>
      </c>
      <c r="Q218">
        <v>13.347495490674691</v>
      </c>
      <c r="R218">
        <v>4.3855197868589248E-2</v>
      </c>
      <c r="S218">
        <v>0.81902482122997111</v>
      </c>
      <c r="T218">
        <v>0.81569398971886631</v>
      </c>
      <c r="U218">
        <f>+MAX(T218,T223)</f>
        <v>0.91495119960963311</v>
      </c>
    </row>
    <row r="219" spans="1:21" x14ac:dyDescent="0.3">
      <c r="A219">
        <v>0</v>
      </c>
      <c r="B219">
        <v>0</v>
      </c>
      <c r="C219" s="34">
        <v>0.15978373459338865</v>
      </c>
      <c r="D219" s="34">
        <v>0.15665047197785767</v>
      </c>
      <c r="E219">
        <v>6</v>
      </c>
      <c r="F219" s="63">
        <v>1.9300000000000001E-3</v>
      </c>
      <c r="G219" s="90">
        <v>-0.17055626540661178</v>
      </c>
      <c r="H219" s="34">
        <v>-0.17089405803963936</v>
      </c>
      <c r="I219" s="34">
        <v>0.53892215568862278</v>
      </c>
      <c r="J219" s="64">
        <v>0.5625</v>
      </c>
      <c r="K219" s="4">
        <v>0.42352941176470588</v>
      </c>
      <c r="L219" s="65">
        <v>0.48322147651006708</v>
      </c>
      <c r="M219" s="4">
        <v>0.52427184466019416</v>
      </c>
      <c r="N219" s="4">
        <v>0.65853658536585369</v>
      </c>
      <c r="O219" s="4">
        <v>0.58378378378378382</v>
      </c>
      <c r="P219">
        <v>115.00992455089821</v>
      </c>
      <c r="Q219">
        <v>8.5143113772455106</v>
      </c>
      <c r="R219">
        <v>3.0013539629007269E-2</v>
      </c>
      <c r="S219">
        <v>0.91455035497565196</v>
      </c>
      <c r="T219">
        <v>0.91297766212244313</v>
      </c>
      <c r="U219">
        <f>+MAX(T219,T224)</f>
        <v>0.91297766212244313</v>
      </c>
    </row>
    <row r="220" spans="1:21" x14ac:dyDescent="0.3">
      <c r="A220">
        <v>0</v>
      </c>
      <c r="B220">
        <v>0</v>
      </c>
      <c r="C220" s="34">
        <v>0.15731753874011906</v>
      </c>
      <c r="D220" s="34">
        <v>0.15325521157908384</v>
      </c>
      <c r="E220">
        <v>6</v>
      </c>
      <c r="F220" s="63">
        <v>1.9300000000000001E-3</v>
      </c>
      <c r="G220" s="90">
        <v>-0.17302246125988124</v>
      </c>
      <c r="H220" s="34">
        <v>-0.17386254624714914</v>
      </c>
      <c r="I220" s="34">
        <v>0.55089820359281438</v>
      </c>
      <c r="J220" s="64">
        <v>0.5757575757575758</v>
      </c>
      <c r="K220" s="4">
        <v>0.44705882352941179</v>
      </c>
      <c r="L220" s="65">
        <v>0.50331125827814571</v>
      </c>
      <c r="M220" s="4">
        <v>0.53465346534653468</v>
      </c>
      <c r="N220" s="4">
        <v>0.65853658536585369</v>
      </c>
      <c r="O220" s="4">
        <v>0.5901639344262295</v>
      </c>
      <c r="P220">
        <v>98.033997701712167</v>
      </c>
      <c r="Q220">
        <v>7.8896237125748128</v>
      </c>
      <c r="R220">
        <v>2.7478801273895771E-2</v>
      </c>
      <c r="S220">
        <v>0.92716306582549068</v>
      </c>
      <c r="T220">
        <v>0.92582250875479422</v>
      </c>
      <c r="U220">
        <f>+MAX(T220,T225)</f>
        <v>0.92582250875479422</v>
      </c>
    </row>
    <row r="221" spans="1:21" x14ac:dyDescent="0.3">
      <c r="A221">
        <v>0</v>
      </c>
      <c r="B221">
        <v>0</v>
      </c>
      <c r="C221" s="34">
        <v>-0.10913114816017697</v>
      </c>
      <c r="D221" s="34">
        <v>-0.11772211869858977</v>
      </c>
      <c r="E221">
        <v>6</v>
      </c>
      <c r="F221" s="63">
        <v>1.9300000000000001E-3</v>
      </c>
      <c r="G221" s="90">
        <v>-0.43947114816017718</v>
      </c>
      <c r="H221" s="34">
        <v>-0.36956981149784884</v>
      </c>
      <c r="I221" s="34">
        <v>0.50898203592814373</v>
      </c>
      <c r="J221" s="64">
        <v>0.52727272727272723</v>
      </c>
      <c r="K221" s="4">
        <v>0.3411764705882353</v>
      </c>
      <c r="L221" s="65">
        <v>0.41428571428571426</v>
      </c>
      <c r="M221" s="4">
        <v>0.5</v>
      </c>
      <c r="N221" s="4">
        <v>0.68292682926829273</v>
      </c>
      <c r="O221" s="4">
        <v>0.57731958762886593</v>
      </c>
      <c r="P221">
        <v>85.358180861094596</v>
      </c>
      <c r="Q221">
        <v>41.576876276417558</v>
      </c>
      <c r="R221">
        <v>0.14394504000900971</v>
      </c>
      <c r="S221">
        <v>0.93658089697053304</v>
      </c>
      <c r="T221">
        <v>0.93541367421538946</v>
      </c>
    </row>
    <row r="222" spans="1:21" x14ac:dyDescent="0.3">
      <c r="A222">
        <v>0</v>
      </c>
      <c r="B222">
        <v>0</v>
      </c>
      <c r="C222" s="34">
        <v>7.5379886249305854E-3</v>
      </c>
      <c r="D222" s="34">
        <v>-7.6087976955926569E-3</v>
      </c>
      <c r="E222">
        <v>6</v>
      </c>
      <c r="F222" s="63">
        <v>1.9300000000000001E-3</v>
      </c>
      <c r="G222" s="90">
        <v>-0.32280201137506959</v>
      </c>
      <c r="H222" s="34">
        <v>-0.289851170709579</v>
      </c>
      <c r="I222" s="34">
        <v>0.51497005988023947</v>
      </c>
      <c r="J222" s="64">
        <v>0.52631578947368418</v>
      </c>
      <c r="K222" s="4">
        <v>0.47058823529411764</v>
      </c>
      <c r="L222" s="65">
        <v>0.49689440993788814</v>
      </c>
      <c r="M222" s="4">
        <v>0.50549450549450547</v>
      </c>
      <c r="N222" s="4">
        <v>0.56097560975609762</v>
      </c>
      <c r="O222" s="4">
        <v>0.53179190751445093</v>
      </c>
      <c r="P222">
        <v>340.017296512619</v>
      </c>
      <c r="Q222">
        <v>13.785825595214741</v>
      </c>
      <c r="R222">
        <v>4.5616688990768893E-2</v>
      </c>
      <c r="S222">
        <v>0.74737521650765326</v>
      </c>
      <c r="T222">
        <v>0.74272568061515609</v>
      </c>
    </row>
    <row r="223" spans="1:21" x14ac:dyDescent="0.3">
      <c r="A223">
        <v>0</v>
      </c>
      <c r="B223">
        <v>0</v>
      </c>
      <c r="C223" s="34">
        <v>-5.955361400125112E-3</v>
      </c>
      <c r="D223" s="34">
        <v>-2.1411632464123396E-2</v>
      </c>
      <c r="E223">
        <v>6</v>
      </c>
      <c r="F223" s="63">
        <v>1.9300000000000001E-3</v>
      </c>
      <c r="G223" s="90">
        <v>-0.33629536140012528</v>
      </c>
      <c r="H223" s="34">
        <v>-0.3001906659756291</v>
      </c>
      <c r="I223" s="34">
        <v>0.51497005988023947</v>
      </c>
      <c r="J223" s="64">
        <v>0.54347826086956519</v>
      </c>
      <c r="K223" s="4">
        <v>0.29411764705882354</v>
      </c>
      <c r="L223" s="65">
        <v>0.38167938931297707</v>
      </c>
      <c r="M223" s="4">
        <v>0.50413223140495866</v>
      </c>
      <c r="N223" s="4">
        <v>0.74390243902439024</v>
      </c>
      <c r="O223" s="4">
        <v>0.60098522167487678</v>
      </c>
      <c r="P223">
        <v>112.40167012983849</v>
      </c>
      <c r="Q223">
        <v>8.4315631444215171</v>
      </c>
      <c r="R223">
        <v>2.846515414668651E-2</v>
      </c>
      <c r="S223">
        <v>0.91648822612271208</v>
      </c>
      <c r="T223">
        <v>0.91495119960963311</v>
      </c>
    </row>
    <row r="224" spans="1:21" x14ac:dyDescent="0.3">
      <c r="A224">
        <v>0</v>
      </c>
      <c r="B224">
        <v>0</v>
      </c>
      <c r="C224" s="34">
        <v>6.1750515160263315E-2</v>
      </c>
      <c r="D224" s="34">
        <v>4.7945925235858888E-2</v>
      </c>
      <c r="E224">
        <v>6</v>
      </c>
      <c r="F224" s="63">
        <v>1.9300000000000001E-3</v>
      </c>
      <c r="G224" s="90">
        <v>-0.2685894848397371</v>
      </c>
      <c r="H224" s="34">
        <v>-0.24967745104608519</v>
      </c>
      <c r="I224" s="34">
        <v>0.54491017964071853</v>
      </c>
      <c r="J224" s="64">
        <v>0.56923076923076921</v>
      </c>
      <c r="K224" s="4">
        <v>0.43529411764705883</v>
      </c>
      <c r="L224" s="65">
        <v>0.49333333333333335</v>
      </c>
      <c r="M224" s="4">
        <v>0.52941176470588236</v>
      </c>
      <c r="N224" s="4">
        <v>0.65853658536585369</v>
      </c>
      <c r="O224" s="4">
        <v>0.58695652173913038</v>
      </c>
      <c r="P224">
        <v>154.1622655688623</v>
      </c>
      <c r="Q224">
        <v>9.831317365269463</v>
      </c>
      <c r="R224">
        <v>3.4955706447373842E-2</v>
      </c>
      <c r="S224">
        <v>0.88546109459293898</v>
      </c>
      <c r="T224">
        <v>0.88335301657931209</v>
      </c>
    </row>
    <row r="225" spans="1:21" x14ac:dyDescent="0.3">
      <c r="A225">
        <v>0</v>
      </c>
      <c r="B225">
        <v>0</v>
      </c>
      <c r="C225" s="34">
        <v>0.23460376740180902</v>
      </c>
      <c r="D225" s="34">
        <v>0.24714062614992843</v>
      </c>
      <c r="E225">
        <v>6</v>
      </c>
      <c r="F225" s="63">
        <v>1.9300000000000001E-3</v>
      </c>
      <c r="G225" s="90">
        <v>-9.5736232598191418E-2</v>
      </c>
      <c r="H225" s="34">
        <v>-0.10527839403834587</v>
      </c>
      <c r="I225" s="34">
        <v>0.56886227544910184</v>
      </c>
      <c r="J225" s="64">
        <v>0.58666666666666667</v>
      </c>
      <c r="K225" s="4">
        <v>0.51764705882352946</v>
      </c>
      <c r="L225" s="65">
        <v>0.54999999999999993</v>
      </c>
      <c r="M225" s="4">
        <v>0.55434782608695654</v>
      </c>
      <c r="N225" s="4">
        <v>0.62195121951219512</v>
      </c>
      <c r="O225" s="4">
        <v>0.58620689655172409</v>
      </c>
      <c r="P225">
        <v>138.0076184131737</v>
      </c>
      <c r="Q225">
        <v>9.0332634730538963</v>
      </c>
      <c r="R225">
        <v>3.1559568807289558E-2</v>
      </c>
      <c r="S225">
        <v>0.89746361411755859</v>
      </c>
      <c r="T225">
        <v>0.89557644137125603</v>
      </c>
    </row>
    <row r="226" spans="1:21" x14ac:dyDescent="0.3">
      <c r="A226" t="s">
        <v>384</v>
      </c>
      <c r="C226" s="101">
        <f>+AVERAGE(C228:C237)</f>
        <v>-8.1614278150970963E-3</v>
      </c>
      <c r="D226" s="101">
        <f>+AVERAGE(D228:D237)</f>
        <v>-1.6496232657269926E-2</v>
      </c>
      <c r="G226" s="101">
        <f>+AVERAGE(G228:G237)</f>
        <v>-0.33850142781509723</v>
      </c>
      <c r="H226" s="101">
        <f>+AVERAGE(H228:H237)</f>
        <v>-0.2964145435139931</v>
      </c>
      <c r="I226" s="101">
        <f>+AVERAGE(I228:I237)</f>
        <v>0.51976047904191613</v>
      </c>
      <c r="O226" s="101">
        <f>+AVERAGE(O228:O237)</f>
        <v>0.57592396961788617</v>
      </c>
      <c r="T226" s="101">
        <f>+AVERAGE(U227:U231)</f>
        <v>0.91580683373162008</v>
      </c>
      <c r="U226" s="101">
        <f>+AVERAGE(T228:T237)</f>
        <v>0.88552248403975009</v>
      </c>
    </row>
    <row r="227" spans="1:21" x14ac:dyDescent="0.3">
      <c r="A227" s="61" t="s">
        <v>212</v>
      </c>
      <c r="B227" s="61" t="s">
        <v>198</v>
      </c>
      <c r="C227" s="61" t="s">
        <v>9</v>
      </c>
      <c r="D227" s="61" t="s">
        <v>10</v>
      </c>
      <c r="E227" s="70" t="s">
        <v>212</v>
      </c>
      <c r="F227" s="61" t="s">
        <v>198</v>
      </c>
      <c r="G227" s="61" t="s">
        <v>9</v>
      </c>
      <c r="H227" s="71" t="s">
        <v>10</v>
      </c>
      <c r="I227" s="66" t="s">
        <v>231</v>
      </c>
      <c r="J227" s="66" t="s">
        <v>232</v>
      </c>
      <c r="K227" s="66" t="s">
        <v>233</v>
      </c>
      <c r="L227" s="66" t="s">
        <v>234</v>
      </c>
      <c r="M227" s="66" t="s">
        <v>232</v>
      </c>
      <c r="N227" s="66" t="s">
        <v>233</v>
      </c>
      <c r="O227" s="67" t="s">
        <v>234</v>
      </c>
      <c r="P227" t="s">
        <v>298</v>
      </c>
      <c r="Q227" t="s">
        <v>299</v>
      </c>
      <c r="R227" t="s">
        <v>300</v>
      </c>
      <c r="S227" t="s">
        <v>301</v>
      </c>
      <c r="T227" t="s">
        <v>302</v>
      </c>
    </row>
    <row r="228" spans="1:21" x14ac:dyDescent="0.3">
      <c r="A228">
        <v>0</v>
      </c>
      <c r="B228">
        <v>0</v>
      </c>
      <c r="C228" s="34">
        <v>-0.10913114816017697</v>
      </c>
      <c r="D228" s="34">
        <v>-0.11772211869858977</v>
      </c>
      <c r="E228">
        <v>6</v>
      </c>
      <c r="F228" s="75">
        <v>1.9300000000000001E-3</v>
      </c>
      <c r="G228" s="90">
        <v>-0.43947114816017718</v>
      </c>
      <c r="H228" s="34">
        <v>-0.36956981149784884</v>
      </c>
      <c r="I228" s="34">
        <v>0.50898203592814373</v>
      </c>
      <c r="J228" s="64">
        <v>0.52727272727272723</v>
      </c>
      <c r="K228" s="4">
        <v>0.3411764705882353</v>
      </c>
      <c r="L228" s="65">
        <v>0.41428571428571426</v>
      </c>
      <c r="M228" s="4">
        <v>0.5</v>
      </c>
      <c r="N228" s="4">
        <v>0.68292682926829273</v>
      </c>
      <c r="O228" s="4">
        <v>0.57731958762886593</v>
      </c>
      <c r="P228">
        <v>85.358180861094453</v>
      </c>
      <c r="Q228">
        <v>7.439236878427856</v>
      </c>
      <c r="R228">
        <v>2.5648265701490491E-2</v>
      </c>
      <c r="S228">
        <v>0.93658089697053315</v>
      </c>
      <c r="T228">
        <v>0.93541367421538957</v>
      </c>
      <c r="U228">
        <f>+MAX(T228,T233)</f>
        <v>0.93541367421538957</v>
      </c>
    </row>
    <row r="229" spans="1:21" x14ac:dyDescent="0.3">
      <c r="A229">
        <v>0</v>
      </c>
      <c r="B229">
        <v>0</v>
      </c>
      <c r="C229" s="34">
        <v>-0.24316707017767869</v>
      </c>
      <c r="D229" s="34">
        <v>-0.22912069266729565</v>
      </c>
      <c r="E229">
        <v>6</v>
      </c>
      <c r="F229" s="63">
        <v>1.9300000000000001E-3</v>
      </c>
      <c r="G229" s="90">
        <v>-0.57350707017767866</v>
      </c>
      <c r="H229" s="34">
        <v>-0.45009536698529157</v>
      </c>
      <c r="I229" s="34">
        <v>0.47305389221556887</v>
      </c>
      <c r="J229" s="64">
        <v>0.47058823529411764</v>
      </c>
      <c r="K229" s="4">
        <v>0.28235294117647058</v>
      </c>
      <c r="L229" s="65">
        <v>0.35294117647058826</v>
      </c>
      <c r="M229" s="4">
        <v>0.47413793103448276</v>
      </c>
      <c r="N229" s="4">
        <v>0.67073170731707321</v>
      </c>
      <c r="O229" s="4">
        <v>0.55555555555555558</v>
      </c>
      <c r="P229">
        <v>105.2239244671416</v>
      </c>
      <c r="Q229">
        <v>8.0578439204287644</v>
      </c>
      <c r="R229">
        <v>2.7731365172189319E-2</v>
      </c>
      <c r="S229">
        <v>0.92182112083895074</v>
      </c>
      <c r="T229">
        <v>0.92038224576236705</v>
      </c>
      <c r="U229">
        <f>+MAX(T229,T234)</f>
        <v>0.92038224576236705</v>
      </c>
    </row>
    <row r="230" spans="1:21" x14ac:dyDescent="0.3">
      <c r="A230">
        <v>0</v>
      </c>
      <c r="B230">
        <v>0</v>
      </c>
      <c r="C230" s="34">
        <v>-7.1022390948266109E-2</v>
      </c>
      <c r="D230" s="34">
        <v>-8.3186024939207862E-2</v>
      </c>
      <c r="E230">
        <v>6</v>
      </c>
      <c r="F230" s="63">
        <v>1.9300000000000001E-3</v>
      </c>
      <c r="G230" s="90">
        <v>-0.40136239094826587</v>
      </c>
      <c r="H230" s="34">
        <v>-0.34462832552369177</v>
      </c>
      <c r="I230" s="34">
        <v>0.49700598802395207</v>
      </c>
      <c r="J230" s="64">
        <v>0.51219512195121952</v>
      </c>
      <c r="K230" s="4">
        <v>0.24705882352941178</v>
      </c>
      <c r="L230" s="65">
        <v>0.33333333333333337</v>
      </c>
      <c r="M230" s="4">
        <v>0.49206349206349204</v>
      </c>
      <c r="N230" s="4">
        <v>0.75609756097560976</v>
      </c>
      <c r="O230" s="4">
        <v>0.59615384615384615</v>
      </c>
      <c r="P230">
        <v>243.5813706422725</v>
      </c>
      <c r="Q230">
        <v>13.347495490674691</v>
      </c>
      <c r="R230">
        <v>4.3855197868589248E-2</v>
      </c>
      <c r="S230">
        <v>0.81902482122997111</v>
      </c>
      <c r="T230">
        <v>0.81569398971886631</v>
      </c>
      <c r="U230">
        <f>+MAX(T230,T235)</f>
        <v>0.91495119960963311</v>
      </c>
    </row>
    <row r="231" spans="1:21" x14ac:dyDescent="0.3">
      <c r="A231">
        <v>0</v>
      </c>
      <c r="B231">
        <v>0</v>
      </c>
      <c r="C231" s="34">
        <v>7.3158973462109131E-2</v>
      </c>
      <c r="D231" s="34">
        <v>5.9882176893270515E-2</v>
      </c>
      <c r="E231">
        <v>6</v>
      </c>
      <c r="F231" s="63">
        <v>1.9300000000000001E-3</v>
      </c>
      <c r="G231" s="90">
        <v>-0.25718102653789132</v>
      </c>
      <c r="H231" s="34">
        <v>-0.24118244188799989</v>
      </c>
      <c r="I231" s="34">
        <v>0.55089820359281438</v>
      </c>
      <c r="J231" s="64">
        <v>0.56944444444444442</v>
      </c>
      <c r="K231" s="4">
        <v>0.4823529411764706</v>
      </c>
      <c r="L231" s="65">
        <v>0.52229299363057313</v>
      </c>
      <c r="M231" s="4">
        <v>0.5368421052631579</v>
      </c>
      <c r="N231" s="4">
        <v>0.62195121951219512</v>
      </c>
      <c r="O231" s="4">
        <v>0.57627118644067798</v>
      </c>
      <c r="P231">
        <v>142.09963353293409</v>
      </c>
      <c r="Q231">
        <v>9.0555089820359314</v>
      </c>
      <c r="R231">
        <v>3.1845893508074812E-2</v>
      </c>
      <c r="S231">
        <v>0.89442334397754075</v>
      </c>
      <c r="T231">
        <v>0.89248021533909061</v>
      </c>
      <c r="U231">
        <f>+MAX(T231,T236)</f>
        <v>0.89248021533909061</v>
      </c>
    </row>
    <row r="232" spans="1:21" x14ac:dyDescent="0.3">
      <c r="A232">
        <v>0</v>
      </c>
      <c r="B232">
        <v>0</v>
      </c>
      <c r="C232" s="34">
        <v>0.15731753874011906</v>
      </c>
      <c r="D232" s="34">
        <v>0.15325521157908384</v>
      </c>
      <c r="E232">
        <v>6</v>
      </c>
      <c r="F232" s="63">
        <v>1.9300000000000001E-3</v>
      </c>
      <c r="G232" s="90">
        <v>-0.17302246125988124</v>
      </c>
      <c r="H232" s="34">
        <v>-0.17386254624714914</v>
      </c>
      <c r="I232" s="34">
        <v>0.55089820359281438</v>
      </c>
      <c r="J232" s="64">
        <v>0.5757575757575758</v>
      </c>
      <c r="K232" s="4">
        <v>0.44705882352941179</v>
      </c>
      <c r="L232" s="65">
        <v>0.50331125827814571</v>
      </c>
      <c r="M232" s="4">
        <v>0.53465346534653468</v>
      </c>
      <c r="N232" s="4">
        <v>0.65853658536585369</v>
      </c>
      <c r="O232" s="4">
        <v>0.5901639344262295</v>
      </c>
      <c r="P232">
        <v>98.033997701712167</v>
      </c>
      <c r="Q232">
        <v>7.8896237125748128</v>
      </c>
      <c r="R232">
        <v>2.7478801273895771E-2</v>
      </c>
      <c r="S232">
        <v>0.92716306582549068</v>
      </c>
      <c r="T232">
        <v>0.92582250875479422</v>
      </c>
      <c r="U232">
        <f>+MAX(T232,T237)</f>
        <v>0.92582250875479422</v>
      </c>
    </row>
    <row r="233" spans="1:21" x14ac:dyDescent="0.3">
      <c r="A233">
        <v>0</v>
      </c>
      <c r="B233">
        <v>0</v>
      </c>
      <c r="C233" s="34">
        <v>-0.10913114816017697</v>
      </c>
      <c r="D233" s="34">
        <v>-0.11772211869858977</v>
      </c>
      <c r="E233">
        <v>6</v>
      </c>
      <c r="F233" s="63">
        <v>1.9300000000000001E-3</v>
      </c>
      <c r="G233" s="90">
        <v>-0.43947114816017718</v>
      </c>
      <c r="H233" s="34">
        <v>-0.36956981149784884</v>
      </c>
      <c r="I233" s="34">
        <v>0.50898203592814373</v>
      </c>
      <c r="J233" s="64">
        <v>0.52727272727272723</v>
      </c>
      <c r="K233" s="4">
        <v>0.3411764705882353</v>
      </c>
      <c r="L233" s="65">
        <v>0.41428571428571426</v>
      </c>
      <c r="M233" s="4">
        <v>0.5</v>
      </c>
      <c r="N233" s="4">
        <v>0.68292682926829273</v>
      </c>
      <c r="O233" s="4">
        <v>0.57731958762886593</v>
      </c>
      <c r="P233">
        <v>85.358180861094596</v>
      </c>
      <c r="Q233">
        <v>41.576876276417558</v>
      </c>
      <c r="R233">
        <v>0.14394504000900971</v>
      </c>
      <c r="S233">
        <v>0.93658089697053304</v>
      </c>
      <c r="T233">
        <v>0.93541367421538946</v>
      </c>
    </row>
    <row r="234" spans="1:21" x14ac:dyDescent="0.3">
      <c r="A234">
        <v>0</v>
      </c>
      <c r="B234">
        <v>0</v>
      </c>
      <c r="C234" s="34">
        <v>7.5379886249305854E-3</v>
      </c>
      <c r="D234" s="34">
        <v>-7.6087976955926569E-3</v>
      </c>
      <c r="E234">
        <v>6</v>
      </c>
      <c r="F234" s="63">
        <v>1.9300000000000001E-3</v>
      </c>
      <c r="G234" s="90">
        <v>-0.32280201137506959</v>
      </c>
      <c r="H234" s="34">
        <v>-0.289851170709579</v>
      </c>
      <c r="I234" s="34">
        <v>0.51497005988023947</v>
      </c>
      <c r="J234" s="64">
        <v>0.52631578947368418</v>
      </c>
      <c r="K234" s="4">
        <v>0.47058823529411764</v>
      </c>
      <c r="L234" s="65">
        <v>0.49689440993788814</v>
      </c>
      <c r="M234" s="4">
        <v>0.50549450549450547</v>
      </c>
      <c r="N234" s="4">
        <v>0.56097560975609762</v>
      </c>
      <c r="O234" s="4">
        <v>0.53179190751445093</v>
      </c>
      <c r="P234">
        <v>340.017296512619</v>
      </c>
      <c r="Q234">
        <v>13.785825595214741</v>
      </c>
      <c r="R234">
        <v>4.5616688990768893E-2</v>
      </c>
      <c r="S234">
        <v>0.74737521650765326</v>
      </c>
      <c r="T234">
        <v>0.74272568061515609</v>
      </c>
    </row>
    <row r="235" spans="1:21" x14ac:dyDescent="0.3">
      <c r="A235">
        <v>0</v>
      </c>
      <c r="B235">
        <v>0</v>
      </c>
      <c r="C235" s="34">
        <v>-5.955361400125112E-3</v>
      </c>
      <c r="D235" s="34">
        <v>-2.1411632464123396E-2</v>
      </c>
      <c r="E235">
        <v>6</v>
      </c>
      <c r="F235" s="63">
        <v>1.9300000000000001E-3</v>
      </c>
      <c r="G235" s="90">
        <v>-0.33629536140012528</v>
      </c>
      <c r="H235" s="34">
        <v>-0.3001906659756291</v>
      </c>
      <c r="I235" s="34">
        <v>0.51497005988023947</v>
      </c>
      <c r="J235" s="64">
        <v>0.54347826086956519</v>
      </c>
      <c r="K235" s="4">
        <v>0.29411764705882354</v>
      </c>
      <c r="L235" s="65">
        <v>0.38167938931297707</v>
      </c>
      <c r="M235" s="4">
        <v>0.50413223140495866</v>
      </c>
      <c r="N235" s="4">
        <v>0.74390243902439024</v>
      </c>
      <c r="O235" s="4">
        <v>0.60098522167487678</v>
      </c>
      <c r="P235">
        <v>112.40167012983849</v>
      </c>
      <c r="Q235">
        <v>8.4315631444215171</v>
      </c>
      <c r="R235">
        <v>2.846515414668651E-2</v>
      </c>
      <c r="S235">
        <v>0.91648822612271208</v>
      </c>
      <c r="T235">
        <v>0.91495119960963311</v>
      </c>
    </row>
    <row r="236" spans="1:21" x14ac:dyDescent="0.3">
      <c r="A236">
        <v>0</v>
      </c>
      <c r="B236">
        <v>0</v>
      </c>
      <c r="C236" s="34">
        <v>9.9865726197862673E-2</v>
      </c>
      <c r="D236" s="34">
        <v>8.8743806364675396E-2</v>
      </c>
      <c r="E236">
        <v>6</v>
      </c>
      <c r="F236" s="63">
        <v>1.9300000000000001E-3</v>
      </c>
      <c r="G236" s="90">
        <v>-0.23047427380213761</v>
      </c>
      <c r="H236" s="34">
        <v>-0.22032674139602867</v>
      </c>
      <c r="I236" s="34">
        <v>0.54491017964071853</v>
      </c>
      <c r="J236" s="64">
        <v>0.56338028169014087</v>
      </c>
      <c r="K236" s="4">
        <v>0.47058823529411764</v>
      </c>
      <c r="L236" s="65">
        <v>0.51282051282051277</v>
      </c>
      <c r="M236" s="4">
        <v>0.53125</v>
      </c>
      <c r="N236" s="4">
        <v>0.62195121951219512</v>
      </c>
      <c r="O236" s="4">
        <v>0.5730337078651685</v>
      </c>
      <c r="P236">
        <v>153.5746676646707</v>
      </c>
      <c r="Q236">
        <v>9.7867664670658723</v>
      </c>
      <c r="R236">
        <v>3.4564485146281139E-2</v>
      </c>
      <c r="S236">
        <v>0.88589766589342711</v>
      </c>
      <c r="T236">
        <v>0.88379762293441044</v>
      </c>
    </row>
    <row r="237" spans="1:21" x14ac:dyDescent="0.3">
      <c r="A237">
        <v>0</v>
      </c>
      <c r="B237">
        <v>0</v>
      </c>
      <c r="C237" s="34">
        <v>0.11891261367043146</v>
      </c>
      <c r="D237" s="34">
        <v>0.1099278637536701</v>
      </c>
      <c r="E237">
        <v>6</v>
      </c>
      <c r="F237" s="63">
        <v>1.9300000000000001E-3</v>
      </c>
      <c r="G237" s="90">
        <v>-0.21142738632956898</v>
      </c>
      <c r="H237" s="34">
        <v>-0.20486855341886417</v>
      </c>
      <c r="I237" s="34">
        <v>0.53293413173652693</v>
      </c>
      <c r="J237" s="64">
        <v>0.55555555555555558</v>
      </c>
      <c r="K237" s="4">
        <v>0.41176470588235292</v>
      </c>
      <c r="L237" s="65">
        <v>0.47297297297297297</v>
      </c>
      <c r="M237" s="4">
        <v>0.51923076923076927</v>
      </c>
      <c r="N237" s="4">
        <v>0.65853658536585369</v>
      </c>
      <c r="O237" s="4">
        <v>0.58064516129032262</v>
      </c>
      <c r="P237">
        <v>147.30175149700611</v>
      </c>
      <c r="Q237">
        <v>9.3433532934131804</v>
      </c>
      <c r="R237">
        <v>3.2784236215458902E-2</v>
      </c>
      <c r="S237">
        <v>0.89055829376434803</v>
      </c>
      <c r="T237">
        <v>0.8885440292324035</v>
      </c>
    </row>
    <row r="238" spans="1:21" x14ac:dyDescent="0.3">
      <c r="A238" t="s">
        <v>364</v>
      </c>
      <c r="C238" s="101">
        <f>+AVERAGE(C240:C249)</f>
        <v>3.7194659439495569E-3</v>
      </c>
      <c r="D238" s="101">
        <f>+AVERAGE(D240:D249)</f>
        <v>-6.2204745794074284E-3</v>
      </c>
      <c r="G238" s="101">
        <f>+AVERAGE(G240:G249)</f>
        <v>-0.32662053405605063</v>
      </c>
      <c r="H238" s="101">
        <f>+AVERAGE(H240:H249)</f>
        <v>-0.28901411779338992</v>
      </c>
      <c r="I238" s="101">
        <f>+AVERAGE(I240:I249)</f>
        <v>0.52275449101796401</v>
      </c>
      <c r="O238" s="101">
        <f>+AVERAGE(O240:O249)</f>
        <v>0.60148229407843146</v>
      </c>
      <c r="T238" s="101">
        <f>+AVERAGE(U239:U243)</f>
        <v>0.82062933966156171</v>
      </c>
      <c r="U238" s="101">
        <f>+AVERAGE(T240:T249)</f>
        <v>0.42575591395544593</v>
      </c>
    </row>
    <row r="239" spans="1:21" x14ac:dyDescent="0.3">
      <c r="A239" s="61" t="s">
        <v>212</v>
      </c>
      <c r="B239" s="61" t="s">
        <v>198</v>
      </c>
      <c r="C239" s="61" t="s">
        <v>9</v>
      </c>
      <c r="D239" s="61" t="s">
        <v>10</v>
      </c>
      <c r="E239" s="70" t="s">
        <v>212</v>
      </c>
      <c r="F239" s="61" t="s">
        <v>198</v>
      </c>
      <c r="G239" s="61" t="s">
        <v>9</v>
      </c>
      <c r="H239" s="71" t="s">
        <v>10</v>
      </c>
      <c r="I239" s="66" t="s">
        <v>231</v>
      </c>
      <c r="J239" s="66" t="s">
        <v>232</v>
      </c>
      <c r="K239" s="66" t="s">
        <v>233</v>
      </c>
      <c r="L239" s="66" t="s">
        <v>234</v>
      </c>
      <c r="M239" s="66" t="s">
        <v>232</v>
      </c>
      <c r="N239" s="66" t="s">
        <v>233</v>
      </c>
      <c r="O239" s="67" t="s">
        <v>234</v>
      </c>
      <c r="P239" t="s">
        <v>298</v>
      </c>
      <c r="Q239" t="s">
        <v>299</v>
      </c>
      <c r="R239" t="s">
        <v>300</v>
      </c>
      <c r="S239" t="s">
        <v>301</v>
      </c>
      <c r="T239" t="s">
        <v>302</v>
      </c>
    </row>
    <row r="240" spans="1:21" x14ac:dyDescent="0.3">
      <c r="A240">
        <v>0</v>
      </c>
      <c r="B240">
        <v>0</v>
      </c>
      <c r="C240" s="34">
        <v>-8.226937708299796E-2</v>
      </c>
      <c r="D240" s="34">
        <v>-9.3310460047488594E-2</v>
      </c>
      <c r="E240">
        <v>6</v>
      </c>
      <c r="F240" s="75">
        <v>1.9300000000000001E-3</v>
      </c>
      <c r="G240" s="90">
        <v>-0.41260937708299805</v>
      </c>
      <c r="H240" s="34">
        <v>-0.35170153698726114</v>
      </c>
      <c r="I240" s="34">
        <v>0.52095808383233533</v>
      </c>
      <c r="J240" s="64">
        <v>0.53846153846153844</v>
      </c>
      <c r="K240" s="4">
        <v>0.41176470588235292</v>
      </c>
      <c r="L240" s="65">
        <v>0.46666666666666667</v>
      </c>
      <c r="M240" s="4">
        <v>0.50980392156862742</v>
      </c>
      <c r="N240" s="4">
        <v>0.63414634146341464</v>
      </c>
      <c r="O240" s="4">
        <v>0.56521739130434767</v>
      </c>
      <c r="P240">
        <v>79.42385157835912</v>
      </c>
      <c r="Q240">
        <v>7.0481842780713349</v>
      </c>
      <c r="R240">
        <v>2.4400144963666132E-2</v>
      </c>
      <c r="S240">
        <v>0.94098996281982794</v>
      </c>
      <c r="T240">
        <v>0.93953292486476192</v>
      </c>
      <c r="U240">
        <f>+MAX(T240,T245)</f>
        <v>0.93953292486476192</v>
      </c>
    </row>
    <row r="241" spans="1:21" x14ac:dyDescent="0.3">
      <c r="A241">
        <v>0</v>
      </c>
      <c r="B241">
        <v>0</v>
      </c>
      <c r="C241" s="34">
        <v>8.1040354323447542E-2</v>
      </c>
      <c r="D241" s="34">
        <v>6.8853062630683859E-2</v>
      </c>
      <c r="E241">
        <v>6</v>
      </c>
      <c r="F241" s="63">
        <v>1.9300000000000001E-3</v>
      </c>
      <c r="G241" s="90">
        <v>-0.24929964567655261</v>
      </c>
      <c r="H241" s="34">
        <v>-0.23422033284445293</v>
      </c>
      <c r="I241" s="34">
        <v>0.51497005988023947</v>
      </c>
      <c r="J241" s="64">
        <v>0.54545454545454541</v>
      </c>
      <c r="K241" s="4">
        <v>0.28235294117647058</v>
      </c>
      <c r="L241" s="65">
        <v>0.37209302325581395</v>
      </c>
      <c r="M241" s="4">
        <v>0.50406504065040647</v>
      </c>
      <c r="N241" s="4">
        <v>0.75609756097560976</v>
      </c>
      <c r="O241" s="4">
        <v>0.60487804878048768</v>
      </c>
      <c r="P241">
        <v>2470.8302592491959</v>
      </c>
      <c r="Q241">
        <v>42.088434369029919</v>
      </c>
      <c r="R241">
        <v>0.1342870870420963</v>
      </c>
      <c r="S241">
        <v>-0.83576825558931978</v>
      </c>
      <c r="T241">
        <v>-0.88109586683843899</v>
      </c>
      <c r="U241">
        <f>+MAX(T241,T246)</f>
        <v>0.66828024254844198</v>
      </c>
    </row>
    <row r="242" spans="1:21" x14ac:dyDescent="0.3">
      <c r="A242">
        <v>0</v>
      </c>
      <c r="B242">
        <v>0</v>
      </c>
      <c r="C242" s="34">
        <v>5.72701149250225E-2</v>
      </c>
      <c r="D242" s="34">
        <v>4.3494060043455102E-2</v>
      </c>
      <c r="E242">
        <v>6</v>
      </c>
      <c r="F242" s="63">
        <v>1.9300000000000001E-3</v>
      </c>
      <c r="G242" s="90">
        <v>-0.27306988507497765</v>
      </c>
      <c r="H242" s="34">
        <v>-0.25265607520650679</v>
      </c>
      <c r="I242" s="34">
        <v>0.53293413173652693</v>
      </c>
      <c r="J242" s="64">
        <v>0.64</v>
      </c>
      <c r="K242" s="4">
        <v>0.18823529411764706</v>
      </c>
      <c r="L242" s="65">
        <v>0.29090909090909089</v>
      </c>
      <c r="M242" s="4">
        <v>0.5140845070422535</v>
      </c>
      <c r="N242" s="4">
        <v>0.8902439024390244</v>
      </c>
      <c r="O242" s="4">
        <v>0.6517857142857143</v>
      </c>
      <c r="P242">
        <v>3503.0215138901508</v>
      </c>
      <c r="Q242">
        <v>49.604089118961042</v>
      </c>
      <c r="R242">
        <v>0.1563491634948786</v>
      </c>
      <c r="S242">
        <v>-1.6026618662991721</v>
      </c>
      <c r="T242">
        <v>-1.6669251222571759</v>
      </c>
      <c r="U242">
        <f>+MAX(T242,T247)</f>
        <v>0.83032934450770313</v>
      </c>
    </row>
    <row r="243" spans="1:21" x14ac:dyDescent="0.3">
      <c r="A243">
        <v>0</v>
      </c>
      <c r="B243">
        <v>0</v>
      </c>
      <c r="C243" s="34">
        <v>-3.4102125687913938E-2</v>
      </c>
      <c r="D243" s="34">
        <v>-4.9022756317308666E-2</v>
      </c>
      <c r="E243">
        <v>6</v>
      </c>
      <c r="F243" s="63">
        <v>1.9300000000000001E-3</v>
      </c>
      <c r="G243" s="90">
        <v>-0.36444212568791384</v>
      </c>
      <c r="H243" s="34">
        <v>-0.32042129225541505</v>
      </c>
      <c r="I243" s="34">
        <v>0.52095808383233533</v>
      </c>
      <c r="J243" s="64">
        <v>0.58064516129032262</v>
      </c>
      <c r="K243" s="4">
        <v>0.21176470588235294</v>
      </c>
      <c r="L243" s="65">
        <v>0.31034482758620691</v>
      </c>
      <c r="M243" s="4">
        <v>0.50735294117647056</v>
      </c>
      <c r="N243" s="4">
        <v>0.84146341463414631</v>
      </c>
      <c r="O243" s="4">
        <v>0.6330275229357798</v>
      </c>
      <c r="P243">
        <v>204.4145354790418</v>
      </c>
      <c r="Q243">
        <v>11.780389221556881</v>
      </c>
      <c r="R243">
        <v>4.0509065428262443E-2</v>
      </c>
      <c r="S243">
        <v>0.848124850418705</v>
      </c>
      <c r="T243">
        <v>0.84437484672533969</v>
      </c>
      <c r="U243">
        <f>+MAX(T243,T248)</f>
        <v>0.84437484672533969</v>
      </c>
    </row>
    <row r="244" spans="1:21" x14ac:dyDescent="0.3">
      <c r="A244">
        <v>0</v>
      </c>
      <c r="B244">
        <v>0</v>
      </c>
      <c r="C244" s="34">
        <v>-3.6423125799592962E-2</v>
      </c>
      <c r="D244" s="34">
        <v>-5.1531169818527414E-2</v>
      </c>
      <c r="E244">
        <v>6</v>
      </c>
      <c r="F244" s="63">
        <v>1.9300000000000001E-3</v>
      </c>
      <c r="G244" s="90">
        <v>-0.36676312579959391</v>
      </c>
      <c r="H244" s="34">
        <v>-0.32252865696982319</v>
      </c>
      <c r="I244" s="34">
        <v>0.53892215568862278</v>
      </c>
      <c r="J244" s="64">
        <v>0.57407407407407407</v>
      </c>
      <c r="K244" s="4">
        <v>0.36470588235294116</v>
      </c>
      <c r="L244" s="65">
        <v>0.4460431654676259</v>
      </c>
      <c r="M244" s="4">
        <v>0.52212389380530977</v>
      </c>
      <c r="N244" s="4">
        <v>0.71951219512195119</v>
      </c>
      <c r="O244" s="4">
        <v>0.6051282051282052</v>
      </c>
      <c r="P244">
        <v>118.2632100777703</v>
      </c>
      <c r="Q244">
        <v>8.6086260479042078</v>
      </c>
      <c r="R244">
        <v>3.0158471059812259E-2</v>
      </c>
      <c r="S244">
        <v>0.9121332410220554</v>
      </c>
      <c r="T244">
        <v>0.90996369141766165</v>
      </c>
      <c r="U244">
        <f>+MAX(T244,T249)</f>
        <v>0.90996369141766165</v>
      </c>
    </row>
    <row r="245" spans="1:21" x14ac:dyDescent="0.3">
      <c r="A245">
        <v>0</v>
      </c>
      <c r="B245">
        <v>0</v>
      </c>
      <c r="C245" s="34">
        <v>-8.226937708299796E-2</v>
      </c>
      <c r="D245" s="34">
        <v>-9.3310460047488594E-2</v>
      </c>
      <c r="E245">
        <v>6</v>
      </c>
      <c r="F245" s="63">
        <v>1.9300000000000001E-3</v>
      </c>
      <c r="G245" s="90">
        <v>-0.41260937708299805</v>
      </c>
      <c r="H245" s="34">
        <v>-0.35170153698726114</v>
      </c>
      <c r="I245" s="34">
        <v>0.52095808383233533</v>
      </c>
      <c r="J245" s="64">
        <v>0.53846153846153844</v>
      </c>
      <c r="K245" s="4">
        <v>0.41176470588235292</v>
      </c>
      <c r="L245" s="65">
        <v>0.46666666666666667</v>
      </c>
      <c r="M245" s="4">
        <v>0.50980392156862742</v>
      </c>
      <c r="N245" s="4">
        <v>0.63414634146341464</v>
      </c>
      <c r="O245" s="4">
        <v>0.56521739130434767</v>
      </c>
      <c r="P245">
        <v>79.423851578359447</v>
      </c>
      <c r="Q245">
        <v>41.79431309357296</v>
      </c>
      <c r="R245">
        <v>0.14500512638885249</v>
      </c>
      <c r="S245">
        <v>0.94098996281982761</v>
      </c>
      <c r="T245">
        <v>0.93953292486476159</v>
      </c>
    </row>
    <row r="246" spans="1:21" x14ac:dyDescent="0.3">
      <c r="A246">
        <v>0</v>
      </c>
      <c r="B246">
        <v>0</v>
      </c>
      <c r="C246" s="34">
        <v>-0.17311311971723145</v>
      </c>
      <c r="D246" s="34">
        <v>-0.17265422057645205</v>
      </c>
      <c r="E246">
        <v>6</v>
      </c>
      <c r="F246" s="63">
        <v>1.9300000000000001E-3</v>
      </c>
      <c r="G246" s="90">
        <v>-0.50345311971723183</v>
      </c>
      <c r="H246" s="34">
        <v>-0.40923107746526499</v>
      </c>
      <c r="I246" s="34">
        <v>0.47305389221556887</v>
      </c>
      <c r="J246" s="64">
        <v>0.4823529411764706</v>
      </c>
      <c r="K246" s="4">
        <v>0.4823529411764706</v>
      </c>
      <c r="L246" s="65">
        <v>0.4823529411764706</v>
      </c>
      <c r="M246" s="4">
        <v>0.46341463414634149</v>
      </c>
      <c r="N246" s="4">
        <v>0.46341463414634149</v>
      </c>
      <c r="O246" s="4">
        <v>0.46341463414634149</v>
      </c>
      <c r="P246">
        <v>435.71581265534098</v>
      </c>
      <c r="Q246">
        <v>15.857694889634731</v>
      </c>
      <c r="R246">
        <v>5.1819955878828289E-2</v>
      </c>
      <c r="S246">
        <v>0.67627348971594947</v>
      </c>
      <c r="T246">
        <v>0.66828024254844198</v>
      </c>
    </row>
    <row r="247" spans="1:21" x14ac:dyDescent="0.3">
      <c r="A247">
        <v>0</v>
      </c>
      <c r="B247">
        <v>0</v>
      </c>
      <c r="C247" s="34">
        <v>7.4803086964398975E-4</v>
      </c>
      <c r="D247" s="34">
        <v>-1.4892071339301474E-2</v>
      </c>
      <c r="E247">
        <v>6</v>
      </c>
      <c r="F247" s="63">
        <v>1.9300000000000001E-3</v>
      </c>
      <c r="G247" s="90">
        <v>-0.32959196913035632</v>
      </c>
      <c r="H247" s="34">
        <v>-0.29563452583940047</v>
      </c>
      <c r="I247" s="34">
        <v>0.53293413173652693</v>
      </c>
      <c r="J247" s="64">
        <v>0.62068965517241381</v>
      </c>
      <c r="K247" s="4">
        <v>0.21176470588235294</v>
      </c>
      <c r="L247" s="65">
        <v>0.31578947368421051</v>
      </c>
      <c r="M247" s="4">
        <v>0.51449275362318836</v>
      </c>
      <c r="N247" s="4">
        <v>0.86585365853658536</v>
      </c>
      <c r="O247" s="4">
        <v>0.64545454545454539</v>
      </c>
      <c r="P247">
        <v>222.863383566734</v>
      </c>
      <c r="Q247">
        <v>12.168575173908209</v>
      </c>
      <c r="R247">
        <v>4.1331458932776573E-2</v>
      </c>
      <c r="S247">
        <v>0.83441779403763805</v>
      </c>
      <c r="T247">
        <v>0.83032934450770313</v>
      </c>
    </row>
    <row r="248" spans="1:21" x14ac:dyDescent="0.3">
      <c r="A248">
        <v>0</v>
      </c>
      <c r="B248">
        <v>0</v>
      </c>
      <c r="C248" s="34">
        <v>0.10246972778796583</v>
      </c>
      <c r="D248" s="34">
        <v>9.1319397173068861E-2</v>
      </c>
      <c r="E248">
        <v>6</v>
      </c>
      <c r="F248" s="63">
        <v>1.9300000000000001E-3</v>
      </c>
      <c r="G248" s="90">
        <v>-0.22787027221203432</v>
      </c>
      <c r="H248" s="34">
        <v>-0.21872169794861926</v>
      </c>
      <c r="I248" s="34">
        <v>0.53293413173652693</v>
      </c>
      <c r="J248" s="64">
        <v>0.61290322580645162</v>
      </c>
      <c r="K248" s="4">
        <v>0.22352941176470589</v>
      </c>
      <c r="L248" s="65">
        <v>0.32758620689655177</v>
      </c>
      <c r="M248" s="4">
        <v>0.51470588235294112</v>
      </c>
      <c r="N248" s="4">
        <v>0.85365853658536583</v>
      </c>
      <c r="O248" s="4">
        <v>0.64220183486238536</v>
      </c>
      <c r="P248">
        <v>221.06756751496991</v>
      </c>
      <c r="Q248">
        <v>11.98721556886227</v>
      </c>
      <c r="R248">
        <v>4.118866710607437E-2</v>
      </c>
      <c r="S248">
        <v>0.83575204275357695</v>
      </c>
      <c r="T248">
        <v>0.83169653763638129</v>
      </c>
    </row>
    <row r="249" spans="1:21" x14ac:dyDescent="0.3">
      <c r="A249">
        <v>0</v>
      </c>
      <c r="B249">
        <v>0</v>
      </c>
      <c r="C249" s="34">
        <v>0.20384355690415001</v>
      </c>
      <c r="D249" s="34">
        <v>0.20884987250528472</v>
      </c>
      <c r="E249">
        <v>6</v>
      </c>
      <c r="F249" s="63">
        <v>1.9300000000000001E-3</v>
      </c>
      <c r="G249" s="90">
        <v>-0.12649644309585012</v>
      </c>
      <c r="H249" s="34">
        <v>-0.13332444542989441</v>
      </c>
      <c r="I249" s="34">
        <v>0.53892215568862278</v>
      </c>
      <c r="J249" s="64">
        <v>0.61111111111111116</v>
      </c>
      <c r="K249" s="4">
        <v>0.25882352941176473</v>
      </c>
      <c r="L249" s="65">
        <v>0.3636363636363637</v>
      </c>
      <c r="M249" s="4">
        <v>0.51908396946564883</v>
      </c>
      <c r="N249" s="4">
        <v>0.82926829268292679</v>
      </c>
      <c r="O249" s="4">
        <v>0.63849765258215962</v>
      </c>
      <c r="P249">
        <v>207.70517035928131</v>
      </c>
      <c r="Q249">
        <v>11.334850299401189</v>
      </c>
      <c r="R249">
        <v>3.8539055108751628E-2</v>
      </c>
      <c r="S249">
        <v>0.84567998678176937</v>
      </c>
      <c r="T249">
        <v>0.84186961608502298</v>
      </c>
    </row>
    <row r="250" spans="1:21" x14ac:dyDescent="0.3">
      <c r="A250" t="s">
        <v>386</v>
      </c>
      <c r="C250" s="101">
        <f>+AVERAGE(C252:C261)</f>
        <v>8.9152200245381313E-2</v>
      </c>
      <c r="D250" s="101">
        <f>+AVERAGE(D252:D261)</f>
        <v>8.3094148906646598E-2</v>
      </c>
      <c r="G250" s="101">
        <f>+AVERAGE(G252:G261)</f>
        <v>-0.24118779975461896</v>
      </c>
      <c r="H250" s="101">
        <f>+AVERAGE(H252:H261)</f>
        <v>-0.22448328072705476</v>
      </c>
      <c r="I250" s="101">
        <f>+AVERAGE(I252:I261)</f>
        <v>0.5371257485029941</v>
      </c>
      <c r="O250" s="101">
        <f>+AVERAGE(O252:O261)</f>
        <v>0.57015729448081554</v>
      </c>
      <c r="T250" s="101">
        <f>+AVERAGE(U251:U255)</f>
        <v>0.92471643244409607</v>
      </c>
      <c r="U250" s="101">
        <f>+AVERAGE(T252:T261)</f>
        <v>0.47521167804501208</v>
      </c>
    </row>
    <row r="251" spans="1:21" x14ac:dyDescent="0.3">
      <c r="A251" s="61" t="s">
        <v>212</v>
      </c>
      <c r="B251" s="61" t="s">
        <v>198</v>
      </c>
      <c r="C251" s="61" t="s">
        <v>9</v>
      </c>
      <c r="D251" s="61" t="s">
        <v>10</v>
      </c>
      <c r="E251" s="70" t="s">
        <v>212</v>
      </c>
      <c r="F251" s="61" t="s">
        <v>198</v>
      </c>
      <c r="G251" s="61" t="s">
        <v>9</v>
      </c>
      <c r="H251" s="71" t="s">
        <v>10</v>
      </c>
      <c r="I251" s="66" t="s">
        <v>231</v>
      </c>
      <c r="J251" s="66" t="s">
        <v>232</v>
      </c>
      <c r="K251" s="66" t="s">
        <v>233</v>
      </c>
      <c r="L251" s="66" t="s">
        <v>234</v>
      </c>
      <c r="M251" s="66" t="s">
        <v>232</v>
      </c>
      <c r="N251" s="66" t="s">
        <v>233</v>
      </c>
      <c r="O251" s="67" t="s">
        <v>234</v>
      </c>
      <c r="P251" t="s">
        <v>298</v>
      </c>
      <c r="Q251" t="s">
        <v>299</v>
      </c>
      <c r="R251" t="s">
        <v>300</v>
      </c>
      <c r="S251" t="s">
        <v>301</v>
      </c>
      <c r="T251" t="s">
        <v>302</v>
      </c>
    </row>
    <row r="252" spans="1:21" x14ac:dyDescent="0.3">
      <c r="A252">
        <v>0</v>
      </c>
      <c r="B252">
        <v>0</v>
      </c>
      <c r="C252" s="34">
        <v>0.24900566326774787</v>
      </c>
      <c r="D252" s="34">
        <v>0.26474844679331511</v>
      </c>
      <c r="E252">
        <v>6</v>
      </c>
      <c r="F252" s="75">
        <v>1.9300000000000001E-3</v>
      </c>
      <c r="G252" s="90">
        <v>-8.1334336732252266E-2</v>
      </c>
      <c r="H252" s="34">
        <v>-9.3102645063906822E-2</v>
      </c>
      <c r="I252" s="34">
        <v>0.53293413173652693</v>
      </c>
      <c r="J252" s="64">
        <v>0.54545454545454541</v>
      </c>
      <c r="K252" s="4">
        <v>0.49411764705882355</v>
      </c>
      <c r="L252" s="65">
        <v>0.5185185185185186</v>
      </c>
      <c r="M252" s="4">
        <v>0.52222222222222225</v>
      </c>
      <c r="N252" s="4">
        <v>0.57317073170731703</v>
      </c>
      <c r="O252" s="4">
        <v>0.54651162790697683</v>
      </c>
      <c r="P252">
        <v>15.482849312821079</v>
      </c>
      <c r="Q252">
        <v>2.9792129921884891</v>
      </c>
      <c r="R252">
        <v>1.009703746412652E-2</v>
      </c>
      <c r="S252">
        <v>0.98849661033243674</v>
      </c>
      <c r="T252">
        <v>0.98760024230639287</v>
      </c>
      <c r="U252">
        <f>+MAX(T252,T257)</f>
        <v>0.98760024230639287</v>
      </c>
    </row>
    <row r="253" spans="1:21" x14ac:dyDescent="0.3">
      <c r="A253">
        <v>0</v>
      </c>
      <c r="B253">
        <v>0</v>
      </c>
      <c r="C253" s="34">
        <v>7.1799833494091442E-2</v>
      </c>
      <c r="D253" s="34">
        <v>5.8945185102771067E-2</v>
      </c>
      <c r="E253">
        <v>6</v>
      </c>
      <c r="F253" s="63">
        <v>1.9300000000000001E-3</v>
      </c>
      <c r="G253" s="90">
        <v>-0.25854016650590872</v>
      </c>
      <c r="H253" s="34">
        <v>-0.24141264124966255</v>
      </c>
      <c r="I253" s="34">
        <v>0.50898203592814373</v>
      </c>
      <c r="J253" s="64">
        <v>0.53488372093023251</v>
      </c>
      <c r="K253" s="4">
        <v>0.27058823529411763</v>
      </c>
      <c r="L253" s="65">
        <v>0.35937499999999994</v>
      </c>
      <c r="M253" s="4">
        <v>0.5</v>
      </c>
      <c r="N253" s="4">
        <v>0.75609756097560976</v>
      </c>
      <c r="O253" s="4">
        <v>0.60194174757281549</v>
      </c>
      <c r="P253">
        <v>2556.441450007193</v>
      </c>
      <c r="Q253">
        <v>42.72904284722815</v>
      </c>
      <c r="R253">
        <v>0.13608229000181871</v>
      </c>
      <c r="S253">
        <v>-0.89937533896885102</v>
      </c>
      <c r="T253">
        <v>-1.0473786121352551</v>
      </c>
      <c r="U253">
        <f>+MAX(T253,T258)</f>
        <v>0.78590308523479724</v>
      </c>
    </row>
    <row r="254" spans="1:21" x14ac:dyDescent="0.3">
      <c r="A254">
        <v>0</v>
      </c>
      <c r="B254">
        <v>0</v>
      </c>
      <c r="C254" s="34">
        <v>3.8151179212443674E-2</v>
      </c>
      <c r="D254" s="34">
        <v>2.3595107951711398E-2</v>
      </c>
      <c r="E254">
        <v>6</v>
      </c>
      <c r="F254" s="63">
        <v>1.9300000000000001E-3</v>
      </c>
      <c r="G254" s="90">
        <v>-0.29218882078755648</v>
      </c>
      <c r="H254" s="34">
        <v>-0.26708284875792088</v>
      </c>
      <c r="I254" s="34">
        <v>0.52694610778443118</v>
      </c>
      <c r="J254" s="64">
        <v>0.61538461538461542</v>
      </c>
      <c r="K254" s="4">
        <v>0.18823529411764706</v>
      </c>
      <c r="L254" s="65">
        <v>0.28828828828828829</v>
      </c>
      <c r="M254" s="4">
        <v>0.51063829787234039</v>
      </c>
      <c r="N254" s="4">
        <v>0.87804878048780488</v>
      </c>
      <c r="O254" s="4">
        <v>0.64573991031390132</v>
      </c>
      <c r="P254">
        <v>3462.9315821992791</v>
      </c>
      <c r="Q254">
        <v>49.300467338617693</v>
      </c>
      <c r="R254">
        <v>0.15540722367043081</v>
      </c>
      <c r="S254">
        <v>-1.572875998293326</v>
      </c>
      <c r="T254">
        <v>-1.773359842316182</v>
      </c>
      <c r="U254">
        <f>+MAX(T254,T259)</f>
        <v>0.9700204496262157</v>
      </c>
    </row>
    <row r="255" spans="1:21" x14ac:dyDescent="0.3">
      <c r="A255">
        <v>0</v>
      </c>
      <c r="B255">
        <v>0</v>
      </c>
      <c r="C255" s="34">
        <v>8.7807090479489272E-2</v>
      </c>
      <c r="D255" s="34">
        <v>7.4837218512104009E-2</v>
      </c>
      <c r="E255">
        <v>6</v>
      </c>
      <c r="F255" s="63">
        <v>1.9300000000000001E-3</v>
      </c>
      <c r="G255" s="90">
        <v>-0.24253290952051101</v>
      </c>
      <c r="H255" s="34">
        <v>-0.23113803148193796</v>
      </c>
      <c r="I255" s="34">
        <v>0.56287425149700598</v>
      </c>
      <c r="J255" s="64">
        <v>0.57499999999999996</v>
      </c>
      <c r="K255" s="4">
        <v>0.54117647058823526</v>
      </c>
      <c r="L255" s="65">
        <v>0.5575757575757575</v>
      </c>
      <c r="M255" s="4">
        <v>0.55172413793103448</v>
      </c>
      <c r="N255" s="4">
        <v>0.58536585365853655</v>
      </c>
      <c r="O255" s="4">
        <v>0.56804733727810652</v>
      </c>
      <c r="P255">
        <v>58.728854640718417</v>
      </c>
      <c r="Q255">
        <v>6.1130239520958014</v>
      </c>
      <c r="R255">
        <v>2.0577099089046431E-2</v>
      </c>
      <c r="S255">
        <v>0.95636585450053901</v>
      </c>
      <c r="T255">
        <v>0.95296579121486669</v>
      </c>
      <c r="U255">
        <f>+MAX(T255,T260)</f>
        <v>0.95534195260897847</v>
      </c>
    </row>
    <row r="256" spans="1:21" x14ac:dyDescent="0.3">
      <c r="A256">
        <v>0</v>
      </c>
      <c r="B256">
        <v>0</v>
      </c>
      <c r="C256" s="34">
        <v>-6.3076276859012001E-2</v>
      </c>
      <c r="D256" s="34">
        <v>-7.6409619534147932E-2</v>
      </c>
      <c r="E256">
        <v>6</v>
      </c>
      <c r="F256" s="63">
        <v>1.9300000000000001E-3</v>
      </c>
      <c r="G256" s="90">
        <v>-0.39341627685901309</v>
      </c>
      <c r="H256" s="34">
        <v>-0.34018055222816723</v>
      </c>
      <c r="I256" s="34">
        <v>0.52095808383233533</v>
      </c>
      <c r="J256" s="64">
        <v>0.5280898876404494</v>
      </c>
      <c r="K256" s="4">
        <v>0.55294117647058827</v>
      </c>
      <c r="L256" s="65">
        <v>0.54022988505747127</v>
      </c>
      <c r="M256" s="4">
        <v>0.51282051282051277</v>
      </c>
      <c r="N256" s="4">
        <v>0.48780487804878048</v>
      </c>
      <c r="O256" s="4">
        <v>0.5</v>
      </c>
      <c r="P256">
        <v>22.998547713159521</v>
      </c>
      <c r="Q256">
        <v>3.5039631736527119</v>
      </c>
      <c r="R256">
        <v>1.182567352052572E-2</v>
      </c>
      <c r="S256">
        <v>0.98291262475095964</v>
      </c>
      <c r="T256">
        <v>0.98158114096532012</v>
      </c>
      <c r="U256">
        <f>+MAX(T256,T261)</f>
        <v>0.98158114096532012</v>
      </c>
    </row>
    <row r="257" spans="1:21" x14ac:dyDescent="0.3">
      <c r="A257">
        <v>0</v>
      </c>
      <c r="B257">
        <v>0</v>
      </c>
      <c r="C257" s="34">
        <v>0.24900566326774787</v>
      </c>
      <c r="D257" s="34">
        <v>0.26474844679331511</v>
      </c>
      <c r="E257">
        <v>6</v>
      </c>
      <c r="F257" s="63">
        <v>1.9300000000000001E-3</v>
      </c>
      <c r="G257" s="90">
        <v>-8.1334336732252266E-2</v>
      </c>
      <c r="H257" s="34">
        <v>-9.3102645063906822E-2</v>
      </c>
      <c r="I257" s="34">
        <v>0.53293413173652693</v>
      </c>
      <c r="J257" s="64">
        <v>0.54545454545454541</v>
      </c>
      <c r="K257" s="4">
        <v>0.49411764705882355</v>
      </c>
      <c r="L257" s="65">
        <v>0.5185185185185186</v>
      </c>
      <c r="M257" s="4">
        <v>0.52222222222222225</v>
      </c>
      <c r="N257" s="4">
        <v>0.57317073170731703</v>
      </c>
      <c r="O257" s="4">
        <v>0.54651162790697683</v>
      </c>
      <c r="P257">
        <v>15.48284931282115</v>
      </c>
      <c r="Q257">
        <v>41.771496636017332</v>
      </c>
      <c r="R257">
        <v>0.14540651189232251</v>
      </c>
      <c r="S257">
        <v>0.98849661033243674</v>
      </c>
      <c r="T257">
        <v>0.98760024230639287</v>
      </c>
    </row>
    <row r="258" spans="1:21" x14ac:dyDescent="0.3">
      <c r="A258">
        <v>0</v>
      </c>
      <c r="B258">
        <v>0</v>
      </c>
      <c r="C258" s="34">
        <v>-6.8151222725646943E-2</v>
      </c>
      <c r="D258" s="34">
        <v>-7.9184869845918146E-2</v>
      </c>
      <c r="E258">
        <v>6</v>
      </c>
      <c r="F258" s="63">
        <v>1.9300000000000001E-3</v>
      </c>
      <c r="G258" s="90">
        <v>-0.39849122272564719</v>
      </c>
      <c r="H258" s="34">
        <v>-0.34039480861068133</v>
      </c>
      <c r="I258" s="34">
        <v>0.48502994011976047</v>
      </c>
      <c r="J258" s="64">
        <v>0.49397590361445781</v>
      </c>
      <c r="K258" s="4">
        <v>0.4823529411764706</v>
      </c>
      <c r="L258" s="65">
        <v>0.48809523809523808</v>
      </c>
      <c r="M258" s="4">
        <v>0.47619047619047616</v>
      </c>
      <c r="N258" s="4">
        <v>0.48780487804878048</v>
      </c>
      <c r="O258" s="4">
        <v>0.48192771084337349</v>
      </c>
      <c r="P258">
        <v>267.33024560298747</v>
      </c>
      <c r="Q258">
        <v>11.90501236913868</v>
      </c>
      <c r="R258">
        <v>3.933796586079915E-2</v>
      </c>
      <c r="S258">
        <v>0.80137997063951072</v>
      </c>
      <c r="T258">
        <v>0.78590308523479724</v>
      </c>
    </row>
    <row r="259" spans="1:21" x14ac:dyDescent="0.3">
      <c r="A259">
        <v>0</v>
      </c>
      <c r="B259">
        <v>0</v>
      </c>
      <c r="C259" s="34">
        <v>0.17358934855835179</v>
      </c>
      <c r="D259" s="34">
        <v>0.17229356165449644</v>
      </c>
      <c r="E259">
        <v>6</v>
      </c>
      <c r="F259" s="63">
        <v>1.9300000000000001E-3</v>
      </c>
      <c r="G259" s="90">
        <v>-0.15675065144164838</v>
      </c>
      <c r="H259" s="34">
        <v>-0.16013073624819066</v>
      </c>
      <c r="I259" s="34">
        <v>0.57485029940119758</v>
      </c>
      <c r="J259" s="64">
        <v>0.70588235294117652</v>
      </c>
      <c r="K259" s="4">
        <v>0.28235294117647058</v>
      </c>
      <c r="L259" s="65">
        <v>0.40336134453781514</v>
      </c>
      <c r="M259" s="4">
        <v>0.54135338345864659</v>
      </c>
      <c r="N259" s="4">
        <v>0.87804878048780488</v>
      </c>
      <c r="O259" s="4">
        <v>0.66976744186046511</v>
      </c>
      <c r="P259">
        <v>37.433704139455941</v>
      </c>
      <c r="Q259">
        <v>4.6487546145352132</v>
      </c>
      <c r="R259">
        <v>1.544618961185271E-2</v>
      </c>
      <c r="S259">
        <v>0.97218764603877839</v>
      </c>
      <c r="T259">
        <v>0.9700204496262157</v>
      </c>
    </row>
    <row r="260" spans="1:21" x14ac:dyDescent="0.3">
      <c r="A260">
        <v>0</v>
      </c>
      <c r="B260">
        <v>0</v>
      </c>
      <c r="C260" s="34">
        <v>0.11385913045972164</v>
      </c>
      <c r="D260" s="34">
        <v>0.10343506168780485</v>
      </c>
      <c r="E260">
        <v>6</v>
      </c>
      <c r="F260" s="63">
        <v>1.9300000000000001E-3</v>
      </c>
      <c r="G260" s="90">
        <v>-0.21648086954027865</v>
      </c>
      <c r="H260" s="34">
        <v>-0.21040662034540744</v>
      </c>
      <c r="I260" s="34">
        <v>0.57485029940119758</v>
      </c>
      <c r="J260" s="64">
        <v>0.58333333333333337</v>
      </c>
      <c r="K260" s="4">
        <v>0.57647058823529407</v>
      </c>
      <c r="L260" s="65">
        <v>0.57988165680473369</v>
      </c>
      <c r="M260" s="4">
        <v>0.5662650602409639</v>
      </c>
      <c r="N260" s="4">
        <v>0.57317073170731703</v>
      </c>
      <c r="O260" s="4">
        <v>0.5696969696969697</v>
      </c>
      <c r="P260">
        <v>55.761881437125652</v>
      </c>
      <c r="Q260">
        <v>5.9229341317365218</v>
      </c>
      <c r="R260">
        <v>1.9942397213933021E-2</v>
      </c>
      <c r="S260">
        <v>0.95857024519146194</v>
      </c>
      <c r="T260">
        <v>0.95534195260897847</v>
      </c>
    </row>
    <row r="261" spans="1:21" x14ac:dyDescent="0.3">
      <c r="A261">
        <v>0</v>
      </c>
      <c r="B261">
        <v>0</v>
      </c>
      <c r="C261" s="34">
        <v>3.9531593298878433E-2</v>
      </c>
      <c r="D261" s="34">
        <v>2.393294995101387E-2</v>
      </c>
      <c r="E261">
        <v>6</v>
      </c>
      <c r="F261" s="63">
        <v>1.9300000000000001E-3</v>
      </c>
      <c r="G261" s="90">
        <v>-0.29080840670112201</v>
      </c>
      <c r="H261" s="34">
        <v>-0.26788127822076579</v>
      </c>
      <c r="I261" s="34">
        <v>0.55089820359281438</v>
      </c>
      <c r="J261" s="64">
        <v>0.56756756756756754</v>
      </c>
      <c r="K261" s="4">
        <v>0.49411764705882355</v>
      </c>
      <c r="L261" s="65">
        <v>0.52830188679245293</v>
      </c>
      <c r="M261" s="4">
        <v>0.5376344086021505</v>
      </c>
      <c r="N261" s="4">
        <v>0.6097560975609756</v>
      </c>
      <c r="O261" s="4">
        <v>0.5714285714285714</v>
      </c>
      <c r="P261">
        <v>60.131653892215454</v>
      </c>
      <c r="Q261">
        <v>6.2214371257484959</v>
      </c>
      <c r="R261">
        <v>2.094457690631471E-2</v>
      </c>
      <c r="S261">
        <v>0.95532360794182747</v>
      </c>
      <c r="T261">
        <v>0.95184233063859325</v>
      </c>
    </row>
    <row r="262" spans="1:21" x14ac:dyDescent="0.3">
      <c r="A262" t="s">
        <v>389</v>
      </c>
      <c r="C262" s="101">
        <f>+AVERAGE(C264:C273)</f>
        <v>5.943482233949917E-2</v>
      </c>
      <c r="D262" s="101">
        <f>+AVERAGE(D264:D273)</f>
        <v>5.0650041130621735E-2</v>
      </c>
      <c r="G262" s="101">
        <f>+AVERAGE(G264:G273)</f>
        <v>-0.27090517766050093</v>
      </c>
      <c r="H262" s="101">
        <f>+AVERAGE(H264:H273)</f>
        <v>-0.24783268418766041</v>
      </c>
      <c r="I262" s="101">
        <f>+AVERAGE(I264:I273)</f>
        <v>0.52455089820359269</v>
      </c>
      <c r="O262" s="101">
        <f>+AVERAGE(O264:O273)</f>
        <v>0.54769682195617553</v>
      </c>
      <c r="T262" s="101">
        <f>+AVERAGE(U263:U267)</f>
        <v>0.92803213882168034</v>
      </c>
      <c r="U262" s="101">
        <f>+AVERAGE(T264:T273)</f>
        <v>0.48492544406010551</v>
      </c>
    </row>
    <row r="263" spans="1:21" x14ac:dyDescent="0.3">
      <c r="A263" s="61" t="s">
        <v>212</v>
      </c>
      <c r="B263" s="61" t="s">
        <v>198</v>
      </c>
      <c r="C263" s="61" t="s">
        <v>9</v>
      </c>
      <c r="D263" s="61" t="s">
        <v>10</v>
      </c>
      <c r="E263" s="70" t="s">
        <v>212</v>
      </c>
      <c r="F263" s="61" t="s">
        <v>198</v>
      </c>
      <c r="G263" s="61" t="s">
        <v>9</v>
      </c>
      <c r="H263" s="71" t="s">
        <v>10</v>
      </c>
      <c r="I263" s="66" t="s">
        <v>231</v>
      </c>
      <c r="J263" s="66" t="s">
        <v>232</v>
      </c>
      <c r="K263" s="66" t="s">
        <v>233</v>
      </c>
      <c r="L263" s="66" t="s">
        <v>234</v>
      </c>
      <c r="M263" s="66" t="s">
        <v>232</v>
      </c>
      <c r="N263" s="66" t="s">
        <v>233</v>
      </c>
      <c r="O263" s="67" t="s">
        <v>234</v>
      </c>
      <c r="P263" t="s">
        <v>298</v>
      </c>
      <c r="Q263" t="s">
        <v>299</v>
      </c>
      <c r="R263" t="s">
        <v>300</v>
      </c>
      <c r="S263" t="s">
        <v>301</v>
      </c>
      <c r="T263" t="s">
        <v>302</v>
      </c>
    </row>
    <row r="264" spans="1:21" x14ac:dyDescent="0.3">
      <c r="A264">
        <v>0</v>
      </c>
      <c r="B264">
        <v>0</v>
      </c>
      <c r="C264" s="34">
        <v>9.7497195830389252E-2</v>
      </c>
      <c r="D264" s="34">
        <v>8.6403151372254072E-2</v>
      </c>
      <c r="E264">
        <v>6</v>
      </c>
      <c r="F264" s="75">
        <v>1.9300000000000001E-3</v>
      </c>
      <c r="G264" s="90">
        <v>-0.23284280416961062</v>
      </c>
      <c r="H264" s="34">
        <v>-0.22182505455979437</v>
      </c>
      <c r="I264" s="34">
        <v>0.47305389221556887</v>
      </c>
      <c r="J264" s="64">
        <v>0.48314606741573035</v>
      </c>
      <c r="K264" s="4">
        <v>0.50588235294117645</v>
      </c>
      <c r="L264" s="65">
        <v>0.49425287356321834</v>
      </c>
      <c r="M264" s="4">
        <v>0.46153846153846156</v>
      </c>
      <c r="N264" s="4">
        <v>0.43902439024390244</v>
      </c>
      <c r="O264" s="4">
        <v>0.45</v>
      </c>
      <c r="P264">
        <v>15.75957583963968</v>
      </c>
      <c r="Q264">
        <v>3.0131237851960671</v>
      </c>
      <c r="R264">
        <v>1.0221475809897599E-2</v>
      </c>
      <c r="S264">
        <v>0.98829100908908485</v>
      </c>
      <c r="T264">
        <v>0.98737862018693556</v>
      </c>
      <c r="U264">
        <f>+MAX(T264,T269)</f>
        <v>0.98737862018693556</v>
      </c>
    </row>
    <row r="265" spans="1:21" x14ac:dyDescent="0.3">
      <c r="A265">
        <v>0</v>
      </c>
      <c r="B265">
        <v>0</v>
      </c>
      <c r="C265" s="34">
        <v>8.1040354323447542E-2</v>
      </c>
      <c r="D265" s="34">
        <v>6.8853062630683859E-2</v>
      </c>
      <c r="E265">
        <v>6</v>
      </c>
      <c r="F265" s="63">
        <v>1.9300000000000001E-3</v>
      </c>
      <c r="G265" s="90">
        <v>-0.24929964567655261</v>
      </c>
      <c r="H265" s="34">
        <v>-0.23422033284445293</v>
      </c>
      <c r="I265" s="34">
        <v>0.51497005988023947</v>
      </c>
      <c r="J265" s="64">
        <v>0.54545454545454541</v>
      </c>
      <c r="K265" s="4">
        <v>0.28235294117647058</v>
      </c>
      <c r="L265" s="65">
        <v>0.37209302325581395</v>
      </c>
      <c r="M265" s="4">
        <v>0.50406504065040647</v>
      </c>
      <c r="N265" s="4">
        <v>0.75609756097560976</v>
      </c>
      <c r="O265" s="4">
        <v>0.60487804878048768</v>
      </c>
      <c r="P265">
        <v>2455.7108407877822</v>
      </c>
      <c r="Q265">
        <v>41.975684656279618</v>
      </c>
      <c r="R265">
        <v>0.13397370511418771</v>
      </c>
      <c r="S265">
        <v>-0.82453488642098605</v>
      </c>
      <c r="T265">
        <v>-0.96670643601223172</v>
      </c>
      <c r="U265">
        <f>+MAX(T265,T270)</f>
        <v>0.79878811281216955</v>
      </c>
    </row>
    <row r="266" spans="1:21" x14ac:dyDescent="0.3">
      <c r="A266">
        <v>0</v>
      </c>
      <c r="B266">
        <v>0</v>
      </c>
      <c r="C266" s="34">
        <v>3.8151179212443674E-2</v>
      </c>
      <c r="D266" s="34">
        <v>2.3595107951711398E-2</v>
      </c>
      <c r="E266">
        <v>6</v>
      </c>
      <c r="F266" s="63">
        <v>1.9300000000000001E-3</v>
      </c>
      <c r="G266" s="90">
        <v>-0.29218882078755648</v>
      </c>
      <c r="H266" s="34">
        <v>-0.26708284875792088</v>
      </c>
      <c r="I266" s="34">
        <v>0.52694610778443118</v>
      </c>
      <c r="J266" s="64">
        <v>0.61538461538461542</v>
      </c>
      <c r="K266" s="4">
        <v>0.18823529411764706</v>
      </c>
      <c r="L266" s="65">
        <v>0.28828828828828829</v>
      </c>
      <c r="M266" s="4">
        <v>0.51063829787234039</v>
      </c>
      <c r="N266" s="4">
        <v>0.87804878048780488</v>
      </c>
      <c r="O266" s="4">
        <v>0.64573991031390132</v>
      </c>
      <c r="P266">
        <v>3462.9315811201809</v>
      </c>
      <c r="Q266">
        <v>49.300467330456158</v>
      </c>
      <c r="R266">
        <v>0.1554072236451437</v>
      </c>
      <c r="S266">
        <v>-1.572875997491582</v>
      </c>
      <c r="T266">
        <v>-1.7733598414519649</v>
      </c>
      <c r="U266">
        <f>+MAX(T266,T271)</f>
        <v>0.96670844499862607</v>
      </c>
    </row>
    <row r="267" spans="1:21" x14ac:dyDescent="0.3">
      <c r="A267">
        <v>0</v>
      </c>
      <c r="B267">
        <v>0</v>
      </c>
      <c r="C267" s="34">
        <v>7.192000485693148E-2</v>
      </c>
      <c r="D267" s="34">
        <v>5.7957824051086647E-2</v>
      </c>
      <c r="E267">
        <v>6</v>
      </c>
      <c r="F267" s="63">
        <v>1.9300000000000001E-3</v>
      </c>
      <c r="G267" s="90">
        <v>-0.25841999514306851</v>
      </c>
      <c r="H267" s="34">
        <v>-0.24318896282324334</v>
      </c>
      <c r="I267" s="34">
        <v>0.55089820359281438</v>
      </c>
      <c r="J267" s="64">
        <v>0.55813953488372092</v>
      </c>
      <c r="K267" s="4">
        <v>0.56470588235294117</v>
      </c>
      <c r="L267" s="65">
        <v>0.5614035087719299</v>
      </c>
      <c r="M267" s="4">
        <v>0.54320987654320985</v>
      </c>
      <c r="N267" s="4">
        <v>0.53658536585365857</v>
      </c>
      <c r="O267" s="4">
        <v>0.53987730061349692</v>
      </c>
      <c r="P267">
        <v>50.877915119760438</v>
      </c>
      <c r="Q267">
        <v>5.7079940119760462</v>
      </c>
      <c r="R267">
        <v>1.9246854722983379E-2</v>
      </c>
      <c r="S267">
        <v>0.96219891628014731</v>
      </c>
      <c r="T267">
        <v>0.95925337728898996</v>
      </c>
      <c r="U267">
        <f>+MAX(T267,T272)</f>
        <v>0.95925337728898996</v>
      </c>
    </row>
    <row r="268" spans="1:21" x14ac:dyDescent="0.3">
      <c r="A268">
        <v>0</v>
      </c>
      <c r="B268">
        <v>0</v>
      </c>
      <c r="C268" s="34">
        <v>-2.6326367056552991E-2</v>
      </c>
      <c r="D268" s="34">
        <v>-4.1709333525650726E-2</v>
      </c>
      <c r="E268">
        <v>6</v>
      </c>
      <c r="F268" s="63">
        <v>1.9300000000000001E-3</v>
      </c>
      <c r="G268" s="90">
        <v>-0.35666636705655402</v>
      </c>
      <c r="H268" s="34">
        <v>-0.31519368049370866</v>
      </c>
      <c r="I268" s="34">
        <v>0.54491017964071853</v>
      </c>
      <c r="J268" s="64">
        <v>0.54545454545454541</v>
      </c>
      <c r="K268" s="4">
        <v>0.63529411764705879</v>
      </c>
      <c r="L268" s="65">
        <v>0.58695652173913038</v>
      </c>
      <c r="M268" s="4">
        <v>0.54411764705882348</v>
      </c>
      <c r="N268" s="4">
        <v>0.45121951219512196</v>
      </c>
      <c r="O268" s="4">
        <v>0.49333333333333329</v>
      </c>
      <c r="P268">
        <v>23.702475785749279</v>
      </c>
      <c r="Q268">
        <v>3.5920597604790609</v>
      </c>
      <c r="R268">
        <v>1.2072171906824389E-2</v>
      </c>
      <c r="S268">
        <v>0.98238962289559506</v>
      </c>
      <c r="T268">
        <v>0.9810173857186284</v>
      </c>
      <c r="U268">
        <f>+MAX(T268,T273)</f>
        <v>0.9810173857186284</v>
      </c>
    </row>
    <row r="269" spans="1:21" x14ac:dyDescent="0.3">
      <c r="A269">
        <v>0</v>
      </c>
      <c r="B269">
        <v>0</v>
      </c>
      <c r="C269" s="34">
        <v>9.7497195830389252E-2</v>
      </c>
      <c r="D269" s="34">
        <v>8.6403151372254072E-2</v>
      </c>
      <c r="E269">
        <v>6</v>
      </c>
      <c r="F269" s="63">
        <v>1.9300000000000001E-3</v>
      </c>
      <c r="G269" s="90">
        <v>-0.23284280416961062</v>
      </c>
      <c r="H269" s="34">
        <v>-0.22182505455979437</v>
      </c>
      <c r="I269" s="34">
        <v>0.47305389221556887</v>
      </c>
      <c r="J269" s="64">
        <v>0.48314606741573035</v>
      </c>
      <c r="K269" s="4">
        <v>0.50588235294117645</v>
      </c>
      <c r="L269" s="65">
        <v>0.49425287356321834</v>
      </c>
      <c r="M269" s="4">
        <v>0.46153846153846156</v>
      </c>
      <c r="N269" s="4">
        <v>0.43902439024390244</v>
      </c>
      <c r="O269" s="4">
        <v>0.45</v>
      </c>
      <c r="P269">
        <v>15.759575839639711</v>
      </c>
      <c r="Q269">
        <v>41.757368059156832</v>
      </c>
      <c r="R269">
        <v>0.1453843127085046</v>
      </c>
      <c r="S269">
        <v>0.98829100908908485</v>
      </c>
      <c r="T269">
        <v>0.98737862018693556</v>
      </c>
    </row>
    <row r="270" spans="1:21" x14ac:dyDescent="0.3">
      <c r="A270">
        <v>0</v>
      </c>
      <c r="B270">
        <v>0</v>
      </c>
      <c r="C270" s="34">
        <v>-8.4385599034366751E-2</v>
      </c>
      <c r="D270" s="34">
        <v>-9.4392442126509851E-2</v>
      </c>
      <c r="E270">
        <v>6</v>
      </c>
      <c r="F270" s="63">
        <v>1.9300000000000001E-3</v>
      </c>
      <c r="G270" s="90">
        <v>-0.41472559903436729</v>
      </c>
      <c r="H270" s="34">
        <v>-0.35170392503379211</v>
      </c>
      <c r="I270" s="34">
        <v>0.46706586826347307</v>
      </c>
      <c r="J270" s="64">
        <v>0.4777777777777778</v>
      </c>
      <c r="K270" s="4">
        <v>0.50588235294117645</v>
      </c>
      <c r="L270" s="65">
        <v>0.49142857142857138</v>
      </c>
      <c r="M270" s="4">
        <v>0.45454545454545453</v>
      </c>
      <c r="N270" s="4">
        <v>0.42682926829268292</v>
      </c>
      <c r="O270" s="4">
        <v>0.44025157232704398</v>
      </c>
      <c r="P270">
        <v>251.2414682815683</v>
      </c>
      <c r="Q270">
        <v>11.953063633202721</v>
      </c>
      <c r="R270">
        <v>3.8832918542649829E-2</v>
      </c>
      <c r="S270">
        <v>0.8133335504402055</v>
      </c>
      <c r="T270">
        <v>0.79878811281216955</v>
      </c>
    </row>
    <row r="271" spans="1:21" x14ac:dyDescent="0.3">
      <c r="A271">
        <v>0</v>
      </c>
      <c r="B271">
        <v>0</v>
      </c>
      <c r="C271" s="34">
        <v>-9.5462339701003651E-2</v>
      </c>
      <c r="D271" s="34">
        <v>-0.10564260286245554</v>
      </c>
      <c r="E271">
        <v>6</v>
      </c>
      <c r="F271" s="63">
        <v>1.9300000000000001E-3</v>
      </c>
      <c r="G271" s="90">
        <v>-0.42580233970100301</v>
      </c>
      <c r="H271" s="34">
        <v>-0.36103719386216582</v>
      </c>
      <c r="I271" s="34">
        <v>0.52095808383233533</v>
      </c>
      <c r="J271" s="64">
        <v>0.60869565217391308</v>
      </c>
      <c r="K271" s="4">
        <v>0.16470588235294117</v>
      </c>
      <c r="L271" s="65">
        <v>0.25925925925925924</v>
      </c>
      <c r="M271" s="4">
        <v>0.50694444444444442</v>
      </c>
      <c r="N271" s="4">
        <v>0.8902439024390244</v>
      </c>
      <c r="O271" s="4">
        <v>0.64601769911504425</v>
      </c>
      <c r="P271">
        <v>41.569209835569033</v>
      </c>
      <c r="Q271">
        <v>4.8852859506283624</v>
      </c>
      <c r="R271">
        <v>1.6054575453481781E-2</v>
      </c>
      <c r="S271">
        <v>0.96911506343246034</v>
      </c>
      <c r="T271">
        <v>0.96670844499862607</v>
      </c>
    </row>
    <row r="272" spans="1:21" x14ac:dyDescent="0.3">
      <c r="A272">
        <v>0</v>
      </c>
      <c r="B272">
        <v>0</v>
      </c>
      <c r="C272" s="34">
        <v>0.19830416092702813</v>
      </c>
      <c r="D272" s="34">
        <v>0.20159986647511002</v>
      </c>
      <c r="E272">
        <v>6</v>
      </c>
      <c r="F272" s="63">
        <v>1.9300000000000001E-3</v>
      </c>
      <c r="G272" s="90">
        <v>-0.13203583907297187</v>
      </c>
      <c r="H272" s="34">
        <v>-0.1390851244036117</v>
      </c>
      <c r="I272" s="34">
        <v>0.58682634730538918</v>
      </c>
      <c r="J272" s="64">
        <v>0.60526315789473684</v>
      </c>
      <c r="K272" s="4">
        <v>0.54117647058823526</v>
      </c>
      <c r="L272" s="65">
        <v>0.5714285714285714</v>
      </c>
      <c r="M272" s="4">
        <v>0.5714285714285714</v>
      </c>
      <c r="N272" s="4">
        <v>0.63414634146341464</v>
      </c>
      <c r="O272" s="4">
        <v>0.60115606936416188</v>
      </c>
      <c r="P272">
        <v>55.481221856287341</v>
      </c>
      <c r="Q272">
        <v>6.0740119760478999</v>
      </c>
      <c r="R272">
        <v>2.0461573742986131E-2</v>
      </c>
      <c r="S272">
        <v>0.95877876860062827</v>
      </c>
      <c r="T272">
        <v>0.95556672459548242</v>
      </c>
    </row>
    <row r="273" spans="1:20" x14ac:dyDescent="0.3">
      <c r="A273">
        <v>0</v>
      </c>
      <c r="B273">
        <v>0</v>
      </c>
      <c r="C273" s="34">
        <v>0.21611243820628573</v>
      </c>
      <c r="D273" s="34">
        <v>0.22343262596773347</v>
      </c>
      <c r="E273">
        <v>6</v>
      </c>
      <c r="F273" s="63">
        <v>1.9300000000000001E-3</v>
      </c>
      <c r="G273" s="90">
        <v>-0.11422756179371427</v>
      </c>
      <c r="H273" s="34">
        <v>-0.12316466453812012</v>
      </c>
      <c r="I273" s="34">
        <v>0.58682634730538918</v>
      </c>
      <c r="J273" s="64">
        <v>0.60810810810810811</v>
      </c>
      <c r="K273" s="4">
        <v>0.52941176470588236</v>
      </c>
      <c r="L273" s="65">
        <v>0.56603773584905659</v>
      </c>
      <c r="M273" s="4">
        <v>0.56989247311827962</v>
      </c>
      <c r="N273" s="4">
        <v>0.64634146341463417</v>
      </c>
      <c r="O273" s="4">
        <v>0.60571428571428576</v>
      </c>
      <c r="P273">
        <v>58.399661526946069</v>
      </c>
      <c r="Q273">
        <v>6.1197305389221537</v>
      </c>
      <c r="R273">
        <v>2.0543501674124338E-2</v>
      </c>
      <c r="S273">
        <v>0.95661043717308791</v>
      </c>
      <c r="T273">
        <v>0.95322943227748436</v>
      </c>
    </row>
  </sheetData>
  <autoFilter ref="A1:AF273" xr:uid="{7AC1DAFA-8E53-4163-8C84-0285742B7FB4}"/>
  <conditionalFormatting sqref="T84:T93">
    <cfRule type="cellIs" dxfId="15" priority="6" operator="lessThan">
      <formula>0</formula>
    </cfRule>
  </conditionalFormatting>
  <conditionalFormatting sqref="I84:I93">
    <cfRule type="cellIs" dxfId="14" priority="4" operator="greaterThan">
      <formula>0.5</formula>
    </cfRule>
    <cfRule type="cellIs" dxfId="13" priority="5" operator="greaterThan">
      <formula>50</formula>
    </cfRule>
  </conditionalFormatting>
  <conditionalFormatting sqref="T84:T93">
    <cfRule type="cellIs" dxfId="12" priority="3" operator="greaterThan">
      <formula>0.8</formula>
    </cfRule>
  </conditionalFormatting>
  <conditionalFormatting sqref="G84:H93">
    <cfRule type="cellIs" dxfId="11" priority="2" operator="greaterThan">
      <formula>0</formula>
    </cfRule>
  </conditionalFormatting>
  <conditionalFormatting sqref="C84:D93">
    <cfRule type="cellIs" dxfId="1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B7D4-2B81-49EE-A5C8-0CD5DD2E5640}">
  <dimension ref="A1:R48"/>
  <sheetViews>
    <sheetView tabSelected="1" topLeftCell="A20" workbookViewId="0">
      <selection activeCell="H37" sqref="H37"/>
    </sheetView>
  </sheetViews>
  <sheetFormatPr baseColWidth="10" defaultRowHeight="14.4" x14ac:dyDescent="0.3"/>
  <cols>
    <col min="8" max="8" width="35.6640625" bestFit="1" customWidth="1"/>
    <col min="9" max="9" width="21.77734375" bestFit="1" customWidth="1"/>
  </cols>
  <sheetData>
    <row r="1" spans="1:13" x14ac:dyDescent="0.3">
      <c r="B1" s="66" t="s">
        <v>231</v>
      </c>
      <c r="C1" s="66" t="s">
        <v>232</v>
      </c>
      <c r="D1" s="66" t="s">
        <v>233</v>
      </c>
      <c r="E1" s="66" t="s">
        <v>234</v>
      </c>
      <c r="F1" s="66" t="s">
        <v>232</v>
      </c>
      <c r="G1" s="66" t="s">
        <v>233</v>
      </c>
      <c r="H1" s="67" t="s">
        <v>234</v>
      </c>
      <c r="I1" s="31" t="s">
        <v>298</v>
      </c>
      <c r="J1" s="31" t="s">
        <v>299</v>
      </c>
      <c r="K1" s="31" t="s">
        <v>300</v>
      </c>
      <c r="L1" s="31" t="s">
        <v>301</v>
      </c>
      <c r="M1" s="31" t="s">
        <v>302</v>
      </c>
    </row>
    <row r="2" spans="1:13" x14ac:dyDescent="0.3">
      <c r="A2" s="85" t="s">
        <v>345</v>
      </c>
      <c r="B2" s="30">
        <v>0.53293413173652693</v>
      </c>
      <c r="C2" s="83">
        <v>0.54545454545454541</v>
      </c>
      <c r="D2" s="30">
        <v>0.49411764705882355</v>
      </c>
      <c r="E2" s="30">
        <v>0.5185185185185186</v>
      </c>
      <c r="F2" s="30">
        <v>0.52222222222222225</v>
      </c>
      <c r="G2" s="30">
        <v>0.57317073170731703</v>
      </c>
      <c r="H2" s="84">
        <v>0.54651162790697683</v>
      </c>
      <c r="I2" s="31">
        <v>15.482849312821189</v>
      </c>
      <c r="J2" s="31">
        <v>2.9792129921884989</v>
      </c>
      <c r="K2" s="31">
        <v>1.0097037464126549E-2</v>
      </c>
      <c r="L2" s="31">
        <v>0.98849661033243663</v>
      </c>
      <c r="M2" s="31">
        <v>0.98751919813846067</v>
      </c>
    </row>
    <row r="3" spans="1:13" x14ac:dyDescent="0.3">
      <c r="A3" s="85" t="s">
        <v>346</v>
      </c>
      <c r="B3" s="30">
        <v>0.51497005988023947</v>
      </c>
      <c r="C3" s="83">
        <v>0.54545454545454541</v>
      </c>
      <c r="D3" s="30">
        <v>0.28235294117647058</v>
      </c>
      <c r="E3" s="30">
        <v>0.37209302325581395</v>
      </c>
      <c r="F3" s="30">
        <v>0.50406504065040647</v>
      </c>
      <c r="G3" s="30">
        <v>0.75609756097560976</v>
      </c>
      <c r="H3" s="84">
        <v>0.60487804878048768</v>
      </c>
      <c r="I3" s="31">
        <v>2552.808029582241</v>
      </c>
      <c r="J3" s="31">
        <v>42.701683351781988</v>
      </c>
      <c r="K3" s="31">
        <v>0.1360043703423848</v>
      </c>
      <c r="L3" s="31">
        <v>-0.89667579380569462</v>
      </c>
      <c r="M3" s="31">
        <v>-1.0578312534101</v>
      </c>
    </row>
    <row r="4" spans="1:13" x14ac:dyDescent="0.3">
      <c r="A4" s="85" t="s">
        <v>347</v>
      </c>
      <c r="B4" s="30">
        <v>0.54491017964071853</v>
      </c>
      <c r="C4" s="83">
        <v>0.65517241379310343</v>
      </c>
      <c r="D4" s="30">
        <v>0.22352941176470589</v>
      </c>
      <c r="E4" s="30">
        <v>0.33333333333333337</v>
      </c>
      <c r="F4" s="30">
        <v>0.52173913043478259</v>
      </c>
      <c r="G4" s="30">
        <v>0.87804878048780488</v>
      </c>
      <c r="H4" s="84">
        <v>0.65454545454545454</v>
      </c>
      <c r="I4" s="31">
        <v>39.452656951216483</v>
      </c>
      <c r="J4" s="31">
        <v>4.8648940518398494</v>
      </c>
      <c r="K4" s="31">
        <v>1.613291589802654E-2</v>
      </c>
      <c r="L4" s="31">
        <v>0.97068761200467635</v>
      </c>
      <c r="M4" s="31">
        <v>0.96819701694625016</v>
      </c>
    </row>
    <row r="5" spans="1:13" x14ac:dyDescent="0.3">
      <c r="A5" s="85" t="s">
        <v>348</v>
      </c>
      <c r="B5" s="30">
        <v>0.58083832335329344</v>
      </c>
      <c r="C5" s="83">
        <v>0.58620689655172409</v>
      </c>
      <c r="D5" s="30">
        <v>0.6</v>
      </c>
      <c r="E5" s="30">
        <v>0.59302325581395354</v>
      </c>
      <c r="F5" s="30">
        <v>0.57499999999999996</v>
      </c>
      <c r="G5" s="30">
        <v>0.56097560975609762</v>
      </c>
      <c r="H5" s="84">
        <v>0.5679012345679012</v>
      </c>
      <c r="I5" s="31">
        <v>52.145460928143613</v>
      </c>
      <c r="J5" s="31">
        <v>5.7320059880239471</v>
      </c>
      <c r="K5" s="31">
        <v>1.930261218914147E-2</v>
      </c>
      <c r="L5" s="31">
        <v>0.96125715982042104</v>
      </c>
      <c r="M5" s="31">
        <v>0.95796528451104501</v>
      </c>
    </row>
    <row r="6" spans="1:13" x14ac:dyDescent="0.3">
      <c r="A6" s="85" t="s">
        <v>349</v>
      </c>
      <c r="B6" s="30">
        <v>0.56886227544910184</v>
      </c>
      <c r="C6" s="83">
        <v>0.57647058823529407</v>
      </c>
      <c r="D6" s="30">
        <v>0.57647058823529407</v>
      </c>
      <c r="E6" s="30">
        <v>0.57647058823529407</v>
      </c>
      <c r="F6" s="30">
        <v>0.56097560975609762</v>
      </c>
      <c r="G6" s="30">
        <v>0.56097560975609762</v>
      </c>
      <c r="H6" s="84">
        <v>0.56097560975609762</v>
      </c>
      <c r="I6" s="31">
        <v>51.519941916167568</v>
      </c>
      <c r="J6" s="31">
        <v>5.7266467065868198</v>
      </c>
      <c r="K6" s="31">
        <v>1.9330645683853322E-2</v>
      </c>
      <c r="L6" s="31">
        <v>0.96172190560421367</v>
      </c>
      <c r="M6" s="31">
        <v>0.95846951849868933</v>
      </c>
    </row>
    <row r="9" spans="1:13" x14ac:dyDescent="0.3">
      <c r="B9" s="85" t="s">
        <v>345</v>
      </c>
      <c r="C9" s="85" t="s">
        <v>346</v>
      </c>
      <c r="D9" s="85" t="s">
        <v>347</v>
      </c>
      <c r="E9" s="85" t="s">
        <v>348</v>
      </c>
      <c r="F9" s="85" t="s">
        <v>349</v>
      </c>
      <c r="I9" s="31" t="s">
        <v>298</v>
      </c>
      <c r="J9" s="31" t="s">
        <v>299</v>
      </c>
      <c r="K9" s="31" t="s">
        <v>300</v>
      </c>
      <c r="L9" s="31" t="s">
        <v>301</v>
      </c>
      <c r="M9" s="31" t="s">
        <v>302</v>
      </c>
    </row>
    <row r="10" spans="1:13" x14ac:dyDescent="0.3">
      <c r="A10" s="66" t="s">
        <v>231</v>
      </c>
      <c r="B10" s="30">
        <v>0.53293413173652693</v>
      </c>
      <c r="C10" s="30">
        <v>0.51497005988023947</v>
      </c>
      <c r="D10" s="30">
        <v>0.54491017964071853</v>
      </c>
      <c r="E10" s="30">
        <v>0.58083832335329344</v>
      </c>
      <c r="F10" s="30">
        <v>0.56886227544910184</v>
      </c>
      <c r="H10" s="85" t="s">
        <v>345</v>
      </c>
      <c r="I10" s="69">
        <v>15.482849312821189</v>
      </c>
      <c r="J10" s="69">
        <v>2.9792129921884989</v>
      </c>
      <c r="K10" s="87">
        <v>1.0097037464126549E-2</v>
      </c>
      <c r="L10" s="86">
        <v>0.98849661033243663</v>
      </c>
      <c r="M10" s="86">
        <v>0.98751919813846067</v>
      </c>
    </row>
    <row r="11" spans="1:13" x14ac:dyDescent="0.3">
      <c r="A11" s="66" t="s">
        <v>232</v>
      </c>
      <c r="B11" s="83">
        <v>0.54545454545454541</v>
      </c>
      <c r="C11" s="83">
        <v>0.54545454545454541</v>
      </c>
      <c r="D11" s="83">
        <v>0.65517241379310343</v>
      </c>
      <c r="E11" s="83">
        <v>0.58620689655172409</v>
      </c>
      <c r="F11" s="83">
        <v>0.57647058823529407</v>
      </c>
      <c r="H11" s="85" t="s">
        <v>346</v>
      </c>
      <c r="I11" s="69">
        <v>2552.808029582241</v>
      </c>
      <c r="J11" s="69">
        <v>42.701683351781988</v>
      </c>
      <c r="K11" s="87">
        <v>0.1360043703423848</v>
      </c>
      <c r="L11" s="86">
        <v>-0.89667579380569462</v>
      </c>
      <c r="M11" s="86">
        <v>-1.0578312534101</v>
      </c>
    </row>
    <row r="12" spans="1:13" x14ac:dyDescent="0.3">
      <c r="A12" s="66" t="s">
        <v>233</v>
      </c>
      <c r="B12" s="30">
        <v>0.49411764705882355</v>
      </c>
      <c r="C12" s="30">
        <v>0.28235294117647058</v>
      </c>
      <c r="D12" s="30">
        <v>0.22352941176470589</v>
      </c>
      <c r="E12" s="30">
        <v>0.6</v>
      </c>
      <c r="F12" s="30">
        <v>0.57647058823529407</v>
      </c>
      <c r="H12" s="85" t="s">
        <v>347</v>
      </c>
      <c r="I12" s="69">
        <v>39.452656951216483</v>
      </c>
      <c r="J12" s="69">
        <v>4.8648940518398494</v>
      </c>
      <c r="K12" s="87">
        <v>1.613291589802654E-2</v>
      </c>
      <c r="L12" s="86">
        <v>0.97068761200467635</v>
      </c>
      <c r="M12" s="86">
        <v>0.96819701694625016</v>
      </c>
    </row>
    <row r="13" spans="1:13" x14ac:dyDescent="0.3">
      <c r="A13" s="66" t="s">
        <v>234</v>
      </c>
      <c r="B13" s="30">
        <v>0.5185185185185186</v>
      </c>
      <c r="C13" s="30">
        <v>0.37209302325581395</v>
      </c>
      <c r="D13" s="30">
        <v>0.33333333333333337</v>
      </c>
      <c r="E13" s="30">
        <v>0.59302325581395354</v>
      </c>
      <c r="F13" s="30">
        <v>0.57647058823529407</v>
      </c>
      <c r="H13" s="85" t="s">
        <v>348</v>
      </c>
      <c r="I13" s="69">
        <v>52.145460928143613</v>
      </c>
      <c r="J13" s="69">
        <v>5.7320059880239471</v>
      </c>
      <c r="K13" s="87">
        <v>1.930261218914147E-2</v>
      </c>
      <c r="L13" s="86">
        <v>0.96125715982042104</v>
      </c>
      <c r="M13" s="86">
        <v>0.95796528451104501</v>
      </c>
    </row>
    <row r="14" spans="1:13" x14ac:dyDescent="0.3">
      <c r="A14" s="66" t="s">
        <v>232</v>
      </c>
      <c r="B14" s="30">
        <v>0.52222222222222225</v>
      </c>
      <c r="C14" s="30">
        <v>0.50406504065040647</v>
      </c>
      <c r="D14" s="30">
        <v>0.52173913043478259</v>
      </c>
      <c r="E14" s="30">
        <v>0.57499999999999996</v>
      </c>
      <c r="F14" s="30">
        <v>0.56097560975609762</v>
      </c>
      <c r="H14" s="85" t="s">
        <v>349</v>
      </c>
      <c r="I14" s="69">
        <v>51.519941916167568</v>
      </c>
      <c r="J14" s="69">
        <v>5.7266467065868198</v>
      </c>
      <c r="K14" s="87">
        <v>1.9330645683853322E-2</v>
      </c>
      <c r="L14" s="86">
        <v>0.96172190560421367</v>
      </c>
      <c r="M14" s="86">
        <v>0.95846951849868933</v>
      </c>
    </row>
    <row r="15" spans="1:13" x14ac:dyDescent="0.3">
      <c r="A15" s="66" t="s">
        <v>233</v>
      </c>
      <c r="B15" s="30">
        <v>0.57317073170731703</v>
      </c>
      <c r="C15" s="30">
        <v>0.75609756097560976</v>
      </c>
      <c r="D15" s="30">
        <v>0.87804878048780488</v>
      </c>
      <c r="E15" s="30">
        <v>0.56097560975609762</v>
      </c>
      <c r="F15" s="30">
        <v>0.56097560975609762</v>
      </c>
    </row>
    <row r="16" spans="1:13" x14ac:dyDescent="0.3">
      <c r="A16" s="67" t="s">
        <v>234</v>
      </c>
      <c r="B16" s="84">
        <v>0.54651162790697683</v>
      </c>
      <c r="C16" s="84">
        <v>0.60487804878048768</v>
      </c>
      <c r="D16" s="84">
        <v>0.65454545454545454</v>
      </c>
      <c r="E16" s="84">
        <v>0.5679012345679012</v>
      </c>
      <c r="F16" s="84">
        <v>0.56097560975609762</v>
      </c>
    </row>
    <row r="18" spans="1:18" x14ac:dyDescent="0.3">
      <c r="A18" s="106" t="s">
        <v>219</v>
      </c>
      <c r="B18" t="s">
        <v>298</v>
      </c>
      <c r="C18" t="s">
        <v>299</v>
      </c>
      <c r="D18" t="s">
        <v>300</v>
      </c>
      <c r="E18" t="s">
        <v>301</v>
      </c>
      <c r="F18" t="s">
        <v>302</v>
      </c>
    </row>
    <row r="19" spans="1:18" x14ac:dyDescent="0.3">
      <c r="A19" s="106" t="s">
        <v>351</v>
      </c>
      <c r="B19" s="22">
        <v>21.571940888042729</v>
      </c>
      <c r="C19" s="22">
        <v>42.069775697236778</v>
      </c>
      <c r="D19" s="107">
        <v>0.14633192612907589</v>
      </c>
      <c r="E19" s="98">
        <v>0.98397255977197251</v>
      </c>
      <c r="F19" s="98">
        <v>0.98337153076342143</v>
      </c>
      <c r="J19" s="4">
        <v>7.5542759673703747E-2</v>
      </c>
      <c r="K19" s="4">
        <v>6.5189197758371439E-2</v>
      </c>
      <c r="L19" s="4">
        <v>-0.25479724032629658</v>
      </c>
      <c r="M19" s="4">
        <v>-0.23736072212083639</v>
      </c>
      <c r="N19" s="4">
        <v>0.54357950765136398</v>
      </c>
      <c r="O19" s="4">
        <v>0.57047969866729631</v>
      </c>
      <c r="P19" s="102">
        <v>0.93697226336484629</v>
      </c>
      <c r="Q19" t="s">
        <v>367</v>
      </c>
      <c r="R19" s="67"/>
    </row>
    <row r="20" spans="1:18" x14ac:dyDescent="0.3">
      <c r="A20" s="106" t="s">
        <v>352</v>
      </c>
      <c r="B20" s="22">
        <v>368.00966738785729</v>
      </c>
      <c r="C20" s="22">
        <v>13.51775719247774</v>
      </c>
      <c r="D20" s="107">
        <v>4.4213442023296398E-2</v>
      </c>
      <c r="E20" s="98">
        <v>0.72657754914095185</v>
      </c>
      <c r="F20" s="98">
        <v>0.71632420723373746</v>
      </c>
      <c r="I20" t="s">
        <v>395</v>
      </c>
      <c r="J20" t="s">
        <v>390</v>
      </c>
      <c r="K20" t="s">
        <v>393</v>
      </c>
      <c r="L20" t="s">
        <v>391</v>
      </c>
      <c r="M20" t="s">
        <v>392</v>
      </c>
      <c r="N20" t="s">
        <v>231</v>
      </c>
      <c r="O20" t="s">
        <v>394</v>
      </c>
      <c r="P20" t="s">
        <v>301</v>
      </c>
    </row>
    <row r="21" spans="1:18" x14ac:dyDescent="0.3">
      <c r="A21" s="106" t="s">
        <v>215</v>
      </c>
      <c r="B21" s="22">
        <v>61.366278189549632</v>
      </c>
      <c r="C21" s="22">
        <v>6.2725233147746806</v>
      </c>
      <c r="D21" s="107">
        <v>2.0919465295241621E-2</v>
      </c>
      <c r="E21" s="98">
        <v>0.95440631138366006</v>
      </c>
      <c r="F21" s="98">
        <v>0.95269654806054727</v>
      </c>
      <c r="I21">
        <v>1</v>
      </c>
      <c r="J21" s="4">
        <v>8.2586425674086757E-3</v>
      </c>
      <c r="K21" s="4">
        <v>2.8220849779329706E-3</v>
      </c>
      <c r="L21" s="4">
        <v>-0.32208135743259153</v>
      </c>
      <c r="M21" s="4">
        <v>-0.28236176015611081</v>
      </c>
      <c r="N21" s="4">
        <v>0.52215568862275452</v>
      </c>
      <c r="O21" s="4">
        <v>0.57862368426573296</v>
      </c>
      <c r="P21" s="102">
        <v>0.92093119542745827</v>
      </c>
      <c r="Q21" t="s">
        <v>368</v>
      </c>
    </row>
    <row r="22" spans="1:18" x14ac:dyDescent="0.3">
      <c r="A22" s="106" t="s">
        <v>353</v>
      </c>
      <c r="B22" s="22">
        <v>54.450883982035933</v>
      </c>
      <c r="C22" s="22">
        <v>5.63865269461078</v>
      </c>
      <c r="D22" s="107">
        <v>1.925740714730809E-2</v>
      </c>
      <c r="E22" s="98">
        <v>0.95954428519368506</v>
      </c>
      <c r="F22" s="98">
        <v>0.9580271958884482</v>
      </c>
      <c r="I22">
        <v>2</v>
      </c>
      <c r="J22" s="4">
        <v>-2.023069112638512E-3</v>
      </c>
      <c r="K22" s="4">
        <v>-9.754812337455631E-3</v>
      </c>
      <c r="L22" s="4">
        <v>-0.33236306911263869</v>
      </c>
      <c r="M22" s="4">
        <v>-0.29157017053885037</v>
      </c>
      <c r="N22" s="4">
        <v>0.51976047904191625</v>
      </c>
      <c r="O22" s="4">
        <v>0.57594069808695214</v>
      </c>
      <c r="P22" s="102">
        <v>0.92028911714831396</v>
      </c>
      <c r="Q22" t="s">
        <v>383</v>
      </c>
    </row>
    <row r="23" spans="1:18" x14ac:dyDescent="0.3">
      <c r="A23" s="106" t="s">
        <v>354</v>
      </c>
      <c r="B23" s="22">
        <v>75.016356586826348</v>
      </c>
      <c r="C23" s="22">
        <v>6.7559281437125733</v>
      </c>
      <c r="D23" s="107">
        <v>2.3365897401869271E-2</v>
      </c>
      <c r="E23" s="98">
        <v>0.94426462701897185</v>
      </c>
      <c r="F23" s="98">
        <v>0.94217455053218324</v>
      </c>
      <c r="I23">
        <v>3</v>
      </c>
      <c r="J23" s="4">
        <v>-8.1614278150970963E-3</v>
      </c>
      <c r="K23" s="4">
        <v>-1.6496232657269926E-2</v>
      </c>
      <c r="L23" s="4">
        <v>-0.33850142781509723</v>
      </c>
      <c r="M23" s="4">
        <v>-0.2964145435139931</v>
      </c>
      <c r="N23" s="4">
        <v>0.51976047904191613</v>
      </c>
      <c r="O23" s="4">
        <v>0.57592396961788617</v>
      </c>
      <c r="P23" s="102">
        <v>0.91580683373162008</v>
      </c>
      <c r="Q23" t="s">
        <v>384</v>
      </c>
    </row>
    <row r="24" spans="1:18" x14ac:dyDescent="0.3">
      <c r="B24" s="22"/>
      <c r="F24" s="98"/>
      <c r="I24">
        <v>4</v>
      </c>
      <c r="J24" s="4">
        <v>-1.7139546266841582E-2</v>
      </c>
      <c r="K24" s="4">
        <v>-2.915717095568373E-2</v>
      </c>
      <c r="L24" s="4">
        <v>-0.34747954626684174</v>
      </c>
      <c r="M24" s="4">
        <v>-0.3056253218252013</v>
      </c>
      <c r="N24" s="4">
        <v>0.51916167664670654</v>
      </c>
      <c r="O24" s="4">
        <v>0.59902431036199011</v>
      </c>
      <c r="P24" s="102">
        <v>0.82357435881471841</v>
      </c>
      <c r="Q24" t="s">
        <v>365</v>
      </c>
    </row>
    <row r="25" spans="1:18" x14ac:dyDescent="0.3">
      <c r="I25">
        <v>5</v>
      </c>
      <c r="J25" s="4">
        <v>-2.7726333166084194E-2</v>
      </c>
      <c r="K25" s="4">
        <v>-4.0142310385964212E-2</v>
      </c>
      <c r="L25" s="4">
        <v>-0.35806633316608433</v>
      </c>
      <c r="M25" s="4">
        <v>-0.3136190205242117</v>
      </c>
      <c r="N25" s="4">
        <v>0.51976047904191613</v>
      </c>
      <c r="O25" s="4">
        <v>0.60001209703315417</v>
      </c>
      <c r="P25" s="102">
        <v>0.81865152009569364</v>
      </c>
      <c r="Q25" t="s">
        <v>366</v>
      </c>
    </row>
    <row r="26" spans="1:18" x14ac:dyDescent="0.3">
      <c r="A26" s="106" t="s">
        <v>396</v>
      </c>
      <c r="B26" s="106" t="s">
        <v>351</v>
      </c>
      <c r="C26" s="106" t="s">
        <v>352</v>
      </c>
      <c r="D26" s="106" t="s">
        <v>215</v>
      </c>
      <c r="E26" s="106" t="s">
        <v>353</v>
      </c>
      <c r="F26" s="106" t="s">
        <v>354</v>
      </c>
      <c r="I26">
        <v>6</v>
      </c>
      <c r="J26" s="4">
        <v>3.7194659439495569E-3</v>
      </c>
      <c r="K26" s="4">
        <v>-6.2204745794074284E-3</v>
      </c>
      <c r="L26" s="4">
        <v>-0.32662053405605063</v>
      </c>
      <c r="M26" s="4">
        <v>-0.28901411779338992</v>
      </c>
      <c r="N26" s="4">
        <v>0.52275449101796401</v>
      </c>
      <c r="O26" s="4">
        <v>0.60148229407843146</v>
      </c>
      <c r="P26" s="102">
        <v>0.82062933966156171</v>
      </c>
      <c r="Q26" t="s">
        <v>364</v>
      </c>
    </row>
    <row r="27" spans="1:18" x14ac:dyDescent="0.3">
      <c r="A27" s="110" t="s">
        <v>231</v>
      </c>
      <c r="B27" s="116">
        <v>0.6227544910179641</v>
      </c>
      <c r="C27" s="116">
        <v>0.52095808383233533</v>
      </c>
      <c r="D27" s="116">
        <v>0.52095808383233533</v>
      </c>
      <c r="E27" s="116">
        <v>0.58083832335329344</v>
      </c>
      <c r="F27" s="116">
        <v>0.59880239520958078</v>
      </c>
      <c r="G27" s="4"/>
      <c r="H27" s="4"/>
      <c r="I27">
        <v>7</v>
      </c>
      <c r="J27" s="4">
        <v>6.3117380673495621E-2</v>
      </c>
      <c r="K27" s="4">
        <v>5.2206183280268895E-2</v>
      </c>
      <c r="L27" s="4">
        <v>-0.26722261932650471</v>
      </c>
      <c r="M27" s="4">
        <v>-0.24687180225489741</v>
      </c>
      <c r="N27" s="4">
        <v>0.5365269461077844</v>
      </c>
      <c r="O27" s="4">
        <v>0.57795000199804047</v>
      </c>
      <c r="P27" s="102">
        <v>0.97678598822551899</v>
      </c>
      <c r="Q27" t="s">
        <v>376</v>
      </c>
    </row>
    <row r="28" spans="1:18" x14ac:dyDescent="0.3">
      <c r="A28" s="110" t="s">
        <v>399</v>
      </c>
      <c r="B28" s="117">
        <v>0.62790697674418605</v>
      </c>
      <c r="C28" s="117">
        <v>0.52631578947368418</v>
      </c>
      <c r="D28" s="117">
        <v>0.59259259259259256</v>
      </c>
      <c r="E28" s="117">
        <v>0.6</v>
      </c>
      <c r="F28" s="117">
        <v>0.61842105263157898</v>
      </c>
      <c r="I28">
        <v>8</v>
      </c>
      <c r="J28" s="4">
        <v>6.4718742751785532E-2</v>
      </c>
      <c r="K28" s="4">
        <v>5.3896706624209742E-2</v>
      </c>
      <c r="L28" s="4">
        <v>-0.26562125724821473</v>
      </c>
      <c r="M28" s="4">
        <v>-0.24565986229692244</v>
      </c>
      <c r="N28" s="4">
        <v>0.5353293413173652</v>
      </c>
      <c r="O28" s="4">
        <v>0.5764165745630061</v>
      </c>
      <c r="P28" s="102">
        <v>0.97626354049967623</v>
      </c>
      <c r="Q28" t="s">
        <v>377</v>
      </c>
    </row>
    <row r="29" spans="1:18" x14ac:dyDescent="0.3">
      <c r="A29" s="110" t="s">
        <v>400</v>
      </c>
      <c r="B29" s="118">
        <v>0.63529411764705879</v>
      </c>
      <c r="C29" s="118">
        <v>0.58823529411764708</v>
      </c>
      <c r="D29" s="118">
        <v>0.18823529411764706</v>
      </c>
      <c r="E29" s="118">
        <v>0.52941176470588236</v>
      </c>
      <c r="F29" s="118">
        <v>0.55294117647058827</v>
      </c>
      <c r="I29">
        <v>9</v>
      </c>
      <c r="J29" s="4">
        <v>6.536485196061953E-2</v>
      </c>
      <c r="K29" s="4">
        <v>5.4871443082093907E-2</v>
      </c>
      <c r="L29" s="4">
        <v>-0.26497514803938083</v>
      </c>
      <c r="M29" s="4">
        <v>-0.24501115519398547</v>
      </c>
      <c r="N29" s="4">
        <v>0.53970059880239518</v>
      </c>
      <c r="O29" s="4">
        <v>0.57946365078154383</v>
      </c>
      <c r="P29" s="102">
        <v>0.97551487011447047</v>
      </c>
      <c r="Q29" t="s">
        <v>378</v>
      </c>
    </row>
    <row r="30" spans="1:18" x14ac:dyDescent="0.3">
      <c r="A30" s="110" t="s">
        <v>401</v>
      </c>
      <c r="B30" s="119">
        <v>0.63157894736842102</v>
      </c>
      <c r="C30" s="119">
        <v>0.55555555555555547</v>
      </c>
      <c r="D30" s="119">
        <v>0.2857142857142857</v>
      </c>
      <c r="E30" s="119">
        <v>0.5625</v>
      </c>
      <c r="F30" s="119">
        <v>0.58385093167701863</v>
      </c>
      <c r="G30" s="34"/>
      <c r="I30" s="74">
        <v>10</v>
      </c>
      <c r="J30" s="108">
        <v>0.15171256254909146</v>
      </c>
      <c r="K30" s="108">
        <v>0.15021661461292904</v>
      </c>
      <c r="L30" s="108">
        <v>-0.1786274374509087</v>
      </c>
      <c r="M30" s="109">
        <v>-0.17577200595700021</v>
      </c>
      <c r="N30">
        <v>0.54431137724550904</v>
      </c>
      <c r="O30">
        <v>0.57707325612405058</v>
      </c>
      <c r="P30">
        <v>0.91193835207963525</v>
      </c>
    </row>
    <row r="31" spans="1:18" x14ac:dyDescent="0.3">
      <c r="A31" s="110" t="s">
        <v>402</v>
      </c>
      <c r="B31" s="118">
        <v>0.61728395061728392</v>
      </c>
      <c r="C31" s="118">
        <v>0.51388888888888884</v>
      </c>
      <c r="D31" s="118">
        <v>0.50714285714285712</v>
      </c>
      <c r="E31" s="118">
        <v>0.56521739130434778</v>
      </c>
      <c r="F31" s="118">
        <v>0.58241758241758246</v>
      </c>
      <c r="G31" s="64"/>
      <c r="I31">
        <v>11</v>
      </c>
      <c r="J31" s="4">
        <v>0.25668640485841038</v>
      </c>
      <c r="K31" s="4">
        <v>0.29207052021849278</v>
      </c>
      <c r="L31" s="4">
        <v>-7.3653595141589853E-2</v>
      </c>
      <c r="M31" s="4">
        <v>-7.3155701927512334E-2</v>
      </c>
      <c r="N31" s="4">
        <v>0.57125748502994012</v>
      </c>
      <c r="O31" s="4">
        <v>0.60085745642104305</v>
      </c>
      <c r="P31" s="102">
        <v>0.90260487048653859</v>
      </c>
      <c r="Q31" t="s">
        <v>397</v>
      </c>
    </row>
    <row r="32" spans="1:18" x14ac:dyDescent="0.3">
      <c r="A32" s="110" t="s">
        <v>403</v>
      </c>
      <c r="B32" s="118">
        <v>0.6097560975609756</v>
      </c>
      <c r="C32" s="118">
        <v>0.45121951219512196</v>
      </c>
      <c r="D32" s="118">
        <v>0.86585365853658536</v>
      </c>
      <c r="E32" s="118">
        <v>0.63414634146341464</v>
      </c>
      <c r="F32" s="118">
        <v>0.64634146341463417</v>
      </c>
      <c r="G32" s="4"/>
      <c r="H32" s="4"/>
      <c r="I32">
        <v>12</v>
      </c>
      <c r="J32" s="4">
        <v>0.24803341501126591</v>
      </c>
      <c r="K32" s="4">
        <v>0.27893814371553616</v>
      </c>
      <c r="L32" s="4">
        <v>-8.2306584988734222E-2</v>
      </c>
      <c r="M32" s="4">
        <v>-8.2736933275576546E-2</v>
      </c>
      <c r="N32" s="4">
        <v>0.56946107784431133</v>
      </c>
      <c r="O32" s="4">
        <v>0.60006779551845235</v>
      </c>
      <c r="P32" s="102">
        <v>0.90249592654981803</v>
      </c>
      <c r="Q32" t="s">
        <v>398</v>
      </c>
    </row>
    <row r="33" spans="1:17" x14ac:dyDescent="0.3">
      <c r="A33" s="111" t="s">
        <v>404</v>
      </c>
      <c r="B33" s="118">
        <v>0.61349693251533743</v>
      </c>
      <c r="C33" s="118">
        <v>0.48051948051948051</v>
      </c>
      <c r="D33" s="118">
        <v>0.63963963963963966</v>
      </c>
      <c r="E33" s="118">
        <v>0.59770114942528729</v>
      </c>
      <c r="F33" s="118">
        <v>0.61271676300578037</v>
      </c>
      <c r="I33">
        <v>13</v>
      </c>
      <c r="J33" s="4">
        <v>0.16455517508930406</v>
      </c>
      <c r="K33" s="4">
        <v>0.16646866299350421</v>
      </c>
      <c r="L33" s="4">
        <v>-0.1657848249106961</v>
      </c>
      <c r="M33" s="4">
        <v>-0.16407417546196323</v>
      </c>
      <c r="N33" s="4">
        <v>0.54071856287425157</v>
      </c>
      <c r="O33" s="4">
        <v>0.56919198239321811</v>
      </c>
      <c r="P33" s="102">
        <v>0.91258326988644567</v>
      </c>
      <c r="Q33" t="s">
        <v>369</v>
      </c>
    </row>
    <row r="34" spans="1:17" x14ac:dyDescent="0.3">
      <c r="I34">
        <v>14</v>
      </c>
      <c r="J34" s="4">
        <v>0.10746282365856126</v>
      </c>
      <c r="K34" s="4">
        <v>0.10312609687211818</v>
      </c>
      <c r="L34" s="4">
        <v>-0.222877176341439</v>
      </c>
      <c r="M34" s="4">
        <v>-0.20978344113109704</v>
      </c>
      <c r="N34" s="4">
        <v>0.54491017964071853</v>
      </c>
      <c r="O34" s="4">
        <v>0.57578760838817444</v>
      </c>
      <c r="P34" s="102">
        <v>0.92595495912265091</v>
      </c>
      <c r="Q34" t="s">
        <v>380</v>
      </c>
    </row>
    <row r="35" spans="1:17" x14ac:dyDescent="0.3">
      <c r="A35" s="112"/>
      <c r="B35" s="113" t="s">
        <v>212</v>
      </c>
      <c r="C35" s="113" t="s">
        <v>198</v>
      </c>
      <c r="D35" s="113" t="s">
        <v>9</v>
      </c>
      <c r="E35" s="113" t="s">
        <v>10</v>
      </c>
      <c r="I35">
        <v>15</v>
      </c>
      <c r="J35" s="4">
        <v>7.4583294099322753E-2</v>
      </c>
      <c r="K35" s="4">
        <v>6.7462473290687427E-2</v>
      </c>
      <c r="L35" s="4">
        <v>-0.25575670590067756</v>
      </c>
      <c r="M35" s="4">
        <v>-0.23559913187339143</v>
      </c>
      <c r="N35" s="4">
        <v>0.54011976047904198</v>
      </c>
      <c r="O35" s="4">
        <v>0.57113634755697285</v>
      </c>
      <c r="P35" s="102">
        <v>0.92609045833580705</v>
      </c>
      <c r="Q35" t="s">
        <v>381</v>
      </c>
    </row>
    <row r="36" spans="1:17" x14ac:dyDescent="0.3">
      <c r="A36" s="114" t="s">
        <v>351</v>
      </c>
      <c r="B36" s="112">
        <v>0</v>
      </c>
      <c r="C36" s="112">
        <v>0</v>
      </c>
      <c r="D36" s="115">
        <v>0.34128910331000051</v>
      </c>
      <c r="E36" s="115">
        <v>0.38708358673024368</v>
      </c>
      <c r="I36">
        <v>16</v>
      </c>
      <c r="J36" s="4">
        <v>0.10312570912696802</v>
      </c>
      <c r="K36" s="4">
        <v>9.9364623139277269E-2</v>
      </c>
      <c r="L36" s="4">
        <v>-0.2272142908730323</v>
      </c>
      <c r="M36" s="4">
        <v>-0.21244403459998445</v>
      </c>
      <c r="N36" s="4">
        <v>0.54491017964071853</v>
      </c>
      <c r="O36" s="4">
        <v>0.57579432972168709</v>
      </c>
      <c r="P36" s="102">
        <v>0.92521637703011539</v>
      </c>
      <c r="Q36" t="s">
        <v>379</v>
      </c>
    </row>
    <row r="37" spans="1:17" x14ac:dyDescent="0.3">
      <c r="A37" s="114" t="s">
        <v>352</v>
      </c>
      <c r="B37" s="112">
        <v>0</v>
      </c>
      <c r="C37" s="112">
        <v>0</v>
      </c>
      <c r="D37" s="115">
        <v>0.2072798803795346</v>
      </c>
      <c r="E37" s="115">
        <v>0.21388101049301433</v>
      </c>
      <c r="I37">
        <v>17</v>
      </c>
      <c r="J37" s="4">
        <v>8.9152200245381313E-2</v>
      </c>
      <c r="K37" s="4">
        <v>8.3094148906646598E-2</v>
      </c>
      <c r="L37" s="4">
        <v>-0.24118779975461896</v>
      </c>
      <c r="M37" s="4">
        <v>-0.22448328072705476</v>
      </c>
      <c r="N37" s="4">
        <v>0.5371257485029941</v>
      </c>
      <c r="O37" s="4">
        <v>0.57015729448081554</v>
      </c>
      <c r="P37" s="102">
        <v>0.92471643244409607</v>
      </c>
      <c r="Q37" t="s">
        <v>387</v>
      </c>
    </row>
    <row r="38" spans="1:17" x14ac:dyDescent="0.3">
      <c r="A38" s="114" t="s">
        <v>215</v>
      </c>
      <c r="B38" s="112">
        <v>0</v>
      </c>
      <c r="C38" s="112">
        <v>0</v>
      </c>
      <c r="D38" s="115">
        <v>-3.8553986391879007E-2</v>
      </c>
      <c r="E38" s="115">
        <v>-5.2783971993002485E-2</v>
      </c>
      <c r="I38">
        <v>18</v>
      </c>
      <c r="J38" s="4">
        <v>5.943482233949917E-2</v>
      </c>
      <c r="K38" s="4">
        <v>5.0650041130621735E-2</v>
      </c>
      <c r="L38" s="4">
        <v>-0.27090517766050093</v>
      </c>
      <c r="M38" s="4">
        <v>-0.24783268418766041</v>
      </c>
      <c r="N38" s="4">
        <v>0.52455089820359269</v>
      </c>
      <c r="O38" s="4">
        <v>0.54769682195617553</v>
      </c>
      <c r="P38" s="102">
        <v>0.92803213882168034</v>
      </c>
      <c r="Q38" t="s">
        <v>388</v>
      </c>
    </row>
    <row r="39" spans="1:17" x14ac:dyDescent="0.3">
      <c r="A39" s="114" t="s">
        <v>353</v>
      </c>
      <c r="B39" s="112">
        <v>0</v>
      </c>
      <c r="C39" s="112">
        <v>0</v>
      </c>
      <c r="D39" s="115">
        <v>0.42032330030044834</v>
      </c>
      <c r="E39" s="115">
        <v>0.50235623897769222</v>
      </c>
      <c r="I39">
        <v>19</v>
      </c>
      <c r="J39" s="4">
        <v>0.17005863421340775</v>
      </c>
      <c r="K39" s="4">
        <v>0.18080656284728672</v>
      </c>
      <c r="L39" s="4">
        <v>-0.16028136578659236</v>
      </c>
      <c r="M39" s="4">
        <v>-0.15372659301938085</v>
      </c>
      <c r="N39" s="4">
        <v>0.54071856287425146</v>
      </c>
      <c r="O39" s="4">
        <v>0.58500083491260335</v>
      </c>
      <c r="P39" s="102">
        <v>0.96103849370112726</v>
      </c>
    </row>
    <row r="40" spans="1:17" x14ac:dyDescent="0.3">
      <c r="A40" s="114" t="s">
        <v>354</v>
      </c>
      <c r="B40" s="112">
        <v>0</v>
      </c>
      <c r="C40" s="112">
        <v>0</v>
      </c>
      <c r="D40" s="115">
        <v>0.45822411085487663</v>
      </c>
      <c r="E40" s="115">
        <v>0.56075228262529886</v>
      </c>
      <c r="I40">
        <v>20</v>
      </c>
      <c r="J40" s="4">
        <v>0.16654455229184878</v>
      </c>
      <c r="K40" s="4">
        <v>0.17592864732118074</v>
      </c>
      <c r="L40" s="4">
        <v>-0.16379544770815138</v>
      </c>
      <c r="M40" s="4">
        <v>-0.15722208862005277</v>
      </c>
      <c r="N40" s="4">
        <v>0.5371257485029941</v>
      </c>
      <c r="O40" s="4">
        <v>0.58182623782002241</v>
      </c>
      <c r="P40" s="102">
        <v>0.96065682850037748</v>
      </c>
    </row>
    <row r="41" spans="1:17" x14ac:dyDescent="0.3">
      <c r="B41" s="4"/>
      <c r="C41" s="4"/>
      <c r="D41" s="4"/>
      <c r="E41" s="4"/>
      <c r="F41" s="4"/>
      <c r="G41" s="4"/>
      <c r="I41">
        <v>21</v>
      </c>
      <c r="J41" s="4">
        <v>0.15717188117388523</v>
      </c>
      <c r="K41" s="4">
        <v>0.16284183158286339</v>
      </c>
      <c r="L41" s="4">
        <v>-0.17316811882611491</v>
      </c>
      <c r="M41" s="4">
        <v>-0.16676448883661321</v>
      </c>
      <c r="N41" s="4">
        <v>0.53413173652694612</v>
      </c>
      <c r="O41" s="4">
        <v>0.5771310078786126</v>
      </c>
      <c r="P41" s="102">
        <v>0.96092017242272365</v>
      </c>
    </row>
    <row r="42" spans="1:17" x14ac:dyDescent="0.3">
      <c r="B42" s="70" t="s">
        <v>212</v>
      </c>
      <c r="C42" s="61" t="s">
        <v>198</v>
      </c>
      <c r="D42" s="61" t="s">
        <v>9</v>
      </c>
      <c r="E42" s="71" t="s">
        <v>10</v>
      </c>
    </row>
    <row r="43" spans="1:17" x14ac:dyDescent="0.3">
      <c r="A43" s="106" t="s">
        <v>351</v>
      </c>
      <c r="B43">
        <v>6</v>
      </c>
      <c r="C43" s="63">
        <v>1.9300000000000001E-3</v>
      </c>
      <c r="D43" s="90">
        <v>1.0949103310000501E-2</v>
      </c>
      <c r="E43" s="34">
        <v>-5.0820484591374403E-3</v>
      </c>
    </row>
    <row r="44" spans="1:17" x14ac:dyDescent="0.3">
      <c r="A44" s="106" t="s">
        <v>352</v>
      </c>
      <c r="B44">
        <v>6</v>
      </c>
      <c r="C44" s="63">
        <v>1.9300000000000001E-3</v>
      </c>
      <c r="D44" s="90">
        <v>-0.12306011962046556</v>
      </c>
      <c r="E44" s="34">
        <v>-0.12892508702243402</v>
      </c>
    </row>
    <row r="45" spans="1:17" x14ac:dyDescent="0.3">
      <c r="A45" s="106" t="s">
        <v>215</v>
      </c>
      <c r="B45">
        <v>6</v>
      </c>
      <c r="C45" s="63">
        <v>1.9300000000000001E-3</v>
      </c>
      <c r="D45" s="90">
        <v>-0.36889398639187865</v>
      </c>
      <c r="E45" s="34">
        <v>-0.32268475936688934</v>
      </c>
    </row>
    <row r="46" spans="1:17" x14ac:dyDescent="0.3">
      <c r="A46" s="106" t="s">
        <v>353</v>
      </c>
      <c r="B46">
        <v>6</v>
      </c>
      <c r="C46" s="63">
        <v>1.9300000000000001E-3</v>
      </c>
      <c r="D46" s="90">
        <v>8.9983300300448321E-2</v>
      </c>
      <c r="E46" s="34">
        <v>7.894907786837474E-2</v>
      </c>
    </row>
    <row r="47" spans="1:17" x14ac:dyDescent="0.3">
      <c r="A47" s="106" t="s">
        <v>354</v>
      </c>
      <c r="B47">
        <v>6</v>
      </c>
      <c r="C47" s="63">
        <v>1.9300000000000001E-3</v>
      </c>
      <c r="D47" s="90">
        <v>0.12788411085487605</v>
      </c>
      <c r="E47" s="34">
        <v>0.12133504964882173</v>
      </c>
    </row>
    <row r="48" spans="1:17" x14ac:dyDescent="0.3">
      <c r="C48" s="63"/>
      <c r="D48" s="90"/>
      <c r="E48" s="34"/>
      <c r="I48" s="34"/>
      <c r="J48" s="34"/>
    </row>
  </sheetData>
  <conditionalFormatting sqref="M2:M6">
    <cfRule type="cellIs" dxfId="9" priority="12" operator="lessThan">
      <formula>0</formula>
    </cfRule>
  </conditionalFormatting>
  <conditionalFormatting sqref="B2:B6">
    <cfRule type="cellIs" dxfId="8" priority="10" operator="greaterThan">
      <formula>0.5</formula>
    </cfRule>
    <cfRule type="cellIs" dxfId="7" priority="11" operator="greaterThan">
      <formula>50</formula>
    </cfRule>
  </conditionalFormatting>
  <conditionalFormatting sqref="M2:M6">
    <cfRule type="cellIs" dxfId="6" priority="9" operator="greaterThan">
      <formula>0.8</formula>
    </cfRule>
  </conditionalFormatting>
  <conditionalFormatting sqref="M1">
    <cfRule type="cellIs" dxfId="5" priority="6" operator="lessThan">
      <formula>0</formula>
    </cfRule>
  </conditionalFormatting>
  <conditionalFormatting sqref="B10:F10">
    <cfRule type="cellIs" dxfId="4" priority="4" operator="greaterThan">
      <formula>0.5</formula>
    </cfRule>
    <cfRule type="cellIs" dxfId="3" priority="5" operator="greaterThan">
      <formula>50</formula>
    </cfRule>
  </conditionalFormatting>
  <conditionalFormatting sqref="M10:M14">
    <cfRule type="cellIs" dxfId="2" priority="3" operator="lessThan">
      <formula>0</formula>
    </cfRule>
  </conditionalFormatting>
  <conditionalFormatting sqref="M10:M14">
    <cfRule type="cellIs" dxfId="1" priority="2" operator="greaterThan">
      <formula>0.8</formula>
    </cfRule>
  </conditionalFormatting>
  <conditionalFormatting sqref="M9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B035-4C9B-42A0-A96B-9562B0525950}">
  <sheetPr codeName="Hoja2"/>
  <dimension ref="A1:R4704"/>
  <sheetViews>
    <sheetView topLeftCell="F1" zoomScale="87" workbookViewId="0">
      <selection activeCell="J2" sqref="J1:R1048576"/>
    </sheetView>
  </sheetViews>
  <sheetFormatPr baseColWidth="10" defaultRowHeight="14.4" x14ac:dyDescent="0.3"/>
  <cols>
    <col min="1" max="1" width="18.88671875" bestFit="1" customWidth="1"/>
    <col min="2" max="2" width="13.44140625" style="32" bestFit="1" customWidth="1"/>
    <col min="3" max="3" width="7" style="32" bestFit="1" customWidth="1"/>
    <col min="4" max="4" width="18.21875" style="32" bestFit="1" customWidth="1"/>
    <col min="5" max="5" width="22.33203125" style="32" bestFit="1" customWidth="1"/>
    <col min="6" max="6" width="11.5546875" style="32"/>
    <col min="10" max="10" width="12.33203125" bestFit="1" customWidth="1"/>
    <col min="11" max="11" width="11.5546875" style="10"/>
    <col min="12" max="12" width="12.33203125" bestFit="1" customWidth="1"/>
    <col min="13" max="13" width="8.6640625" bestFit="1" customWidth="1"/>
    <col min="15" max="15" width="12.88671875" bestFit="1" customWidth="1"/>
  </cols>
  <sheetData>
    <row r="1" spans="1:18" x14ac:dyDescent="0.3">
      <c r="A1" t="s">
        <v>8</v>
      </c>
      <c r="J1" s="91" t="s">
        <v>9</v>
      </c>
      <c r="K1" s="91"/>
      <c r="L1" s="92" t="s">
        <v>10</v>
      </c>
      <c r="M1" s="93"/>
      <c r="O1" s="91" t="s">
        <v>9</v>
      </c>
      <c r="P1" s="91"/>
      <c r="Q1" s="92" t="s">
        <v>10</v>
      </c>
      <c r="R1" s="93"/>
    </row>
    <row r="2" spans="1:18" x14ac:dyDescent="0.3">
      <c r="A2">
        <v>100000</v>
      </c>
      <c r="D2" s="75"/>
      <c r="I2" s="5" t="s">
        <v>11</v>
      </c>
      <c r="J2" s="5" t="s">
        <v>12</v>
      </c>
      <c r="K2" s="6" t="s">
        <v>13</v>
      </c>
      <c r="L2" s="5" t="s">
        <v>12</v>
      </c>
      <c r="M2" s="5" t="s">
        <v>13</v>
      </c>
      <c r="O2" s="5" t="s">
        <v>12</v>
      </c>
      <c r="P2" s="6" t="s">
        <v>13</v>
      </c>
      <c r="Q2" s="5" t="s">
        <v>12</v>
      </c>
      <c r="R2" s="5" t="s">
        <v>13</v>
      </c>
    </row>
    <row r="3" spans="1:18" x14ac:dyDescent="0.3">
      <c r="H3" t="s">
        <v>14</v>
      </c>
      <c r="I3" s="7">
        <f>+Sheet1!G2</f>
        <v>1.4070599851888488E-2</v>
      </c>
      <c r="J3" s="8">
        <f>+A2</f>
        <v>100000</v>
      </c>
      <c r="K3" s="9">
        <f>+$J$3*I3</f>
        <v>1407.0599851888487</v>
      </c>
      <c r="L3" s="8">
        <f>+A2</f>
        <v>100000</v>
      </c>
      <c r="M3" s="9">
        <f>+L3*I3</f>
        <v>1407.0599851888487</v>
      </c>
      <c r="N3" s="30">
        <f>+I3-Sheet1!$T$22</f>
        <v>1.2140599851888489E-2</v>
      </c>
      <c r="O3">
        <f>+A2</f>
        <v>100000</v>
      </c>
      <c r="P3" s="10">
        <f>+$O$3*N3</f>
        <v>1214.0599851888489</v>
      </c>
      <c r="Q3" s="10">
        <f>+A2</f>
        <v>100000</v>
      </c>
      <c r="R3" s="10">
        <f t="shared" ref="R3:R34" si="0">Q3*N3</f>
        <v>1214.0599851888489</v>
      </c>
    </row>
    <row r="4" spans="1:18" x14ac:dyDescent="0.3">
      <c r="H4" t="s">
        <v>15</v>
      </c>
      <c r="I4" s="7">
        <f>+Sheet1!G3</f>
        <v>1.5327400146179964E-2</v>
      </c>
      <c r="J4" s="9">
        <f>+J3+K3-Sheet1!$S$22</f>
        <v>101401.05998518885</v>
      </c>
      <c r="K4" s="9">
        <f>+$J$3*I4</f>
        <v>1532.7400146179964</v>
      </c>
      <c r="L4" s="9">
        <f>+L3+M3-Sheet1!$S$22</f>
        <v>101401.05998518885</v>
      </c>
      <c r="M4" s="9">
        <f>+L4*I4</f>
        <v>1554.2146216397869</v>
      </c>
      <c r="N4" s="30">
        <f>+I4-Sheet1!$T$22</f>
        <v>1.3397400146179964E-2</v>
      </c>
      <c r="O4" s="10">
        <f>+O3+P3-Sheet1!$S$22-Sheet1!$S$22</f>
        <v>101202.05998518885</v>
      </c>
      <c r="P4" s="10">
        <f>+$O$3*N4</f>
        <v>1339.7400146179964</v>
      </c>
      <c r="Q4" s="10">
        <f>+Q3+R3-Sheet1!$S$22-Sheet1!$S$22</f>
        <v>101202.05998518885</v>
      </c>
      <c r="R4" s="10">
        <f t="shared" si="0"/>
        <v>1355.8444932392827</v>
      </c>
    </row>
    <row r="5" spans="1:18" x14ac:dyDescent="0.3">
      <c r="A5" s="31" t="s">
        <v>219</v>
      </c>
      <c r="B5" s="33" t="s">
        <v>212</v>
      </c>
      <c r="C5" s="33" t="s">
        <v>198</v>
      </c>
      <c r="D5" s="33" t="s">
        <v>9</v>
      </c>
      <c r="E5" s="33" t="s">
        <v>10</v>
      </c>
      <c r="F5" s="40" t="s">
        <v>218</v>
      </c>
      <c r="H5" t="s">
        <v>16</v>
      </c>
      <c r="I5" s="7">
        <f>+Sheet1!G4</f>
        <v>2.1133271694624148E-2</v>
      </c>
      <c r="J5" s="9">
        <f>+J4+K4-Sheet1!$S$22</f>
        <v>102927.79999980686</v>
      </c>
      <c r="K5" s="9">
        <f>+$J$3*I5</f>
        <v>2113.327169462415</v>
      </c>
      <c r="L5" s="9">
        <f>+L4+M4-Sheet1!$S$22</f>
        <v>102949.27460682864</v>
      </c>
      <c r="M5" s="9">
        <f t="shared" ref="M5:M67" si="1">+L5*I5</f>
        <v>2175.6549910305803</v>
      </c>
      <c r="N5" s="30">
        <f>+I5-Sheet1!$T$22</f>
        <v>1.9203271694624147E-2</v>
      </c>
      <c r="O5" s="10">
        <f>+O4+P4-Sheet1!$S$22-Sheet1!$S$22</f>
        <v>102529.79999980686</v>
      </c>
      <c r="P5" s="10">
        <f t="shared" ref="P5:P67" si="2">+$O$3*N5</f>
        <v>1920.3271694624148</v>
      </c>
      <c r="Q5" s="10">
        <f>+Q4+R4-Sheet1!$S$22-Sheet1!$S$22</f>
        <v>102545.90447842814</v>
      </c>
      <c r="R5" s="10">
        <f t="shared" si="0"/>
        <v>1969.2168648702307</v>
      </c>
    </row>
    <row r="6" spans="1:18" x14ac:dyDescent="0.3">
      <c r="A6" t="s">
        <v>213</v>
      </c>
      <c r="B6" s="32">
        <v>0</v>
      </c>
      <c r="C6" s="38">
        <v>0</v>
      </c>
      <c r="D6" s="34">
        <v>1.4484830681706808E-2</v>
      </c>
      <c r="E6" s="34">
        <v>-7.9983127811967276E-3</v>
      </c>
      <c r="F6" s="39">
        <v>0.46527777777777779</v>
      </c>
      <c r="H6" t="s">
        <v>17</v>
      </c>
      <c r="I6" s="7">
        <f>+Sheet1!G5</f>
        <v>-7.3924731182795954E-3</v>
      </c>
      <c r="J6" s="9">
        <f>+J5+K5-Sheet1!$S$22</f>
        <v>105035.12716926927</v>
      </c>
      <c r="K6" s="9">
        <f t="shared" ref="K6:K68" si="3">+$J$3*I6</f>
        <v>-739.24731182795949</v>
      </c>
      <c r="L6" s="9">
        <f>+L5+M5-Sheet1!$S$22</f>
        <v>105118.92959785921</v>
      </c>
      <c r="M6" s="9">
        <f t="shared" si="1"/>
        <v>-777.08886127449955</v>
      </c>
      <c r="N6" s="30">
        <f>+I6-Sheet1!$T$22</f>
        <v>-9.3224731182795957E-3</v>
      </c>
      <c r="O6" s="10">
        <f>+O5+P5-Sheet1!$S$22-Sheet1!$S$22</f>
        <v>104438.12716926927</v>
      </c>
      <c r="P6" s="10">
        <f t="shared" si="2"/>
        <v>-932.24731182795961</v>
      </c>
      <c r="Q6" s="10">
        <f>+Q5+R5-Sheet1!$S$22-Sheet1!$S$22</f>
        <v>104503.12134329838</v>
      </c>
      <c r="R6" s="10">
        <f t="shared" si="0"/>
        <v>-974.2275394992098</v>
      </c>
    </row>
    <row r="7" spans="1:18" x14ac:dyDescent="0.3">
      <c r="A7" t="s">
        <v>214</v>
      </c>
      <c r="B7" s="32">
        <v>0</v>
      </c>
      <c r="C7" s="38">
        <v>0</v>
      </c>
      <c r="D7" s="34">
        <v>-0.28758564525476815</v>
      </c>
      <c r="E7" s="34">
        <v>-0.26771009297040349</v>
      </c>
      <c r="F7" s="39">
        <v>0.44444444444444442</v>
      </c>
      <c r="H7" t="s">
        <v>18</v>
      </c>
      <c r="I7" s="7">
        <f>+Sheet1!G6</f>
        <v>-9.9162626707798279E-4</v>
      </c>
      <c r="J7" s="9">
        <f>+J6+K6-Sheet1!$S$22</f>
        <v>104289.87985744131</v>
      </c>
      <c r="K7" s="9">
        <f t="shared" si="3"/>
        <v>-99.162626707798282</v>
      </c>
      <c r="L7" s="9">
        <f>+L6+M6-Sheet1!$S$22</f>
        <v>104335.84073658471</v>
      </c>
      <c r="M7" s="9">
        <f t="shared" si="1"/>
        <v>-103.46216027206242</v>
      </c>
      <c r="N7" s="30">
        <f>+I7-Sheet1!$T$22</f>
        <v>-2.9216262670779831E-3</v>
      </c>
      <c r="O7" s="10">
        <f>+O6+P6-Sheet1!$S$22-Sheet1!$S$22</f>
        <v>103493.87985744131</v>
      </c>
      <c r="P7" s="10">
        <f t="shared" si="2"/>
        <v>-292.16262670779832</v>
      </c>
      <c r="Q7" s="10">
        <f>+Q6+R6-Sheet1!$S$22-Sheet1!$S$22</f>
        <v>103516.89380379918</v>
      </c>
      <c r="R7" s="10">
        <f t="shared" si="0"/>
        <v>-302.43767602350181</v>
      </c>
    </row>
    <row r="8" spans="1:18" x14ac:dyDescent="0.3">
      <c r="A8" t="s">
        <v>215</v>
      </c>
      <c r="B8" s="32">
        <v>0</v>
      </c>
      <c r="C8" s="38">
        <v>0</v>
      </c>
      <c r="D8" s="34">
        <v>0.24765776992298327</v>
      </c>
      <c r="E8" s="34">
        <v>0.25416190779076336</v>
      </c>
      <c r="F8" s="39">
        <v>0.53472222222222221</v>
      </c>
      <c r="H8" t="s">
        <v>19</v>
      </c>
      <c r="I8" s="7">
        <f>+Sheet1!G7</f>
        <v>-4.5425618293137727E-3</v>
      </c>
      <c r="J8" s="9">
        <f>+J7+K7-Sheet1!$S$22</f>
        <v>104184.71723073351</v>
      </c>
      <c r="K8" s="9">
        <f>+$J$3*I8</f>
        <v>-454.25618293137728</v>
      </c>
      <c r="L8" s="9">
        <f>+L7+M7-Sheet1!$S$22</f>
        <v>104226.37857631265</v>
      </c>
      <c r="M8" s="9">
        <f t="shared" si="1"/>
        <v>-473.45476892836462</v>
      </c>
      <c r="N8" s="30">
        <f>+I8-Sheet1!$T$22</f>
        <v>-6.472561829313773E-3</v>
      </c>
      <c r="O8" s="10">
        <f>+O7+P7-Sheet1!$S$22-Sheet1!$S$22</f>
        <v>103189.71723073351</v>
      </c>
      <c r="P8" s="10">
        <f t="shared" si="2"/>
        <v>-647.25618293137734</v>
      </c>
      <c r="Q8" s="10">
        <f>+Q7+R7-Sheet1!$S$22-Sheet1!$S$22</f>
        <v>103202.45612777567</v>
      </c>
      <c r="R8" s="10">
        <f t="shared" si="0"/>
        <v>-667.98427822407007</v>
      </c>
    </row>
    <row r="9" spans="1:18" x14ac:dyDescent="0.3">
      <c r="A9" t="s">
        <v>216</v>
      </c>
      <c r="B9" s="35">
        <v>0</v>
      </c>
      <c r="C9" s="41">
        <v>0</v>
      </c>
      <c r="D9" s="37">
        <v>0.14644893107487514</v>
      </c>
      <c r="E9" s="37">
        <v>0.13307129929769887</v>
      </c>
      <c r="F9" s="42">
        <v>0.55555555555555558</v>
      </c>
      <c r="H9" t="s">
        <v>20</v>
      </c>
      <c r="I9" s="7">
        <f>+Sheet1!G8</f>
        <v>-1.7487046632124401E-2</v>
      </c>
      <c r="J9" s="9">
        <f>+J8+K8-Sheet1!$S$22</f>
        <v>103724.46104780213</v>
      </c>
      <c r="K9" s="9">
        <f t="shared" si="3"/>
        <v>-1748.70466321244</v>
      </c>
      <c r="L9" s="9">
        <f>+L8+M8-Sheet1!$S$22</f>
        <v>103746.92380738429</v>
      </c>
      <c r="M9" s="9">
        <f t="shared" si="1"/>
        <v>-1814.2272945591862</v>
      </c>
      <c r="N9" s="30">
        <f>+I9-Sheet1!$T$22</f>
        <v>-1.9417046632124402E-2</v>
      </c>
      <c r="O9" s="10">
        <f>+O8+P8-Sheet1!$S$22-Sheet1!$S$22</f>
        <v>102530.46104780213</v>
      </c>
      <c r="P9" s="10">
        <f t="shared" si="2"/>
        <v>-1941.7046632124402</v>
      </c>
      <c r="Q9" s="10">
        <f>+Q8+R8-Sheet1!$S$22-Sheet1!$S$22</f>
        <v>102522.4718495516</v>
      </c>
      <c r="R9" s="10">
        <f t="shared" si="0"/>
        <v>-1990.6836167434046</v>
      </c>
    </row>
    <row r="10" spans="1:18" x14ac:dyDescent="0.3">
      <c r="A10" t="s">
        <v>217</v>
      </c>
      <c r="B10" s="32">
        <v>0</v>
      </c>
      <c r="C10" s="38">
        <v>0</v>
      </c>
      <c r="D10" s="34">
        <v>8.4609120915980163E-2</v>
      </c>
      <c r="E10" s="34">
        <v>6.4456797333829016E-2</v>
      </c>
      <c r="F10" s="39">
        <v>0.51388888888888884</v>
      </c>
      <c r="H10" t="s">
        <v>21</v>
      </c>
      <c r="I10" s="7">
        <f>+Sheet1!G9</f>
        <v>-1.2543509635792444E-2</v>
      </c>
      <c r="J10" s="9">
        <f>+J9+K9-Sheet1!$S$22</f>
        <v>101969.75638458969</v>
      </c>
      <c r="K10" s="9">
        <f t="shared" si="3"/>
        <v>-1254.3509635792445</v>
      </c>
      <c r="L10" s="9">
        <f>+L9+M9-Sheet1!$S$22</f>
        <v>101926.6965128251</v>
      </c>
      <c r="M10" s="9">
        <f t="shared" si="1"/>
        <v>-1278.5184998531138</v>
      </c>
      <c r="N10" s="30">
        <f>+I10-Sheet1!$T$22</f>
        <v>-1.4473509635792444E-2</v>
      </c>
      <c r="O10" s="10">
        <f>+O9+P9-Sheet1!$S$22-Sheet1!$S$22</f>
        <v>100576.75638458969</v>
      </c>
      <c r="P10" s="10">
        <f t="shared" si="2"/>
        <v>-1447.3509635792443</v>
      </c>
      <c r="Q10" s="10">
        <f>+Q9+R9-Sheet1!$S$22-Sheet1!$S$22</f>
        <v>100519.78823280819</v>
      </c>
      <c r="R10" s="10">
        <f t="shared" si="0"/>
        <v>-1454.8741235753653</v>
      </c>
    </row>
    <row r="11" spans="1:18" x14ac:dyDescent="0.3">
      <c r="F11" s="34"/>
      <c r="H11" t="s">
        <v>22</v>
      </c>
      <c r="I11" s="7">
        <f>+Sheet1!G10</f>
        <v>8.9848775652247078E-3</v>
      </c>
      <c r="J11" s="9">
        <f>+J10+K10-Sheet1!$S$22</f>
        <v>100709.40542101045</v>
      </c>
      <c r="K11" s="9">
        <f t="shared" si="3"/>
        <v>898.48775652247082</v>
      </c>
      <c r="L11" s="9">
        <f>+L10+M10-Sheet1!$S$22</f>
        <v>100642.17801297198</v>
      </c>
      <c r="M11" s="9">
        <f t="shared" si="1"/>
        <v>904.25764734410336</v>
      </c>
      <c r="N11" s="30">
        <f>+I11-Sheet1!$T$22</f>
        <v>7.0548775652247075E-3</v>
      </c>
      <c r="O11" s="10">
        <f>+O10+P10-Sheet1!$S$22-Sheet1!$S$22</f>
        <v>99117.405421010451</v>
      </c>
      <c r="P11" s="10">
        <f t="shared" si="2"/>
        <v>705.4877565224707</v>
      </c>
      <c r="Q11" s="10">
        <f>+Q10+R10-Sheet1!$S$22-Sheet1!$S$22</f>
        <v>99052.914109232821</v>
      </c>
      <c r="R11" s="10">
        <f t="shared" si="0"/>
        <v>698.80618151935653</v>
      </c>
    </row>
    <row r="12" spans="1:18" x14ac:dyDescent="0.3">
      <c r="H12" t="s">
        <v>23</v>
      </c>
      <c r="I12" s="7">
        <f>+Sheet1!G11</f>
        <v>1.0188861578538313E-2</v>
      </c>
      <c r="J12" s="9">
        <f>+J11+K11-Sheet1!$S$22</f>
        <v>101601.89317753293</v>
      </c>
      <c r="K12" s="9">
        <f t="shared" si="3"/>
        <v>1018.8861578538313</v>
      </c>
      <c r="L12" s="9">
        <f>+L11+M11-Sheet1!$S$22</f>
        <v>101540.43566031608</v>
      </c>
      <c r="M12" s="9">
        <f t="shared" si="1"/>
        <v>1034.5814435674363</v>
      </c>
      <c r="N12" s="30">
        <f>+I12-Sheet1!$T$22</f>
        <v>8.2588615785383138E-3</v>
      </c>
      <c r="O12" s="10">
        <f>+O11+P11-Sheet1!$S$22-Sheet1!$S$22</f>
        <v>99810.893177532926</v>
      </c>
      <c r="P12" s="10">
        <f t="shared" si="2"/>
        <v>825.88615785383138</v>
      </c>
      <c r="Q12" s="10">
        <f>+Q11+R11-Sheet1!$S$22-Sheet1!$S$22</f>
        <v>99739.720290752171</v>
      </c>
      <c r="R12" s="10">
        <f t="shared" si="0"/>
        <v>823.73654376345132</v>
      </c>
    </row>
    <row r="13" spans="1:18" x14ac:dyDescent="0.3">
      <c r="H13" t="s">
        <v>24</v>
      </c>
      <c r="I13" s="7">
        <f>+Sheet1!G12</f>
        <v>2.4530487300405423E-2</v>
      </c>
      <c r="J13" s="9">
        <f>+J12+K12-Sheet1!$S$22</f>
        <v>102614.77933538676</v>
      </c>
      <c r="K13" s="9">
        <f t="shared" si="3"/>
        <v>2453.0487300405421</v>
      </c>
      <c r="L13" s="9">
        <f>+L12+M12-Sheet1!$S$22</f>
        <v>102569.01710388353</v>
      </c>
      <c r="M13" s="9">
        <f t="shared" si="1"/>
        <v>2516.0679714818816</v>
      </c>
      <c r="N13" s="30">
        <f>+I13-Sheet1!$T$22</f>
        <v>2.2600487300405422E-2</v>
      </c>
      <c r="O13" s="10">
        <f>+O12+P12-Sheet1!$S$22-Sheet1!$S$22</f>
        <v>100624.77933538676</v>
      </c>
      <c r="P13" s="10">
        <f t="shared" si="2"/>
        <v>2260.0487300405421</v>
      </c>
      <c r="Q13" s="10">
        <f>+Q12+R12-Sheet1!$S$22-Sheet1!$S$22</f>
        <v>100551.45683451563</v>
      </c>
      <c r="R13" s="10">
        <f t="shared" si="0"/>
        <v>2272.5119232257343</v>
      </c>
    </row>
    <row r="14" spans="1:18" x14ac:dyDescent="0.3">
      <c r="A14" s="31" t="s">
        <v>219</v>
      </c>
      <c r="B14" s="36" t="s">
        <v>212</v>
      </c>
      <c r="C14" s="36" t="s">
        <v>198</v>
      </c>
      <c r="D14" s="33" t="s">
        <v>9</v>
      </c>
      <c r="E14" s="33" t="s">
        <v>10</v>
      </c>
      <c r="F14" s="40" t="s">
        <v>218</v>
      </c>
      <c r="H14" t="s">
        <v>25</v>
      </c>
      <c r="I14" s="7">
        <f>+Sheet1!G13</f>
        <v>-1.0707734311676084E-2</v>
      </c>
      <c r="J14" s="9">
        <f>+J13+K13-Sheet1!$S$22</f>
        <v>105061.8280654273</v>
      </c>
      <c r="K14" s="9">
        <f t="shared" si="3"/>
        <v>-1070.7734311676084</v>
      </c>
      <c r="L14" s="9">
        <f>+L13+M13-Sheet1!$S$22</f>
        <v>105079.08507536541</v>
      </c>
      <c r="M14" s="9">
        <f t="shared" si="1"/>
        <v>-1125.1589247010206</v>
      </c>
      <c r="N14" s="30">
        <f>+I14-Sheet1!$T$22</f>
        <v>-1.2637734311676084E-2</v>
      </c>
      <c r="O14" s="10">
        <f>+O13+P13-Sheet1!$S$22-Sheet1!$S$22</f>
        <v>102872.8280654273</v>
      </c>
      <c r="P14" s="10">
        <f t="shared" si="2"/>
        <v>-1263.7734311676084</v>
      </c>
      <c r="Q14" s="10">
        <f>+Q13+R13-Sheet1!$S$22-Sheet1!$S$22</f>
        <v>102811.96875774136</v>
      </c>
      <c r="R14" s="10">
        <f t="shared" si="0"/>
        <v>-1299.3103452206774</v>
      </c>
    </row>
    <row r="15" spans="1:18" x14ac:dyDescent="0.3">
      <c r="A15" t="s">
        <v>213</v>
      </c>
      <c r="B15" s="32">
        <v>6</v>
      </c>
      <c r="C15" s="43">
        <v>1.0399999999999999E-3</v>
      </c>
      <c r="D15" s="39">
        <v>-0.13423516931829318</v>
      </c>
      <c r="E15" s="39">
        <v>-0.14580312442536988</v>
      </c>
      <c r="F15" s="39">
        <v>0.46527777777777779</v>
      </c>
      <c r="H15" t="s">
        <v>26</v>
      </c>
      <c r="I15" s="7">
        <f>+Sheet1!G14</f>
        <v>2.2048182514684631E-2</v>
      </c>
      <c r="J15" s="9">
        <f>+J14+K14-Sheet1!$S$22</f>
        <v>103985.05463425969</v>
      </c>
      <c r="K15" s="9">
        <f t="shared" si="3"/>
        <v>2204.8182514684631</v>
      </c>
      <c r="L15" s="9">
        <f>+L14+M14-Sheet1!$S$22</f>
        <v>103947.92615066438</v>
      </c>
      <c r="M15" s="9">
        <f t="shared" si="1"/>
        <v>2291.8628477928078</v>
      </c>
      <c r="N15" s="30">
        <f>+I15-Sheet1!$T$22</f>
        <v>2.011818251468463E-2</v>
      </c>
      <c r="O15" s="10">
        <f>+O14+P14-Sheet1!$S$22-Sheet1!$S$22</f>
        <v>101597.05463425969</v>
      </c>
      <c r="P15" s="10">
        <f t="shared" si="2"/>
        <v>2011.8182514684629</v>
      </c>
      <c r="Q15" s="10">
        <f>+Q14+R14-Sheet1!$S$22-Sheet1!$S$22</f>
        <v>101500.65841252069</v>
      </c>
      <c r="R15" s="10">
        <f t="shared" si="0"/>
        <v>2042.008771303751</v>
      </c>
    </row>
    <row r="16" spans="1:18" x14ac:dyDescent="0.3">
      <c r="A16" t="s">
        <v>214</v>
      </c>
      <c r="B16" s="32">
        <v>6</v>
      </c>
      <c r="C16" s="44">
        <v>1.0399999999999999E-3</v>
      </c>
      <c r="D16" s="45">
        <v>-0.43630564525476789</v>
      </c>
      <c r="E16" s="45">
        <v>-0.3697264991367189</v>
      </c>
      <c r="F16" s="46">
        <v>0.44444444444444442</v>
      </c>
      <c r="H16" t="s">
        <v>27</v>
      </c>
      <c r="I16" s="7">
        <f>+Sheet1!G15</f>
        <v>6.7030526905597319E-3</v>
      </c>
      <c r="J16" s="9">
        <f>+J15+K15-Sheet1!$S$22</f>
        <v>106183.87288572815</v>
      </c>
      <c r="K16" s="9">
        <f t="shared" si="3"/>
        <v>670.30526905597321</v>
      </c>
      <c r="L16" s="9">
        <f>+L15+M15-Sheet1!$S$22</f>
        <v>106233.7889984572</v>
      </c>
      <c r="M16" s="9">
        <f t="shared" si="1"/>
        <v>712.09068517446337</v>
      </c>
      <c r="N16" s="30">
        <f>+I16-Sheet1!$T$22</f>
        <v>4.7730526905597316E-3</v>
      </c>
      <c r="O16" s="10">
        <f>+O15+P15-Sheet1!$S$22-Sheet1!$S$22</f>
        <v>103596.87288572815</v>
      </c>
      <c r="P16" s="10">
        <f t="shared" si="2"/>
        <v>477.30526905597316</v>
      </c>
      <c r="Q16" s="10">
        <f>+Q15+R15-Sheet1!$S$22-Sheet1!$S$22</f>
        <v>103530.66718382444</v>
      </c>
      <c r="R16" s="10">
        <f t="shared" si="0"/>
        <v>494.15732955719733</v>
      </c>
    </row>
    <row r="17" spans="1:18" x14ac:dyDescent="0.3">
      <c r="A17" t="s">
        <v>215</v>
      </c>
      <c r="B17" s="32">
        <v>6</v>
      </c>
      <c r="C17" s="43">
        <v>1.0399999999999999E-3</v>
      </c>
      <c r="D17" s="39">
        <v>9.8937769922983282E-2</v>
      </c>
      <c r="E17" s="39">
        <v>8.0336755203457288E-2</v>
      </c>
      <c r="F17" s="39">
        <v>0.53472222222222221</v>
      </c>
      <c r="H17" t="s">
        <v>28</v>
      </c>
      <c r="I17" s="7">
        <f>+Sheet1!G16</f>
        <v>-3.7449330233132226E-3</v>
      </c>
      <c r="J17" s="9">
        <f>+J16+K16-Sheet1!$S$22</f>
        <v>106848.17815478412</v>
      </c>
      <c r="K17" s="9">
        <f t="shared" si="3"/>
        <v>-374.49330233132224</v>
      </c>
      <c r="L17" s="9">
        <f>+L16+M16-Sheet1!$S$22</f>
        <v>106939.87968363166</v>
      </c>
      <c r="M17" s="9">
        <f t="shared" si="1"/>
        <v>-400.48268693637499</v>
      </c>
      <c r="N17" s="30">
        <f>+I17-Sheet1!$T$22</f>
        <v>-5.6749330233132229E-3</v>
      </c>
      <c r="O17" s="10">
        <f>+O16+P16-Sheet1!$S$22-Sheet1!$S$22</f>
        <v>104062.17815478412</v>
      </c>
      <c r="P17" s="10">
        <f t="shared" si="2"/>
        <v>-567.4933023313223</v>
      </c>
      <c r="Q17" s="10">
        <f>+Q16+R16-Sheet1!$S$22-Sheet1!$S$22</f>
        <v>104012.82451338164</v>
      </c>
      <c r="R17" s="10">
        <f t="shared" si="0"/>
        <v>-590.26581267907261</v>
      </c>
    </row>
    <row r="18" spans="1:18" x14ac:dyDescent="0.3">
      <c r="A18" t="s">
        <v>216</v>
      </c>
      <c r="B18" s="32">
        <v>6</v>
      </c>
      <c r="C18" s="43">
        <v>1.0399999999999999E-3</v>
      </c>
      <c r="D18" s="39">
        <v>-2.271068925124564E-3</v>
      </c>
      <c r="E18" s="39">
        <v>-2.4103930218299648E-2</v>
      </c>
      <c r="F18" s="42">
        <v>0.55555555555555558</v>
      </c>
      <c r="H18" t="s">
        <v>29</v>
      </c>
      <c r="I18" s="7">
        <f>+Sheet1!G17</f>
        <v>2.8393795667222194E-2</v>
      </c>
      <c r="J18" s="9">
        <f>+J17+K17-Sheet1!$S$22</f>
        <v>106467.6848524528</v>
      </c>
      <c r="K18" s="9">
        <f t="shared" si="3"/>
        <v>2839.3795667222194</v>
      </c>
      <c r="L18" s="9">
        <f>+L17+M17-Sheet1!$S$22</f>
        <v>106533.39699669529</v>
      </c>
      <c r="M18" s="9">
        <f t="shared" si="1"/>
        <v>3024.8875060592286</v>
      </c>
      <c r="N18" s="30">
        <f>+I18-Sheet1!$T$22</f>
        <v>2.6463795667222192E-2</v>
      </c>
      <c r="O18" s="10">
        <f>+O17+P17-Sheet1!$S$22-Sheet1!$S$22</f>
        <v>103482.6848524528</v>
      </c>
      <c r="P18" s="10">
        <f t="shared" si="2"/>
        <v>2646.3795667222194</v>
      </c>
      <c r="Q18" s="10">
        <f>+Q17+R17-Sheet1!$S$22-Sheet1!$S$22</f>
        <v>103410.55870070256</v>
      </c>
      <c r="R18" s="10">
        <f t="shared" si="0"/>
        <v>2736.6358952886785</v>
      </c>
    </row>
    <row r="19" spans="1:18" x14ac:dyDescent="0.3">
      <c r="A19" t="s">
        <v>217</v>
      </c>
      <c r="B19" s="32">
        <v>6</v>
      </c>
      <c r="C19" s="43">
        <v>1.0399999999999999E-3</v>
      </c>
      <c r="D19" s="39">
        <v>-6.4110879084019537E-2</v>
      </c>
      <c r="E19" s="39">
        <v>-8.3314996829711011E-2</v>
      </c>
      <c r="F19" s="39">
        <v>0.51388888888888884</v>
      </c>
      <c r="H19" t="s">
        <v>30</v>
      </c>
      <c r="I19" s="7">
        <f>+Sheet1!G18</f>
        <v>1.6888360558299589E-2</v>
      </c>
      <c r="J19" s="9">
        <f>+J18+K18-Sheet1!$S$22</f>
        <v>109301.06441917502</v>
      </c>
      <c r="K19" s="9">
        <f t="shared" si="3"/>
        <v>1688.8360558299589</v>
      </c>
      <c r="L19" s="9">
        <f>+L18+M18-Sheet1!$S$22</f>
        <v>109552.28450275451</v>
      </c>
      <c r="M19" s="9">
        <f t="shared" si="1"/>
        <v>1850.1584806679346</v>
      </c>
      <c r="N19" s="30">
        <f>+I19-Sheet1!$T$22</f>
        <v>1.4958360558299589E-2</v>
      </c>
      <c r="O19" s="10">
        <f>+O18+P18-Sheet1!$S$22-Sheet1!$S$22</f>
        <v>106117.06441917502</v>
      </c>
      <c r="P19" s="10">
        <f t="shared" si="2"/>
        <v>1495.8360558299589</v>
      </c>
      <c r="Q19" s="10">
        <f>+Q18+R18-Sheet1!$S$22-Sheet1!$S$22</f>
        <v>106135.19459599124</v>
      </c>
      <c r="R19" s="10">
        <f t="shared" si="0"/>
        <v>1587.6085086921271</v>
      </c>
    </row>
    <row r="20" spans="1:18" x14ac:dyDescent="0.3">
      <c r="F20" s="34"/>
      <c r="H20" t="s">
        <v>31</v>
      </c>
      <c r="I20" s="7">
        <f>+Sheet1!G19</f>
        <v>-2.0904102430101177E-3</v>
      </c>
      <c r="J20" s="9">
        <f>+J19+K19-Sheet1!$S$22</f>
        <v>110983.90047500498</v>
      </c>
      <c r="K20" s="9">
        <f t="shared" si="3"/>
        <v>-209.04102430101176</v>
      </c>
      <c r="L20" s="9">
        <f>+L19+M19-Sheet1!$S$22</f>
        <v>111396.44298342244</v>
      </c>
      <c r="M20" s="9">
        <f t="shared" si="1"/>
        <v>-232.86426544743884</v>
      </c>
      <c r="N20" s="30">
        <f>+I20-Sheet1!$T$22</f>
        <v>-4.0204102430101175E-3</v>
      </c>
      <c r="O20" s="10">
        <f>+O19+P19-Sheet1!$S$22-Sheet1!$S$22</f>
        <v>107600.90047500498</v>
      </c>
      <c r="P20" s="10">
        <f t="shared" si="2"/>
        <v>-402.04102430101176</v>
      </c>
      <c r="Q20" s="10">
        <f>+Q19+R19-Sheet1!$S$22-Sheet1!$S$22</f>
        <v>107710.80310468336</v>
      </c>
      <c r="R20" s="10">
        <f t="shared" si="0"/>
        <v>-433.04161608491495</v>
      </c>
    </row>
    <row r="21" spans="1:18" x14ac:dyDescent="0.3">
      <c r="H21" t="s">
        <v>32</v>
      </c>
      <c r="I21" s="7">
        <f>+Sheet1!G20</f>
        <v>-5.9356898704381713E-3</v>
      </c>
      <c r="J21" s="9">
        <f>+J20+K20-Sheet1!$S$22</f>
        <v>110768.85945070397</v>
      </c>
      <c r="K21" s="9">
        <f t="shared" si="3"/>
        <v>-593.56898704381717</v>
      </c>
      <c r="L21" s="9">
        <f>+L20+M20-Sheet1!$S$22</f>
        <v>111157.578717975</v>
      </c>
      <c r="M21" s="9">
        <f t="shared" si="1"/>
        <v>-659.79691401871787</v>
      </c>
      <c r="N21" s="30">
        <f>+I21-Sheet1!$T$22</f>
        <v>-7.8656898704381716E-3</v>
      </c>
      <c r="O21" s="10">
        <f>+O20+P20-Sheet1!$S$22-Sheet1!$S$22</f>
        <v>107186.85945070397</v>
      </c>
      <c r="P21" s="10">
        <f t="shared" si="2"/>
        <v>-786.56898704381717</v>
      </c>
      <c r="Q21" s="10">
        <f>+Q20+R20-Sheet1!$S$22-Sheet1!$S$22</f>
        <v>107265.76148859845</v>
      </c>
      <c r="R21" s="10">
        <f t="shared" si="0"/>
        <v>-843.7192135857058</v>
      </c>
    </row>
    <row r="22" spans="1:18" x14ac:dyDescent="0.3">
      <c r="H22" t="s">
        <v>33</v>
      </c>
      <c r="I22" s="7">
        <f>+Sheet1!G21</f>
        <v>1.7468593480581308E-2</v>
      </c>
      <c r="J22" s="9">
        <f>+J21+K21-Sheet1!$S$22</f>
        <v>110169.29046366015</v>
      </c>
      <c r="K22" s="9">
        <f t="shared" si="3"/>
        <v>1746.8593480581308</v>
      </c>
      <c r="L22" s="9">
        <f>+L21+M21-Sheet1!$S$22</f>
        <v>110491.78180395628</v>
      </c>
      <c r="M22" s="9">
        <f t="shared" si="1"/>
        <v>1930.1360192784032</v>
      </c>
      <c r="N22" s="30">
        <f>+I22-Sheet1!$T$22</f>
        <v>1.5538593480581309E-2</v>
      </c>
      <c r="O22" s="10">
        <f>+O21+P21-Sheet1!$S$22-Sheet1!$S$22</f>
        <v>106388.29046366015</v>
      </c>
      <c r="P22" s="10">
        <f t="shared" si="2"/>
        <v>1553.859348058131</v>
      </c>
      <c r="Q22" s="10">
        <f>+Q21+R21-Sheet1!$S$22-Sheet1!$S$22</f>
        <v>106410.04227501275</v>
      </c>
      <c r="R22" s="10">
        <f t="shared" si="0"/>
        <v>1653.4623891628946</v>
      </c>
    </row>
    <row r="23" spans="1:18" x14ac:dyDescent="0.3">
      <c r="H23" t="s">
        <v>34</v>
      </c>
      <c r="I23" s="7">
        <f>+Sheet1!G22</f>
        <v>1.9566313666162356E-2</v>
      </c>
      <c r="J23" s="9">
        <f>+J22+K22-Sheet1!$S$22</f>
        <v>111910.14981171828</v>
      </c>
      <c r="K23" s="9">
        <f t="shared" si="3"/>
        <v>1956.6313666162357</v>
      </c>
      <c r="L23" s="9">
        <f>+L22+M22-Sheet1!$S$22</f>
        <v>112415.91782323469</v>
      </c>
      <c r="M23" s="9">
        <f t="shared" si="1"/>
        <v>2199.5651091989412</v>
      </c>
      <c r="N23" s="30">
        <f>+I23-Sheet1!$T$22</f>
        <v>1.7636313666162355E-2</v>
      </c>
      <c r="O23" s="10">
        <f>+O22+P22-Sheet1!$S$22-Sheet1!$S$22</f>
        <v>107930.14981171828</v>
      </c>
      <c r="P23" s="10">
        <f t="shared" si="2"/>
        <v>1763.6313666162355</v>
      </c>
      <c r="Q23" s="10">
        <f>+Q22+R22-Sheet1!$S$22-Sheet1!$S$22</f>
        <v>108051.50466417565</v>
      </c>
      <c r="R23" s="10">
        <f t="shared" si="0"/>
        <v>1905.6302283582065</v>
      </c>
    </row>
    <row r="24" spans="1:18" x14ac:dyDescent="0.3">
      <c r="H24" t="s">
        <v>35</v>
      </c>
      <c r="I24" s="7">
        <f>+Sheet1!G23</f>
        <v>-2.1066846725185606E-2</v>
      </c>
      <c r="J24" s="9">
        <f>+J23+K23-Sheet1!$S$22</f>
        <v>113860.78117833451</v>
      </c>
      <c r="K24" s="9">
        <f t="shared" si="3"/>
        <v>-2106.6846725185605</v>
      </c>
      <c r="L24" s="9">
        <f>+L23+M23-Sheet1!$S$22</f>
        <v>114609.48293243363</v>
      </c>
      <c r="M24" s="9">
        <f t="shared" si="1"/>
        <v>-2414.4604101903551</v>
      </c>
      <c r="N24" s="30">
        <f>+I24-Sheet1!$T$22</f>
        <v>-2.2996846725185607E-2</v>
      </c>
      <c r="O24" s="10">
        <f>+O23+P23-Sheet1!$S$22-Sheet1!$S$22</f>
        <v>109681.78117833451</v>
      </c>
      <c r="P24" s="10">
        <f t="shared" si="2"/>
        <v>-2299.6846725185605</v>
      </c>
      <c r="Q24" s="10">
        <f>+Q23+R23-Sheet1!$S$22-Sheet1!$S$22</f>
        <v>109945.13489253385</v>
      </c>
      <c r="R24" s="10">
        <f t="shared" si="0"/>
        <v>-2528.3914153034571</v>
      </c>
    </row>
    <row r="25" spans="1:18" x14ac:dyDescent="0.3">
      <c r="H25" t="s">
        <v>36</v>
      </c>
      <c r="I25" s="7">
        <f>+Sheet1!G24</f>
        <v>4.661376069034516E-3</v>
      </c>
      <c r="J25" s="9">
        <f>+J24+K24-Sheet1!$S$22</f>
        <v>111748.09650581595</v>
      </c>
      <c r="K25" s="9">
        <f t="shared" si="3"/>
        <v>466.13760690345163</v>
      </c>
      <c r="L25" s="9">
        <f>+L24+M24-Sheet1!$S$22</f>
        <v>112189.02252224328</v>
      </c>
      <c r="M25" s="9">
        <f t="shared" si="1"/>
        <v>522.95522479355918</v>
      </c>
      <c r="N25" s="30">
        <f>+I25-Sheet1!$T$22</f>
        <v>2.7313760690345157E-3</v>
      </c>
      <c r="O25" s="10">
        <f>+O24+P24-Sheet1!$S$22-Sheet1!$S$22</f>
        <v>107370.09650581595</v>
      </c>
      <c r="P25" s="10">
        <f t="shared" si="2"/>
        <v>273.13760690345157</v>
      </c>
      <c r="Q25" s="10">
        <f>+Q24+R24-Sheet1!$S$22-Sheet1!$S$22</f>
        <v>107404.7434772304</v>
      </c>
      <c r="R25" s="10">
        <f t="shared" si="0"/>
        <v>293.36274603449812</v>
      </c>
    </row>
    <row r="26" spans="1:18" x14ac:dyDescent="0.3">
      <c r="H26" t="s">
        <v>37</v>
      </c>
      <c r="I26" s="7">
        <f>+Sheet1!G25</f>
        <v>4.8678855852172045E-4</v>
      </c>
      <c r="J26" s="9">
        <f>+J25+K25-Sheet1!$S$22</f>
        <v>112208.23411271939</v>
      </c>
      <c r="K26" s="9">
        <f t="shared" si="3"/>
        <v>48.678855852172042</v>
      </c>
      <c r="L26" s="9">
        <f>+L25+M25-Sheet1!$S$22</f>
        <v>112705.97774703684</v>
      </c>
      <c r="M26" s="9">
        <f t="shared" si="1"/>
        <v>54.863980444261166</v>
      </c>
      <c r="N26" s="30">
        <f>+I26-Sheet1!$T$22</f>
        <v>-1.4432114414782795E-3</v>
      </c>
      <c r="O26" s="10">
        <f>+O25+P25-Sheet1!$S$22-Sheet1!$S$22</f>
        <v>107631.23411271939</v>
      </c>
      <c r="P26" s="10">
        <f t="shared" si="2"/>
        <v>-144.32114414782797</v>
      </c>
      <c r="Q26" s="10">
        <f>+Q25+R25-Sheet1!$S$22-Sheet1!$S$22</f>
        <v>107686.1062232649</v>
      </c>
      <c r="R26" s="10">
        <f t="shared" si="0"/>
        <v>-155.41382058966127</v>
      </c>
    </row>
    <row r="27" spans="1:18" x14ac:dyDescent="0.3">
      <c r="H27" t="s">
        <v>38</v>
      </c>
      <c r="I27" s="7">
        <f>+Sheet1!G26</f>
        <v>-2.7334152334152349E-2</v>
      </c>
      <c r="J27" s="9">
        <f>+J26+K26-Sheet1!$S$22</f>
        <v>112250.91296857156</v>
      </c>
      <c r="K27" s="9">
        <f t="shared" si="3"/>
        <v>-2733.415233415235</v>
      </c>
      <c r="L27" s="9">
        <f>+L26+M26-Sheet1!$S$22</f>
        <v>112754.84172748111</v>
      </c>
      <c r="M27" s="9">
        <f t="shared" si="1"/>
        <v>-3082.0580201922062</v>
      </c>
      <c r="N27" s="30">
        <f>+I27-Sheet1!$T$22</f>
        <v>-2.926415233415235E-2</v>
      </c>
      <c r="O27" s="10">
        <f>+O26+P26-Sheet1!$S$22-Sheet1!$S$22</f>
        <v>107474.91296857156</v>
      </c>
      <c r="P27" s="10">
        <f t="shared" si="2"/>
        <v>-2926.415233415235</v>
      </c>
      <c r="Q27" s="10">
        <f>+Q26+R26-Sheet1!$S$22-Sheet1!$S$22</f>
        <v>107518.69240267524</v>
      </c>
      <c r="R27" s="10">
        <f t="shared" si="0"/>
        <v>-3146.4433932407569</v>
      </c>
    </row>
    <row r="28" spans="1:18" x14ac:dyDescent="0.3">
      <c r="H28" t="s">
        <v>39</v>
      </c>
      <c r="I28" s="7">
        <f>+Sheet1!G27</f>
        <v>2.2490430578194488E-2</v>
      </c>
      <c r="J28" s="9">
        <f>+J27+K27-Sheet1!$S$22</f>
        <v>109511.49773515633</v>
      </c>
      <c r="K28" s="9">
        <f t="shared" si="3"/>
        <v>2249.0430578194487</v>
      </c>
      <c r="L28" s="9">
        <f>+L27+M27-Sheet1!$S$22</f>
        <v>109666.78370728889</v>
      </c>
      <c r="M28" s="9">
        <f t="shared" si="1"/>
        <v>2466.4531857026514</v>
      </c>
      <c r="N28" s="30">
        <f>+I28-Sheet1!$T$22</f>
        <v>2.0560430578194486E-2</v>
      </c>
      <c r="O28" s="10">
        <f>+O27+P27-Sheet1!$S$22-Sheet1!$S$22</f>
        <v>104536.49773515633</v>
      </c>
      <c r="P28" s="10">
        <f t="shared" si="2"/>
        <v>2056.0430578194487</v>
      </c>
      <c r="Q28" s="10">
        <f>+Q27+R27-Sheet1!$S$22-Sheet1!$S$22</f>
        <v>104360.24900943448</v>
      </c>
      <c r="R28" s="10">
        <f t="shared" si="0"/>
        <v>2145.6916548815675</v>
      </c>
    </row>
    <row r="29" spans="1:18" x14ac:dyDescent="0.3">
      <c r="H29" t="s">
        <v>40</v>
      </c>
      <c r="I29" s="7">
        <f>+Sheet1!G28</f>
        <v>3.7443405871184443E-2</v>
      </c>
      <c r="J29" s="9">
        <f>+J28+K28-Sheet1!$S$22</f>
        <v>111754.54079297578</v>
      </c>
      <c r="K29" s="9">
        <f t="shared" si="3"/>
        <v>3744.3405871184441</v>
      </c>
      <c r="L29" s="9">
        <f>+L28+M28-Sheet1!$S$22</f>
        <v>112127.23689299154</v>
      </c>
      <c r="M29" s="9">
        <f t="shared" si="1"/>
        <v>4198.4256401987286</v>
      </c>
      <c r="N29" s="30">
        <f>+I29-Sheet1!$T$22</f>
        <v>3.5513405871184442E-2</v>
      </c>
      <c r="O29" s="10">
        <f>+O28+P28-Sheet1!$S$22-Sheet1!$S$22</f>
        <v>106580.54079297578</v>
      </c>
      <c r="P29" s="10">
        <f t="shared" si="2"/>
        <v>3551.3405871184441</v>
      </c>
      <c r="Q29" s="10">
        <f>+Q28+R28-Sheet1!$S$22-Sheet1!$S$22</f>
        <v>106493.94066431605</v>
      </c>
      <c r="R29" s="10">
        <f t="shared" si="0"/>
        <v>3781.962537633689</v>
      </c>
    </row>
    <row r="30" spans="1:18" x14ac:dyDescent="0.3">
      <c r="H30" t="s">
        <v>41</v>
      </c>
      <c r="I30" s="7">
        <f>+Sheet1!G29</f>
        <v>-4.6202604146780577E-3</v>
      </c>
      <c r="J30" s="9">
        <f>+J29+K29-Sheet1!$S$22</f>
        <v>115492.88138009422</v>
      </c>
      <c r="K30" s="9">
        <f t="shared" si="3"/>
        <v>-462.02604146780578</v>
      </c>
      <c r="L30" s="9">
        <f>+L29+M29-Sheet1!$S$22</f>
        <v>116319.66253319026</v>
      </c>
      <c r="M30" s="9">
        <f t="shared" si="1"/>
        <v>-537.42713225080934</v>
      </c>
      <c r="N30" s="30">
        <f>+I30-Sheet1!$T$22</f>
        <v>-6.550260414678058E-3</v>
      </c>
      <c r="O30" s="10">
        <f>+O29+P29-Sheet1!$S$22-Sheet1!$S$22</f>
        <v>110119.88138009422</v>
      </c>
      <c r="P30" s="10">
        <f t="shared" si="2"/>
        <v>-655.02604146780584</v>
      </c>
      <c r="Q30" s="10">
        <f>+Q29+R29-Sheet1!$S$22-Sheet1!$S$22</f>
        <v>110263.90320194974</v>
      </c>
      <c r="R30" s="10">
        <f t="shared" si="0"/>
        <v>-722.25728031162453</v>
      </c>
    </row>
    <row r="31" spans="1:18" x14ac:dyDescent="0.3">
      <c r="H31" t="s">
        <v>42</v>
      </c>
      <c r="I31" s="7">
        <f>+Sheet1!G30</f>
        <v>-1.4316954189484855E-2</v>
      </c>
      <c r="J31" s="9">
        <f>+J30+K30-Sheet1!$S$22</f>
        <v>115024.85533862641</v>
      </c>
      <c r="K31" s="9">
        <f t="shared" si="3"/>
        <v>-1431.6954189484854</v>
      </c>
      <c r="L31" s="9">
        <f>+L30+M30-Sheet1!$S$22</f>
        <v>115776.23540093945</v>
      </c>
      <c r="M31" s="9">
        <f t="shared" si="1"/>
        <v>-1657.5630584662647</v>
      </c>
      <c r="N31" s="30">
        <f>+I31-Sheet1!$T$22</f>
        <v>-1.6246954189484856E-2</v>
      </c>
      <c r="O31" s="10">
        <f>+O30+P30-Sheet1!$S$22-Sheet1!$S$22</f>
        <v>109452.85533862641</v>
      </c>
      <c r="P31" s="10">
        <f t="shared" si="2"/>
        <v>-1624.6954189484857</v>
      </c>
      <c r="Q31" s="10">
        <f>+Q30+R30-Sheet1!$S$22-Sheet1!$S$22</f>
        <v>109529.64592163812</v>
      </c>
      <c r="R31" s="10">
        <f t="shared" si="0"/>
        <v>-1779.5231396793513</v>
      </c>
    </row>
    <row r="32" spans="1:18" x14ac:dyDescent="0.3">
      <c r="H32" t="s">
        <v>43</v>
      </c>
      <c r="I32" s="7">
        <f>+Sheet1!G31</f>
        <v>9.5433856996032492E-4</v>
      </c>
      <c r="J32" s="9">
        <f>+J31+K31-Sheet1!$S$22</f>
        <v>113587.15991967793</v>
      </c>
      <c r="K32" s="9">
        <f t="shared" si="3"/>
        <v>95.433856996032489</v>
      </c>
      <c r="L32" s="9">
        <f>+L31+M31-Sheet1!$S$22</f>
        <v>114112.67234247319</v>
      </c>
      <c r="M32" s="9">
        <f t="shared" si="1"/>
        <v>108.90212453766698</v>
      </c>
      <c r="N32" s="30">
        <f>+I32-Sheet1!$T$22</f>
        <v>-9.7566143003967516E-4</v>
      </c>
      <c r="O32" s="10">
        <f>+O31+P31-Sheet1!$S$22-Sheet1!$S$22</f>
        <v>107816.15991967793</v>
      </c>
      <c r="P32" s="10">
        <f t="shared" si="2"/>
        <v>-97.566143003967511</v>
      </c>
      <c r="Q32" s="10">
        <f>+Q31+R31-Sheet1!$S$22-Sheet1!$S$22</f>
        <v>107738.12278195877</v>
      </c>
      <c r="R32" s="10">
        <f t="shared" si="0"/>
        <v>-105.11593094323599</v>
      </c>
    </row>
    <row r="33" spans="8:18" x14ac:dyDescent="0.3">
      <c r="H33" t="s">
        <v>44</v>
      </c>
      <c r="I33" s="7">
        <f>+Sheet1!G32</f>
        <v>-2.288286947462454E-3</v>
      </c>
      <c r="J33" s="9">
        <f>+J32+K32-Sheet1!$S$22</f>
        <v>113676.59377667397</v>
      </c>
      <c r="K33" s="9">
        <f t="shared" si="3"/>
        <v>-228.82869474624539</v>
      </c>
      <c r="L33" s="9">
        <f>+L32+M32-Sheet1!$S$22</f>
        <v>114215.57446701085</v>
      </c>
      <c r="M33" s="9">
        <f t="shared" si="1"/>
        <v>-261.35800824978685</v>
      </c>
      <c r="N33" s="30">
        <f>+I33-Sheet1!$T$22</f>
        <v>-4.2182869474624539E-3</v>
      </c>
      <c r="O33" s="10">
        <f>+O32+P32-Sheet1!$S$22-Sheet1!$S$22</f>
        <v>107706.59377667397</v>
      </c>
      <c r="P33" s="10">
        <f t="shared" si="2"/>
        <v>-421.82869474624539</v>
      </c>
      <c r="Q33" s="10">
        <f>+Q32+R32-Sheet1!$S$22-Sheet1!$S$22</f>
        <v>107621.00685101553</v>
      </c>
      <c r="R33" s="10">
        <f t="shared" si="0"/>
        <v>-453.97628847240611</v>
      </c>
    </row>
    <row r="34" spans="8:18" x14ac:dyDescent="0.3">
      <c r="H34" t="s">
        <v>45</v>
      </c>
      <c r="I34" s="7">
        <f>+Sheet1!G33</f>
        <v>6.9497045902137409E-3</v>
      </c>
      <c r="J34" s="9">
        <f>+J33+K33-Sheet1!$S$22</f>
        <v>113441.76508192772</v>
      </c>
      <c r="K34" s="9">
        <f t="shared" si="3"/>
        <v>694.97045902137404</v>
      </c>
      <c r="L34" s="9">
        <f>+L33+M33-Sheet1!$S$22</f>
        <v>113948.21645876106</v>
      </c>
      <c r="M34" s="9">
        <f t="shared" si="1"/>
        <v>791.90644297012068</v>
      </c>
      <c r="N34" s="30">
        <f>+I34-Sheet1!$T$22</f>
        <v>5.0197045902137406E-3</v>
      </c>
      <c r="O34" s="10">
        <f>+O33+P33-Sheet1!$S$22-Sheet1!$S$22</f>
        <v>107272.76508192772</v>
      </c>
      <c r="P34" s="10">
        <f t="shared" si="2"/>
        <v>501.97045902137404</v>
      </c>
      <c r="Q34" s="10">
        <f>+Q33+R33-Sheet1!$S$22-Sheet1!$S$22</f>
        <v>107155.03056254312</v>
      </c>
      <c r="R34" s="10">
        <f t="shared" si="0"/>
        <v>537.88659877929138</v>
      </c>
    </row>
    <row r="35" spans="8:18" x14ac:dyDescent="0.3">
      <c r="H35" t="s">
        <v>46</v>
      </c>
      <c r="I35" s="7">
        <f>+Sheet1!G34</f>
        <v>-5.5305044899217719E-3</v>
      </c>
      <c r="J35" s="9">
        <f>+J34+K34-Sheet1!$S$22</f>
        <v>114130.7355409491</v>
      </c>
      <c r="K35" s="9">
        <f t="shared" si="3"/>
        <v>-553.05044899217717</v>
      </c>
      <c r="L35" s="9">
        <f>+L34+M34-Sheet1!$S$22</f>
        <v>114734.12290173119</v>
      </c>
      <c r="M35" s="9">
        <f t="shared" si="1"/>
        <v>-634.53758185526067</v>
      </c>
      <c r="N35" s="30">
        <f>+I35-Sheet1!$T$22</f>
        <v>-7.4605044899217722E-3</v>
      </c>
      <c r="O35" s="10">
        <f>+O34+P34-Sheet1!$S$22-Sheet1!$S$22</f>
        <v>107762.7355409491</v>
      </c>
      <c r="P35" s="10">
        <f t="shared" si="2"/>
        <v>-746.05044899217717</v>
      </c>
      <c r="Q35" s="10">
        <f>+Q34+R34-Sheet1!$S$22-Sheet1!$S$22</f>
        <v>107680.91716132242</v>
      </c>
      <c r="R35" s="10">
        <f t="shared" ref="R35:R66" si="4">Q35*N35</f>
        <v>-803.35396596094029</v>
      </c>
    </row>
    <row r="36" spans="8:18" x14ac:dyDescent="0.3">
      <c r="H36" t="s">
        <v>47</v>
      </c>
      <c r="I36" s="7">
        <f>+Sheet1!G35</f>
        <v>6.6615575075163322E-3</v>
      </c>
      <c r="J36" s="9">
        <f>+J35+K35-Sheet1!$S$22</f>
        <v>113571.68509195693</v>
      </c>
      <c r="K36" s="9">
        <f t="shared" si="3"/>
        <v>666.15575075163326</v>
      </c>
      <c r="L36" s="9">
        <f>+L35+M35-Sheet1!$S$22</f>
        <v>114093.58531987593</v>
      </c>
      <c r="M36" s="9">
        <f t="shared" si="1"/>
        <v>760.04097984707471</v>
      </c>
      <c r="N36" s="30">
        <f>+I36-Sheet1!$T$22</f>
        <v>4.7315575075163319E-3</v>
      </c>
      <c r="O36" s="10">
        <f>+O35+P35-Sheet1!$S$22-Sheet1!$S$22</f>
        <v>107004.68509195693</v>
      </c>
      <c r="P36" s="10">
        <f t="shared" si="2"/>
        <v>473.15575075163321</v>
      </c>
      <c r="Q36" s="10">
        <f>+Q35+R35-Sheet1!$S$22-Sheet1!$S$22</f>
        <v>106865.56319536148</v>
      </c>
      <c r="R36" s="10">
        <f t="shared" si="4"/>
        <v>505.64055783197364</v>
      </c>
    </row>
    <row r="37" spans="8:18" x14ac:dyDescent="0.3">
      <c r="H37" t="s">
        <v>48</v>
      </c>
      <c r="I37" s="7">
        <f>+Sheet1!G36</f>
        <v>9.2514221601086334E-3</v>
      </c>
      <c r="J37" s="9">
        <f>+J36+K36-Sheet1!$S$22</f>
        <v>114231.84084270855</v>
      </c>
      <c r="K37" s="9">
        <f t="shared" si="3"/>
        <v>925.14221601086331</v>
      </c>
      <c r="L37" s="9">
        <f>+L36+M36-Sheet1!$S$22</f>
        <v>114847.62629972301</v>
      </c>
      <c r="M37" s="9">
        <f t="shared" si="1"/>
        <v>1062.5038749851326</v>
      </c>
      <c r="N37" s="30">
        <f>+I37-Sheet1!$T$22</f>
        <v>7.3214221601086331E-3</v>
      </c>
      <c r="O37" s="10">
        <f>+O36+P36-Sheet1!$S$22-Sheet1!$S$22</f>
        <v>107465.84084270855</v>
      </c>
      <c r="P37" s="10">
        <f t="shared" si="2"/>
        <v>732.14221601086331</v>
      </c>
      <c r="Q37" s="10">
        <f>+Q36+R36-Sheet1!$S$22-Sheet1!$S$22</f>
        <v>107359.20375319345</v>
      </c>
      <c r="R37" s="10">
        <f t="shared" si="4"/>
        <v>786.02205345024845</v>
      </c>
    </row>
    <row r="38" spans="8:18" x14ac:dyDescent="0.3">
      <c r="H38" t="s">
        <v>49</v>
      </c>
      <c r="I38" s="7">
        <f>+Sheet1!G37</f>
        <v>2.9939533882550394E-3</v>
      </c>
      <c r="J38" s="9">
        <f>+J37+K37-Sheet1!$S$22</f>
        <v>115150.98305871942</v>
      </c>
      <c r="K38" s="9">
        <f t="shared" si="3"/>
        <v>299.39533882550393</v>
      </c>
      <c r="L38" s="9">
        <f>+L37+M37-Sheet1!$S$22</f>
        <v>115904.13017470815</v>
      </c>
      <c r="M38" s="9">
        <f t="shared" si="1"/>
        <v>347.0115632493206</v>
      </c>
      <c r="N38" s="30">
        <f>+I38-Sheet1!$T$22</f>
        <v>1.0639533882550393E-3</v>
      </c>
      <c r="O38" s="10">
        <f>+O37+P37-Sheet1!$S$22-Sheet1!$S$22</f>
        <v>108185.98305871942</v>
      </c>
      <c r="P38" s="10">
        <f t="shared" si="2"/>
        <v>106.39533882550393</v>
      </c>
      <c r="Q38" s="10">
        <f>+Q37+R37-Sheet1!$S$22-Sheet1!$S$22</f>
        <v>108133.22580664369</v>
      </c>
      <c r="R38" s="10">
        <f t="shared" si="4"/>
        <v>115.04871197992581</v>
      </c>
    </row>
    <row r="39" spans="8:18" x14ac:dyDescent="0.3">
      <c r="H39" t="s">
        <v>50</v>
      </c>
      <c r="I39" s="7">
        <f>+Sheet1!G38</f>
        <v>-2.0019619226842307E-3</v>
      </c>
      <c r="J39" s="9">
        <f>+J38+K38-Sheet1!$S$22</f>
        <v>115444.37839754492</v>
      </c>
      <c r="K39" s="9">
        <f t="shared" si="3"/>
        <v>-200.19619226842306</v>
      </c>
      <c r="L39" s="9">
        <f>+L38+M38-Sheet1!$S$22</f>
        <v>116245.14173795747</v>
      </c>
      <c r="M39" s="9">
        <f t="shared" si="1"/>
        <v>-232.71834745642226</v>
      </c>
      <c r="N39" s="30">
        <f>+I39-Sheet1!$T$22</f>
        <v>-3.9319619226842305E-3</v>
      </c>
      <c r="O39" s="10">
        <f>+O38+P38-Sheet1!$S$22-Sheet1!$S$22</f>
        <v>108280.37839754492</v>
      </c>
      <c r="P39" s="10">
        <f t="shared" si="2"/>
        <v>-393.19619226842303</v>
      </c>
      <c r="Q39" s="10">
        <f>+Q38+R38-Sheet1!$S$22-Sheet1!$S$22</f>
        <v>108236.27451862361</v>
      </c>
      <c r="R39" s="10">
        <f t="shared" si="4"/>
        <v>-425.58091006042548</v>
      </c>
    </row>
    <row r="40" spans="8:18" x14ac:dyDescent="0.3">
      <c r="H40" t="s">
        <v>51</v>
      </c>
      <c r="I40" s="7">
        <f>+Sheet1!G39</f>
        <v>-1.0248699127475629E-2</v>
      </c>
      <c r="J40" s="9">
        <f>+J39+K39-Sheet1!$S$22</f>
        <v>115238.18220527649</v>
      </c>
      <c r="K40" s="9">
        <f t="shared" si="3"/>
        <v>-1024.8699127475629</v>
      </c>
      <c r="L40" s="9">
        <f>+L39+M39-Sheet1!$S$22</f>
        <v>116006.42339050105</v>
      </c>
      <c r="M40" s="9">
        <f t="shared" si="1"/>
        <v>-1188.9149301837965</v>
      </c>
      <c r="N40" s="30">
        <f>+I40-Sheet1!$T$22</f>
        <v>-1.2178699127475628E-2</v>
      </c>
      <c r="O40" s="10">
        <f>+O39+P39-Sheet1!$S$22-Sheet1!$S$22</f>
        <v>107875.18220527649</v>
      </c>
      <c r="P40" s="10">
        <f t="shared" si="2"/>
        <v>-1217.8699127475629</v>
      </c>
      <c r="Q40" s="10">
        <f>+Q39+R39-Sheet1!$S$22-Sheet1!$S$22</f>
        <v>107798.69360856319</v>
      </c>
      <c r="R40" s="10">
        <f t="shared" si="4"/>
        <v>-1312.8478557936212</v>
      </c>
    </row>
    <row r="41" spans="8:18" x14ac:dyDescent="0.3">
      <c r="H41" t="s">
        <v>52</v>
      </c>
      <c r="I41" s="7">
        <f>+Sheet1!G40</f>
        <v>2.1697639377197069E-3</v>
      </c>
      <c r="J41" s="9">
        <f>+J40+K40-Sheet1!$S$22</f>
        <v>114207.31229252892</v>
      </c>
      <c r="K41" s="9">
        <f t="shared" si="3"/>
        <v>216.97639377197069</v>
      </c>
      <c r="L41" s="9">
        <f>+L40+M40-Sheet1!$S$22</f>
        <v>114811.50846031726</v>
      </c>
      <c r="M41" s="9">
        <f t="shared" si="1"/>
        <v>249.11387069239743</v>
      </c>
      <c r="N41" s="30">
        <f>+I41-Sheet1!$T$22</f>
        <v>2.3976393771970683E-4</v>
      </c>
      <c r="O41" s="10">
        <f>+O40+P40-Sheet1!$S$22-Sheet1!$S$22</f>
        <v>106645.31229252892</v>
      </c>
      <c r="P41" s="10">
        <f t="shared" si="2"/>
        <v>23.976393771970685</v>
      </c>
      <c r="Q41" s="10">
        <f>+Q40+R40-Sheet1!$S$22-Sheet1!$S$22</f>
        <v>106473.84575276957</v>
      </c>
      <c r="R41" s="10">
        <f t="shared" si="4"/>
        <v>25.528588521844714</v>
      </c>
    </row>
    <row r="42" spans="8:18" x14ac:dyDescent="0.3">
      <c r="H42" t="s">
        <v>53</v>
      </c>
      <c r="I42" s="7">
        <f>+Sheet1!G41</f>
        <v>-1.8411509185828734E-2</v>
      </c>
      <c r="J42" s="9">
        <f>+J41+K41-Sheet1!$S$22</f>
        <v>114418.28868630089</v>
      </c>
      <c r="K42" s="9">
        <f t="shared" si="3"/>
        <v>-1841.1509185828734</v>
      </c>
      <c r="L42" s="9">
        <f>+L41+M41-Sheet1!$S$22</f>
        <v>115054.62233100965</v>
      </c>
      <c r="M42" s="9">
        <f t="shared" si="1"/>
        <v>-2118.3292359194402</v>
      </c>
      <c r="N42" s="30">
        <f>+I42-Sheet1!$T$22</f>
        <v>-2.0341509185828735E-2</v>
      </c>
      <c r="O42" s="10">
        <f>+O41+P41-Sheet1!$S$22-Sheet1!$S$22</f>
        <v>106657.28868630089</v>
      </c>
      <c r="P42" s="10">
        <f t="shared" si="2"/>
        <v>-2034.1509185828736</v>
      </c>
      <c r="Q42" s="10">
        <f>+Q41+R41-Sheet1!$S$22-Sheet1!$S$22</f>
        <v>106487.37434129142</v>
      </c>
      <c r="R42" s="10">
        <f t="shared" si="4"/>
        <v>-2166.1139033381623</v>
      </c>
    </row>
    <row r="43" spans="8:18" x14ac:dyDescent="0.3">
      <c r="H43" t="s">
        <v>54</v>
      </c>
      <c r="I43" s="7">
        <f>+Sheet1!G42</f>
        <v>1.852152391771817E-2</v>
      </c>
      <c r="J43" s="9">
        <f>+J42+K42-Sheet1!$S$22</f>
        <v>112571.13776771801</v>
      </c>
      <c r="K43" s="9">
        <f t="shared" si="3"/>
        <v>1852.1523917718171</v>
      </c>
      <c r="L43" s="9">
        <f>+L42+M42-Sheet1!$S$22</f>
        <v>112930.29309509021</v>
      </c>
      <c r="M43" s="9">
        <f t="shared" si="1"/>
        <v>2091.6411245956365</v>
      </c>
      <c r="N43" s="30">
        <f>+I43-Sheet1!$T$22</f>
        <v>1.6591523917718169E-2</v>
      </c>
      <c r="O43" s="10">
        <f>+O42+P42-Sheet1!$S$22-Sheet1!$S$22</f>
        <v>104611.13776771801</v>
      </c>
      <c r="P43" s="10">
        <f t="shared" si="2"/>
        <v>1659.1523917718168</v>
      </c>
      <c r="Q43" s="10">
        <f>+Q42+R42-Sheet1!$S$22-Sheet1!$S$22</f>
        <v>104309.26043795326</v>
      </c>
      <c r="R43" s="10">
        <f t="shared" si="4"/>
        <v>1730.6495893957951</v>
      </c>
    </row>
    <row r="44" spans="8:18" x14ac:dyDescent="0.3">
      <c r="H44" t="s">
        <v>55</v>
      </c>
      <c r="I44" s="7">
        <f>+Sheet1!G43</f>
        <v>1.2387766832497572E-2</v>
      </c>
      <c r="J44" s="9">
        <f>+J43+K43-Sheet1!$S$22</f>
        <v>114417.29015948983</v>
      </c>
      <c r="K44" s="9">
        <f t="shared" si="3"/>
        <v>1238.7766832497573</v>
      </c>
      <c r="L44" s="9">
        <f>+L43+M43-Sheet1!$S$22</f>
        <v>115015.93421968585</v>
      </c>
      <c r="M44" s="9">
        <f t="shared" si="1"/>
        <v>1424.7905751353469</v>
      </c>
      <c r="N44" s="30">
        <f>+I44-Sheet1!$T$22</f>
        <v>1.0457766832497573E-2</v>
      </c>
      <c r="O44" s="10">
        <f>+O43+P43-Sheet1!$S$22-Sheet1!$S$22</f>
        <v>106258.29015948983</v>
      </c>
      <c r="P44" s="10">
        <f t="shared" si="2"/>
        <v>1045.7766832497573</v>
      </c>
      <c r="Q44" s="10">
        <f>+Q43+R43-Sheet1!$S$22-Sheet1!$S$22</f>
        <v>106027.91002734905</v>
      </c>
      <c r="R44" s="10">
        <f t="shared" si="4"/>
        <v>1108.8151608030478</v>
      </c>
    </row>
    <row r="45" spans="8:18" x14ac:dyDescent="0.3">
      <c r="H45" t="s">
        <v>56</v>
      </c>
      <c r="I45" s="7">
        <f>+Sheet1!G44</f>
        <v>1.832858869866905E-3</v>
      </c>
      <c r="J45" s="9">
        <f>+J44+K44-Sheet1!$S$22</f>
        <v>115650.06684273959</v>
      </c>
      <c r="K45" s="9">
        <f t="shared" si="3"/>
        <v>183.28588698669049</v>
      </c>
      <c r="L45" s="9">
        <f>+L44+M44-Sheet1!$S$22</f>
        <v>116434.7247948212</v>
      </c>
      <c r="M45" s="9">
        <f t="shared" si="1"/>
        <v>213.40841810070009</v>
      </c>
      <c r="N45" s="30">
        <f>+I45-Sheet1!$T$22</f>
        <v>-9.7141130133095079E-5</v>
      </c>
      <c r="O45" s="10">
        <f>+O44+P44-Sheet1!$S$22-Sheet1!$S$22</f>
        <v>107292.06684273959</v>
      </c>
      <c r="P45" s="10">
        <f t="shared" si="2"/>
        <v>-9.7141130133095075</v>
      </c>
      <c r="Q45" s="10">
        <f>+Q44+R44-Sheet1!$S$22-Sheet1!$S$22</f>
        <v>107124.72518815209</v>
      </c>
      <c r="R45" s="10">
        <f t="shared" si="4"/>
        <v>-10.406216869974331</v>
      </c>
    </row>
    <row r="46" spans="8:18" x14ac:dyDescent="0.3">
      <c r="H46" t="s">
        <v>57</v>
      </c>
      <c r="I46" s="7">
        <f>+Sheet1!G45</f>
        <v>-7.6312040127252279E-3</v>
      </c>
      <c r="J46" s="9">
        <f>+J45+K45-Sheet1!$S$22</f>
        <v>115827.35272972628</v>
      </c>
      <c r="K46" s="9">
        <f t="shared" si="3"/>
        <v>-763.12040127252283</v>
      </c>
      <c r="L46" s="9">
        <f>+L45+M45-Sheet1!$S$22</f>
        <v>116642.13321292191</v>
      </c>
      <c r="M46" s="9">
        <f t="shared" si="1"/>
        <v>-890.11991502728029</v>
      </c>
      <c r="N46" s="30">
        <f>+I46-Sheet1!$T$22</f>
        <v>-9.5612040127252274E-3</v>
      </c>
      <c r="O46" s="10">
        <f>+O45+P45-Sheet1!$S$22-Sheet1!$S$22</f>
        <v>107270.35272972628</v>
      </c>
      <c r="P46" s="10">
        <f t="shared" si="2"/>
        <v>-956.12040127252271</v>
      </c>
      <c r="Q46" s="10">
        <f>+Q45+R45-Sheet1!$S$22-Sheet1!$S$22</f>
        <v>107102.31897128212</v>
      </c>
      <c r="R46" s="10">
        <f t="shared" si="4"/>
        <v>-1024.0271219203998</v>
      </c>
    </row>
    <row r="47" spans="8:18" x14ac:dyDescent="0.3">
      <c r="H47" t="s">
        <v>58</v>
      </c>
      <c r="I47" s="7">
        <f>+Sheet1!G46</f>
        <v>-1.2593962769097296E-3</v>
      </c>
      <c r="J47" s="9">
        <f>+J46+K46-Sheet1!$S$22</f>
        <v>115058.23232845376</v>
      </c>
      <c r="K47" s="9">
        <f t="shared" si="3"/>
        <v>-125.93962769097296</v>
      </c>
      <c r="L47" s="9">
        <f>+L46+M46-Sheet1!$S$22</f>
        <v>115746.01329789463</v>
      </c>
      <c r="M47" s="9">
        <f t="shared" si="1"/>
        <v>-145.77009821451256</v>
      </c>
      <c r="N47" s="30">
        <f>+I47-Sheet1!$T$22</f>
        <v>-3.1893962769097297E-3</v>
      </c>
      <c r="O47" s="10">
        <f>+O46+P46-Sheet1!$S$22-Sheet1!$S$22</f>
        <v>106302.23232845376</v>
      </c>
      <c r="P47" s="10">
        <f t="shared" si="2"/>
        <v>-318.93962769097294</v>
      </c>
      <c r="Q47" s="10">
        <f>+Q46+R46-Sheet1!$S$22-Sheet1!$S$22</f>
        <v>106066.29184936172</v>
      </c>
      <c r="R47" s="10">
        <f t="shared" si="4"/>
        <v>-338.28743632997509</v>
      </c>
    </row>
    <row r="48" spans="8:18" x14ac:dyDescent="0.3">
      <c r="H48" t="s">
        <v>59</v>
      </c>
      <c r="I48" s="7">
        <f>+Sheet1!G47</f>
        <v>1.4164029226741686E-2</v>
      </c>
      <c r="J48" s="9">
        <f>+J47+K47-Sheet1!$S$22</f>
        <v>114926.29270076279</v>
      </c>
      <c r="K48" s="9">
        <f t="shared" si="3"/>
        <v>1416.4029226741686</v>
      </c>
      <c r="L48" s="9">
        <f>+L47+M47-Sheet1!$S$22</f>
        <v>115594.24319968012</v>
      </c>
      <c r="M48" s="9">
        <f t="shared" si="1"/>
        <v>1637.2802391233556</v>
      </c>
      <c r="N48" s="30">
        <f>+I48-Sheet1!$T$22</f>
        <v>1.2234029226741687E-2</v>
      </c>
      <c r="O48" s="10">
        <f>+O47+P47-Sheet1!$S$22-Sheet1!$S$22</f>
        <v>105971.29270076279</v>
      </c>
      <c r="P48" s="10">
        <f t="shared" si="2"/>
        <v>1223.4029226741686</v>
      </c>
      <c r="Q48" s="10">
        <f>+Q47+R47-Sheet1!$S$22-Sheet1!$S$22</f>
        <v>105716.00441303174</v>
      </c>
      <c r="R48" s="10">
        <f t="shared" si="4"/>
        <v>1293.3326877233835</v>
      </c>
    </row>
    <row r="49" spans="8:18" x14ac:dyDescent="0.3">
      <c r="H49" t="s">
        <v>60</v>
      </c>
      <c r="I49" s="7">
        <f>+Sheet1!G48</f>
        <v>-9.5594678562893557E-3</v>
      </c>
      <c r="J49" s="9">
        <f>+J48+K48-Sheet1!$S$22</f>
        <v>116336.69562343696</v>
      </c>
      <c r="K49" s="9">
        <f t="shared" si="3"/>
        <v>-955.94678562893557</v>
      </c>
      <c r="L49" s="9">
        <f>+L48+M48-Sheet1!$S$22</f>
        <v>117225.52343880347</v>
      </c>
      <c r="M49" s="9">
        <f t="shared" si="1"/>
        <v>-1120.6136232499362</v>
      </c>
      <c r="N49" s="30">
        <f>+I49-Sheet1!$T$22</f>
        <v>-1.1489467856289355E-2</v>
      </c>
      <c r="O49" s="10">
        <f>+O48+P48-Sheet1!$S$22-Sheet1!$S$22</f>
        <v>107182.69562343696</v>
      </c>
      <c r="P49" s="10">
        <f t="shared" si="2"/>
        <v>-1148.9467856289355</v>
      </c>
      <c r="Q49" s="10">
        <f>+Q48+R48-Sheet1!$S$22-Sheet1!$S$22</f>
        <v>106997.33710075512</v>
      </c>
      <c r="R49" s="10">
        <f t="shared" si="4"/>
        <v>-1229.3424653276825</v>
      </c>
    </row>
    <row r="50" spans="8:18" x14ac:dyDescent="0.3">
      <c r="H50" t="s">
        <v>61</v>
      </c>
      <c r="I50" s="7">
        <f>+Sheet1!G49</f>
        <v>2.6225930939728886E-2</v>
      </c>
      <c r="J50" s="9">
        <f>+J49+K49-Sheet1!$S$22</f>
        <v>115374.74883780802</v>
      </c>
      <c r="K50" s="9">
        <f t="shared" si="3"/>
        <v>2622.5930939728887</v>
      </c>
      <c r="L50" s="9">
        <f>+L49+M49-Sheet1!$S$22</f>
        <v>116098.90981555353</v>
      </c>
      <c r="M50" s="9">
        <f t="shared" si="1"/>
        <v>3044.8019910005191</v>
      </c>
      <c r="N50" s="30">
        <f>+I50-Sheet1!$T$22</f>
        <v>2.4295930939728885E-2</v>
      </c>
      <c r="O50" s="10">
        <f>+O49+P49-Sheet1!$S$22-Sheet1!$S$22</f>
        <v>106021.74883780802</v>
      </c>
      <c r="P50" s="10">
        <f t="shared" si="2"/>
        <v>2429.5930939728887</v>
      </c>
      <c r="Q50" s="10">
        <f>+Q49+R49-Sheet1!$S$22-Sheet1!$S$22</f>
        <v>105755.99463542743</v>
      </c>
      <c r="R50" s="10">
        <f t="shared" si="4"/>
        <v>2569.4403421246834</v>
      </c>
    </row>
    <row r="51" spans="8:18" x14ac:dyDescent="0.3">
      <c r="H51" t="s">
        <v>62</v>
      </c>
      <c r="I51" s="7">
        <f>+Sheet1!G50</f>
        <v>1.3874294609846266E-2</v>
      </c>
      <c r="J51" s="9">
        <f>+J50+K50-Sheet1!$S$22</f>
        <v>117991.3419317809</v>
      </c>
      <c r="K51" s="9">
        <f t="shared" si="3"/>
        <v>1387.4294609846265</v>
      </c>
      <c r="L51" s="9">
        <f>+L50+M50-Sheet1!$S$22</f>
        <v>119137.71180655406</v>
      </c>
      <c r="M51" s="9">
        <f t="shared" si="1"/>
        <v>1652.9517127470908</v>
      </c>
      <c r="N51" s="30">
        <f>+I51-Sheet1!$T$22</f>
        <v>1.1944294609846267E-2</v>
      </c>
      <c r="O51" s="10">
        <f>+O50+P50-Sheet1!$S$22-Sheet1!$S$22</f>
        <v>108439.3419317809</v>
      </c>
      <c r="P51" s="10">
        <f t="shared" si="2"/>
        <v>1194.4294609846268</v>
      </c>
      <c r="Q51" s="10">
        <f>+Q50+R50-Sheet1!$S$22-Sheet1!$S$22</f>
        <v>108313.43497755211</v>
      </c>
      <c r="R51" s="10">
        <f t="shared" si="4"/>
        <v>1293.7275775763098</v>
      </c>
    </row>
    <row r="52" spans="8:18" x14ac:dyDescent="0.3">
      <c r="H52" t="s">
        <v>63</v>
      </c>
      <c r="I52" s="7">
        <f>+Sheet1!G51</f>
        <v>2.0655270655270688E-2</v>
      </c>
      <c r="J52" s="9">
        <f>+J51+K51-Sheet1!$S$22</f>
        <v>119372.77139276553</v>
      </c>
      <c r="K52" s="9">
        <f t="shared" si="3"/>
        <v>2065.5270655270688</v>
      </c>
      <c r="L52" s="9">
        <f>+L51+M51-Sheet1!$S$22</f>
        <v>120784.66351930115</v>
      </c>
      <c r="M52" s="9">
        <f t="shared" si="1"/>
        <v>2494.8399159969649</v>
      </c>
      <c r="N52" s="30">
        <f>+I52-Sheet1!$T$22</f>
        <v>1.8725270655270687E-2</v>
      </c>
      <c r="O52" s="10">
        <f>+O51+P51-Sheet1!$S$22-Sheet1!$S$22</f>
        <v>109621.77139276553</v>
      </c>
      <c r="P52" s="10">
        <f t="shared" si="2"/>
        <v>1872.5270655270688</v>
      </c>
      <c r="Q52" s="10">
        <f>+Q51+R51-Sheet1!$S$22-Sheet1!$S$22</f>
        <v>109595.16255512842</v>
      </c>
      <c r="R52" s="10">
        <f t="shared" si="4"/>
        <v>2052.199081353167</v>
      </c>
    </row>
    <row r="53" spans="8:18" x14ac:dyDescent="0.3">
      <c r="H53" t="s">
        <v>64</v>
      </c>
      <c r="I53" s="7">
        <f>+Sheet1!G52</f>
        <v>-4.1606913729337974E-2</v>
      </c>
      <c r="J53" s="9">
        <f>+J52+K52-Sheet1!$S$22</f>
        <v>121432.2984582926</v>
      </c>
      <c r="K53" s="9">
        <f t="shared" si="3"/>
        <v>-4160.6913729337975</v>
      </c>
      <c r="L53" s="9">
        <f>+L52+M52-Sheet1!$S$22</f>
        <v>123273.50343529812</v>
      </c>
      <c r="M53" s="9">
        <f t="shared" si="1"/>
        <v>-5129.0300225456967</v>
      </c>
      <c r="N53" s="30">
        <f>+I53-Sheet1!$T$22</f>
        <v>-4.3536913729337975E-2</v>
      </c>
      <c r="O53" s="10">
        <f>+O52+P52-Sheet1!$S$22-Sheet1!$S$22</f>
        <v>111482.2984582926</v>
      </c>
      <c r="P53" s="10">
        <f t="shared" si="2"/>
        <v>-4353.6913729337975</v>
      </c>
      <c r="Q53" s="10">
        <f>+Q52+R52-Sheet1!$S$22-Sheet1!$S$22</f>
        <v>111635.3616364816</v>
      </c>
      <c r="R53" s="10">
        <f t="shared" si="4"/>
        <v>-4860.2591087109458</v>
      </c>
    </row>
    <row r="54" spans="8:18" x14ac:dyDescent="0.3">
      <c r="H54" t="s">
        <v>65</v>
      </c>
      <c r="I54" s="7">
        <f>+Sheet1!G53</f>
        <v>-4.1874090182054185E-3</v>
      </c>
      <c r="J54" s="9">
        <f>+J53+K53-Sheet1!$S$22</f>
        <v>117265.6070853588</v>
      </c>
      <c r="K54" s="9">
        <f t="shared" si="3"/>
        <v>-418.74090182054186</v>
      </c>
      <c r="L54" s="9">
        <f>+L53+M53-Sheet1!$S$22</f>
        <v>118138.47341275241</v>
      </c>
      <c r="M54" s="9">
        <f t="shared" si="1"/>
        <v>-494.69410896558054</v>
      </c>
      <c r="N54" s="30">
        <f>+I54-Sheet1!$T$22</f>
        <v>-6.1174090182054188E-3</v>
      </c>
      <c r="O54" s="10">
        <f>+O53+P53-Sheet1!$S$22-Sheet1!$S$22</f>
        <v>107116.6070853588</v>
      </c>
      <c r="P54" s="10">
        <f t="shared" si="2"/>
        <v>-611.74090182054192</v>
      </c>
      <c r="Q54" s="10">
        <f>+Q53+R53-Sheet1!$S$22-Sheet1!$S$22</f>
        <v>106763.10252777065</v>
      </c>
      <c r="R54" s="10">
        <f t="shared" si="4"/>
        <v>-653.11356621497396</v>
      </c>
    </row>
    <row r="55" spans="8:18" x14ac:dyDescent="0.3">
      <c r="H55" t="s">
        <v>66</v>
      </c>
      <c r="I55" s="7">
        <f>+Sheet1!G54</f>
        <v>1.8328432522143997E-2</v>
      </c>
      <c r="J55" s="9">
        <f>+J54+K54-Sheet1!$S$22</f>
        <v>116840.86618353827</v>
      </c>
      <c r="K55" s="9">
        <f t="shared" si="3"/>
        <v>1832.8432522143996</v>
      </c>
      <c r="L55" s="9">
        <f>+L54+M54-Sheet1!$S$22</f>
        <v>117637.77930378684</v>
      </c>
      <c r="M55" s="9">
        <f t="shared" si="1"/>
        <v>2156.1161000243246</v>
      </c>
      <c r="N55" s="30">
        <f>+I55-Sheet1!$T$22</f>
        <v>1.6398432522143996E-2</v>
      </c>
      <c r="O55" s="10">
        <f>+O54+P54-Sheet1!$S$22-Sheet1!$S$22</f>
        <v>106492.86618353827</v>
      </c>
      <c r="P55" s="10">
        <f t="shared" si="2"/>
        <v>1639.8432522143996</v>
      </c>
      <c r="Q55" s="10">
        <f>+Q54+R54-Sheet1!$S$22-Sheet1!$S$22</f>
        <v>106097.98896155567</v>
      </c>
      <c r="R55" s="10">
        <f t="shared" si="4"/>
        <v>1739.8407127212492</v>
      </c>
    </row>
    <row r="56" spans="8:18" x14ac:dyDescent="0.3">
      <c r="H56" t="s">
        <v>67</v>
      </c>
      <c r="I56" s="7">
        <f>+Sheet1!G55</f>
        <v>4.3675274335316502E-3</v>
      </c>
      <c r="J56" s="9">
        <f>+J55+K55-Sheet1!$S$22</f>
        <v>118667.70943575267</v>
      </c>
      <c r="K56" s="9">
        <f t="shared" si="3"/>
        <v>436.75274335316504</v>
      </c>
      <c r="L56" s="9">
        <f>+L55+M55-Sheet1!$S$22</f>
        <v>119787.89540381117</v>
      </c>
      <c r="M56" s="9">
        <f t="shared" si="1"/>
        <v>523.17691938116513</v>
      </c>
      <c r="N56" s="30">
        <f>+I56-Sheet1!$T$22</f>
        <v>2.4375274335316499E-3</v>
      </c>
      <c r="O56" s="10">
        <f>+O55+P55-Sheet1!$S$22-Sheet1!$S$22</f>
        <v>108120.70943575267</v>
      </c>
      <c r="P56" s="10">
        <f t="shared" si="2"/>
        <v>243.75274335316499</v>
      </c>
      <c r="Q56" s="10">
        <f>+Q55+R55-Sheet1!$S$22-Sheet1!$S$22</f>
        <v>107825.82967427693</v>
      </c>
      <c r="R56" s="10">
        <f t="shared" si="4"/>
        <v>262.82841787436109</v>
      </c>
    </row>
    <row r="57" spans="8:18" x14ac:dyDescent="0.3">
      <c r="H57" t="s">
        <v>68</v>
      </c>
      <c r="I57" s="7">
        <f>+Sheet1!G56</f>
        <v>-4.916744347571886E-3</v>
      </c>
      <c r="J57" s="9">
        <f>+J56+K56-Sheet1!$S$22</f>
        <v>119098.46217910583</v>
      </c>
      <c r="K57" s="9">
        <f t="shared" si="3"/>
        <v>-491.67443475718858</v>
      </c>
      <c r="L57" s="9">
        <f>+L56+M56-Sheet1!$S$22</f>
        <v>120305.07232319233</v>
      </c>
      <c r="M57" s="9">
        <f t="shared" si="1"/>
        <v>-591.50928432928288</v>
      </c>
      <c r="N57" s="30">
        <f>+I57-Sheet1!$T$22</f>
        <v>-6.8467443475718863E-3</v>
      </c>
      <c r="O57" s="10">
        <f>+O56+P56-Sheet1!$S$22-Sheet1!$S$22</f>
        <v>108352.46217910583</v>
      </c>
      <c r="P57" s="10">
        <f t="shared" si="2"/>
        <v>-684.67443475718858</v>
      </c>
      <c r="Q57" s="10">
        <f>+Q56+R56-Sheet1!$S$22-Sheet1!$S$22</f>
        <v>108076.65809215129</v>
      </c>
      <c r="R57" s="10">
        <f t="shared" si="4"/>
        <v>-739.97324789689628</v>
      </c>
    </row>
    <row r="58" spans="8:18" x14ac:dyDescent="0.3">
      <c r="H58" t="s">
        <v>69</v>
      </c>
      <c r="I58" s="7">
        <f>+Sheet1!G57</f>
        <v>5.7594355753145198E-4</v>
      </c>
      <c r="J58" s="9">
        <f>+J57+K57-Sheet1!$S$22</f>
        <v>118600.78774434864</v>
      </c>
      <c r="K58" s="9">
        <f t="shared" si="3"/>
        <v>57.594355753145202</v>
      </c>
      <c r="L58" s="9">
        <f>+L57+M57-Sheet1!$S$22</f>
        <v>119707.56303886305</v>
      </c>
      <c r="M58" s="9">
        <f t="shared" si="1"/>
        <v>68.94479972002334</v>
      </c>
      <c r="N58" s="30">
        <f>+I58-Sheet1!$T$22</f>
        <v>-1.3540564424685481E-3</v>
      </c>
      <c r="O58" s="10">
        <f>+O57+P57-Sheet1!$S$22-Sheet1!$S$22</f>
        <v>107655.78774434864</v>
      </c>
      <c r="P58" s="10">
        <f t="shared" si="2"/>
        <v>-135.40564424685482</v>
      </c>
      <c r="Q58" s="10">
        <f>+Q57+R57-Sheet1!$S$22-Sheet1!$S$22</f>
        <v>107324.6848442544</v>
      </c>
      <c r="R58" s="10">
        <f t="shared" si="4"/>
        <v>-145.3236809492692</v>
      </c>
    </row>
    <row r="59" spans="8:18" x14ac:dyDescent="0.3">
      <c r="H59" t="s">
        <v>70</v>
      </c>
      <c r="I59" s="7">
        <f>+Sheet1!G58</f>
        <v>1.121124729632305E-2</v>
      </c>
      <c r="J59" s="9">
        <f>+J58+K58-Sheet1!$S$22</f>
        <v>118652.38210010178</v>
      </c>
      <c r="K59" s="9">
        <f t="shared" si="3"/>
        <v>1121.1247296323049</v>
      </c>
      <c r="L59" s="9">
        <f>+L58+M58-Sheet1!$S$22</f>
        <v>119770.50783858307</v>
      </c>
      <c r="M59" s="9">
        <f t="shared" si="1"/>
        <v>1342.7767821845532</v>
      </c>
      <c r="N59" s="30">
        <f>+I59-Sheet1!$T$22</f>
        <v>9.2812472963230506E-3</v>
      </c>
      <c r="O59" s="10">
        <f>+O58+P58-Sheet1!$S$22-Sheet1!$S$22</f>
        <v>107508.38210010178</v>
      </c>
      <c r="P59" s="10">
        <f t="shared" si="2"/>
        <v>928.12472963230505</v>
      </c>
      <c r="Q59" s="10">
        <f>+Q58+R58-Sheet1!$S$22-Sheet1!$S$22</f>
        <v>107167.36116330513</v>
      </c>
      <c r="R59" s="10">
        <f t="shared" si="4"/>
        <v>994.64678105100165</v>
      </c>
    </row>
    <row r="60" spans="8:18" x14ac:dyDescent="0.3">
      <c r="H60" t="s">
        <v>71</v>
      </c>
      <c r="I60" s="7">
        <f>+Sheet1!G59</f>
        <v>1.5005702879954303E-2</v>
      </c>
      <c r="J60" s="9">
        <f>+J59+K59-Sheet1!$S$22</f>
        <v>119767.50682973408</v>
      </c>
      <c r="K60" s="9">
        <f t="shared" si="3"/>
        <v>1500.5702879954304</v>
      </c>
      <c r="L60" s="9">
        <f>+L59+M59-Sheet1!$S$22</f>
        <v>121107.28462076762</v>
      </c>
      <c r="M60" s="9">
        <f t="shared" si="1"/>
        <v>1817.2999296172982</v>
      </c>
      <c r="N60" s="30">
        <f>+I60-Sheet1!$T$22</f>
        <v>1.3075702879954304E-2</v>
      </c>
      <c r="O60" s="10">
        <f>+O59+P59-Sheet1!$S$22-Sheet1!$S$22</f>
        <v>108424.50682973408</v>
      </c>
      <c r="P60" s="10">
        <f t="shared" si="2"/>
        <v>1307.5702879954304</v>
      </c>
      <c r="Q60" s="10">
        <f>+Q59+R59-Sheet1!$S$22-Sheet1!$S$22</f>
        <v>108150.00794435614</v>
      </c>
      <c r="R60" s="10">
        <f t="shared" si="4"/>
        <v>1414.1373703450984</v>
      </c>
    </row>
    <row r="61" spans="8:18" x14ac:dyDescent="0.3">
      <c r="H61" t="s">
        <v>72</v>
      </c>
      <c r="I61" s="7">
        <f>+Sheet1!G60</f>
        <v>-1.758520667149746E-3</v>
      </c>
      <c r="J61" s="9">
        <f>+J60+K60-Sheet1!$S$22</f>
        <v>121262.07711772951</v>
      </c>
      <c r="K61" s="9">
        <f t="shared" si="3"/>
        <v>-175.8520667149746</v>
      </c>
      <c r="L61" s="9">
        <f>+L60+M60-Sheet1!$S$22</f>
        <v>122918.58455038491</v>
      </c>
      <c r="M61" s="9">
        <f t="shared" si="1"/>
        <v>-216.15487130864534</v>
      </c>
      <c r="N61" s="30">
        <f>+I61-Sheet1!$T$22</f>
        <v>-3.6885206671497459E-3</v>
      </c>
      <c r="O61" s="10">
        <f>+O60+P60-Sheet1!$S$22-Sheet1!$S$22</f>
        <v>109720.07711772951</v>
      </c>
      <c r="P61" s="10">
        <f t="shared" si="2"/>
        <v>-368.85206671497457</v>
      </c>
      <c r="Q61" s="10">
        <f>+Q60+R60-Sheet1!$S$22-Sheet1!$S$22</f>
        <v>109552.14531470124</v>
      </c>
      <c r="R61" s="10">
        <f t="shared" si="4"/>
        <v>-404.08535212386772</v>
      </c>
    </row>
    <row r="62" spans="8:18" x14ac:dyDescent="0.3">
      <c r="H62" t="s">
        <v>73</v>
      </c>
      <c r="I62" s="7">
        <f>+Sheet1!G61</f>
        <v>-4.6918090326277797E-3</v>
      </c>
      <c r="J62" s="9">
        <f>+J61+K61-Sheet1!$S$22</f>
        <v>121080.22505101454</v>
      </c>
      <c r="K62" s="9">
        <f t="shared" si="3"/>
        <v>-469.18090326277797</v>
      </c>
      <c r="L62" s="9">
        <f>+L61+M61-Sheet1!$S$22</f>
        <v>122696.42967907626</v>
      </c>
      <c r="M62" s="9">
        <f t="shared" si="1"/>
        <v>-575.66821703946914</v>
      </c>
      <c r="N62" s="30">
        <f>+I62-Sheet1!$T$22</f>
        <v>-6.62180903262778E-3</v>
      </c>
      <c r="O62" s="10">
        <f>+O61+P61-Sheet1!$S$22-Sheet1!$S$22</f>
        <v>109339.22505101454</v>
      </c>
      <c r="P62" s="10">
        <f t="shared" si="2"/>
        <v>-662.18090326277797</v>
      </c>
      <c r="Q62" s="10">
        <f>+Q61+R61-Sheet1!$S$22-Sheet1!$S$22</f>
        <v>109136.05996257738</v>
      </c>
      <c r="R62" s="10">
        <f t="shared" si="4"/>
        <v>-722.67814764560194</v>
      </c>
    </row>
    <row r="63" spans="8:18" x14ac:dyDescent="0.3">
      <c r="H63" t="s">
        <v>74</v>
      </c>
      <c r="I63" s="7">
        <f>+Sheet1!G62</f>
        <v>-1.4081284213127442E-4</v>
      </c>
      <c r="J63" s="9">
        <f>+J62+K62-Sheet1!$S$22</f>
        <v>120605.04414775176</v>
      </c>
      <c r="K63" s="9">
        <f t="shared" si="3"/>
        <v>-14.081284213127441</v>
      </c>
      <c r="L63" s="9">
        <f>+L62+M62-Sheet1!$S$22</f>
        <v>122114.7614620368</v>
      </c>
      <c r="M63" s="9">
        <f t="shared" si="1"/>
        <v>-17.195326627652019</v>
      </c>
      <c r="N63" s="30">
        <f>+I63-Sheet1!$T$22</f>
        <v>-2.0708128421312744E-3</v>
      </c>
      <c r="O63" s="10">
        <f>+O62+P62-Sheet1!$S$22-Sheet1!$S$22</f>
        <v>108665.04414775176</v>
      </c>
      <c r="P63" s="10">
        <f t="shared" si="2"/>
        <v>-207.08128421312745</v>
      </c>
      <c r="Q63" s="10">
        <f>+Q62+R62-Sheet1!$S$22-Sheet1!$S$22</f>
        <v>108401.38181493177</v>
      </c>
      <c r="R63" s="10">
        <f t="shared" si="4"/>
        <v>-224.47897356713631</v>
      </c>
    </row>
    <row r="64" spans="8:18" x14ac:dyDescent="0.3">
      <c r="H64" t="s">
        <v>75</v>
      </c>
      <c r="I64" s="7">
        <f>+Sheet1!G63</f>
        <v>-1.6110552940969077E-2</v>
      </c>
      <c r="J64" s="9">
        <f>+J63+K63-Sheet1!$S$22</f>
        <v>120584.96286353863</v>
      </c>
      <c r="K64" s="9">
        <f t="shared" si="3"/>
        <v>-1611.0552940969078</v>
      </c>
      <c r="L64" s="9">
        <f>+L63+M63-Sheet1!$S$22</f>
        <v>122091.56613540914</v>
      </c>
      <c r="M64" s="9">
        <f t="shared" si="1"/>
        <v>-1966.9626398703363</v>
      </c>
      <c r="N64" s="30">
        <f>+I64-Sheet1!$T$22</f>
        <v>-1.8040552940969078E-2</v>
      </c>
      <c r="O64" s="10">
        <f>+O63+P63-Sheet1!$S$22-Sheet1!$S$22</f>
        <v>108445.96286353863</v>
      </c>
      <c r="P64" s="10">
        <f t="shared" si="2"/>
        <v>-1804.0552940969078</v>
      </c>
      <c r="Q64" s="10">
        <f>+Q63+R63-Sheet1!$S$22-Sheet1!$S$22</f>
        <v>108164.90284136463</v>
      </c>
      <c r="R64" s="10">
        <f t="shared" si="4"/>
        <v>-1951.3546560644154</v>
      </c>
    </row>
    <row r="65" spans="8:18" x14ac:dyDescent="0.3">
      <c r="H65" t="s">
        <v>76</v>
      </c>
      <c r="I65" s="7">
        <f>+Sheet1!G64</f>
        <v>-2.7410174936276584E-3</v>
      </c>
      <c r="J65" s="9">
        <f>+J64+K64-Sheet1!$S$22</f>
        <v>118967.90756944173</v>
      </c>
      <c r="K65" s="9">
        <f t="shared" si="3"/>
        <v>-274.10174936276582</v>
      </c>
      <c r="L65" s="9">
        <f>+L64+M64-Sheet1!$S$22</f>
        <v>120118.6034955388</v>
      </c>
      <c r="M65" s="9">
        <f t="shared" si="1"/>
        <v>-329.24719349139627</v>
      </c>
      <c r="N65" s="30">
        <f>+I65-Sheet1!$T$22</f>
        <v>-4.6710174936276582E-3</v>
      </c>
      <c r="O65" s="10">
        <f>+O64+P64-Sheet1!$S$22-Sheet1!$S$22</f>
        <v>106629.90756944173</v>
      </c>
      <c r="P65" s="10">
        <f t="shared" si="2"/>
        <v>-467.10174936276582</v>
      </c>
      <c r="Q65" s="10">
        <f>+Q64+R64-Sheet1!$S$22-Sheet1!$S$22</f>
        <v>106201.54818530021</v>
      </c>
      <c r="R65" s="10">
        <f t="shared" si="4"/>
        <v>-496.06928942387799</v>
      </c>
    </row>
    <row r="66" spans="8:18" x14ac:dyDescent="0.3">
      <c r="H66" t="s">
        <v>77</v>
      </c>
      <c r="I66" s="7">
        <f>+Sheet1!G65</f>
        <v>1.3416270276864696E-3</v>
      </c>
      <c r="J66" s="9">
        <f>+J65+K65-Sheet1!$S$22</f>
        <v>118687.80582007897</v>
      </c>
      <c r="K66" s="9">
        <f t="shared" si="3"/>
        <v>134.16270276864697</v>
      </c>
      <c r="L66" s="9">
        <f>+L65+M65-Sheet1!$S$22</f>
        <v>119783.35630204741</v>
      </c>
      <c r="M66" s="9">
        <f t="shared" si="1"/>
        <v>160.70458828182521</v>
      </c>
      <c r="N66" s="30">
        <f>+I66-Sheet1!$T$22</f>
        <v>-5.8837297231353045E-4</v>
      </c>
      <c r="O66" s="10">
        <f>+O65+P65-Sheet1!$S$22-Sheet1!$S$22</f>
        <v>106150.80582007897</v>
      </c>
      <c r="P66" s="10">
        <f t="shared" si="2"/>
        <v>-58.837297231353048</v>
      </c>
      <c r="Q66" s="10">
        <f>+Q65+R65-Sheet1!$S$22-Sheet1!$S$22</f>
        <v>105693.47889587634</v>
      </c>
      <c r="R66" s="10">
        <f t="shared" si="4"/>
        <v>-62.187186332124163</v>
      </c>
    </row>
    <row r="67" spans="8:18" x14ac:dyDescent="0.3">
      <c r="H67" t="s">
        <v>78</v>
      </c>
      <c r="I67" s="7">
        <f>+Sheet1!G66</f>
        <v>-5.2993336481451858E-3</v>
      </c>
      <c r="J67" s="9">
        <f>+J66+K66-Sheet1!$S$22</f>
        <v>118815.96852284762</v>
      </c>
      <c r="K67" s="9">
        <f t="shared" si="3"/>
        <v>-529.93336481451854</v>
      </c>
      <c r="L67" s="9">
        <f>+L66+M66-Sheet1!$S$22</f>
        <v>119938.06089032923</v>
      </c>
      <c r="M67" s="9">
        <f t="shared" si="1"/>
        <v>-635.59180176940788</v>
      </c>
      <c r="N67" s="30">
        <f>+I67-Sheet1!$T$22</f>
        <v>-7.2293336481451861E-3</v>
      </c>
      <c r="O67" s="10">
        <f>+O66+P66-Sheet1!$S$22-Sheet1!$S$22</f>
        <v>106079.96852284762</v>
      </c>
      <c r="P67" s="10">
        <f t="shared" si="2"/>
        <v>-722.93336481451865</v>
      </c>
      <c r="Q67" s="10">
        <f>+Q66+R66-Sheet1!$S$22-Sheet1!$S$22</f>
        <v>105619.29170954421</v>
      </c>
      <c r="R67" s="10">
        <f t="shared" ref="R67:R98" si="5">Q67*N67</f>
        <v>-763.55709944906982</v>
      </c>
    </row>
    <row r="68" spans="8:18" x14ac:dyDescent="0.3">
      <c r="H68" t="s">
        <v>79</v>
      </c>
      <c r="I68" s="7">
        <f>+Sheet1!G67</f>
        <v>3.1531451826948685E-2</v>
      </c>
      <c r="J68" s="9">
        <f>+J67+K67-Sheet1!$S$22</f>
        <v>118280.03515803309</v>
      </c>
      <c r="K68" s="9">
        <f t="shared" si="3"/>
        <v>3153.1451826948687</v>
      </c>
      <c r="L68" s="9">
        <f>+L67+M67-Sheet1!$S$22</f>
        <v>119296.46908855982</v>
      </c>
      <c r="M68" s="9">
        <f t="shared" ref="M68:M131" si="6">+L68*I68</f>
        <v>3761.5908681909968</v>
      </c>
      <c r="N68" s="30">
        <f>+I68-Sheet1!$T$22</f>
        <v>2.9601451826948684E-2</v>
      </c>
      <c r="O68" s="10">
        <f>+O67+P67-Sheet1!$S$22-Sheet1!$S$22</f>
        <v>105345.03515803309</v>
      </c>
      <c r="P68" s="10">
        <f t="shared" ref="P68:P131" si="7">+$O$3*N68</f>
        <v>2960.1451826948683</v>
      </c>
      <c r="Q68" s="10">
        <f>+Q67+R67-Sheet1!$S$22-Sheet1!$S$22</f>
        <v>104843.73461009514</v>
      </c>
      <c r="R68" s="10">
        <f t="shared" si="5"/>
        <v>3103.5267594181237</v>
      </c>
    </row>
    <row r="69" spans="8:18" x14ac:dyDescent="0.3">
      <c r="H69" t="s">
        <v>80</v>
      </c>
      <c r="I69" s="7">
        <f>+Sheet1!G68</f>
        <v>7.7826395254307562E-4</v>
      </c>
      <c r="J69" s="9">
        <f>+J68+K68-Sheet1!$S$22</f>
        <v>121427.18034072797</v>
      </c>
      <c r="K69" s="9">
        <f t="shared" ref="K69:K132" si="8">+$J$3*I69</f>
        <v>77.826395254307556</v>
      </c>
      <c r="L69" s="9">
        <f>+L68+M68-Sheet1!$S$22</f>
        <v>123052.05995675082</v>
      </c>
      <c r="M69" s="9">
        <f t="shared" si="6"/>
        <v>95.766982550508416</v>
      </c>
      <c r="N69" s="30">
        <f>+I69-Sheet1!$T$22</f>
        <v>-1.1517360474569245E-3</v>
      </c>
      <c r="O69" s="10">
        <f>+O68+P68-Sheet1!$S$22-Sheet1!$S$22</f>
        <v>108293.18034072795</v>
      </c>
      <c r="P69" s="10">
        <f t="shared" si="7"/>
        <v>-115.17360474569244</v>
      </c>
      <c r="Q69" s="10">
        <f>+Q68+R68-Sheet1!$S$22-Sheet1!$S$22</f>
        <v>107935.26136951326</v>
      </c>
      <c r="R69" s="10">
        <f t="shared" si="5"/>
        <v>-124.31293131095327</v>
      </c>
    </row>
    <row r="70" spans="8:18" x14ac:dyDescent="0.3">
      <c r="H70" t="s">
        <v>81</v>
      </c>
      <c r="I70" s="7">
        <f>+Sheet1!G69</f>
        <v>-9.817303653926945E-3</v>
      </c>
      <c r="J70" s="9">
        <f>+J69+K69-Sheet1!$S$22</f>
        <v>121499.00673598227</v>
      </c>
      <c r="K70" s="9">
        <f t="shared" si="8"/>
        <v>-981.73036539269447</v>
      </c>
      <c r="L70" s="9">
        <f>+L69+M69-Sheet1!$S$22</f>
        <v>123141.82693930133</v>
      </c>
      <c r="M70" s="9">
        <f t="shared" si="6"/>
        <v>-1208.9207075624424</v>
      </c>
      <c r="N70" s="30">
        <f>+I70-Sheet1!$T$22</f>
        <v>-1.1747303653926944E-2</v>
      </c>
      <c r="O70" s="10">
        <f>+O69+P69-Sheet1!$S$22-Sheet1!$S$22</f>
        <v>108166.00673598226</v>
      </c>
      <c r="P70" s="10">
        <f t="shared" si="7"/>
        <v>-1174.7303653926945</v>
      </c>
      <c r="Q70" s="10">
        <f>+Q69+R69-Sheet1!$S$22-Sheet1!$S$22</f>
        <v>107798.94843820231</v>
      </c>
      <c r="R70" s="10">
        <f t="shared" si="5"/>
        <v>-1266.3469808775762</v>
      </c>
    </row>
    <row r="71" spans="8:18" x14ac:dyDescent="0.3">
      <c r="H71" t="s">
        <v>82</v>
      </c>
      <c r="I71" s="7">
        <f>+Sheet1!G70</f>
        <v>-3.9688114638945357E-3</v>
      </c>
      <c r="J71" s="9">
        <f>+J70+K70-Sheet1!$S$22</f>
        <v>120511.27637058958</v>
      </c>
      <c r="K71" s="9">
        <f t="shared" si="8"/>
        <v>-396.88114638945359</v>
      </c>
      <c r="L71" s="9">
        <f>+L70+M70-Sheet1!$S$22</f>
        <v>121926.90623173889</v>
      </c>
      <c r="M71" s="9">
        <f t="shared" si="6"/>
        <v>-483.90490320971941</v>
      </c>
      <c r="N71" s="30">
        <f>+I71-Sheet1!$T$22</f>
        <v>-5.898811463894536E-3</v>
      </c>
      <c r="O71" s="10">
        <f>+O70+P70-Sheet1!$S$22-Sheet1!$S$22</f>
        <v>106979.27637058956</v>
      </c>
      <c r="P71" s="10">
        <f t="shared" si="7"/>
        <v>-589.88114638945365</v>
      </c>
      <c r="Q71" s="10">
        <f>+Q70+R70-Sheet1!$S$22-Sheet1!$S$22</f>
        <v>106520.60145732474</v>
      </c>
      <c r="R71" s="10">
        <f t="shared" si="5"/>
        <v>-628.34494501740812</v>
      </c>
    </row>
    <row r="72" spans="8:18" x14ac:dyDescent="0.3">
      <c r="H72" t="s">
        <v>83</v>
      </c>
      <c r="I72" s="7">
        <f>+Sheet1!G71</f>
        <v>2.2188122828368215E-2</v>
      </c>
      <c r="J72" s="9">
        <f>+J71+K71-Sheet1!$S$22</f>
        <v>120108.39522420013</v>
      </c>
      <c r="K72" s="9">
        <f t="shared" si="8"/>
        <v>2218.8122828368214</v>
      </c>
      <c r="L72" s="9">
        <f>+L71+M71-Sheet1!$S$22</f>
        <v>121437.00132852916</v>
      </c>
      <c r="M72" s="9">
        <f t="shared" si="6"/>
        <v>2694.4591013861191</v>
      </c>
      <c r="N72" s="30">
        <f>+I72-Sheet1!$T$22</f>
        <v>2.0258122828368214E-2</v>
      </c>
      <c r="O72" s="10">
        <f>+O71+P71-Sheet1!$S$22-Sheet1!$S$22</f>
        <v>106377.39522420011</v>
      </c>
      <c r="P72" s="10">
        <f t="shared" si="7"/>
        <v>2025.8122828368214</v>
      </c>
      <c r="Q72" s="10">
        <f>+Q71+R71-Sheet1!$S$22-Sheet1!$S$22</f>
        <v>105880.25651230733</v>
      </c>
      <c r="R72" s="10">
        <f t="shared" si="5"/>
        <v>2144.9352415254552</v>
      </c>
    </row>
    <row r="73" spans="8:18" x14ac:dyDescent="0.3">
      <c r="H73" t="s">
        <v>84</v>
      </c>
      <c r="I73" s="7">
        <f>+Sheet1!G72</f>
        <v>2.7702761564600735E-3</v>
      </c>
      <c r="J73" s="9">
        <f>+J72+K72-Sheet1!$S$22</f>
        <v>122321.20750703695</v>
      </c>
      <c r="K73" s="9">
        <f t="shared" si="8"/>
        <v>277.02761564600735</v>
      </c>
      <c r="L73" s="9">
        <f>+L72+M72-Sheet1!$S$22</f>
        <v>124125.46042991529</v>
      </c>
      <c r="M73" s="9">
        <f t="shared" si="6"/>
        <v>343.86180343862264</v>
      </c>
      <c r="N73" s="30">
        <f>+I73-Sheet1!$T$22</f>
        <v>8.4027615646007346E-4</v>
      </c>
      <c r="O73" s="10">
        <f>+O72+P72-Sheet1!$S$22-Sheet1!$S$22</f>
        <v>108391.20750703693</v>
      </c>
      <c r="P73" s="10">
        <f t="shared" si="7"/>
        <v>84.027615646007348</v>
      </c>
      <c r="Q73" s="10">
        <f>+Q72+R72-Sheet1!$S$22-Sheet1!$S$22</f>
        <v>108013.19175383278</v>
      </c>
      <c r="R73" s="10">
        <f t="shared" si="5"/>
        <v>90.760909613895507</v>
      </c>
    </row>
    <row r="74" spans="8:18" x14ac:dyDescent="0.3">
      <c r="H74" t="s">
        <v>85</v>
      </c>
      <c r="I74" s="7">
        <f>+Sheet1!G73</f>
        <v>4.2931774685770604E-3</v>
      </c>
      <c r="J74" s="9">
        <f>+J73+K73-Sheet1!$S$22</f>
        <v>122592.23512268295</v>
      </c>
      <c r="K74" s="9">
        <f t="shared" si="8"/>
        <v>429.31774685770603</v>
      </c>
      <c r="L74" s="9">
        <f>+L73+M73-Sheet1!$S$22</f>
        <v>124463.3222333539</v>
      </c>
      <c r="M74" s="9">
        <f t="shared" si="6"/>
        <v>534.34313067648122</v>
      </c>
      <c r="N74" s="30">
        <f>+I74-Sheet1!$T$22</f>
        <v>2.3631774685770601E-3</v>
      </c>
      <c r="O74" s="10">
        <f>+O73+P73-Sheet1!$S$22-Sheet1!$S$22</f>
        <v>108463.23512268293</v>
      </c>
      <c r="P74" s="10">
        <f t="shared" si="7"/>
        <v>236.31774685770603</v>
      </c>
      <c r="Q74" s="10">
        <f>+Q73+R73-Sheet1!$S$22-Sheet1!$S$22</f>
        <v>108091.95266344667</v>
      </c>
      <c r="R74" s="10">
        <f t="shared" si="5"/>
        <v>255.44046706875531</v>
      </c>
    </row>
    <row r="75" spans="8:18" x14ac:dyDescent="0.3">
      <c r="H75" t="s">
        <v>86</v>
      </c>
      <c r="I75" s="7">
        <f>+Sheet1!G74</f>
        <v>1.0688489714687697E-2</v>
      </c>
      <c r="J75" s="9">
        <f>+J74+K74-Sheet1!$S$22</f>
        <v>123015.55286954065</v>
      </c>
      <c r="K75" s="9">
        <f t="shared" si="8"/>
        <v>1068.8489714687696</v>
      </c>
      <c r="L75" s="9">
        <f>+L74+M74-Sheet1!$S$22</f>
        <v>124991.66536403038</v>
      </c>
      <c r="M75" s="9">
        <f t="shared" si="6"/>
        <v>1335.9721296651253</v>
      </c>
      <c r="N75" s="30">
        <f>+I75-Sheet1!$T$22</f>
        <v>8.7584897146876974E-3</v>
      </c>
      <c r="O75" s="10">
        <f>+O74+P74-Sheet1!$S$22-Sheet1!$S$22</f>
        <v>108687.55286954064</v>
      </c>
      <c r="P75" s="10">
        <f t="shared" si="7"/>
        <v>875.84897146876972</v>
      </c>
      <c r="Q75" s="10">
        <f>+Q74+R74-Sheet1!$S$22-Sheet1!$S$22</f>
        <v>108335.39313051543</v>
      </c>
      <c r="R75" s="10">
        <f t="shared" si="5"/>
        <v>948.85442647026764</v>
      </c>
    </row>
    <row r="76" spans="8:18" x14ac:dyDescent="0.3">
      <c r="H76" t="s">
        <v>87</v>
      </c>
      <c r="I76" s="7">
        <f>+Sheet1!G75</f>
        <v>8.9562159987405399E-3</v>
      </c>
      <c r="J76" s="9">
        <f>+J75+K75-Sheet1!$S$22</f>
        <v>124078.40184100943</v>
      </c>
      <c r="K76" s="9">
        <f t="shared" si="8"/>
        <v>895.62159987405403</v>
      </c>
      <c r="L76" s="9">
        <f>+L75+M75-Sheet1!$S$22</f>
        <v>126321.63749369551</v>
      </c>
      <c r="M76" s="9">
        <f t="shared" si="6"/>
        <v>1131.3638707081386</v>
      </c>
      <c r="N76" s="30">
        <f>+I76-Sheet1!$T$22</f>
        <v>7.0262159987405396E-3</v>
      </c>
      <c r="O76" s="10">
        <f>+O75+P75-Sheet1!$S$22-Sheet1!$S$22</f>
        <v>109551.40184100941</v>
      </c>
      <c r="P76" s="10">
        <f t="shared" si="7"/>
        <v>702.62159987405391</v>
      </c>
      <c r="Q76" s="10">
        <f>+Q75+R75-Sheet1!$S$22-Sheet1!$S$22</f>
        <v>109272.24755698569</v>
      </c>
      <c r="R76" s="10">
        <f t="shared" si="5"/>
        <v>767.77041400322969</v>
      </c>
    </row>
    <row r="77" spans="8:18" x14ac:dyDescent="0.3">
      <c r="H77" t="s">
        <v>88</v>
      </c>
      <c r="I77" s="7">
        <f>+Sheet1!G76</f>
        <v>3.2782861750990581E-3</v>
      </c>
      <c r="J77" s="9">
        <f>+J76+K76-Sheet1!$S$22</f>
        <v>124968.02344088348</v>
      </c>
      <c r="K77" s="9">
        <f t="shared" si="8"/>
        <v>327.82861750990583</v>
      </c>
      <c r="L77" s="9">
        <f>+L76+M76-Sheet1!$S$22</f>
        <v>127447.00136440365</v>
      </c>
      <c r="M77" s="9">
        <f t="shared" si="6"/>
        <v>417.80774263075529</v>
      </c>
      <c r="N77" s="30">
        <f>+I77-Sheet1!$T$22</f>
        <v>1.3482861750990581E-3</v>
      </c>
      <c r="O77" s="10">
        <f>+O76+P76-Sheet1!$S$22-Sheet1!$S$22</f>
        <v>110242.02344088347</v>
      </c>
      <c r="P77" s="10">
        <f t="shared" si="7"/>
        <v>134.8286175099058</v>
      </c>
      <c r="Q77" s="10">
        <f>+Q76+R76-Sheet1!$S$22-Sheet1!$S$22</f>
        <v>110028.01797098892</v>
      </c>
      <c r="R77" s="10">
        <f t="shared" si="5"/>
        <v>148.34925550383508</v>
      </c>
    </row>
    <row r="78" spans="8:18" x14ac:dyDescent="0.3">
      <c r="H78" t="s">
        <v>89</v>
      </c>
      <c r="I78" s="7">
        <f>+Sheet1!G77</f>
        <v>3.2297700544144602E-3</v>
      </c>
      <c r="J78" s="9">
        <f>+J77+K77-Sheet1!$S$22</f>
        <v>125289.85205839339</v>
      </c>
      <c r="K78" s="9">
        <f t="shared" si="8"/>
        <v>322.97700544144601</v>
      </c>
      <c r="L78" s="9">
        <f>+L77+M77-Sheet1!$S$22</f>
        <v>127858.80910703441</v>
      </c>
      <c r="M78" s="9">
        <f t="shared" si="6"/>
        <v>412.9545528469946</v>
      </c>
      <c r="N78" s="30">
        <f>+I78-Sheet1!$T$22</f>
        <v>1.2997700544144601E-3</v>
      </c>
      <c r="O78" s="10">
        <f>+O77+P77-Sheet1!$S$22-Sheet1!$S$22</f>
        <v>110364.85205839337</v>
      </c>
      <c r="P78" s="10">
        <f t="shared" si="7"/>
        <v>129.97700544144601</v>
      </c>
      <c r="Q78" s="10">
        <f>+Q77+R77-Sheet1!$S$22-Sheet1!$S$22</f>
        <v>110164.36722649276</v>
      </c>
      <c r="R78" s="10">
        <f t="shared" si="5"/>
        <v>143.18834558451306</v>
      </c>
    </row>
    <row r="79" spans="8:18" x14ac:dyDescent="0.3">
      <c r="H79" t="s">
        <v>90</v>
      </c>
      <c r="I79" s="7">
        <f>+Sheet1!G78</f>
        <v>6.0287963685373399E-4</v>
      </c>
      <c r="J79" s="9">
        <f>+J78+K78-Sheet1!$S$22</f>
        <v>125606.82906383483</v>
      </c>
      <c r="K79" s="9">
        <f t="shared" si="8"/>
        <v>60.287963685373398</v>
      </c>
      <c r="L79" s="9">
        <f>+L78+M78-Sheet1!$S$22</f>
        <v>128265.7636598814</v>
      </c>
      <c r="M79" s="9">
        <f t="shared" si="6"/>
        <v>77.328817016036169</v>
      </c>
      <c r="N79" s="30">
        <f>+I79-Sheet1!$T$22</f>
        <v>-1.3271203631462661E-3</v>
      </c>
      <c r="O79" s="10">
        <f>+O78+P78-Sheet1!$S$22-Sheet1!$S$22</f>
        <v>110482.82906383481</v>
      </c>
      <c r="P79" s="10">
        <f t="shared" si="7"/>
        <v>-132.7120363146266</v>
      </c>
      <c r="Q79" s="10">
        <f>+Q78+R78-Sheet1!$S$22-Sheet1!$S$22</f>
        <v>110295.55557207727</v>
      </c>
      <c r="R79" s="10">
        <f t="shared" si="5"/>
        <v>-146.37547776423435</v>
      </c>
    </row>
    <row r="80" spans="8:18" x14ac:dyDescent="0.3">
      <c r="H80" t="s">
        <v>91</v>
      </c>
      <c r="I80" s="7">
        <f>+Sheet1!G79</f>
        <v>1.2228747403852911E-2</v>
      </c>
      <c r="J80" s="9">
        <f>+J79+K79-Sheet1!$S$22</f>
        <v>125661.1170275202</v>
      </c>
      <c r="K80" s="9">
        <f t="shared" si="8"/>
        <v>1222.874740385291</v>
      </c>
      <c r="L80" s="9">
        <f>+L79+M79-Sheet1!$S$22</f>
        <v>128337.09247689744</v>
      </c>
      <c r="M80" s="9">
        <f t="shared" si="6"/>
        <v>1569.4018864448906</v>
      </c>
      <c r="N80" s="30">
        <f>+I80-Sheet1!$T$22</f>
        <v>1.0298747403852912E-2</v>
      </c>
      <c r="O80" s="10">
        <f>+O79+P79-Sheet1!$S$22-Sheet1!$S$22</f>
        <v>110338.11702752019</v>
      </c>
      <c r="P80" s="10">
        <f t="shared" si="7"/>
        <v>1029.8747403852913</v>
      </c>
      <c r="Q80" s="10">
        <f>+Q79+R79-Sheet1!$S$22-Sheet1!$S$22</f>
        <v>110137.18009431304</v>
      </c>
      <c r="R80" s="10">
        <f t="shared" si="5"/>
        <v>1134.274997563987</v>
      </c>
    </row>
    <row r="81" spans="8:18" x14ac:dyDescent="0.3">
      <c r="H81" t="s">
        <v>92</v>
      </c>
      <c r="I81" s="7">
        <f>+Sheet1!G80</f>
        <v>3.8950527771219531E-3</v>
      </c>
      <c r="J81" s="9">
        <f>+J80+K80-Sheet1!$S$22</f>
        <v>126877.99176790549</v>
      </c>
      <c r="K81" s="9">
        <f t="shared" si="8"/>
        <v>389.50527771219532</v>
      </c>
      <c r="L81" s="9">
        <f>+L80+M80-Sheet1!$S$22</f>
        <v>129900.49436334232</v>
      </c>
      <c r="M81" s="9">
        <f t="shared" si="6"/>
        <v>505.96928131945111</v>
      </c>
      <c r="N81" s="30">
        <f>+I81-Sheet1!$T$22</f>
        <v>1.9650527771219528E-3</v>
      </c>
      <c r="O81" s="10">
        <f>+O80+P80-Sheet1!$S$22-Sheet1!$S$22</f>
        <v>111355.99176790548</v>
      </c>
      <c r="P81" s="10">
        <f t="shared" si="7"/>
        <v>196.50527771219529</v>
      </c>
      <c r="Q81" s="10">
        <f>+Q80+R80-Sheet1!$S$22-Sheet1!$S$22</f>
        <v>111259.45509187703</v>
      </c>
      <c r="R81" s="10">
        <f t="shared" si="5"/>
        <v>218.63070120936814</v>
      </c>
    </row>
    <row r="82" spans="8:18" x14ac:dyDescent="0.3">
      <c r="H82" t="s">
        <v>93</v>
      </c>
      <c r="I82" s="7">
        <f>+Sheet1!G81</f>
        <v>-2.8878305806059022E-2</v>
      </c>
      <c r="J82" s="9">
        <f>+J81+K81-Sheet1!$S$22</f>
        <v>127261.49704561768</v>
      </c>
      <c r="K82" s="9">
        <f t="shared" si="8"/>
        <v>-2887.830580605902</v>
      </c>
      <c r="L82" s="9">
        <f>+L81+M81-Sheet1!$S$22</f>
        <v>130400.46364466178</v>
      </c>
      <c r="M82" s="9">
        <f t="shared" si="6"/>
        <v>-3765.7444663824244</v>
      </c>
      <c r="N82" s="30">
        <f>+I82-Sheet1!$T$22</f>
        <v>-3.0808305806059023E-2</v>
      </c>
      <c r="O82" s="10">
        <f>+O81+P81-Sheet1!$S$22-Sheet1!$S$22</f>
        <v>111540.49704561767</v>
      </c>
      <c r="P82" s="10">
        <f t="shared" si="7"/>
        <v>-3080.8305806059025</v>
      </c>
      <c r="Q82" s="10">
        <f>+Q81+R81-Sheet1!$S$22-Sheet1!$S$22</f>
        <v>111466.0857930864</v>
      </c>
      <c r="R82" s="10">
        <f t="shared" si="5"/>
        <v>-3434.081258117817</v>
      </c>
    </row>
    <row r="83" spans="8:18" x14ac:dyDescent="0.3">
      <c r="H83" t="s">
        <v>94</v>
      </c>
      <c r="I83" s="7">
        <f>+Sheet1!G82</f>
        <v>-1.1453773491755319E-2</v>
      </c>
      <c r="J83" s="9">
        <f>+J82+K82-Sheet1!$S$22</f>
        <v>124367.66646501177</v>
      </c>
      <c r="K83" s="9">
        <f t="shared" si="8"/>
        <v>-1145.3773491755319</v>
      </c>
      <c r="L83" s="9">
        <f>+L82+M82-Sheet1!$S$22</f>
        <v>126628.71917827935</v>
      </c>
      <c r="M83" s="9">
        <f t="shared" si="6"/>
        <v>-1450.3766670191044</v>
      </c>
      <c r="N83" s="30">
        <f>+I83-Sheet1!$T$22</f>
        <v>-1.3383773491755319E-2</v>
      </c>
      <c r="O83" s="10">
        <f>+O82+P82-Sheet1!$S$22-Sheet1!$S$22</f>
        <v>108447.66646501176</v>
      </c>
      <c r="P83" s="10">
        <f t="shared" si="7"/>
        <v>-1338.3773491755319</v>
      </c>
      <c r="Q83" s="10">
        <f>+Q82+R82-Sheet1!$S$22-Sheet1!$S$22</f>
        <v>108020.00453496858</v>
      </c>
      <c r="R83" s="10">
        <f t="shared" si="5"/>
        <v>-1445.7152732744019</v>
      </c>
    </row>
    <row r="84" spans="8:18" x14ac:dyDescent="0.3">
      <c r="H84" t="s">
        <v>95</v>
      </c>
      <c r="I84" s="7">
        <f>+Sheet1!G83</f>
        <v>3.7824442415547964E-3</v>
      </c>
      <c r="J84" s="9">
        <f>+J83+K83-Sheet1!$S$22</f>
        <v>123216.28911583625</v>
      </c>
      <c r="K84" s="9">
        <f t="shared" si="8"/>
        <v>378.24442415547963</v>
      </c>
      <c r="L84" s="9">
        <f>+L83+M83-Sheet1!$S$22</f>
        <v>125172.34251126024</v>
      </c>
      <c r="M84" s="9">
        <f t="shared" si="6"/>
        <v>473.45740613364092</v>
      </c>
      <c r="N84" s="30">
        <f>+I84-Sheet1!$T$22</f>
        <v>1.8524442415547963E-3</v>
      </c>
      <c r="O84" s="10">
        <f>+O83+P83-Sheet1!$S$22-Sheet1!$S$22</f>
        <v>107097.28911583623</v>
      </c>
      <c r="P84" s="10">
        <f t="shared" si="7"/>
        <v>185.24442415547963</v>
      </c>
      <c r="Q84" s="10">
        <f>+Q83+R83-Sheet1!$S$22-Sheet1!$S$22</f>
        <v>106562.28926169418</v>
      </c>
      <c r="R84" s="10">
        <f t="shared" si="5"/>
        <v>197.4006991097219</v>
      </c>
    </row>
    <row r="85" spans="8:18" x14ac:dyDescent="0.3">
      <c r="H85" t="s">
        <v>96</v>
      </c>
      <c r="I85" s="7">
        <f>+Sheet1!G84</f>
        <v>7.9078981553650368E-3</v>
      </c>
      <c r="J85" s="9">
        <f>+J84+K84-Sheet1!$S$22</f>
        <v>123588.53353999172</v>
      </c>
      <c r="K85" s="9">
        <f t="shared" si="8"/>
        <v>790.78981553650374</v>
      </c>
      <c r="L85" s="9">
        <f>+L84+M84-Sheet1!$S$22</f>
        <v>125639.79991739389</v>
      </c>
      <c r="M85" s="9">
        <f t="shared" si="6"/>
        <v>993.54674200719148</v>
      </c>
      <c r="N85" s="30">
        <f>+I85-Sheet1!$T$22</f>
        <v>5.9778981553650365E-3</v>
      </c>
      <c r="O85" s="10">
        <f>+O84+P84-Sheet1!$S$22-Sheet1!$S$22</f>
        <v>107270.53353999171</v>
      </c>
      <c r="P85" s="10">
        <f t="shared" si="7"/>
        <v>597.78981553650362</v>
      </c>
      <c r="Q85" s="10">
        <f>+Q84+R84-Sheet1!$S$22-Sheet1!$S$22</f>
        <v>106747.68996080391</v>
      </c>
      <c r="R85" s="10">
        <f t="shared" si="5"/>
        <v>638.12681890616852</v>
      </c>
    </row>
    <row r="86" spans="8:18" x14ac:dyDescent="0.3">
      <c r="H86" t="s">
        <v>97</v>
      </c>
      <c r="I86" s="7">
        <f>+Sheet1!G85</f>
        <v>8.3740632127728681E-3</v>
      </c>
      <c r="J86" s="9">
        <f>+J85+K85-Sheet1!$S$22</f>
        <v>124373.32335552823</v>
      </c>
      <c r="K86" s="9">
        <f t="shared" si="8"/>
        <v>837.40632127728679</v>
      </c>
      <c r="L86" s="9">
        <f>+L85+M85-Sheet1!$S$22</f>
        <v>126627.34665940108</v>
      </c>
      <c r="M86" s="9">
        <f t="shared" si="6"/>
        <v>1060.3854053915279</v>
      </c>
      <c r="N86" s="30">
        <f>+I86-Sheet1!$T$22</f>
        <v>6.4440632127728678E-3</v>
      </c>
      <c r="O86" s="10">
        <f>+O85+P85-Sheet1!$S$22-Sheet1!$S$22</f>
        <v>107856.32335552821</v>
      </c>
      <c r="P86" s="10">
        <f t="shared" si="7"/>
        <v>644.40632127728679</v>
      </c>
      <c r="Q86" s="10">
        <f>+Q85+R85-Sheet1!$S$22-Sheet1!$S$22</f>
        <v>107373.81677971008</v>
      </c>
      <c r="R86" s="10">
        <f t="shared" si="5"/>
        <v>691.9236627251438</v>
      </c>
    </row>
    <row r="87" spans="8:18" x14ac:dyDescent="0.3">
      <c r="H87" t="s">
        <v>98</v>
      </c>
      <c r="I87" s="7">
        <f>+Sheet1!G86</f>
        <v>2.6439051458228002E-3</v>
      </c>
      <c r="J87" s="9">
        <f>+J86+K86-Sheet1!$S$22</f>
        <v>125204.72967680552</v>
      </c>
      <c r="K87" s="9">
        <f t="shared" si="8"/>
        <v>264.39051458228005</v>
      </c>
      <c r="L87" s="9">
        <f>+L86+M86-Sheet1!$S$22</f>
        <v>127681.73206479261</v>
      </c>
      <c r="M87" s="9">
        <f t="shared" si="6"/>
        <v>337.57838843367324</v>
      </c>
      <c r="N87" s="30">
        <f>+I87-Sheet1!$T$22</f>
        <v>7.1390514582280015E-4</v>
      </c>
      <c r="O87" s="10">
        <f>+O86+P86-Sheet1!$S$22-Sheet1!$S$22</f>
        <v>108488.72967680549</v>
      </c>
      <c r="P87" s="10">
        <f t="shared" si="7"/>
        <v>71.390514582280019</v>
      </c>
      <c r="Q87" s="10">
        <f>+Q86+R86-Sheet1!$S$22-Sheet1!$S$22</f>
        <v>108053.74044243521</v>
      </c>
      <c r="R87" s="10">
        <f t="shared" si="5"/>
        <v>77.140121327255713</v>
      </c>
    </row>
    <row r="88" spans="8:18" x14ac:dyDescent="0.3">
      <c r="H88" t="s">
        <v>99</v>
      </c>
      <c r="I88" s="7">
        <f>+Sheet1!G87</f>
        <v>-1.707400919999337E-2</v>
      </c>
      <c r="J88" s="9">
        <f>+J87+K87-Sheet1!$S$22</f>
        <v>125463.1201913878</v>
      </c>
      <c r="K88" s="9">
        <f t="shared" si="8"/>
        <v>-1707.400919999337</v>
      </c>
      <c r="L88" s="9">
        <f>+L87+M87-Sheet1!$S$22</f>
        <v>128013.31045322628</v>
      </c>
      <c r="M88" s="9">
        <f t="shared" si="6"/>
        <v>-2185.7004403999931</v>
      </c>
      <c r="N88" s="30">
        <f>+I88-Sheet1!$T$22</f>
        <v>-1.9004009199993371E-2</v>
      </c>
      <c r="O88" s="10">
        <f>+O87+P87-Sheet1!$S$22-Sheet1!$S$22</f>
        <v>108548.12019138777</v>
      </c>
      <c r="P88" s="10">
        <f t="shared" si="7"/>
        <v>-1900.4009199993372</v>
      </c>
      <c r="Q88" s="10">
        <f>+Q87+R87-Sheet1!$S$22-Sheet1!$S$22</f>
        <v>108118.88056376248</v>
      </c>
      <c r="R88" s="10">
        <f t="shared" si="5"/>
        <v>-2054.6922009267264</v>
      </c>
    </row>
    <row r="89" spans="8:18" x14ac:dyDescent="0.3">
      <c r="H89" t="s">
        <v>100</v>
      </c>
      <c r="I89" s="7">
        <f>+Sheet1!G88</f>
        <v>4.6606137818703515E-3</v>
      </c>
      <c r="J89" s="9">
        <f>+J88+K88-Sheet1!$S$22</f>
        <v>123749.71927138847</v>
      </c>
      <c r="K89" s="9">
        <f t="shared" si="8"/>
        <v>466.06137818703513</v>
      </c>
      <c r="L89" s="9">
        <f>+L88+M88-Sheet1!$S$22</f>
        <v>125821.61001282629</v>
      </c>
      <c r="M89" s="9">
        <f t="shared" si="6"/>
        <v>586.40592968289479</v>
      </c>
      <c r="N89" s="30">
        <f>+I89-Sheet1!$T$22</f>
        <v>2.7306137818703512E-3</v>
      </c>
      <c r="O89" s="10">
        <f>+O88+P88-Sheet1!$S$22-Sheet1!$S$22</f>
        <v>106635.71927138844</v>
      </c>
      <c r="P89" s="10">
        <f t="shared" si="7"/>
        <v>273.06137818703513</v>
      </c>
      <c r="Q89" s="10">
        <f>+Q88+R88-Sheet1!$S$22-Sheet1!$S$22</f>
        <v>106052.18836283575</v>
      </c>
      <c r="R89" s="10">
        <f t="shared" si="5"/>
        <v>289.58756714106977</v>
      </c>
    </row>
    <row r="90" spans="8:18" x14ac:dyDescent="0.3">
      <c r="H90" t="s">
        <v>101</v>
      </c>
      <c r="I90" s="7">
        <f>+Sheet1!G89</f>
        <v>2.7936136692166954E-3</v>
      </c>
      <c r="J90" s="9">
        <f>+J89+K89-Sheet1!$S$22</f>
        <v>124209.78064957551</v>
      </c>
      <c r="K90" s="9">
        <f t="shared" si="8"/>
        <v>279.36136692166951</v>
      </c>
      <c r="L90" s="9">
        <f>+L89+M89-Sheet1!$S$22</f>
        <v>126402.01594250918</v>
      </c>
      <c r="M90" s="9">
        <f t="shared" si="6"/>
        <v>353.11839955354031</v>
      </c>
      <c r="N90" s="30">
        <f>+I90-Sheet1!$T$22</f>
        <v>8.6361366921669535E-4</v>
      </c>
      <c r="O90" s="10">
        <f>+O89+P89-Sheet1!$S$22-Sheet1!$S$22</f>
        <v>106896.78064957548</v>
      </c>
      <c r="P90" s="10">
        <f t="shared" si="7"/>
        <v>86.361366921669529</v>
      </c>
      <c r="Q90" s="10">
        <f>+Q89+R89-Sheet1!$S$22-Sheet1!$S$22</f>
        <v>106329.77592997682</v>
      </c>
      <c r="R90" s="10">
        <f t="shared" si="5"/>
        <v>91.827847937876342</v>
      </c>
    </row>
    <row r="91" spans="8:18" x14ac:dyDescent="0.3">
      <c r="H91" t="s">
        <v>102</v>
      </c>
      <c r="I91" s="7">
        <f>+Sheet1!G90</f>
        <v>-1.0697697001083986E-2</v>
      </c>
      <c r="J91" s="9">
        <f>+J90+K90-Sheet1!$S$22</f>
        <v>124483.14201649718</v>
      </c>
      <c r="K91" s="9">
        <f t="shared" si="8"/>
        <v>-1069.7697001083986</v>
      </c>
      <c r="L91" s="9">
        <f>+L90+M90-Sheet1!$S$22</f>
        <v>126749.13434206272</v>
      </c>
      <c r="M91" s="9">
        <f t="shared" si="6"/>
        <v>-1355.9238343410757</v>
      </c>
      <c r="N91" s="30">
        <f>+I91-Sheet1!$T$22</f>
        <v>-1.2627697001083986E-2</v>
      </c>
      <c r="O91" s="10">
        <f>+O90+P90-Sheet1!$S$22-Sheet1!$S$22</f>
        <v>106971.14201649715</v>
      </c>
      <c r="P91" s="10">
        <f t="shared" si="7"/>
        <v>-1262.7697001083986</v>
      </c>
      <c r="Q91" s="10">
        <f>+Q90+R90-Sheet1!$S$22-Sheet1!$S$22</f>
        <v>106409.6037779147</v>
      </c>
      <c r="R91" s="10">
        <f t="shared" si="5"/>
        <v>-1343.7082345129086</v>
      </c>
    </row>
    <row r="92" spans="8:18" x14ac:dyDescent="0.3">
      <c r="H92" t="s">
        <v>103</v>
      </c>
      <c r="I92" s="7">
        <f>+Sheet1!G91</f>
        <v>4.0305028455350089E-4</v>
      </c>
      <c r="J92" s="9">
        <f>+J91+K91-Sheet1!$S$22</f>
        <v>123407.37231638878</v>
      </c>
      <c r="K92" s="9">
        <f t="shared" si="8"/>
        <v>40.30502845535009</v>
      </c>
      <c r="L92" s="9">
        <f>+L91+M91-Sheet1!$S$22</f>
        <v>125387.21050772165</v>
      </c>
      <c r="M92" s="9">
        <f t="shared" si="6"/>
        <v>50.537350874506927</v>
      </c>
      <c r="N92" s="30">
        <f>+I92-Sheet1!$T$22</f>
        <v>-1.5269497154464992E-3</v>
      </c>
      <c r="O92" s="10">
        <f>+O91+P91-Sheet1!$S$22-Sheet1!$S$22</f>
        <v>105696.37231638875</v>
      </c>
      <c r="P92" s="10">
        <f t="shared" si="7"/>
        <v>-152.69497154464992</v>
      </c>
      <c r="Q92" s="10">
        <f>+Q91+R91-Sheet1!$S$22-Sheet1!$S$22</f>
        <v>105053.8955434018</v>
      </c>
      <c r="R92" s="10">
        <f t="shared" si="5"/>
        <v>-160.41201590654364</v>
      </c>
    </row>
    <row r="93" spans="8:18" x14ac:dyDescent="0.3">
      <c r="H93" t="s">
        <v>104</v>
      </c>
      <c r="I93" s="7">
        <f>+Sheet1!G92</f>
        <v>4.1735823517089635E-3</v>
      </c>
      <c r="J93" s="9">
        <f>+J92+K92-Sheet1!$S$22</f>
        <v>123441.67734484412</v>
      </c>
      <c r="K93" s="9">
        <f t="shared" si="8"/>
        <v>417.35823517089636</v>
      </c>
      <c r="L93" s="9">
        <f>+L92+M92-Sheet1!$S$22</f>
        <v>125431.74785859617</v>
      </c>
      <c r="M93" s="9">
        <f t="shared" si="6"/>
        <v>523.4997292066455</v>
      </c>
      <c r="N93" s="30">
        <f>+I93-Sheet1!$T$22</f>
        <v>2.2435823517089632E-3</v>
      </c>
      <c r="O93" s="10">
        <f>+O92+P92-Sheet1!$S$22-Sheet1!$S$22</f>
        <v>105531.67734484409</v>
      </c>
      <c r="P93" s="10">
        <f t="shared" si="7"/>
        <v>224.35823517089631</v>
      </c>
      <c r="Q93" s="10">
        <f>+Q92+R92-Sheet1!$S$22-Sheet1!$S$22</f>
        <v>104881.48352749525</v>
      </c>
      <c r="R93" s="10">
        <f t="shared" si="5"/>
        <v>235.31024546334268</v>
      </c>
    </row>
    <row r="94" spans="8:18" x14ac:dyDescent="0.3">
      <c r="H94" t="s">
        <v>105</v>
      </c>
      <c r="I94" s="7">
        <f>+Sheet1!G93</f>
        <v>-1.4236717789425928E-3</v>
      </c>
      <c r="J94" s="9">
        <f>+J93+K93-Sheet1!$S$22</f>
        <v>123853.03558001501</v>
      </c>
      <c r="K94" s="9">
        <f t="shared" si="8"/>
        <v>-142.36717789425927</v>
      </c>
      <c r="L94" s="9">
        <f>+L93+M93-Sheet1!$S$22</f>
        <v>125949.24758780281</v>
      </c>
      <c r="M94" s="9">
        <f t="shared" si="6"/>
        <v>-179.31038936980829</v>
      </c>
      <c r="N94" s="30">
        <f>+I94-Sheet1!$T$22</f>
        <v>-3.3536717789425926E-3</v>
      </c>
      <c r="O94" s="10">
        <f>+O93+P93-Sheet1!$S$22-Sheet1!$S$22</f>
        <v>105744.03558001498</v>
      </c>
      <c r="P94" s="10">
        <f t="shared" si="7"/>
        <v>-335.36717789425927</v>
      </c>
      <c r="Q94" s="10">
        <f>+Q93+R93-Sheet1!$S$22-Sheet1!$S$22</f>
        <v>105104.7937729586</v>
      </c>
      <c r="R94" s="10">
        <f t="shared" si="5"/>
        <v>-352.4869807079524</v>
      </c>
    </row>
    <row r="95" spans="8:18" x14ac:dyDescent="0.3">
      <c r="H95" t="s">
        <v>106</v>
      </c>
      <c r="I95" s="7">
        <f>+Sheet1!G94</f>
        <v>-5.6938238947045385E-3</v>
      </c>
      <c r="J95" s="9">
        <f>+J94+K94-Sheet1!$S$22</f>
        <v>123704.66840212075</v>
      </c>
      <c r="K95" s="9">
        <f t="shared" si="8"/>
        <v>-569.38238947045386</v>
      </c>
      <c r="L95" s="9">
        <f>+L94+M94-Sheet1!$S$22</f>
        <v>125763.93719843299</v>
      </c>
      <c r="M95" s="9">
        <f t="shared" si="6"/>
        <v>-716.07771071255877</v>
      </c>
      <c r="N95" s="30">
        <f>+I95-Sheet1!$T$22</f>
        <v>-7.6238238947045388E-3</v>
      </c>
      <c r="O95" s="10">
        <f>+O94+P94-Sheet1!$S$22-Sheet1!$S$22</f>
        <v>105396.66840212072</v>
      </c>
      <c r="P95" s="10">
        <f t="shared" si="7"/>
        <v>-762.38238947045386</v>
      </c>
      <c r="Q95" s="10">
        <f>+Q94+R94-Sheet1!$S$22-Sheet1!$S$22</f>
        <v>104740.30679225065</v>
      </c>
      <c r="R95" s="10">
        <f t="shared" si="5"/>
        <v>-798.52165366144459</v>
      </c>
    </row>
    <row r="96" spans="8:18" x14ac:dyDescent="0.3">
      <c r="H96" t="s">
        <v>107</v>
      </c>
      <c r="I96" s="7">
        <f>+Sheet1!G95</f>
        <v>-6.1991414109053705E-3</v>
      </c>
      <c r="J96" s="9">
        <f>+J95+K95-Sheet1!$S$22</f>
        <v>123129.28601265029</v>
      </c>
      <c r="K96" s="9">
        <f t="shared" si="8"/>
        <v>-619.9141410905371</v>
      </c>
      <c r="L96" s="9">
        <f>+L95+M95-Sheet1!$S$22</f>
        <v>125041.85948772043</v>
      </c>
      <c r="M96" s="9">
        <f t="shared" si="6"/>
        <v>-775.15216924693834</v>
      </c>
      <c r="N96" s="30">
        <f>+I96-Sheet1!$T$22</f>
        <v>-8.1291414109053699E-3</v>
      </c>
      <c r="O96" s="10">
        <f>+O95+P95-Sheet1!$S$22-Sheet1!$S$22</f>
        <v>104622.28601265026</v>
      </c>
      <c r="P96" s="10">
        <f t="shared" si="7"/>
        <v>-812.91414109053699</v>
      </c>
      <c r="Q96" s="10">
        <f>+Q95+R95-Sheet1!$S$22-Sheet1!$S$22</f>
        <v>103929.7851385892</v>
      </c>
      <c r="R96" s="10">
        <f t="shared" si="5"/>
        <v>-844.85992019660296</v>
      </c>
    </row>
    <row r="97" spans="8:18" x14ac:dyDescent="0.3">
      <c r="H97" t="s">
        <v>108</v>
      </c>
      <c r="I97" s="7">
        <f>+Sheet1!G96</f>
        <v>-1.2556025302775185E-2</v>
      </c>
      <c r="J97" s="9">
        <f>+J96+K96-Sheet1!$S$22</f>
        <v>122503.37187155975</v>
      </c>
      <c r="K97" s="9">
        <f t="shared" si="8"/>
        <v>-1255.6025302775186</v>
      </c>
      <c r="L97" s="9">
        <f>+L96+M96-Sheet1!$S$22</f>
        <v>124260.70731847349</v>
      </c>
      <c r="M97" s="9">
        <f t="shared" si="6"/>
        <v>-1560.2205852314949</v>
      </c>
      <c r="N97" s="30">
        <f>+I97-Sheet1!$T$22</f>
        <v>-1.4486025302775185E-2</v>
      </c>
      <c r="O97" s="10">
        <f>+O96+P96-Sheet1!$S$22-Sheet1!$S$22</f>
        <v>103797.37187155972</v>
      </c>
      <c r="P97" s="10">
        <f t="shared" si="7"/>
        <v>-1448.6025302775186</v>
      </c>
      <c r="Q97" s="10">
        <f>+Q96+R96-Sheet1!$S$22-Sheet1!$S$22</f>
        <v>103072.9252183926</v>
      </c>
      <c r="R97" s="10">
        <f t="shared" si="5"/>
        <v>-1493.1170027446897</v>
      </c>
    </row>
    <row r="98" spans="8:18" x14ac:dyDescent="0.3">
      <c r="H98" t="s">
        <v>109</v>
      </c>
      <c r="I98" s="7">
        <f>+Sheet1!G97</f>
        <v>-4.3382236945890516E-3</v>
      </c>
      <c r="J98" s="9">
        <f>+J97+K97-Sheet1!$S$22</f>
        <v>121241.76934128223</v>
      </c>
      <c r="K98" s="9">
        <f t="shared" si="8"/>
        <v>-433.82236945890514</v>
      </c>
      <c r="L98" s="9">
        <f>+L97+M97-Sheet1!$S$22</f>
        <v>122694.486733242</v>
      </c>
      <c r="M98" s="9">
        <f t="shared" si="6"/>
        <v>-532.27612954159247</v>
      </c>
      <c r="N98" s="30">
        <f>+I98-Sheet1!$T$22</f>
        <v>-6.2682236945890519E-3</v>
      </c>
      <c r="O98" s="10">
        <f>+O97+P97-Sheet1!$S$22-Sheet1!$S$22</f>
        <v>102336.7693412822</v>
      </c>
      <c r="P98" s="10">
        <f t="shared" si="7"/>
        <v>-626.8223694589052</v>
      </c>
      <c r="Q98" s="10">
        <f>+Q97+R97-Sheet1!$S$22-Sheet1!$S$22</f>
        <v>101567.80821564791</v>
      </c>
      <c r="R98" s="10">
        <f t="shared" si="5"/>
        <v>-636.64974206480076</v>
      </c>
    </row>
    <row r="99" spans="8:18" x14ac:dyDescent="0.3">
      <c r="H99" t="s">
        <v>110</v>
      </c>
      <c r="I99" s="7">
        <f>+Sheet1!G98</f>
        <v>-9.3479968578162528E-3</v>
      </c>
      <c r="J99" s="9">
        <f>+J98+K98-Sheet1!$S$22</f>
        <v>120801.94697182332</v>
      </c>
      <c r="K99" s="9">
        <f t="shared" si="8"/>
        <v>-934.79968578162527</v>
      </c>
      <c r="L99" s="9">
        <f>+L98+M98-Sheet1!$S$22</f>
        <v>122156.2106037004</v>
      </c>
      <c r="M99" s="9">
        <f t="shared" si="6"/>
        <v>-1141.9158728861316</v>
      </c>
      <c r="N99" s="30">
        <f>+I99-Sheet1!$T$22</f>
        <v>-1.1277996857816252E-2</v>
      </c>
      <c r="O99" s="10">
        <f>+O98+P98-Sheet1!$S$22-Sheet1!$S$22</f>
        <v>101697.94697182329</v>
      </c>
      <c r="P99" s="10">
        <f t="shared" si="7"/>
        <v>-1127.7996857816252</v>
      </c>
      <c r="Q99" s="10">
        <f>+Q98+R98-Sheet1!$S$22-Sheet1!$S$22</f>
        <v>100919.15847358311</v>
      </c>
      <c r="R99" s="10">
        <f t="shared" ref="R99:R130" si="9">Q99*N99</f>
        <v>-1138.1659521585307</v>
      </c>
    </row>
    <row r="100" spans="8:18" x14ac:dyDescent="0.3">
      <c r="H100" t="s">
        <v>111</v>
      </c>
      <c r="I100" s="7">
        <f>+Sheet1!G99</f>
        <v>-1.4670499640658669E-2</v>
      </c>
      <c r="J100" s="9">
        <f>+J99+K99-Sheet1!$S$22</f>
        <v>119861.14728604168</v>
      </c>
      <c r="K100" s="9">
        <f t="shared" si="8"/>
        <v>-1467.0499640658668</v>
      </c>
      <c r="L100" s="9">
        <f>+L99+M99-Sheet1!$S$22</f>
        <v>121008.29473081426</v>
      </c>
      <c r="M100" s="9">
        <f t="shared" si="6"/>
        <v>-1775.252144365129</v>
      </c>
      <c r="N100" s="30">
        <f>+I100-Sheet1!$T$22</f>
        <v>-1.660049964065867E-2</v>
      </c>
      <c r="O100" s="10">
        <f>+O99+P99-Sheet1!$S$22-Sheet1!$S$22</f>
        <v>100558.14728604167</v>
      </c>
      <c r="P100" s="10">
        <f t="shared" si="7"/>
        <v>-1660.049964065867</v>
      </c>
      <c r="Q100" s="10">
        <f>+Q99+R99-Sheet1!$S$22-Sheet1!$S$22</f>
        <v>99768.992521424589</v>
      </c>
      <c r="R100" s="10">
        <f t="shared" si="9"/>
        <v>-1656.2151245007865</v>
      </c>
    </row>
    <row r="101" spans="8:18" x14ac:dyDescent="0.3">
      <c r="H101" t="s">
        <v>112</v>
      </c>
      <c r="I101" s="7">
        <f>+Sheet1!G100</f>
        <v>1.908032818164364E-3</v>
      </c>
      <c r="J101" s="9">
        <f>+J100+K100-Sheet1!$S$22</f>
        <v>118388.09732197582</v>
      </c>
      <c r="K101" s="9">
        <f t="shared" si="8"/>
        <v>190.8032818164364</v>
      </c>
      <c r="L101" s="9">
        <f>+L100+M100-Sheet1!$S$22</f>
        <v>119227.04258644913</v>
      </c>
      <c r="M101" s="9">
        <f t="shared" si="6"/>
        <v>227.48911006762518</v>
      </c>
      <c r="N101" s="30">
        <f>+I101-Sheet1!$T$22</f>
        <v>-2.1967181835636082E-5</v>
      </c>
      <c r="O101" s="10">
        <f>+O100+P100-Sheet1!$S$22-Sheet1!$S$22</f>
        <v>98886.097321975802</v>
      </c>
      <c r="P101" s="10">
        <f t="shared" si="7"/>
        <v>-2.196718183563608</v>
      </c>
      <c r="Q101" s="10">
        <f>+Q100+R100-Sheet1!$S$22-Sheet1!$S$22</f>
        <v>98100.777396923804</v>
      </c>
      <c r="R101" s="10">
        <f t="shared" si="9"/>
        <v>-2.1549976152954833</v>
      </c>
    </row>
    <row r="102" spans="8:18" x14ac:dyDescent="0.3">
      <c r="H102" t="s">
        <v>113</v>
      </c>
      <c r="I102" s="7">
        <f>+Sheet1!G101</f>
        <v>7.6969444058051931E-3</v>
      </c>
      <c r="J102" s="9">
        <f>+J101+K101-Sheet1!$S$22</f>
        <v>118572.90060379225</v>
      </c>
      <c r="K102" s="9">
        <f t="shared" si="8"/>
        <v>769.69444058051931</v>
      </c>
      <c r="L102" s="9">
        <f>+L101+M101-Sheet1!$S$22</f>
        <v>119448.53169651676</v>
      </c>
      <c r="M102" s="9">
        <f t="shared" si="6"/>
        <v>919.38870782314893</v>
      </c>
      <c r="N102" s="30">
        <f>+I102-Sheet1!$T$22</f>
        <v>5.7669444058051928E-3</v>
      </c>
      <c r="O102" s="10">
        <f>+O101+P101-Sheet1!$S$22-Sheet1!$S$22</f>
        <v>98871.900603792237</v>
      </c>
      <c r="P102" s="10">
        <f t="shared" si="7"/>
        <v>576.69444058051931</v>
      </c>
      <c r="Q102" s="10">
        <f>+Q101+R101-Sheet1!$S$22-Sheet1!$S$22</f>
        <v>98086.622399308515</v>
      </c>
      <c r="R102" s="10">
        <f t="shared" si="9"/>
        <v>565.66009833001851</v>
      </c>
    </row>
    <row r="103" spans="8:18" x14ac:dyDescent="0.3">
      <c r="H103" t="s">
        <v>114</v>
      </c>
      <c r="I103" s="7">
        <f>+Sheet1!G102</f>
        <v>2.7380346035714851E-2</v>
      </c>
      <c r="J103" s="9">
        <f>+J102+K102-Sheet1!$S$22</f>
        <v>119336.59504437278</v>
      </c>
      <c r="K103" s="9">
        <f t="shared" si="8"/>
        <v>2738.0346035714851</v>
      </c>
      <c r="L103" s="9">
        <f>+L102+M102-Sheet1!$S$22</f>
        <v>120361.92040433991</v>
      </c>
      <c r="M103" s="9">
        <f t="shared" si="6"/>
        <v>3295.5510301939948</v>
      </c>
      <c r="N103" s="30">
        <f>+I103-Sheet1!$T$22</f>
        <v>2.545034603571485E-2</v>
      </c>
      <c r="O103" s="10">
        <f>+O102+P102-Sheet1!$S$22-Sheet1!$S$22</f>
        <v>99436.595044372763</v>
      </c>
      <c r="P103" s="10">
        <f t="shared" si="7"/>
        <v>2545.0346035714851</v>
      </c>
      <c r="Q103" s="10">
        <f>+Q102+R102-Sheet1!$S$22-Sheet1!$S$22</f>
        <v>98640.282497638531</v>
      </c>
      <c r="R103" s="10">
        <f t="shared" si="9"/>
        <v>2510.4293226255677</v>
      </c>
    </row>
    <row r="104" spans="8:18" x14ac:dyDescent="0.3">
      <c r="H104" t="s">
        <v>115</v>
      </c>
      <c r="I104" s="7">
        <f>+Sheet1!G103</f>
        <v>1.2814399809274082E-2</v>
      </c>
      <c r="J104" s="9">
        <f>+J103+K103-Sheet1!$S$22</f>
        <v>122068.62964794427</v>
      </c>
      <c r="K104" s="9">
        <f t="shared" si="8"/>
        <v>1281.4399809274082</v>
      </c>
      <c r="L104" s="9">
        <f>+L103+M103-Sheet1!$S$22</f>
        <v>123651.4714345339</v>
      </c>
      <c r="M104" s="9">
        <f t="shared" si="6"/>
        <v>1584.5193919671508</v>
      </c>
      <c r="N104" s="30">
        <f>+I104-Sheet1!$T$22</f>
        <v>1.0884399809274083E-2</v>
      </c>
      <c r="O104" s="10">
        <f>+O103+P103-Sheet1!$S$22-Sheet1!$S$22</f>
        <v>101969.62964794425</v>
      </c>
      <c r="P104" s="10">
        <f t="shared" si="7"/>
        <v>1088.4399809274082</v>
      </c>
      <c r="Q104" s="10">
        <f>+Q103+R103-Sheet1!$S$22-Sheet1!$S$22</f>
        <v>101138.7118202641</v>
      </c>
      <c r="R104" s="10">
        <f t="shared" si="9"/>
        <v>1100.8341756467089</v>
      </c>
    </row>
    <row r="105" spans="8:18" x14ac:dyDescent="0.3">
      <c r="H105" t="s">
        <v>116</v>
      </c>
      <c r="I105" s="7">
        <f>+Sheet1!G104</f>
        <v>-1.0534077741493732E-2</v>
      </c>
      <c r="J105" s="9">
        <f>+J104+K104-Sheet1!$S$22</f>
        <v>123344.06962887167</v>
      </c>
      <c r="K105" s="9">
        <f t="shared" si="8"/>
        <v>-1053.4077741493732</v>
      </c>
      <c r="L105" s="9">
        <f>+L104+M104-Sheet1!$S$22</f>
        <v>125229.99082650105</v>
      </c>
      <c r="M105" s="9">
        <f t="shared" si="6"/>
        <v>-1319.182458932909</v>
      </c>
      <c r="N105" s="30">
        <f>+I105-Sheet1!$T$22</f>
        <v>-1.2464077741493731E-2</v>
      </c>
      <c r="O105" s="10">
        <f>+O104+P104-Sheet1!$S$22-Sheet1!$S$22</f>
        <v>103046.06962887166</v>
      </c>
      <c r="P105" s="10">
        <f t="shared" si="7"/>
        <v>-1246.4077741493732</v>
      </c>
      <c r="Q105" s="10">
        <f>+Q104+R104-Sheet1!$S$22-Sheet1!$S$22</f>
        <v>102227.54599591081</v>
      </c>
      <c r="R105" s="10">
        <f t="shared" si="9"/>
        <v>-1274.1720806151586</v>
      </c>
    </row>
    <row r="106" spans="8:18" x14ac:dyDescent="0.3">
      <c r="H106" t="s">
        <v>117</v>
      </c>
      <c r="I106" s="7">
        <f>+Sheet1!G105</f>
        <v>1.9960753050837037E-2</v>
      </c>
      <c r="J106" s="9">
        <f>+J105+K105-Sheet1!$S$22</f>
        <v>122284.6618547223</v>
      </c>
      <c r="K106" s="9">
        <f t="shared" si="8"/>
        <v>1996.0753050837038</v>
      </c>
      <c r="L106" s="9">
        <f>+L105+M105-Sheet1!$S$22</f>
        <v>123904.80836756814</v>
      </c>
      <c r="M106" s="9">
        <f t="shared" si="6"/>
        <v>2473.2332816363141</v>
      </c>
      <c r="N106" s="30">
        <f>+I106-Sheet1!$T$22</f>
        <v>1.8030753050837036E-2</v>
      </c>
      <c r="O106" s="10">
        <f>+O105+P105-Sheet1!$S$22-Sheet1!$S$22</f>
        <v>101787.66185472229</v>
      </c>
      <c r="P106" s="10">
        <f t="shared" si="7"/>
        <v>1803.0753050837036</v>
      </c>
      <c r="Q106" s="10">
        <f>+Q105+R105-Sheet1!$S$22-Sheet1!$S$22</f>
        <v>100941.37391529566</v>
      </c>
      <c r="R106" s="10">
        <f t="shared" si="9"/>
        <v>1820.048985678899</v>
      </c>
    </row>
    <row r="107" spans="8:18" x14ac:dyDescent="0.3">
      <c r="H107" t="s">
        <v>118</v>
      </c>
      <c r="I107" s="7">
        <f>+Sheet1!G106</f>
        <v>3.5755426895861947E-3</v>
      </c>
      <c r="J107" s="9">
        <f>+J106+K106-Sheet1!$S$22</f>
        <v>124274.73715980601</v>
      </c>
      <c r="K107" s="9">
        <f t="shared" si="8"/>
        <v>357.55426895861945</v>
      </c>
      <c r="L107" s="9">
        <f>+L106+M106-Sheet1!$S$22</f>
        <v>126372.04164920446</v>
      </c>
      <c r="M107" s="9">
        <f t="shared" si="6"/>
        <v>451.84862968689515</v>
      </c>
      <c r="N107" s="30">
        <f>+I107-Sheet1!$T$22</f>
        <v>1.6455426895861946E-3</v>
      </c>
      <c r="O107" s="10">
        <f>+O106+P106-Sheet1!$S$22-Sheet1!$S$22</f>
        <v>103578.737159806</v>
      </c>
      <c r="P107" s="10">
        <f t="shared" si="7"/>
        <v>164.55426895861947</v>
      </c>
      <c r="Q107" s="10">
        <f>+Q106+R106-Sheet1!$S$22-Sheet1!$S$22</f>
        <v>102749.42290097455</v>
      </c>
      <c r="R107" s="10">
        <f t="shared" si="9"/>
        <v>169.07856171389901</v>
      </c>
    </row>
    <row r="108" spans="8:18" x14ac:dyDescent="0.3">
      <c r="H108" t="s">
        <v>119</v>
      </c>
      <c r="I108" s="7">
        <f>+Sheet1!G107</f>
        <v>2.3120180188244033E-3</v>
      </c>
      <c r="J108" s="9">
        <f>+J107+K107-Sheet1!$S$22</f>
        <v>124626.29142876463</v>
      </c>
      <c r="K108" s="9">
        <f t="shared" si="8"/>
        <v>231.20180188244032</v>
      </c>
      <c r="L108" s="9">
        <f>+L107+M107-Sheet1!$S$22</f>
        <v>126817.89027889135</v>
      </c>
      <c r="M108" s="9">
        <f t="shared" si="6"/>
        <v>293.20524743409294</v>
      </c>
      <c r="N108" s="30">
        <f>+I108-Sheet1!$T$22</f>
        <v>3.8201801882440322E-4</v>
      </c>
      <c r="O108" s="10">
        <f>+O107+P107-Sheet1!$S$22-Sheet1!$S$22</f>
        <v>103731.29142876461</v>
      </c>
      <c r="P108" s="10">
        <f t="shared" si="7"/>
        <v>38.201801882440321</v>
      </c>
      <c r="Q108" s="10">
        <f>+Q107+R107-Sheet1!$S$22-Sheet1!$S$22</f>
        <v>102906.50146268845</v>
      </c>
      <c r="R108" s="10">
        <f t="shared" si="9"/>
        <v>39.312137812926792</v>
      </c>
    </row>
    <row r="109" spans="8:18" x14ac:dyDescent="0.3">
      <c r="H109" t="s">
        <v>120</v>
      </c>
      <c r="I109" s="7">
        <f>+Sheet1!G108</f>
        <v>-5.0990741154896642E-3</v>
      </c>
      <c r="J109" s="9">
        <f>+J108+K108-Sheet1!$S$22</f>
        <v>124851.49323064707</v>
      </c>
      <c r="K109" s="9">
        <f t="shared" si="8"/>
        <v>-509.90741154896642</v>
      </c>
      <c r="L109" s="9">
        <f>+L108+M108-Sheet1!$S$22</f>
        <v>127105.09552632544</v>
      </c>
      <c r="M109" s="9">
        <f t="shared" si="6"/>
        <v>-648.11830254512722</v>
      </c>
      <c r="N109" s="30">
        <f>+I109-Sheet1!$T$22</f>
        <v>-7.0290741154896644E-3</v>
      </c>
      <c r="O109" s="10">
        <f>+O108+P108-Sheet1!$S$22-Sheet1!$S$22</f>
        <v>103757.49323064706</v>
      </c>
      <c r="P109" s="10">
        <f t="shared" si="7"/>
        <v>-702.90741154896648</v>
      </c>
      <c r="Q109" s="10">
        <f>+Q108+R108-Sheet1!$S$22-Sheet1!$S$22</f>
        <v>102933.81360050138</v>
      </c>
      <c r="R109" s="10">
        <f t="shared" si="9"/>
        <v>-723.5294047879222</v>
      </c>
    </row>
    <row r="110" spans="8:18" x14ac:dyDescent="0.3">
      <c r="H110" t="s">
        <v>121</v>
      </c>
      <c r="I110" s="7">
        <f>+Sheet1!G109</f>
        <v>-2.4622668536361091E-2</v>
      </c>
      <c r="J110" s="9">
        <f>+J109+K109-Sheet1!$S$22</f>
        <v>124335.58581909811</v>
      </c>
      <c r="K110" s="9">
        <f t="shared" si="8"/>
        <v>-2462.2668536361093</v>
      </c>
      <c r="L110" s="9">
        <f>+L109+M109-Sheet1!$S$22</f>
        <v>126450.97722378031</v>
      </c>
      <c r="M110" s="9">
        <f t="shared" si="6"/>
        <v>-3113.5604982800883</v>
      </c>
      <c r="N110" s="30">
        <f>+I110-Sheet1!$T$22</f>
        <v>-2.6552668536361092E-2</v>
      </c>
      <c r="O110" s="10">
        <f>+O109+P109-Sheet1!$S$22-Sheet1!$S$22</f>
        <v>103042.58581909809</v>
      </c>
      <c r="P110" s="10">
        <f t="shared" si="7"/>
        <v>-2655.2668536361093</v>
      </c>
      <c r="Q110" s="10">
        <f>+Q109+R109-Sheet1!$S$22-Sheet1!$S$22</f>
        <v>102198.28419571345</v>
      </c>
      <c r="R110" s="10">
        <f t="shared" si="9"/>
        <v>-2713.6371652336097</v>
      </c>
    </row>
    <row r="111" spans="8:18" x14ac:dyDescent="0.3">
      <c r="H111" t="s">
        <v>122</v>
      </c>
      <c r="I111" s="7">
        <f>+Sheet1!G110</f>
        <v>3.8119048721391843E-3</v>
      </c>
      <c r="J111" s="9">
        <f>+J110+K110-Sheet1!$S$22</f>
        <v>121867.31896546199</v>
      </c>
      <c r="K111" s="9">
        <f t="shared" si="8"/>
        <v>381.1904872139184</v>
      </c>
      <c r="L111" s="9">
        <f>+L110+M110-Sheet1!$S$22</f>
        <v>123331.41672550022</v>
      </c>
      <c r="M111" s="9">
        <f t="shared" si="6"/>
        <v>470.12762830376238</v>
      </c>
      <c r="N111" s="30">
        <f>+I111-Sheet1!$T$22</f>
        <v>1.8819048721391842E-3</v>
      </c>
      <c r="O111" s="10">
        <f>+O110+P110-Sheet1!$S$22-Sheet1!$S$22</f>
        <v>100375.31896546198</v>
      </c>
      <c r="P111" s="10">
        <f t="shared" si="7"/>
        <v>188.19048721391843</v>
      </c>
      <c r="Q111" s="10">
        <f>+Q110+R110-Sheet1!$S$22-Sheet1!$S$22</f>
        <v>99472.647030479842</v>
      </c>
      <c r="R111" s="10">
        <f t="shared" si="9"/>
        <v>187.19805909124136</v>
      </c>
    </row>
    <row r="112" spans="8:18" x14ac:dyDescent="0.3">
      <c r="H112" t="s">
        <v>123</v>
      </c>
      <c r="I112" s="7">
        <f>+Sheet1!G111</f>
        <v>6.4973056197075094E-3</v>
      </c>
      <c r="J112" s="9">
        <f>+J111+K111-Sheet1!$S$22</f>
        <v>122242.50945267591</v>
      </c>
      <c r="K112" s="9">
        <f t="shared" si="8"/>
        <v>649.73056197075095</v>
      </c>
      <c r="L112" s="9">
        <f>+L111+M111-Sheet1!$S$22</f>
        <v>123795.54435380398</v>
      </c>
      <c r="M112" s="9">
        <f t="shared" si="6"/>
        <v>804.33748602472087</v>
      </c>
      <c r="N112" s="30">
        <f>+I112-Sheet1!$T$22</f>
        <v>4.5673056197075091E-3</v>
      </c>
      <c r="O112" s="10">
        <f>+O111+P111-Sheet1!$S$22-Sheet1!$S$22</f>
        <v>100551.50945267589</v>
      </c>
      <c r="P112" s="10">
        <f t="shared" si="7"/>
        <v>456.7305619707509</v>
      </c>
      <c r="Q112" s="10">
        <f>+Q111+R111-Sheet1!$S$22-Sheet1!$S$22</f>
        <v>99647.845089571085</v>
      </c>
      <c r="R112" s="10">
        <f t="shared" si="9"/>
        <v>455.12216286934131</v>
      </c>
    </row>
    <row r="113" spans="8:18" x14ac:dyDescent="0.3">
      <c r="H113" t="s">
        <v>124</v>
      </c>
      <c r="I113" s="7">
        <f>+Sheet1!G112</f>
        <v>1.058064123253042E-2</v>
      </c>
      <c r="J113" s="9">
        <f>+J112+K112-Sheet1!$S$22</f>
        <v>122886.24001464665</v>
      </c>
      <c r="K113" s="9">
        <f t="shared" si="8"/>
        <v>1058.064123253042</v>
      </c>
      <c r="L113" s="9">
        <f>+L112+M112-Sheet1!$S$22</f>
        <v>124593.88183982871</v>
      </c>
      <c r="M113" s="9">
        <f t="shared" si="6"/>
        <v>1318.2831635155148</v>
      </c>
      <c r="N113" s="30">
        <f>+I113-Sheet1!$T$22</f>
        <v>8.6506412325304208E-3</v>
      </c>
      <c r="O113" s="10">
        <f>+O112+P112-Sheet1!$S$22-Sheet1!$S$22</f>
        <v>100996.24001464664</v>
      </c>
      <c r="P113" s="10">
        <f t="shared" si="7"/>
        <v>865.06412325304211</v>
      </c>
      <c r="Q113" s="10">
        <f>+Q112+R112-Sheet1!$S$22-Sheet1!$S$22</f>
        <v>100090.96725244043</v>
      </c>
      <c r="R113" s="10">
        <f t="shared" si="9"/>
        <v>865.85104831781325</v>
      </c>
    </row>
    <row r="114" spans="8:18" x14ac:dyDescent="0.3">
      <c r="H114" t="s">
        <v>125</v>
      </c>
      <c r="I114" s="7">
        <f>+Sheet1!G113</f>
        <v>-2.0933640360056575E-4</v>
      </c>
      <c r="J114" s="9">
        <f>+J113+K113-Sheet1!$S$22</f>
        <v>123938.3041378997</v>
      </c>
      <c r="K114" s="9">
        <f t="shared" si="8"/>
        <v>-20.933640360056575</v>
      </c>
      <c r="L114" s="9">
        <f>+L113+M113-Sheet1!$S$22</f>
        <v>125906.16500334423</v>
      </c>
      <c r="M114" s="9">
        <f t="shared" si="6"/>
        <v>-26.356743772939492</v>
      </c>
      <c r="N114" s="30">
        <f>+I114-Sheet1!$T$22</f>
        <v>-2.1393364036005657E-3</v>
      </c>
      <c r="O114" s="10">
        <f>+O113+P113-Sheet1!$S$22-Sheet1!$S$22</f>
        <v>101849.30413789969</v>
      </c>
      <c r="P114" s="10">
        <f t="shared" si="7"/>
        <v>-213.93364036005656</v>
      </c>
      <c r="Q114" s="10">
        <f>+Q113+R113-Sheet1!$S$22-Sheet1!$S$22</f>
        <v>100944.81830075824</v>
      </c>
      <c r="R114" s="10">
        <f t="shared" si="9"/>
        <v>-215.9549245456567</v>
      </c>
    </row>
    <row r="115" spans="8:18" x14ac:dyDescent="0.3">
      <c r="H115" t="s">
        <v>126</v>
      </c>
      <c r="I115" s="7">
        <f>+Sheet1!G114</f>
        <v>8.9136156975353504E-3</v>
      </c>
      <c r="J115" s="9">
        <f>+J114+K114-Sheet1!$S$22</f>
        <v>123911.37049753964</v>
      </c>
      <c r="K115" s="9">
        <f t="shared" si="8"/>
        <v>891.36156975353504</v>
      </c>
      <c r="L115" s="9">
        <f>+L114+M114-Sheet1!$S$22</f>
        <v>125873.80825957129</v>
      </c>
      <c r="M115" s="9">
        <f t="shared" si="6"/>
        <v>1121.9907532110694</v>
      </c>
      <c r="N115" s="30">
        <f>+I115-Sheet1!$T$22</f>
        <v>6.9836156975353501E-3</v>
      </c>
      <c r="O115" s="10">
        <f>+O114+P114-Sheet1!$S$22-Sheet1!$S$22</f>
        <v>101623.37049753962</v>
      </c>
      <c r="P115" s="10">
        <f t="shared" si="7"/>
        <v>698.36156975353504</v>
      </c>
      <c r="Q115" s="10">
        <f>+Q114+R114-Sheet1!$S$22-Sheet1!$S$22</f>
        <v>100716.86337621258</v>
      </c>
      <c r="R115" s="10">
        <f t="shared" si="9"/>
        <v>703.36786808064141</v>
      </c>
    </row>
    <row r="116" spans="8:18" x14ac:dyDescent="0.3">
      <c r="H116" t="s">
        <v>127</v>
      </c>
      <c r="I116" s="7">
        <f>+Sheet1!G115</f>
        <v>3.1846473029045662E-2</v>
      </c>
      <c r="J116" s="9">
        <f>+J115+K115-Sheet1!$S$22</f>
        <v>124796.73206729317</v>
      </c>
      <c r="K116" s="9">
        <f t="shared" si="8"/>
        <v>3184.647302904566</v>
      </c>
      <c r="L116" s="9">
        <f>+L115+M115-Sheet1!$S$22</f>
        <v>126989.79901278236</v>
      </c>
      <c r="M116" s="9">
        <f t="shared" si="6"/>
        <v>4044.1772092245028</v>
      </c>
      <c r="N116" s="30">
        <f>+I116-Sheet1!$T$22</f>
        <v>2.9916473029045661E-2</v>
      </c>
      <c r="O116" s="10">
        <f>+O115+P115-Sheet1!$S$22-Sheet1!$S$22</f>
        <v>102309.73206729315</v>
      </c>
      <c r="P116" s="10">
        <f t="shared" si="7"/>
        <v>2991.647302904566</v>
      </c>
      <c r="Q116" s="10">
        <f>+Q115+R115-Sheet1!$S$22-Sheet1!$S$22</f>
        <v>101408.23124429323</v>
      </c>
      <c r="R116" s="10">
        <f t="shared" si="9"/>
        <v>3033.7766149431241</v>
      </c>
    </row>
    <row r="117" spans="8:18" x14ac:dyDescent="0.3">
      <c r="H117" t="s">
        <v>128</v>
      </c>
      <c r="I117" s="7">
        <f>+Sheet1!G116</f>
        <v>2.5243685521166858E-2</v>
      </c>
      <c r="J117" s="9">
        <f>+J116+K116-Sheet1!$S$22</f>
        <v>127975.37937019773</v>
      </c>
      <c r="K117" s="9">
        <f t="shared" si="8"/>
        <v>2524.3685521166858</v>
      </c>
      <c r="L117" s="9">
        <f>+L116+M116-Sheet1!$S$22</f>
        <v>131027.97622200687</v>
      </c>
      <c r="M117" s="9">
        <f t="shared" si="6"/>
        <v>3307.6290262232701</v>
      </c>
      <c r="N117" s="30">
        <f>+I117-Sheet1!$T$22</f>
        <v>2.3313685521166857E-2</v>
      </c>
      <c r="O117" s="10">
        <f>+O116+P116-Sheet1!$S$22-Sheet1!$S$22</f>
        <v>105289.37937019771</v>
      </c>
      <c r="P117" s="10">
        <f t="shared" si="7"/>
        <v>2331.3685521166858</v>
      </c>
      <c r="Q117" s="10">
        <f>+Q116+R116-Sheet1!$S$22-Sheet1!$S$22</f>
        <v>104430.00785923636</v>
      </c>
      <c r="R117" s="10">
        <f t="shared" si="9"/>
        <v>2434.6483622032197</v>
      </c>
    </row>
    <row r="118" spans="8:18" x14ac:dyDescent="0.3">
      <c r="H118" t="s">
        <v>129</v>
      </c>
      <c r="I118" s="7">
        <f>+Sheet1!G117</f>
        <v>3.4776970572199255E-3</v>
      </c>
      <c r="J118" s="9">
        <f>+J117+K117-Sheet1!$S$22</f>
        <v>130493.74792231442</v>
      </c>
      <c r="K118" s="9">
        <f t="shared" si="8"/>
        <v>347.76970572199252</v>
      </c>
      <c r="L118" s="9">
        <f>+L117+M117-Sheet1!$S$22</f>
        <v>134329.60524823013</v>
      </c>
      <c r="M118" s="9">
        <f t="shared" si="6"/>
        <v>467.15767286928417</v>
      </c>
      <c r="N118" s="30">
        <f>+I118-Sheet1!$T$22</f>
        <v>1.5476970572199254E-3</v>
      </c>
      <c r="O118" s="10">
        <f>+O117+P117-Sheet1!$S$22-Sheet1!$S$22</f>
        <v>107608.7479223144</v>
      </c>
      <c r="P118" s="10">
        <f t="shared" si="7"/>
        <v>154.76970572199255</v>
      </c>
      <c r="Q118" s="10">
        <f>+Q117+R117-Sheet1!$S$22-Sheet1!$S$22</f>
        <v>106852.65622143958</v>
      </c>
      <c r="R118" s="10">
        <f t="shared" si="9"/>
        <v>165.37554159005438</v>
      </c>
    </row>
    <row r="119" spans="8:18" x14ac:dyDescent="0.3">
      <c r="H119" t="s">
        <v>130</v>
      </c>
      <c r="I119" s="7">
        <f>+Sheet1!G118</f>
        <v>-7.8092461474385672E-3</v>
      </c>
      <c r="J119" s="9">
        <f>+J118+K118-Sheet1!$S$22</f>
        <v>130835.51762803641</v>
      </c>
      <c r="K119" s="9">
        <f t="shared" si="8"/>
        <v>-780.92461474385675</v>
      </c>
      <c r="L119" s="9">
        <f>+L118+M118-Sheet1!$S$22</f>
        <v>134790.76292109941</v>
      </c>
      <c r="M119" s="9">
        <f t="shared" si="6"/>
        <v>-1052.6142460519009</v>
      </c>
      <c r="N119" s="30">
        <f>+I119-Sheet1!$T$22</f>
        <v>-9.7392461474385666E-3</v>
      </c>
      <c r="O119" s="10">
        <f>+O118+P118-Sheet1!$S$22-Sheet1!$S$22</f>
        <v>107751.5176280364</v>
      </c>
      <c r="P119" s="10">
        <f t="shared" si="7"/>
        <v>-973.92461474385664</v>
      </c>
      <c r="Q119" s="10">
        <f>+Q118+R118-Sheet1!$S$22-Sheet1!$S$22</f>
        <v>107006.03176302963</v>
      </c>
      <c r="R119" s="10">
        <f t="shared" si="9"/>
        <v>-1042.1580826007753</v>
      </c>
    </row>
    <row r="120" spans="8:18" x14ac:dyDescent="0.3">
      <c r="H120" t="s">
        <v>131</v>
      </c>
      <c r="I120" s="7">
        <f>+Sheet1!G119</f>
        <v>1.7055749389796652E-2</v>
      </c>
      <c r="J120" s="9">
        <f>+J119+K119-Sheet1!$S$22</f>
        <v>130048.59301329256</v>
      </c>
      <c r="K120" s="9">
        <f t="shared" si="8"/>
        <v>1705.5749389796651</v>
      </c>
      <c r="L120" s="9">
        <f>+L119+M119-Sheet1!$S$22</f>
        <v>133732.1486750475</v>
      </c>
      <c r="M120" s="9">
        <f t="shared" si="6"/>
        <v>2280.9020131606367</v>
      </c>
      <c r="N120" s="30">
        <f>+I120-Sheet1!$T$22</f>
        <v>1.5125749389796652E-2</v>
      </c>
      <c r="O120" s="10">
        <f>+O119+P119-Sheet1!$S$22-Sheet1!$S$22</f>
        <v>106765.59301329254</v>
      </c>
      <c r="P120" s="10">
        <f t="shared" si="7"/>
        <v>1512.5749389796651</v>
      </c>
      <c r="Q120" s="10">
        <f>+Q119+R119-Sheet1!$S$22-Sheet1!$S$22</f>
        <v>105951.87368042886</v>
      </c>
      <c r="R120" s="10">
        <f t="shared" si="9"/>
        <v>1602.6014886695589</v>
      </c>
    </row>
    <row r="121" spans="8:18" x14ac:dyDescent="0.3">
      <c r="H121" t="s">
        <v>132</v>
      </c>
      <c r="I121" s="7">
        <f>+Sheet1!G120</f>
        <v>-1.6742155851533021E-3</v>
      </c>
      <c r="J121" s="9">
        <f>+J120+K120-Sheet1!$S$22</f>
        <v>131748.16795227223</v>
      </c>
      <c r="K121" s="9">
        <f t="shared" si="8"/>
        <v>-167.42155851533022</v>
      </c>
      <c r="L121" s="9">
        <f>+L120+M120-Sheet1!$S$22</f>
        <v>136007.05068820814</v>
      </c>
      <c r="M121" s="9">
        <f t="shared" si="6"/>
        <v>-227.70512395293321</v>
      </c>
      <c r="N121" s="30">
        <f>+I121-Sheet1!$T$22</f>
        <v>-3.6042155851533021E-3</v>
      </c>
      <c r="O121" s="10">
        <f>+O120+P120-Sheet1!$S$22-Sheet1!$S$22</f>
        <v>108266.16795227221</v>
      </c>
      <c r="P121" s="10">
        <f t="shared" si="7"/>
        <v>-360.42155851533022</v>
      </c>
      <c r="Q121" s="10">
        <f>+Q120+R120-Sheet1!$S$22-Sheet1!$S$22</f>
        <v>107542.47516909843</v>
      </c>
      <c r="R121" s="10">
        <f t="shared" si="9"/>
        <v>-387.60626507042656</v>
      </c>
    </row>
    <row r="122" spans="8:18" x14ac:dyDescent="0.3">
      <c r="H122" t="s">
        <v>133</v>
      </c>
      <c r="I122" s="7">
        <f>+Sheet1!G121</f>
        <v>1.5023291344007868E-2</v>
      </c>
      <c r="J122" s="9">
        <f>+J121+K121-Sheet1!$S$22</f>
        <v>131574.74639375688</v>
      </c>
      <c r="K122" s="9">
        <f t="shared" si="8"/>
        <v>1502.3291344007869</v>
      </c>
      <c r="L122" s="9">
        <f>+L121+M121-Sheet1!$S$22</f>
        <v>135773.3455642552</v>
      </c>
      <c r="M122" s="9">
        <f t="shared" si="6"/>
        <v>2039.7625271624643</v>
      </c>
      <c r="N122" s="30">
        <f>+I122-Sheet1!$T$22</f>
        <v>1.3093291344007869E-2</v>
      </c>
      <c r="O122" s="10">
        <f>+O121+P121-Sheet1!$S$22-Sheet1!$S$22</f>
        <v>107893.74639375688</v>
      </c>
      <c r="P122" s="10">
        <f t="shared" si="7"/>
        <v>1309.3291344007869</v>
      </c>
      <c r="Q122" s="10">
        <f>+Q121+R121-Sheet1!$S$22-Sheet1!$S$22</f>
        <v>107142.868904028</v>
      </c>
      <c r="R122" s="10">
        <f t="shared" si="9"/>
        <v>1402.8527979932796</v>
      </c>
    </row>
    <row r="123" spans="8:18" x14ac:dyDescent="0.3">
      <c r="H123" t="s">
        <v>134</v>
      </c>
      <c r="I123" s="7">
        <f>+Sheet1!G122</f>
        <v>-7.4669557101135643E-3</v>
      </c>
      <c r="J123" s="9">
        <f>+J122+K122-Sheet1!$S$22</f>
        <v>133071.07552815767</v>
      </c>
      <c r="K123" s="9">
        <f t="shared" si="8"/>
        <v>-746.69557101135638</v>
      </c>
      <c r="L123" s="9">
        <f>+L122+M122-Sheet1!$S$22</f>
        <v>137807.10809141767</v>
      </c>
      <c r="M123" s="9">
        <f t="shared" si="6"/>
        <v>-1028.9995726574484</v>
      </c>
      <c r="N123" s="30">
        <f>+I123-Sheet1!$T$22</f>
        <v>-9.3969557101135637E-3</v>
      </c>
      <c r="O123" s="10">
        <f>+O122+P122-Sheet1!$S$22-Sheet1!$S$22</f>
        <v>109191.07552815767</v>
      </c>
      <c r="P123" s="10">
        <f t="shared" si="7"/>
        <v>-939.69557101135638</v>
      </c>
      <c r="Q123" s="10">
        <f>+Q122+R122-Sheet1!$S$22-Sheet1!$S$22</f>
        <v>108533.72170202128</v>
      </c>
      <c r="R123" s="10">
        <f t="shared" si="9"/>
        <v>-1019.8865758876854</v>
      </c>
    </row>
    <row r="124" spans="8:18" x14ac:dyDescent="0.3">
      <c r="H124" t="s">
        <v>135</v>
      </c>
      <c r="I124" s="7">
        <f>+Sheet1!G123</f>
        <v>4.2453958383160701E-3</v>
      </c>
      <c r="J124" s="9">
        <f>+J123+K123-Sheet1!$S$22</f>
        <v>132318.3799571463</v>
      </c>
      <c r="K124" s="9">
        <f t="shared" si="8"/>
        <v>424.53958383160699</v>
      </c>
      <c r="L124" s="9">
        <f>+L123+M123-Sheet1!$S$22</f>
        <v>136772.10851876021</v>
      </c>
      <c r="M124" s="9">
        <f t="shared" si="6"/>
        <v>580.65174030325852</v>
      </c>
      <c r="N124" s="30">
        <f>+I124-Sheet1!$T$22</f>
        <v>2.3153958383160698E-3</v>
      </c>
      <c r="O124" s="10">
        <f>+O123+P123-Sheet1!$S$22-Sheet1!$S$22</f>
        <v>108239.37995714632</v>
      </c>
      <c r="P124" s="10">
        <f t="shared" si="7"/>
        <v>231.53958383160699</v>
      </c>
      <c r="Q124" s="10">
        <f>+Q123+R123-Sheet1!$S$22-Sheet1!$S$22</f>
        <v>107501.83512613361</v>
      </c>
      <c r="R124" s="10">
        <f t="shared" si="9"/>
        <v>248.90930166239005</v>
      </c>
    </row>
    <row r="125" spans="8:18" x14ac:dyDescent="0.3">
      <c r="H125" t="s">
        <v>136</v>
      </c>
      <c r="I125" s="7">
        <f>+Sheet1!G124</f>
        <v>7.7660623077150119E-4</v>
      </c>
      <c r="J125" s="9">
        <f>+J124+K124-Sheet1!$S$22</f>
        <v>132736.91954097792</v>
      </c>
      <c r="K125" s="9">
        <f t="shared" si="8"/>
        <v>77.66062307715012</v>
      </c>
      <c r="L125" s="9">
        <f>+L124+M124-Sheet1!$S$22</f>
        <v>137346.76025906348</v>
      </c>
      <c r="M125" s="9">
        <f t="shared" si="6"/>
        <v>106.6643497934683</v>
      </c>
      <c r="N125" s="30">
        <f>+I125-Sheet1!$T$22</f>
        <v>-1.153393769228499E-3</v>
      </c>
      <c r="O125" s="10">
        <f>+O124+P124-Sheet1!$S$22-Sheet1!$S$22</f>
        <v>108458.91954097792</v>
      </c>
      <c r="P125" s="10">
        <f t="shared" si="7"/>
        <v>-115.33937692284989</v>
      </c>
      <c r="Q125" s="10">
        <f>+Q124+R124-Sheet1!$S$22-Sheet1!$S$22</f>
        <v>107738.744427796</v>
      </c>
      <c r="R125" s="10">
        <f t="shared" si="9"/>
        <v>-124.26519652752157</v>
      </c>
    </row>
    <row r="126" spans="8:18" x14ac:dyDescent="0.3">
      <c r="H126" t="s">
        <v>137</v>
      </c>
      <c r="I126" s="7">
        <f>+Sheet1!G125</f>
        <v>7.2977573828733088E-3</v>
      </c>
      <c r="J126" s="9">
        <f>+J125+K125-Sheet1!$S$22</f>
        <v>132808.58016405508</v>
      </c>
      <c r="K126" s="9">
        <f t="shared" si="8"/>
        <v>729.77573828733091</v>
      </c>
      <c r="L126" s="9">
        <f>+L125+M125-Sheet1!$S$22</f>
        <v>137447.42460885693</v>
      </c>
      <c r="M126" s="9">
        <f t="shared" si="6"/>
        <v>1003.0579576962082</v>
      </c>
      <c r="N126" s="30">
        <f>+I126-Sheet1!$T$22</f>
        <v>5.3677573828733085E-3</v>
      </c>
      <c r="O126" s="10">
        <f>+O125+P125-Sheet1!$S$22-Sheet1!$S$22</f>
        <v>108331.58016405506</v>
      </c>
      <c r="P126" s="10">
        <f t="shared" si="7"/>
        <v>536.7757382873308</v>
      </c>
      <c r="Q126" s="10">
        <f>+Q125+R125-Sheet1!$S$22-Sheet1!$S$22</f>
        <v>107602.47923126849</v>
      </c>
      <c r="R126" s="10">
        <f t="shared" si="9"/>
        <v>577.58400230911332</v>
      </c>
    </row>
    <row r="127" spans="8:18" x14ac:dyDescent="0.3">
      <c r="H127" t="s">
        <v>138</v>
      </c>
      <c r="I127" s="7">
        <f>+Sheet1!G126</f>
        <v>2.2855626170428574E-3</v>
      </c>
      <c r="J127" s="9">
        <f>+J126+K126-Sheet1!$S$22</f>
        <v>133532.35590234242</v>
      </c>
      <c r="K127" s="9">
        <f t="shared" si="8"/>
        <v>228.55626170428573</v>
      </c>
      <c r="L127" s="9">
        <f>+L126+M126-Sheet1!$S$22</f>
        <v>138444.48256655314</v>
      </c>
      <c r="M127" s="9">
        <f t="shared" si="6"/>
        <v>316.42353388995542</v>
      </c>
      <c r="N127" s="30">
        <f>+I127-Sheet1!$T$22</f>
        <v>3.5556261704285737E-4</v>
      </c>
      <c r="O127" s="10">
        <f>+O126+P126-Sheet1!$S$22-Sheet1!$S$22</f>
        <v>108856.35590234239</v>
      </c>
      <c r="P127" s="10">
        <f t="shared" si="7"/>
        <v>35.556261704285738</v>
      </c>
      <c r="Q127" s="10">
        <f>+Q126+R126-Sheet1!$S$22-Sheet1!$S$22</f>
        <v>108168.0632335776</v>
      </c>
      <c r="R127" s="10">
        <f t="shared" si="9"/>
        <v>38.460519643788132</v>
      </c>
    </row>
    <row r="128" spans="8:18" x14ac:dyDescent="0.3">
      <c r="H128" t="s">
        <v>139</v>
      </c>
      <c r="I128" s="7">
        <f>+Sheet1!G127</f>
        <v>-9.1305126215909839E-3</v>
      </c>
      <c r="J128" s="9">
        <f>+J127+K127-Sheet1!$S$22</f>
        <v>133754.91216404669</v>
      </c>
      <c r="K128" s="9">
        <f t="shared" si="8"/>
        <v>-913.05126215909843</v>
      </c>
      <c r="L128" s="9">
        <f>+L127+M127-Sheet1!$S$22</f>
        <v>138754.9061004431</v>
      </c>
      <c r="M128" s="9">
        <f t="shared" si="6"/>
        <v>-1266.9034214577675</v>
      </c>
      <c r="N128" s="30">
        <f>+I128-Sheet1!$T$22</f>
        <v>-1.1060512621590983E-2</v>
      </c>
      <c r="O128" s="10">
        <f>+O127+P127-Sheet1!$S$22-Sheet1!$S$22</f>
        <v>108879.91216404668</v>
      </c>
      <c r="P128" s="10">
        <f t="shared" si="7"/>
        <v>-1106.0512621590983</v>
      </c>
      <c r="Q128" s="10">
        <f>+Q127+R127-Sheet1!$S$22-Sheet1!$S$22</f>
        <v>108194.52375322139</v>
      </c>
      <c r="R128" s="10">
        <f t="shared" si="9"/>
        <v>-1196.6868955595307</v>
      </c>
    </row>
    <row r="129" spans="8:18" x14ac:dyDescent="0.3">
      <c r="H129" t="s">
        <v>140</v>
      </c>
      <c r="I129" s="7">
        <f>+Sheet1!G128</f>
        <v>-1.1335348506401104E-2</v>
      </c>
      <c r="J129" s="9">
        <f>+J128+K128-Sheet1!$S$22</f>
        <v>132835.86090188759</v>
      </c>
      <c r="K129" s="9">
        <f t="shared" si="8"/>
        <v>-1133.5348506401103</v>
      </c>
      <c r="L129" s="9">
        <f>+L128+M128-Sheet1!$S$22</f>
        <v>137482.00267898533</v>
      </c>
      <c r="M129" s="9">
        <f t="shared" si="6"/>
        <v>-1558.406413724269</v>
      </c>
      <c r="N129" s="30">
        <f>+I129-Sheet1!$T$22</f>
        <v>-1.3265348506401103E-2</v>
      </c>
      <c r="O129" s="10">
        <f>+O128+P128-Sheet1!$S$22-Sheet1!$S$22</f>
        <v>107761.86090188757</v>
      </c>
      <c r="P129" s="10">
        <f t="shared" si="7"/>
        <v>-1326.5348506401103</v>
      </c>
      <c r="Q129" s="10">
        <f>+Q128+R128-Sheet1!$S$22-Sheet1!$S$22</f>
        <v>106985.83685766187</v>
      </c>
      <c r="R129" s="10">
        <f t="shared" si="9"/>
        <v>-1419.204411165857</v>
      </c>
    </row>
    <row r="130" spans="8:18" x14ac:dyDescent="0.3">
      <c r="H130" t="s">
        <v>141</v>
      </c>
      <c r="I130" s="7">
        <f>+Sheet1!G129</f>
        <v>8.4690936893489256E-3</v>
      </c>
      <c r="J130" s="9">
        <f>+J129+K129-Sheet1!$S$22</f>
        <v>131696.32605124748</v>
      </c>
      <c r="K130" s="9">
        <f t="shared" si="8"/>
        <v>846.90936893489254</v>
      </c>
      <c r="L130" s="9">
        <f>+L129+M129-Sheet1!$S$22</f>
        <v>135917.59626526106</v>
      </c>
      <c r="M130" s="9">
        <f t="shared" si="6"/>
        <v>1151.0988568015975</v>
      </c>
      <c r="N130" s="30">
        <f>+I130-Sheet1!$T$22</f>
        <v>6.5390936893489253E-3</v>
      </c>
      <c r="O130" s="10">
        <f>+O129+P129-Sheet1!$S$22-Sheet1!$S$22</f>
        <v>106423.32605124747</v>
      </c>
      <c r="P130" s="10">
        <f t="shared" si="7"/>
        <v>653.90936893489254</v>
      </c>
      <c r="Q130" s="10">
        <f>+Q129+R129-Sheet1!$S$22-Sheet1!$S$22</f>
        <v>105554.63244649601</v>
      </c>
      <c r="R130" s="10">
        <f t="shared" si="9"/>
        <v>690.23163091242736</v>
      </c>
    </row>
    <row r="131" spans="8:18" x14ac:dyDescent="0.3">
      <c r="H131" t="s">
        <v>142</v>
      </c>
      <c r="I131" s="7">
        <f>+Sheet1!G130</f>
        <v>8.4260850078434098E-3</v>
      </c>
      <c r="J131" s="9">
        <f>+J130+K130-Sheet1!$S$22</f>
        <v>132537.23542018238</v>
      </c>
      <c r="K131" s="9">
        <f t="shared" si="8"/>
        <v>842.608500784341</v>
      </c>
      <c r="L131" s="9">
        <f>+L130+M130-Sheet1!$S$22</f>
        <v>137062.69512206267</v>
      </c>
      <c r="M131" s="9">
        <f t="shared" si="6"/>
        <v>1154.9019205026243</v>
      </c>
      <c r="N131" s="30">
        <f>+I131-Sheet1!$T$22</f>
        <v>6.4960850078434095E-3</v>
      </c>
      <c r="O131" s="10">
        <f>+O130+P130-Sheet1!$S$22-Sheet1!$S$22</f>
        <v>107065.23542018236</v>
      </c>
      <c r="P131" s="10">
        <f t="shared" si="7"/>
        <v>649.608500784341</v>
      </c>
      <c r="Q131" s="10">
        <f>+Q130+R130-Sheet1!$S$22-Sheet1!$S$22</f>
        <v>106232.86407740843</v>
      </c>
      <c r="R131" s="10">
        <f t="shared" ref="R131:R146" si="10">Q131*N131</f>
        <v>690.09771567351959</v>
      </c>
    </row>
    <row r="132" spans="8:18" x14ac:dyDescent="0.3">
      <c r="H132" t="s">
        <v>143</v>
      </c>
      <c r="I132" s="7">
        <f>+Sheet1!G131</f>
        <v>-4.0775027560898949E-3</v>
      </c>
      <c r="J132" s="9">
        <f>+J131+K131-Sheet1!$S$22</f>
        <v>133373.84392096673</v>
      </c>
      <c r="K132" s="9">
        <f t="shared" si="8"/>
        <v>-407.75027560898951</v>
      </c>
      <c r="L132" s="9">
        <f>+L131+M131-Sheet1!$S$22</f>
        <v>138211.59704256529</v>
      </c>
      <c r="M132" s="9">
        <f t="shared" ref="M132:M146" si="11">+L132*I132</f>
        <v>-563.55816786464595</v>
      </c>
      <c r="N132" s="30">
        <f>+I132-Sheet1!$T$22</f>
        <v>-6.0075027560898952E-3</v>
      </c>
      <c r="O132" s="10">
        <f>+O131+P131-Sheet1!$S$22-Sheet1!$S$22</f>
        <v>107702.8439209667</v>
      </c>
      <c r="P132" s="10">
        <f t="shared" ref="P132:P146" si="12">+$O$3*N132</f>
        <v>-600.75027560898957</v>
      </c>
      <c r="Q132" s="10">
        <f>+Q131+R131-Sheet1!$S$22-Sheet1!$S$22</f>
        <v>106910.96179308195</v>
      </c>
      <c r="R132" s="10">
        <f t="shared" si="10"/>
        <v>-642.26789762816134</v>
      </c>
    </row>
    <row r="133" spans="8:18" x14ac:dyDescent="0.3">
      <c r="H133" t="s">
        <v>144</v>
      </c>
      <c r="I133" s="7">
        <f>+Sheet1!G132</f>
        <v>-2.3765317489788679E-3</v>
      </c>
      <c r="J133" s="9">
        <f>+J132+K132-Sheet1!$S$22</f>
        <v>132960.09364535773</v>
      </c>
      <c r="K133" s="9">
        <f t="shared" ref="K133:K146" si="13">+$J$3*I133</f>
        <v>-237.6531748978868</v>
      </c>
      <c r="L133" s="9">
        <f>+L132+M132-Sheet1!$S$22</f>
        <v>137642.03887470064</v>
      </c>
      <c r="M133" s="9">
        <f t="shared" si="11"/>
        <v>-327.11067537990965</v>
      </c>
      <c r="N133" s="30">
        <f>+I133-Sheet1!$T$22</f>
        <v>-4.3065317489788682E-3</v>
      </c>
      <c r="O133" s="10">
        <f>+O132+P132-Sheet1!$S$22-Sheet1!$S$22</f>
        <v>107090.0936453577</v>
      </c>
      <c r="P133" s="10">
        <f t="shared" si="12"/>
        <v>-430.6531748978868</v>
      </c>
      <c r="Q133" s="10">
        <f>+Q132+R132-Sheet1!$S$22-Sheet1!$S$22</f>
        <v>106256.69389545379</v>
      </c>
      <c r="R133" s="10">
        <f t="shared" si="10"/>
        <v>-457.59782580230086</v>
      </c>
    </row>
    <row r="134" spans="8:18" x14ac:dyDescent="0.3">
      <c r="H134" t="s">
        <v>145</v>
      </c>
      <c r="I134" s="7">
        <f>+Sheet1!G133</f>
        <v>-9.1882261128208281E-3</v>
      </c>
      <c r="J134" s="9">
        <f>+J133+K133-Sheet1!$S$22</f>
        <v>132716.44047045984</v>
      </c>
      <c r="K134" s="9">
        <f t="shared" si="13"/>
        <v>-918.82261128208279</v>
      </c>
      <c r="L134" s="9">
        <f>+L133+M133-Sheet1!$S$22</f>
        <v>137308.92819932074</v>
      </c>
      <c r="M134" s="9">
        <f t="shared" si="11"/>
        <v>-1261.6254796044391</v>
      </c>
      <c r="N134" s="30">
        <f>+I134-Sheet1!$T$22</f>
        <v>-1.1118226112820827E-2</v>
      </c>
      <c r="O134" s="10">
        <f>+O133+P133-Sheet1!$S$22-Sheet1!$S$22</f>
        <v>106647.44047045981</v>
      </c>
      <c r="P134" s="10">
        <f t="shared" si="12"/>
        <v>-1111.8226112820828</v>
      </c>
      <c r="Q134" s="10">
        <f>+Q133+R133-Sheet1!$S$22-Sheet1!$S$22</f>
        <v>105787.0960696515</v>
      </c>
      <c r="R134" s="10">
        <f t="shared" si="10"/>
        <v>-1176.1648539210848</v>
      </c>
    </row>
    <row r="135" spans="8:18" x14ac:dyDescent="0.3">
      <c r="H135" t="s">
        <v>146</v>
      </c>
      <c r="I135" s="7">
        <f>+Sheet1!G134</f>
        <v>6.5300251708018172E-3</v>
      </c>
      <c r="J135" s="9">
        <f>+J134+K134-Sheet1!$S$22</f>
        <v>131791.61785917776</v>
      </c>
      <c r="K135" s="9">
        <f t="shared" si="13"/>
        <v>653.00251708018175</v>
      </c>
      <c r="L135" s="9">
        <f>+L134+M134-Sheet1!$S$22</f>
        <v>136041.3027197163</v>
      </c>
      <c r="M135" s="9">
        <f t="shared" si="11"/>
        <v>888.35313102841712</v>
      </c>
      <c r="N135" s="30">
        <f>+I135-Sheet1!$T$22</f>
        <v>4.6000251708018169E-3</v>
      </c>
      <c r="O135" s="10">
        <f>+O134+P134-Sheet1!$S$22-Sheet1!$S$22</f>
        <v>105523.61785917773</v>
      </c>
      <c r="P135" s="10">
        <f t="shared" si="12"/>
        <v>460.00251708018169</v>
      </c>
      <c r="Q135" s="10">
        <f>+Q134+R134-Sheet1!$S$22-Sheet1!$S$22</f>
        <v>104598.93121573041</v>
      </c>
      <c r="R135" s="10">
        <f t="shared" si="10"/>
        <v>481.15771643132774</v>
      </c>
    </row>
    <row r="136" spans="8:18" x14ac:dyDescent="0.3">
      <c r="H136" t="s">
        <v>147</v>
      </c>
      <c r="I136" s="7">
        <f>+Sheet1!G135</f>
        <v>1.5908137735550876E-4</v>
      </c>
      <c r="J136" s="9">
        <f>+J135+K135-Sheet1!$S$22</f>
        <v>132438.62037625792</v>
      </c>
      <c r="K136" s="9">
        <f t="shared" si="13"/>
        <v>15.908137735550875</v>
      </c>
      <c r="L136" s="9">
        <f>+L135+M135-Sheet1!$S$22</f>
        <v>136923.65585074472</v>
      </c>
      <c r="M136" s="9">
        <f t="shared" si="11"/>
        <v>21.782003765288135</v>
      </c>
      <c r="N136" s="30">
        <f>+I136-Sheet1!$T$22</f>
        <v>-1.7709186226444913E-3</v>
      </c>
      <c r="O136" s="10">
        <f>+O135+P135-Sheet1!$S$22-Sheet1!$S$22</f>
        <v>105971.62037625791</v>
      </c>
      <c r="P136" s="10">
        <f t="shared" si="12"/>
        <v>-177.09186226444913</v>
      </c>
      <c r="Q136" s="10">
        <f>+Q135+R135-Sheet1!$S$22-Sheet1!$S$22</f>
        <v>105068.08893216174</v>
      </c>
      <c r="R136" s="10">
        <f t="shared" si="10"/>
        <v>-186.0670353356328</v>
      </c>
    </row>
    <row r="137" spans="8:18" x14ac:dyDescent="0.3">
      <c r="H137" t="s">
        <v>148</v>
      </c>
      <c r="I137" s="7">
        <f>+Sheet1!G136</f>
        <v>-3.9927719551861231E-2</v>
      </c>
      <c r="J137" s="9">
        <f>+J136+K136-Sheet1!$S$22</f>
        <v>132448.52851399349</v>
      </c>
      <c r="K137" s="9">
        <f t="shared" si="13"/>
        <v>-3992.7719551861233</v>
      </c>
      <c r="L137" s="9">
        <f>+L136+M136-Sheet1!$S$22</f>
        <v>136939.43785451</v>
      </c>
      <c r="M137" s="9">
        <f t="shared" si="11"/>
        <v>-5467.6794702444049</v>
      </c>
      <c r="N137" s="30">
        <f>+I137-Sheet1!$T$22</f>
        <v>-4.1857719551861232E-2</v>
      </c>
      <c r="O137" s="10">
        <f>+O136+P136-Sheet1!$S$22-Sheet1!$S$22</f>
        <v>105782.52851399346</v>
      </c>
      <c r="P137" s="10">
        <f t="shared" si="12"/>
        <v>-4185.7719551861228</v>
      </c>
      <c r="Q137" s="10">
        <f>+Q136+R136-Sheet1!$S$22-Sheet1!$S$22</f>
        <v>104870.0218968261</v>
      </c>
      <c r="R137" s="10">
        <f t="shared" si="10"/>
        <v>-4389.6199659548938</v>
      </c>
    </row>
    <row r="138" spans="8:18" x14ac:dyDescent="0.3">
      <c r="H138" t="s">
        <v>149</v>
      </c>
      <c r="I138" s="7">
        <f>+Sheet1!G137</f>
        <v>1.8140589569161005E-2</v>
      </c>
      <c r="J138" s="9">
        <f>+J137+K137-Sheet1!$S$22</f>
        <v>128449.75655880736</v>
      </c>
      <c r="K138" s="9">
        <f t="shared" si="13"/>
        <v>1814.0589569161004</v>
      </c>
      <c r="L138" s="9">
        <f>+L137+M137-Sheet1!$S$22</f>
        <v>131465.75838426559</v>
      </c>
      <c r="M138" s="9">
        <f t="shared" si="11"/>
        <v>2384.8663652474493</v>
      </c>
      <c r="N138" s="30">
        <f>+I138-Sheet1!$T$22</f>
        <v>1.6210589569161004E-2</v>
      </c>
      <c r="O138" s="10">
        <f>+O137+P137-Sheet1!$S$22-Sheet1!$S$22</f>
        <v>101584.75655880733</v>
      </c>
      <c r="P138" s="10">
        <f t="shared" si="12"/>
        <v>1621.0589569161004</v>
      </c>
      <c r="Q138" s="10">
        <f>+Q137+R137-Sheet1!$S$22-Sheet1!$S$22</f>
        <v>100468.40193087122</v>
      </c>
      <c r="R138" s="10">
        <f t="shared" si="10"/>
        <v>1628.6520283708562</v>
      </c>
    </row>
    <row r="139" spans="8:18" x14ac:dyDescent="0.3">
      <c r="H139" t="s">
        <v>150</v>
      </c>
      <c r="I139" s="7">
        <f>+Sheet1!G138</f>
        <v>1.9143491354324201E-2</v>
      </c>
      <c r="J139" s="9">
        <f>+J138+K138-Sheet1!$S$22</f>
        <v>130257.81551572346</v>
      </c>
      <c r="K139" s="9">
        <f t="shared" si="13"/>
        <v>1914.3491354324201</v>
      </c>
      <c r="L139" s="9">
        <f>+L138+M138-Sheet1!$S$22</f>
        <v>133844.62474951302</v>
      </c>
      <c r="M139" s="9">
        <f t="shared" si="11"/>
        <v>2562.2534167150693</v>
      </c>
      <c r="N139" s="30">
        <f>+I139-Sheet1!$T$22</f>
        <v>1.7213491354324199E-2</v>
      </c>
      <c r="O139" s="10">
        <f>+O138+P138-Sheet1!$S$22-Sheet1!$S$22</f>
        <v>103193.81551572343</v>
      </c>
      <c r="P139" s="10">
        <f t="shared" si="12"/>
        <v>1721.3491354324199</v>
      </c>
      <c r="Q139" s="10">
        <f>+Q138+R138-Sheet1!$S$22-Sheet1!$S$22</f>
        <v>102085.05395924207</v>
      </c>
      <c r="R139" s="10">
        <f t="shared" si="10"/>
        <v>1757.2401937331326</v>
      </c>
    </row>
    <row r="140" spans="8:18" x14ac:dyDescent="0.3">
      <c r="H140" t="s">
        <v>151</v>
      </c>
      <c r="I140" s="7">
        <f>+Sheet1!G139</f>
        <v>1.5850288512478255E-2</v>
      </c>
      <c r="J140" s="9">
        <f>+J139+K139-Sheet1!$S$22</f>
        <v>132166.16465115588</v>
      </c>
      <c r="K140" s="9">
        <f t="shared" si="13"/>
        <v>1585.0288512478255</v>
      </c>
      <c r="L140" s="9">
        <f>+L139+M139-Sheet1!$S$22</f>
        <v>136400.8781662281</v>
      </c>
      <c r="M140" s="9">
        <f t="shared" si="11"/>
        <v>2161.9932722901112</v>
      </c>
      <c r="N140" s="30">
        <f>+I140-Sheet1!$T$22</f>
        <v>1.3920288512478255E-2</v>
      </c>
      <c r="O140" s="10">
        <f>+O139+P139-Sheet1!$S$22-Sheet1!$S$22</f>
        <v>104903.16465115585</v>
      </c>
      <c r="P140" s="10">
        <f t="shared" si="12"/>
        <v>1392.0288512478255</v>
      </c>
      <c r="Q140" s="10">
        <f>+Q139+R139-Sheet1!$S$22-Sheet1!$S$22</f>
        <v>103830.2941529752</v>
      </c>
      <c r="R140" s="10">
        <f t="shared" si="10"/>
        <v>1445.3476509448988</v>
      </c>
    </row>
    <row r="141" spans="8:18" x14ac:dyDescent="0.3">
      <c r="H141" t="s">
        <v>152</v>
      </c>
      <c r="I141" s="7">
        <f>+Sheet1!G140</f>
        <v>1.9805129094746647E-3</v>
      </c>
      <c r="J141" s="9">
        <f>+J140+K140-Sheet1!$S$22</f>
        <v>133745.19350240371</v>
      </c>
      <c r="K141" s="9">
        <f t="shared" si="13"/>
        <v>198.05129094746647</v>
      </c>
      <c r="L141" s="9">
        <f>+L140+M140-Sheet1!$S$22</f>
        <v>138556.8714385182</v>
      </c>
      <c r="M141" s="9">
        <f t="shared" si="11"/>
        <v>274.41367258040674</v>
      </c>
      <c r="N141" s="30">
        <f>+I141-Sheet1!$T$22</f>
        <v>5.0512909474664585E-5</v>
      </c>
      <c r="O141" s="10">
        <f>+O140+P140-Sheet1!$S$22-Sheet1!$S$22</f>
        <v>106283.19350240368</v>
      </c>
      <c r="P141" s="10">
        <f t="shared" si="12"/>
        <v>5.0512909474664589</v>
      </c>
      <c r="Q141" s="10">
        <f>+Q140+R140-Sheet1!$S$22-Sheet1!$S$22</f>
        <v>105263.64180392009</v>
      </c>
      <c r="R141" s="10">
        <f t="shared" si="10"/>
        <v>5.3171728094149344</v>
      </c>
    </row>
    <row r="142" spans="8:18" x14ac:dyDescent="0.3">
      <c r="H142" t="s">
        <v>153</v>
      </c>
      <c r="I142" s="7">
        <f>+Sheet1!G141</f>
        <v>-1.0410517070080229E-2</v>
      </c>
      <c r="J142" s="9">
        <f>+J141+K141-Sheet1!$S$22</f>
        <v>133937.24479335119</v>
      </c>
      <c r="K142" s="9">
        <f t="shared" si="13"/>
        <v>-1041.051707008023</v>
      </c>
      <c r="L142" s="9">
        <f>+L141+M141-Sheet1!$S$22</f>
        <v>138825.28511109861</v>
      </c>
      <c r="M142" s="9">
        <f t="shared" si="11"/>
        <v>-1445.2430004078467</v>
      </c>
      <c r="N142" s="30">
        <f>+I142-Sheet1!$T$22</f>
        <v>-1.2340517070080229E-2</v>
      </c>
      <c r="O142" s="10">
        <f>+O141+P141-Sheet1!$S$22-Sheet1!$S$22</f>
        <v>106276.24479335114</v>
      </c>
      <c r="P142" s="10">
        <f t="shared" si="12"/>
        <v>-1234.051707008023</v>
      </c>
      <c r="Q142" s="10">
        <f>+Q141+R141-Sheet1!$S$22-Sheet1!$S$22</f>
        <v>105256.95897672951</v>
      </c>
      <c r="R142" s="10">
        <f t="shared" si="10"/>
        <v>-1298.9252989970648</v>
      </c>
    </row>
    <row r="143" spans="8:18" x14ac:dyDescent="0.3">
      <c r="H143" t="s">
        <v>154</v>
      </c>
      <c r="I143" s="7">
        <f>+Sheet1!G142</f>
        <v>1.0381585497994013E-2</v>
      </c>
      <c r="J143" s="9">
        <f>+J142+K142-Sheet1!$S$22</f>
        <v>132890.19308634318</v>
      </c>
      <c r="K143" s="9">
        <f t="shared" si="13"/>
        <v>1038.1585497994013</v>
      </c>
      <c r="L143" s="9">
        <f>+L142+M142-Sheet1!$S$22</f>
        <v>137374.04211069076</v>
      </c>
      <c r="M143" s="9">
        <f t="shared" si="11"/>
        <v>1426.160363377166</v>
      </c>
      <c r="N143" s="30">
        <f>+I143-Sheet1!$T$22</f>
        <v>8.4515854979940134E-3</v>
      </c>
      <c r="O143" s="10">
        <f>+O142+P142-Sheet1!$S$22-Sheet1!$S$22</f>
        <v>105030.19308634312</v>
      </c>
      <c r="P143" s="10">
        <f t="shared" si="12"/>
        <v>845.15854979940138</v>
      </c>
      <c r="Q143" s="10">
        <f>+Q142+R142-Sheet1!$S$22-Sheet1!$S$22</f>
        <v>103946.03367773244</v>
      </c>
      <c r="R143" s="10">
        <f t="shared" si="10"/>
        <v>878.50879080472077</v>
      </c>
    </row>
    <row r="144" spans="8:18" x14ac:dyDescent="0.3">
      <c r="H144" t="s">
        <v>155</v>
      </c>
      <c r="I144" s="7">
        <f>+Sheet1!G143</f>
        <v>2.8455165119285468E-2</v>
      </c>
      <c r="J144" s="9">
        <f>+J143+K143-Sheet1!$S$22</f>
        <v>133922.35163614259</v>
      </c>
      <c r="K144" s="9">
        <f t="shared" si="13"/>
        <v>2845.5165119285466</v>
      </c>
      <c r="L144" s="9">
        <f>+L143+M143-Sheet1!$S$22</f>
        <v>138794.20247406792</v>
      </c>
      <c r="M144" s="9">
        <f t="shared" si="11"/>
        <v>3949.4119489991422</v>
      </c>
      <c r="N144" s="30">
        <f>+I144-Sheet1!$T$22</f>
        <v>2.6525165119285467E-2</v>
      </c>
      <c r="O144" s="10">
        <f>+O143+P143-Sheet1!$S$22-Sheet1!$S$22</f>
        <v>105863.35163614251</v>
      </c>
      <c r="P144" s="10">
        <f t="shared" si="12"/>
        <v>2652.5165119285466</v>
      </c>
      <c r="Q144" s="10">
        <f>+Q143+R143-Sheet1!$S$22-Sheet1!$S$22</f>
        <v>104812.54246853717</v>
      </c>
      <c r="R144" s="10">
        <f t="shared" si="10"/>
        <v>2780.169995550069</v>
      </c>
    </row>
    <row r="145" spans="8:18" x14ac:dyDescent="0.3">
      <c r="H145" t="s">
        <v>156</v>
      </c>
      <c r="I145" s="7">
        <f>+Sheet1!G144</f>
        <v>-1.4011058996298545E-2</v>
      </c>
      <c r="J145" s="9">
        <f>+J144+K144-Sheet1!$S$22</f>
        <v>136761.86814807114</v>
      </c>
      <c r="K145" s="9">
        <f t="shared" si="13"/>
        <v>-1401.1058996298545</v>
      </c>
      <c r="L145" s="9">
        <f>+L144+M144-Sheet1!$S$22</f>
        <v>142737.61442306705</v>
      </c>
      <c r="M145" s="9">
        <f t="shared" si="11"/>
        <v>-1999.9051366725066</v>
      </c>
      <c r="N145" s="30">
        <f>+I145-Sheet1!$T$22</f>
        <v>-1.5941058996298545E-2</v>
      </c>
      <c r="O145" s="10">
        <f>+O144+P144-Sheet1!$S$22-Sheet1!$S$22</f>
        <v>108503.86814807107</v>
      </c>
      <c r="P145" s="10">
        <f t="shared" si="12"/>
        <v>-1594.1058996298545</v>
      </c>
      <c r="Q145" s="10">
        <f>+Q144+R144-Sheet1!$S$22-Sheet1!$S$22</f>
        <v>107580.71246408724</v>
      </c>
      <c r="R145" s="10">
        <f t="shared" si="10"/>
        <v>-1714.9504842538447</v>
      </c>
    </row>
    <row r="146" spans="8:18" x14ac:dyDescent="0.3">
      <c r="H146" t="s">
        <v>157</v>
      </c>
      <c r="I146" s="7">
        <f>+Sheet1!G145</f>
        <v>3.1304709059078568E-3</v>
      </c>
      <c r="J146" s="9">
        <f>+J145+K145-Sheet1!$S$22</f>
        <v>135354.76224844129</v>
      </c>
      <c r="K146" s="9">
        <f t="shared" si="13"/>
        <v>313.04709059078567</v>
      </c>
      <c r="L146" s="9">
        <f>+L145+M145-Sheet1!$S$22</f>
        <v>140731.70928639453</v>
      </c>
      <c r="M146" s="9">
        <f t="shared" si="11"/>
        <v>440.55652145974062</v>
      </c>
      <c r="N146" s="30">
        <f>+I146-Sheet1!$T$22</f>
        <v>1.2004709059078567E-3</v>
      </c>
      <c r="O146" s="10">
        <f>+O145+P145-Sheet1!$S$22-Sheet1!$S$22</f>
        <v>106897.76224844121</v>
      </c>
      <c r="P146" s="10">
        <f t="shared" si="12"/>
        <v>120.04709059078567</v>
      </c>
      <c r="Q146" s="10">
        <f>+Q145+R145-Sheet1!$S$22-Sheet1!$S$22</f>
        <v>105853.76197983339</v>
      </c>
      <c r="R146" s="10">
        <f t="shared" si="10"/>
        <v>127.07436153768522</v>
      </c>
    </row>
    <row r="147" spans="8:18" x14ac:dyDescent="0.3">
      <c r="H147" t="s">
        <v>317</v>
      </c>
      <c r="I147" s="7">
        <f>+Sheet1!G146</f>
        <v>-3.8345617856822183E-3</v>
      </c>
      <c r="J147" s="9">
        <f>+J146+K146-Sheet1!$S$22</f>
        <v>135661.80933903207</v>
      </c>
      <c r="K147" s="9">
        <f t="shared" ref="K147:K169" si="14">+$J$3*I147</f>
        <v>-383.45617856822184</v>
      </c>
      <c r="L147" s="9">
        <f>+L146+M146-Sheet1!$S$22</f>
        <v>141166.26580785427</v>
      </c>
      <c r="M147" s="9">
        <f t="shared" ref="M147:M169" si="15">+L147*I147</f>
        <v>-541.31076829425638</v>
      </c>
      <c r="N147" s="30">
        <f>+I147-Sheet1!$T$22</f>
        <v>-5.7645617856822186E-3</v>
      </c>
      <c r="O147" s="10">
        <f>+O146+P146-Sheet1!$S$22-Sheet1!$S$22</f>
        <v>107005.809339032</v>
      </c>
      <c r="P147" s="10">
        <f t="shared" ref="P147:P169" si="16">+$O$3*N147</f>
        <v>-576.45617856822184</v>
      </c>
      <c r="Q147" s="10">
        <f>+Q146+R146-Sheet1!$S$22-Sheet1!$S$22</f>
        <v>105968.83634137108</v>
      </c>
      <c r="R147" s="10">
        <f t="shared" ref="R147:R169" si="17">Q147*N147</f>
        <v>-610.86390444668086</v>
      </c>
    </row>
    <row r="148" spans="8:18" x14ac:dyDescent="0.3">
      <c r="H148" t="s">
        <v>318</v>
      </c>
      <c r="I148" s="7">
        <f>+Sheet1!G147</f>
        <v>1.737069482779351E-2</v>
      </c>
      <c r="J148" s="9">
        <f>+J147+K147-Sheet1!$S$22</f>
        <v>135272.35316046386</v>
      </c>
      <c r="K148" s="9">
        <f t="shared" si="14"/>
        <v>1737.0694827793509</v>
      </c>
      <c r="L148" s="9">
        <f>+L147+M147-Sheet1!$S$22</f>
        <v>140618.95503956001</v>
      </c>
      <c r="M148" s="9">
        <f t="shared" si="15"/>
        <v>2442.6489549954131</v>
      </c>
      <c r="N148" s="30">
        <f>+I148-Sheet1!$T$22</f>
        <v>1.544069482779351E-2</v>
      </c>
      <c r="O148" s="10">
        <f>+O147+P147-Sheet1!$S$22-Sheet1!$S$22</f>
        <v>106417.35316046378</v>
      </c>
      <c r="P148" s="10">
        <f t="shared" si="16"/>
        <v>1544.0694827793511</v>
      </c>
      <c r="Q148" s="10">
        <f>+Q147+R147-Sheet1!$S$22-Sheet1!$S$22</f>
        <v>105345.97243692439</v>
      </c>
      <c r="R148" s="10">
        <f t="shared" si="17"/>
        <v>1626.6150117356963</v>
      </c>
    </row>
    <row r="149" spans="8:18" x14ac:dyDescent="0.3">
      <c r="H149" t="s">
        <v>319</v>
      </c>
      <c r="I149" s="7">
        <f>+Sheet1!G148</f>
        <v>2.0089559563242934E-3</v>
      </c>
      <c r="J149" s="9">
        <f>+J148+K148-Sheet1!$S$22</f>
        <v>137003.42264324322</v>
      </c>
      <c r="K149" s="9">
        <f t="shared" si="14"/>
        <v>200.89559563242935</v>
      </c>
      <c r="L149" s="9">
        <f>+L148+M148-Sheet1!$S$22</f>
        <v>143055.60399455542</v>
      </c>
      <c r="M149" s="9">
        <f t="shared" si="15"/>
        <v>287.3924077304315</v>
      </c>
      <c r="N149" s="30">
        <f>+I149-Sheet1!$T$22</f>
        <v>7.895595632429332E-5</v>
      </c>
      <c r="O149" s="10">
        <f>+O148+P148-Sheet1!$S$22-Sheet1!$S$22</f>
        <v>107949.42264324313</v>
      </c>
      <c r="P149" s="10">
        <f t="shared" si="16"/>
        <v>7.8955956324293322</v>
      </c>
      <c r="Q149" s="10">
        <f>+Q148+R148-Sheet1!$S$22-Sheet1!$S$22</f>
        <v>106960.5874486601</v>
      </c>
      <c r="R149" s="10">
        <f t="shared" si="17"/>
        <v>8.445175471017162</v>
      </c>
    </row>
    <row r="150" spans="8:18" x14ac:dyDescent="0.3">
      <c r="H150" t="s">
        <v>320</v>
      </c>
      <c r="I150" s="7">
        <f>+Sheet1!G149</f>
        <v>1.2486444149897524E-2</v>
      </c>
      <c r="J150" s="9">
        <f>+J149+K149-Sheet1!$S$22</f>
        <v>137198.31823887565</v>
      </c>
      <c r="K150" s="9">
        <f t="shared" si="14"/>
        <v>1248.6444149897525</v>
      </c>
      <c r="L150" s="9">
        <f>+L149+M149-Sheet1!$S$22</f>
        <v>143336.99640228585</v>
      </c>
      <c r="M150" s="9">
        <f t="shared" si="15"/>
        <v>1789.7694001912046</v>
      </c>
      <c r="N150" s="30">
        <f>+I150-Sheet1!$T$22</f>
        <v>1.0556444149897525E-2</v>
      </c>
      <c r="O150" s="10">
        <f>+O149+P149-Sheet1!$S$22-Sheet1!$S$22</f>
        <v>107945.31823887557</v>
      </c>
      <c r="P150" s="10">
        <f t="shared" si="16"/>
        <v>1055.6444149897525</v>
      </c>
      <c r="Q150" s="10">
        <f>+Q149+R149-Sheet1!$S$22-Sheet1!$S$22</f>
        <v>106957.03262413111</v>
      </c>
      <c r="R150" s="10">
        <f t="shared" si="17"/>
        <v>1129.0859413354076</v>
      </c>
    </row>
    <row r="151" spans="8:18" x14ac:dyDescent="0.3">
      <c r="H151" t="s">
        <v>321</v>
      </c>
      <c r="I151" s="7">
        <f>+Sheet1!G150</f>
        <v>-3.7092213675472634E-3</v>
      </c>
      <c r="J151" s="9">
        <f>+J150+K150-Sheet1!$S$22</f>
        <v>138440.9626538654</v>
      </c>
      <c r="K151" s="9">
        <f t="shared" si="14"/>
        <v>-370.92213675472635</v>
      </c>
      <c r="L151" s="9">
        <f>+L150+M150-Sheet1!$S$22</f>
        <v>145120.76580247705</v>
      </c>
      <c r="M151" s="9">
        <f t="shared" si="15"/>
        <v>-538.28504538937011</v>
      </c>
      <c r="N151" s="30">
        <f>+I151-Sheet1!$T$22</f>
        <v>-5.6392213675472633E-3</v>
      </c>
      <c r="O151" s="10">
        <f>+O150+P150-Sheet1!$S$22-Sheet1!$S$22</f>
        <v>108988.96265386532</v>
      </c>
      <c r="P151" s="10">
        <f t="shared" si="16"/>
        <v>-563.92213675472635</v>
      </c>
      <c r="Q151" s="10">
        <f>+Q150+R150-Sheet1!$S$22-Sheet1!$S$22</f>
        <v>108074.11856546652</v>
      </c>
      <c r="R151" s="10">
        <f t="shared" si="17"/>
        <v>-609.45387869321519</v>
      </c>
    </row>
    <row r="152" spans="8:18" x14ac:dyDescent="0.3">
      <c r="H152" t="s">
        <v>322</v>
      </c>
      <c r="I152" s="7">
        <f>+Sheet1!G151</f>
        <v>3.0569354222392052E-3</v>
      </c>
      <c r="J152" s="9">
        <f>+J151+K151-Sheet1!$S$22</f>
        <v>138064.04051711067</v>
      </c>
      <c r="K152" s="9">
        <f t="shared" si="14"/>
        <v>305.69354222392053</v>
      </c>
      <c r="L152" s="9">
        <f>+L151+M151-Sheet1!$S$22</f>
        <v>144576.48075708767</v>
      </c>
      <c r="M152" s="9">
        <f t="shared" si="15"/>
        <v>441.96096524902612</v>
      </c>
      <c r="N152" s="30">
        <f>+I152-Sheet1!$T$22</f>
        <v>1.1269354222392051E-3</v>
      </c>
      <c r="O152" s="10">
        <f>+O151+P151-Sheet1!$S$22-Sheet1!$S$22</f>
        <v>108413.0405171106</v>
      </c>
      <c r="P152" s="10">
        <f t="shared" si="16"/>
        <v>112.69354222392052</v>
      </c>
      <c r="Q152" s="10">
        <f>+Q151+R151-Sheet1!$S$22-Sheet1!$S$22</f>
        <v>107452.66468677331</v>
      </c>
      <c r="R152" s="10">
        <f t="shared" si="17"/>
        <v>121.0922140495166</v>
      </c>
    </row>
    <row r="153" spans="8:18" x14ac:dyDescent="0.3">
      <c r="H153" t="s">
        <v>323</v>
      </c>
      <c r="I153" s="7">
        <f>+Sheet1!G152</f>
        <v>1.3000336875631483E-2</v>
      </c>
      <c r="J153" s="9">
        <f>+J152+K152-Sheet1!$S$22</f>
        <v>138363.73405933459</v>
      </c>
      <c r="K153" s="9">
        <f t="shared" si="14"/>
        <v>1300.0336875631483</v>
      </c>
      <c r="L153" s="9">
        <f>+L152+M152-Sheet1!$S$22</f>
        <v>145012.44172233669</v>
      </c>
      <c r="M153" s="9">
        <f t="shared" si="15"/>
        <v>1885.2105935482552</v>
      </c>
      <c r="N153" s="30">
        <f>+I153-Sheet1!$T$22</f>
        <v>1.1070336875631484E-2</v>
      </c>
      <c r="O153" s="10">
        <f>+O152+P152-Sheet1!$S$22-Sheet1!$S$22</f>
        <v>108513.73405933451</v>
      </c>
      <c r="P153" s="10">
        <f t="shared" si="16"/>
        <v>1107.0336875631483</v>
      </c>
      <c r="Q153" s="10">
        <f>+Q152+R152-Sheet1!$S$22-Sheet1!$S$22</f>
        <v>107561.75690082282</v>
      </c>
      <c r="R153" s="10">
        <f t="shared" si="17"/>
        <v>1190.7448838268881</v>
      </c>
    </row>
    <row r="154" spans="8:18" x14ac:dyDescent="0.3">
      <c r="H154" t="s">
        <v>324</v>
      </c>
      <c r="I154" s="7">
        <f>+Sheet1!G153</f>
        <v>-9.5679106994999777E-3</v>
      </c>
      <c r="J154" s="9">
        <f>+J153+K153-Sheet1!$S$22</f>
        <v>139657.76774689773</v>
      </c>
      <c r="K154" s="9">
        <f t="shared" si="14"/>
        <v>-956.79106994999779</v>
      </c>
      <c r="L154" s="9">
        <f>+L153+M153-Sheet1!$S$22</f>
        <v>146891.65231588494</v>
      </c>
      <c r="M154" s="9">
        <f t="shared" si="15"/>
        <v>-1405.4462118603863</v>
      </c>
      <c r="N154" s="30">
        <f>+I154-Sheet1!$T$22</f>
        <v>-1.1497910699499977E-2</v>
      </c>
      <c r="O154" s="10">
        <f>+O153+P153-Sheet1!$S$22-Sheet1!$S$22</f>
        <v>109608.76774689766</v>
      </c>
      <c r="P154" s="10">
        <f t="shared" si="16"/>
        <v>-1149.7910699499978</v>
      </c>
      <c r="Q154" s="10">
        <f>+Q153+R153-Sheet1!$S$22-Sheet1!$S$22</f>
        <v>108740.50178464971</v>
      </c>
      <c r="R154" s="10">
        <f t="shared" si="17"/>
        <v>-1250.2885789387203</v>
      </c>
    </row>
    <row r="155" spans="8:18" x14ac:dyDescent="0.3">
      <c r="H155" t="s">
        <v>325</v>
      </c>
      <c r="I155" s="7">
        <f>+Sheet1!G154</f>
        <v>2.7951280449720135E-3</v>
      </c>
      <c r="J155" s="9">
        <f>+J154+K154-Sheet1!$S$22</f>
        <v>138694.97667694773</v>
      </c>
      <c r="K155" s="9">
        <f t="shared" si="14"/>
        <v>279.51280449720133</v>
      </c>
      <c r="L155" s="9">
        <f>+L154+M154-Sheet1!$S$22</f>
        <v>145480.20610402455</v>
      </c>
      <c r="M155" s="9">
        <f t="shared" si="15"/>
        <v>406.6358040696677</v>
      </c>
      <c r="N155" s="30">
        <f>+I155-Sheet1!$T$22</f>
        <v>8.6512804497201347E-4</v>
      </c>
      <c r="O155" s="10">
        <f>+O154+P154-Sheet1!$S$22-Sheet1!$S$22</f>
        <v>108446.97667694767</v>
      </c>
      <c r="P155" s="10">
        <f t="shared" si="16"/>
        <v>86.512804497201344</v>
      </c>
      <c r="Q155" s="10">
        <f>+Q154+R154-Sheet1!$S$22-Sheet1!$S$22</f>
        <v>107478.21320571098</v>
      </c>
      <c r="R155" s="10">
        <f t="shared" si="17"/>
        <v>92.982416467741984</v>
      </c>
    </row>
    <row r="156" spans="8:18" x14ac:dyDescent="0.3">
      <c r="H156" t="s">
        <v>326</v>
      </c>
      <c r="I156" s="7">
        <f>+Sheet1!G155</f>
        <v>8.0893562739179411E-3</v>
      </c>
      <c r="J156" s="9">
        <f>+J155+K155-Sheet1!$S$22</f>
        <v>138968.48948144494</v>
      </c>
      <c r="K156" s="9">
        <f t="shared" si="14"/>
        <v>808.93562739179413</v>
      </c>
      <c r="L156" s="9">
        <f>+L155+M155-Sheet1!$S$22</f>
        <v>145880.84190809421</v>
      </c>
      <c r="M156" s="9">
        <f t="shared" si="15"/>
        <v>1180.0821037336732</v>
      </c>
      <c r="N156" s="30">
        <f>+I156-Sheet1!$T$22</f>
        <v>6.1593562739179408E-3</v>
      </c>
      <c r="O156" s="10">
        <f>+O155+P155-Sheet1!$S$22-Sheet1!$S$22</f>
        <v>108521.48948144488</v>
      </c>
      <c r="P156" s="10">
        <f t="shared" si="16"/>
        <v>615.93562739179413</v>
      </c>
      <c r="Q156" s="10">
        <f>+Q155+R155-Sheet1!$S$22-Sheet1!$S$22</f>
        <v>107559.19562217873</v>
      </c>
      <c r="R156" s="10">
        <f t="shared" si="17"/>
        <v>662.49540637303369</v>
      </c>
    </row>
    <row r="157" spans="8:18" x14ac:dyDescent="0.3">
      <c r="H157" t="s">
        <v>327</v>
      </c>
      <c r="I157" s="7">
        <f>+Sheet1!G156</f>
        <v>-3.2510759513267834E-3</v>
      </c>
      <c r="J157" s="9">
        <f>+J156+K156-Sheet1!$S$22</f>
        <v>139771.42510883673</v>
      </c>
      <c r="K157" s="9">
        <f t="shared" si="14"/>
        <v>-325.10759513267834</v>
      </c>
      <c r="L157" s="9">
        <f>+L156+M156-Sheet1!$S$22</f>
        <v>147054.92401182788</v>
      </c>
      <c r="M157" s="9">
        <f t="shared" si="15"/>
        <v>-478.0867269790412</v>
      </c>
      <c r="N157" s="30">
        <f>+I157-Sheet1!$T$22</f>
        <v>-5.1810759513267832E-3</v>
      </c>
      <c r="O157" s="10">
        <f>+O156+P156-Sheet1!$S$22-Sheet1!$S$22</f>
        <v>109125.42510883667</v>
      </c>
      <c r="P157" s="10">
        <f t="shared" si="16"/>
        <v>-518.10759513267828</v>
      </c>
      <c r="Q157" s="10">
        <f>+Q156+R156-Sheet1!$S$22-Sheet1!$S$22</f>
        <v>108209.69102855177</v>
      </c>
      <c r="R157" s="10">
        <f t="shared" si="17"/>
        <v>-560.64262788853114</v>
      </c>
    </row>
    <row r="158" spans="8:18" x14ac:dyDescent="0.3">
      <c r="H158" t="s">
        <v>328</v>
      </c>
      <c r="I158" s="7">
        <f>+Sheet1!G157</f>
        <v>-1.5892801495792799E-3</v>
      </c>
      <c r="J158" s="9">
        <f>+J157+K157-Sheet1!$S$22</f>
        <v>139440.31751370407</v>
      </c>
      <c r="K158" s="9">
        <f t="shared" si="14"/>
        <v>-158.92801495792799</v>
      </c>
      <c r="L158" s="9">
        <f>+L157+M157-Sheet1!$S$22</f>
        <v>146570.83728484885</v>
      </c>
      <c r="M158" s="9">
        <f t="shared" si="15"/>
        <v>-232.94212220402488</v>
      </c>
      <c r="N158" s="30">
        <f>+I158-Sheet1!$T$22</f>
        <v>-3.51928014957928E-3</v>
      </c>
      <c r="O158" s="10">
        <f>+O157+P157-Sheet1!$S$22-Sheet1!$S$22</f>
        <v>108595.31751370399</v>
      </c>
      <c r="P158" s="10">
        <f t="shared" si="16"/>
        <v>-351.92801495792799</v>
      </c>
      <c r="Q158" s="10">
        <f>+Q157+R157-Sheet1!$S$22-Sheet1!$S$22</f>
        <v>107637.04840066323</v>
      </c>
      <c r="R158" s="10">
        <f t="shared" si="17"/>
        <v>-378.80492779575832</v>
      </c>
    </row>
    <row r="159" spans="8:18" x14ac:dyDescent="0.3">
      <c r="H159" t="s">
        <v>329</v>
      </c>
      <c r="I159" s="7">
        <f>+Sheet1!G158</f>
        <v>-1.2252151141040052E-2</v>
      </c>
      <c r="J159" s="9">
        <f>+J158+K158-Sheet1!$S$22</f>
        <v>139275.38949874614</v>
      </c>
      <c r="K159" s="9">
        <f t="shared" si="14"/>
        <v>-1225.2151141040051</v>
      </c>
      <c r="L159" s="9">
        <f>+L158+M158-Sheet1!$S$22</f>
        <v>146331.89516264483</v>
      </c>
      <c r="M159" s="9">
        <f t="shared" si="15"/>
        <v>-1792.8804962875522</v>
      </c>
      <c r="N159" s="30">
        <f>+I159-Sheet1!$T$22</f>
        <v>-1.4182151141040052E-2</v>
      </c>
      <c r="O159" s="10">
        <f>+O158+P158-Sheet1!$S$22-Sheet1!$S$22</f>
        <v>108231.38949874607</v>
      </c>
      <c r="P159" s="10">
        <f t="shared" si="16"/>
        <v>-1418.2151141040051</v>
      </c>
      <c r="Q159" s="10">
        <f>+Q158+R158-Sheet1!$S$22-Sheet1!$S$22</f>
        <v>107246.24347286747</v>
      </c>
      <c r="R159" s="10">
        <f t="shared" si="17"/>
        <v>-1520.9824342409865</v>
      </c>
    </row>
    <row r="160" spans="8:18" x14ac:dyDescent="0.3">
      <c r="H160" t="s">
        <v>330</v>
      </c>
      <c r="I160" s="7">
        <f>+Sheet1!G159</f>
        <v>6.9329601831828232E-3</v>
      </c>
      <c r="J160" s="9">
        <f>+J159+K159-Sheet1!$S$22</f>
        <v>138044.17438464213</v>
      </c>
      <c r="K160" s="9">
        <f t="shared" si="14"/>
        <v>693.29601831828234</v>
      </c>
      <c r="L160" s="9">
        <f>+L159+M159-Sheet1!$S$22</f>
        <v>144533.01466635728</v>
      </c>
      <c r="M160" s="9">
        <f t="shared" si="15"/>
        <v>1002.041635837234</v>
      </c>
      <c r="N160" s="30">
        <f>+I160-Sheet1!$T$22</f>
        <v>5.0029601831828229E-3</v>
      </c>
      <c r="O160" s="10">
        <f>+O159+P159-Sheet1!$S$22-Sheet1!$S$22</f>
        <v>106801.17438464206</v>
      </c>
      <c r="P160" s="10">
        <f t="shared" si="16"/>
        <v>500.29601831828228</v>
      </c>
      <c r="Q160" s="10">
        <f>+Q159+R159-Sheet1!$S$22-Sheet1!$S$22</f>
        <v>105713.26103862649</v>
      </c>
      <c r="R160" s="10">
        <f t="shared" si="17"/>
        <v>528.87923581066036</v>
      </c>
    </row>
    <row r="161" spans="8:18" x14ac:dyDescent="0.3">
      <c r="H161" t="s">
        <v>331</v>
      </c>
      <c r="I161" s="7">
        <f>+Sheet1!G160</f>
        <v>1.2678338288266946E-2</v>
      </c>
      <c r="J161" s="9">
        <f>+J160+K160-Sheet1!$S$22</f>
        <v>138731.4704029604</v>
      </c>
      <c r="K161" s="9">
        <f t="shared" si="14"/>
        <v>1267.8338288266946</v>
      </c>
      <c r="L161" s="9">
        <f>+L160+M160-Sheet1!$S$22</f>
        <v>145529.05630219451</v>
      </c>
      <c r="M161" s="9">
        <f t="shared" si="15"/>
        <v>1845.0666065714688</v>
      </c>
      <c r="N161" s="30">
        <f>+I161-Sheet1!$T$22</f>
        <v>1.0748338288266946E-2</v>
      </c>
      <c r="O161" s="10">
        <f>+O160+P160-Sheet1!$S$22-Sheet1!$S$22</f>
        <v>107289.47040296035</v>
      </c>
      <c r="P161" s="10">
        <f t="shared" si="16"/>
        <v>1074.8338288266946</v>
      </c>
      <c r="Q161" s="10">
        <f>+Q160+R160-Sheet1!$S$22-Sheet1!$S$22</f>
        <v>106230.14027443714</v>
      </c>
      <c r="R161" s="10">
        <f t="shared" si="17"/>
        <v>1141.7974840797012</v>
      </c>
    </row>
    <row r="162" spans="8:18" x14ac:dyDescent="0.3">
      <c r="H162" t="s">
        <v>332</v>
      </c>
      <c r="I162" s="7">
        <f>+Sheet1!G161</f>
        <v>-9.3557009862660634E-3</v>
      </c>
      <c r="J162" s="9">
        <f>+J161+K161-Sheet1!$S$22</f>
        <v>139993.3042317871</v>
      </c>
      <c r="K162" s="9">
        <f t="shared" si="14"/>
        <v>-935.5700986266063</v>
      </c>
      <c r="L162" s="9">
        <f>+L161+M161-Sheet1!$S$22</f>
        <v>147368.12290876597</v>
      </c>
      <c r="M162" s="9">
        <f t="shared" si="15"/>
        <v>-1378.7320928417203</v>
      </c>
      <c r="N162" s="30">
        <f>+I162-Sheet1!$T$22</f>
        <v>-1.1285700986266063E-2</v>
      </c>
      <c r="O162" s="10">
        <f>+O161+P161-Sheet1!$S$22-Sheet1!$S$22</f>
        <v>108352.30423178704</v>
      </c>
      <c r="P162" s="10">
        <f t="shared" si="16"/>
        <v>-1128.5700986266063</v>
      </c>
      <c r="Q162" s="10">
        <f>+Q161+R161-Sheet1!$S$22-Sheet1!$S$22</f>
        <v>107359.93775851684</v>
      </c>
      <c r="R162" s="10">
        <f t="shared" si="17"/>
        <v>-1211.6321554467565</v>
      </c>
    </row>
    <row r="163" spans="8:18" x14ac:dyDescent="0.3">
      <c r="H163" t="s">
        <v>333</v>
      </c>
      <c r="I163" s="7">
        <f>+Sheet1!G162</f>
        <v>9.8661355319838596E-3</v>
      </c>
      <c r="J163" s="9">
        <f>+J162+K162-Sheet1!$S$22</f>
        <v>139051.7341331605</v>
      </c>
      <c r="K163" s="9">
        <f t="shared" si="14"/>
        <v>986.61355319838594</v>
      </c>
      <c r="L163" s="9">
        <f>+L162+M162-Sheet1!$S$22</f>
        <v>145983.39081592424</v>
      </c>
      <c r="M163" s="9">
        <f t="shared" si="15"/>
        <v>1440.2919192084764</v>
      </c>
      <c r="N163" s="30">
        <f>+I163-Sheet1!$T$22</f>
        <v>7.9361355319838602E-3</v>
      </c>
      <c r="O163" s="10">
        <f>+O162+P162-Sheet1!$S$22-Sheet1!$S$22</f>
        <v>107211.73413316044</v>
      </c>
      <c r="P163" s="10">
        <f t="shared" si="16"/>
        <v>793.61355319838606</v>
      </c>
      <c r="Q163" s="10">
        <f>+Q162+R162-Sheet1!$S$22-Sheet1!$S$22</f>
        <v>106136.30560307008</v>
      </c>
      <c r="R163" s="10">
        <f t="shared" si="17"/>
        <v>842.31210613002213</v>
      </c>
    </row>
    <row r="164" spans="8:18" x14ac:dyDescent="0.3">
      <c r="H164" t="s">
        <v>334</v>
      </c>
      <c r="I164" s="7">
        <f>+Sheet1!G163</f>
        <v>3.8539553752535469E-2</v>
      </c>
      <c r="J164" s="9">
        <f>+J163+K163-Sheet1!$S$22</f>
        <v>140032.34768635887</v>
      </c>
      <c r="K164" s="9">
        <f t="shared" si="14"/>
        <v>3853.9553752535467</v>
      </c>
      <c r="L164" s="9">
        <f>+L163+M163-Sheet1!$S$22</f>
        <v>147417.68273513272</v>
      </c>
      <c r="M164" s="9">
        <f t="shared" si="15"/>
        <v>5681.4117078448671</v>
      </c>
      <c r="N164" s="30">
        <f>+I164-Sheet1!$T$22</f>
        <v>3.6609553752535468E-2</v>
      </c>
      <c r="O164" s="10">
        <f>+O163+P163-Sheet1!$S$22-Sheet1!$S$22</f>
        <v>107993.34768635883</v>
      </c>
      <c r="P164" s="10">
        <f t="shared" si="16"/>
        <v>3660.9553752535467</v>
      </c>
      <c r="Q164" s="10">
        <f>+Q163+R163-Sheet1!$S$22-Sheet1!$S$22</f>
        <v>106966.6177092001</v>
      </c>
      <c r="R164" s="10">
        <f t="shared" si="17"/>
        <v>3916.0001407518735</v>
      </c>
    </row>
    <row r="165" spans="8:18" x14ac:dyDescent="0.3">
      <c r="H165" t="s">
        <v>335</v>
      </c>
      <c r="I165" s="7">
        <f>+Sheet1!G164</f>
        <v>4.6349581609479952E-3</v>
      </c>
      <c r="J165" s="9">
        <f>+J164+K164-Sheet1!$S$22</f>
        <v>143880.30306161242</v>
      </c>
      <c r="K165" s="9">
        <f t="shared" si="14"/>
        <v>463.49581609479952</v>
      </c>
      <c r="L165" s="9">
        <f>+L164+M164-Sheet1!$S$22</f>
        <v>153093.0944429776</v>
      </c>
      <c r="M165" s="9">
        <f t="shared" si="15"/>
        <v>709.58008747326119</v>
      </c>
      <c r="N165" s="30">
        <f>+I165-Sheet1!$T$22</f>
        <v>2.7049581609479949E-3</v>
      </c>
      <c r="O165" s="10">
        <f>+O164+P164-Sheet1!$S$22-Sheet1!$S$22</f>
        <v>111642.30306161237</v>
      </c>
      <c r="P165" s="10">
        <f t="shared" si="16"/>
        <v>270.49581609479947</v>
      </c>
      <c r="Q165" s="10">
        <f>+Q164+R164-Sheet1!$S$22-Sheet1!$S$22</f>
        <v>110870.61784995197</v>
      </c>
      <c r="R165" s="10">
        <f t="shared" si="17"/>
        <v>299.90038256257401</v>
      </c>
    </row>
    <row r="166" spans="8:18" x14ac:dyDescent="0.3">
      <c r="H166" t="s">
        <v>336</v>
      </c>
      <c r="I166" s="7">
        <f>+Sheet1!G165</f>
        <v>-5.1611317624650757E-3</v>
      </c>
      <c r="J166" s="9">
        <f>+J165+K165-Sheet1!$S$22</f>
        <v>144337.79887770722</v>
      </c>
      <c r="K166" s="9">
        <f t="shared" si="14"/>
        <v>-516.11317624650758</v>
      </c>
      <c r="L166" s="9">
        <f>+L165+M165-Sheet1!$S$22</f>
        <v>153796.67453045087</v>
      </c>
      <c r="M166" s="9">
        <f t="shared" si="15"/>
        <v>-793.76490188061348</v>
      </c>
      <c r="N166" s="30">
        <f>+I166-Sheet1!$T$22</f>
        <v>-7.091131762465076E-3</v>
      </c>
      <c r="O166" s="10">
        <f>+O165+P165-Sheet1!$S$22-Sheet1!$S$22</f>
        <v>111900.79887770717</v>
      </c>
      <c r="P166" s="10">
        <f t="shared" si="16"/>
        <v>-709.11317624650758</v>
      </c>
      <c r="Q166" s="10">
        <f>+Q165+R165-Sheet1!$S$22-Sheet1!$S$22</f>
        <v>111158.51823251454</v>
      </c>
      <c r="R166" s="10">
        <f t="shared" si="17"/>
        <v>-788.23969930713713</v>
      </c>
    </row>
    <row r="167" spans="8:18" x14ac:dyDescent="0.3">
      <c r="H167" t="s">
        <v>337</v>
      </c>
      <c r="I167" s="7">
        <f>+Sheet1!G166</f>
        <v>1.9609060845534002E-2</v>
      </c>
      <c r="J167" s="9">
        <f>+J166+K166-Sheet1!$S$22</f>
        <v>143815.68570146072</v>
      </c>
      <c r="K167" s="9">
        <f t="shared" si="14"/>
        <v>1960.9060845534002</v>
      </c>
      <c r="L167" s="9">
        <f>+L166+M166-Sheet1!$S$22</f>
        <v>152996.90962857025</v>
      </c>
      <c r="M167" s="9">
        <f t="shared" si="15"/>
        <v>3000.1257100853009</v>
      </c>
      <c r="N167" s="30">
        <f>+I167-Sheet1!$T$22</f>
        <v>1.7679060845534E-2</v>
      </c>
      <c r="O167" s="10">
        <f>+O166+P166-Sheet1!$S$22-Sheet1!$S$22</f>
        <v>111179.68570146066</v>
      </c>
      <c r="P167" s="10">
        <f t="shared" si="16"/>
        <v>1767.9060845534</v>
      </c>
      <c r="Q167" s="10">
        <f>+Q166+R166-Sheet1!$S$22-Sheet1!$S$22</f>
        <v>110358.27853320741</v>
      </c>
      <c r="R167" s="10">
        <f t="shared" si="17"/>
        <v>1951.0307209969626</v>
      </c>
    </row>
    <row r="168" spans="8:18" x14ac:dyDescent="0.3">
      <c r="H168" t="s">
        <v>338</v>
      </c>
      <c r="I168" s="7">
        <f>+Sheet1!G167</f>
        <v>5.7819299473539372E-4</v>
      </c>
      <c r="J168" s="9">
        <f>+J167+K167-Sheet1!$S$22</f>
        <v>145770.59178601412</v>
      </c>
      <c r="K168" s="9">
        <f t="shared" si="14"/>
        <v>57.819299473539374</v>
      </c>
      <c r="L168" s="9">
        <f>+L167+M167-Sheet1!$S$22</f>
        <v>155991.03533865555</v>
      </c>
      <c r="M168" s="9">
        <f t="shared" si="15"/>
        <v>90.192923874331882</v>
      </c>
      <c r="N168" s="30">
        <f>+I168-Sheet1!$T$22</f>
        <v>-1.3518070052646065E-3</v>
      </c>
      <c r="O168" s="10">
        <f>+O167+P167-Sheet1!$S$22-Sheet1!$S$22</f>
        <v>112935.59178601406</v>
      </c>
      <c r="P168" s="10">
        <f t="shared" si="16"/>
        <v>-135.18070052646064</v>
      </c>
      <c r="Q168" s="10">
        <f>+Q167+R167-Sheet1!$S$22-Sheet1!$S$22</f>
        <v>112297.30925420437</v>
      </c>
      <c r="R168" s="10">
        <f t="shared" si="17"/>
        <v>-151.80428932219939</v>
      </c>
    </row>
    <row r="169" spans="8:18" x14ac:dyDescent="0.3">
      <c r="H169" t="s">
        <v>339</v>
      </c>
      <c r="I169" s="7">
        <f>+Sheet1!G168</f>
        <v>-3.8886272841888703E-3</v>
      </c>
      <c r="J169" s="9">
        <f>+J168+K168-Sheet1!$S$22</f>
        <v>145822.41108548766</v>
      </c>
      <c r="K169" s="9">
        <f t="shared" si="14"/>
        <v>-388.86272841888706</v>
      </c>
      <c r="L169" s="9">
        <f>+L168+M168-Sheet1!$S$22</f>
        <v>156075.22826252988</v>
      </c>
      <c r="M169" s="9">
        <f t="shared" si="15"/>
        <v>-606.91839100767959</v>
      </c>
      <c r="N169" s="30">
        <f>+I169-Sheet1!$T$22</f>
        <v>-5.8186272841888702E-3</v>
      </c>
      <c r="O169" s="10">
        <f>+O168+P168-Sheet1!$S$22-Sheet1!$S$22</f>
        <v>112788.41108548761</v>
      </c>
      <c r="P169" s="10">
        <f t="shared" si="16"/>
        <v>-581.86272841888706</v>
      </c>
      <c r="Q169" s="10">
        <f>+Q168+R168-Sheet1!$S$22-Sheet1!$S$22</f>
        <v>112133.50496488217</v>
      </c>
      <c r="R169" s="10">
        <f t="shared" si="17"/>
        <v>-652.46307146039157</v>
      </c>
    </row>
    <row r="170" spans="8:18" x14ac:dyDescent="0.3">
      <c r="I170" s="7"/>
      <c r="J170" s="9"/>
      <c r="K170" s="9"/>
      <c r="L170" s="9"/>
      <c r="M170" s="9"/>
      <c r="N170" s="30"/>
      <c r="O170" s="10"/>
      <c r="P170" s="10"/>
      <c r="Q170" s="10"/>
      <c r="R170" s="10"/>
    </row>
    <row r="171" spans="8:18" x14ac:dyDescent="0.3">
      <c r="I171" s="7"/>
      <c r="J171" s="9"/>
      <c r="K171" s="9"/>
      <c r="L171" s="9"/>
      <c r="M171" s="9"/>
      <c r="N171" s="30"/>
      <c r="O171" s="10"/>
      <c r="P171" s="10"/>
      <c r="Q171" s="10"/>
      <c r="R171" s="10"/>
    </row>
    <row r="172" spans="8:18" x14ac:dyDescent="0.3">
      <c r="I172" s="7"/>
      <c r="J172" s="9"/>
      <c r="K172" s="9"/>
      <c r="L172" s="9"/>
      <c r="M172" s="9"/>
      <c r="N172" s="30"/>
      <c r="O172" s="10"/>
      <c r="P172" s="10"/>
      <c r="Q172" s="10"/>
      <c r="R172" s="10"/>
    </row>
    <row r="173" spans="8:18" x14ac:dyDescent="0.3">
      <c r="I173" s="7"/>
      <c r="J173" s="9"/>
      <c r="K173" s="9"/>
      <c r="L173" s="9"/>
      <c r="M173" s="9"/>
      <c r="N173" s="30"/>
      <c r="O173" s="10"/>
      <c r="P173" s="10"/>
      <c r="Q173" s="10"/>
      <c r="R173" s="10"/>
    </row>
    <row r="174" spans="8:18" x14ac:dyDescent="0.3">
      <c r="I174" s="7"/>
      <c r="J174" s="9"/>
      <c r="K174" s="9"/>
      <c r="L174" s="9"/>
      <c r="M174" s="9"/>
      <c r="N174" s="30"/>
      <c r="O174" s="10"/>
      <c r="P174" s="10"/>
      <c r="Q174" s="10"/>
      <c r="R174" s="10"/>
    </row>
    <row r="175" spans="8:18" x14ac:dyDescent="0.3">
      <c r="I175" s="7"/>
      <c r="J175" s="9"/>
      <c r="K175" s="9"/>
      <c r="L175" s="9"/>
      <c r="M175" s="9"/>
      <c r="N175" s="30"/>
      <c r="O175" s="10"/>
      <c r="P175" s="10"/>
      <c r="Q175" s="10"/>
      <c r="R175" s="10"/>
    </row>
    <row r="176" spans="8:18" x14ac:dyDescent="0.3">
      <c r="I176" s="7"/>
      <c r="J176" s="9"/>
      <c r="K176" s="9"/>
      <c r="L176" s="9"/>
      <c r="M176" s="9"/>
      <c r="N176" s="30"/>
      <c r="O176" s="10"/>
      <c r="P176" s="10"/>
      <c r="Q176" s="10"/>
      <c r="R176" s="10"/>
    </row>
    <row r="177" spans="9:18" x14ac:dyDescent="0.3">
      <c r="I177" s="7"/>
      <c r="J177" s="9"/>
      <c r="K177" s="9"/>
      <c r="L177" s="9"/>
      <c r="M177" s="9"/>
      <c r="N177" s="30"/>
      <c r="O177" s="10"/>
      <c r="P177" s="10"/>
      <c r="Q177" s="10"/>
      <c r="R177" s="10"/>
    </row>
    <row r="178" spans="9:18" x14ac:dyDescent="0.3">
      <c r="I178" s="7"/>
      <c r="J178" s="9"/>
      <c r="K178" s="9"/>
      <c r="L178" s="9"/>
      <c r="M178" s="9"/>
      <c r="N178" s="30"/>
      <c r="O178" s="10"/>
      <c r="P178" s="10"/>
      <c r="Q178" s="10"/>
      <c r="R178" s="10"/>
    </row>
    <row r="179" spans="9:18" x14ac:dyDescent="0.3">
      <c r="I179" s="7"/>
      <c r="J179" s="9"/>
      <c r="K179" s="9"/>
      <c r="L179" s="9"/>
      <c r="M179" s="9"/>
      <c r="N179" s="30"/>
      <c r="O179" s="10"/>
      <c r="P179" s="10"/>
      <c r="Q179" s="10"/>
      <c r="R179" s="10"/>
    </row>
    <row r="180" spans="9:18" x14ac:dyDescent="0.3">
      <c r="I180" s="7"/>
      <c r="J180" s="9"/>
      <c r="K180" s="9"/>
      <c r="L180" s="9"/>
      <c r="M180" s="9"/>
      <c r="N180" s="30"/>
      <c r="O180" s="10"/>
      <c r="P180" s="10"/>
      <c r="Q180" s="10"/>
      <c r="R180" s="10"/>
    </row>
    <row r="181" spans="9:18" x14ac:dyDescent="0.3">
      <c r="I181" s="7"/>
      <c r="J181" s="9"/>
      <c r="K181" s="9"/>
      <c r="L181" s="9"/>
      <c r="M181" s="9"/>
      <c r="N181" s="30"/>
      <c r="O181" s="10"/>
      <c r="P181" s="10"/>
      <c r="Q181" s="10"/>
      <c r="R181" s="10"/>
    </row>
    <row r="182" spans="9:18" x14ac:dyDescent="0.3">
      <c r="I182" s="7"/>
      <c r="J182" s="9"/>
      <c r="K182" s="9"/>
      <c r="L182" s="9"/>
      <c r="M182" s="9"/>
      <c r="N182" s="30"/>
      <c r="O182" s="10"/>
      <c r="P182" s="10"/>
      <c r="Q182" s="10"/>
      <c r="R182" s="10"/>
    </row>
    <row r="183" spans="9:18" x14ac:dyDescent="0.3">
      <c r="I183" s="7"/>
      <c r="J183" s="9"/>
      <c r="K183" s="9"/>
      <c r="L183" s="9"/>
      <c r="M183" s="9"/>
      <c r="N183" s="30"/>
      <c r="O183" s="10"/>
      <c r="P183" s="10"/>
      <c r="Q183" s="10"/>
      <c r="R183" s="10"/>
    </row>
    <row r="184" spans="9:18" x14ac:dyDescent="0.3">
      <c r="I184" s="7"/>
      <c r="J184" s="9"/>
      <c r="K184" s="9"/>
      <c r="L184" s="9"/>
      <c r="M184" s="9"/>
      <c r="N184" s="30"/>
      <c r="O184" s="10"/>
      <c r="P184" s="10"/>
      <c r="Q184" s="10"/>
      <c r="R184" s="10"/>
    </row>
    <row r="185" spans="9:18" x14ac:dyDescent="0.3">
      <c r="I185" s="7"/>
      <c r="J185" s="9"/>
      <c r="K185" s="9"/>
      <c r="L185" s="9"/>
      <c r="M185" s="9"/>
      <c r="N185" s="30"/>
      <c r="O185" s="10"/>
      <c r="P185" s="10"/>
      <c r="Q185" s="10"/>
      <c r="R185" s="10"/>
    </row>
    <row r="186" spans="9:18" x14ac:dyDescent="0.3">
      <c r="I186" s="7"/>
      <c r="J186" s="9"/>
      <c r="K186" s="9"/>
      <c r="L186" s="9"/>
      <c r="M186" s="9"/>
      <c r="N186" s="30"/>
      <c r="O186" s="10"/>
      <c r="P186" s="10"/>
      <c r="Q186" s="10"/>
      <c r="R186" s="10"/>
    </row>
    <row r="187" spans="9:18" x14ac:dyDescent="0.3">
      <c r="I187" s="7"/>
      <c r="J187" s="9"/>
      <c r="K187" s="9"/>
      <c r="L187" s="9"/>
      <c r="M187" s="9"/>
      <c r="N187" s="30"/>
      <c r="O187" s="10"/>
      <c r="P187" s="10"/>
      <c r="Q187" s="10"/>
      <c r="R187" s="10"/>
    </row>
    <row r="188" spans="9:18" x14ac:dyDescent="0.3">
      <c r="I188" s="7"/>
      <c r="J188" s="9"/>
      <c r="K188" s="9"/>
      <c r="L188" s="9"/>
      <c r="M188" s="9"/>
      <c r="N188" s="30"/>
      <c r="O188" s="10"/>
      <c r="P188" s="10"/>
      <c r="Q188" s="10"/>
      <c r="R188" s="10"/>
    </row>
    <row r="189" spans="9:18" x14ac:dyDescent="0.3">
      <c r="I189" s="7"/>
      <c r="J189" s="9"/>
      <c r="K189" s="9"/>
      <c r="L189" s="9"/>
      <c r="M189" s="9"/>
      <c r="N189" s="30"/>
      <c r="O189" s="10"/>
      <c r="P189" s="10"/>
      <c r="Q189" s="10"/>
      <c r="R189" s="10"/>
    </row>
    <row r="190" spans="9:18" x14ac:dyDescent="0.3">
      <c r="I190" s="7"/>
      <c r="J190" s="9"/>
      <c r="K190" s="9"/>
      <c r="L190" s="9"/>
      <c r="M190" s="9"/>
      <c r="N190" s="30"/>
      <c r="O190" s="10"/>
      <c r="P190" s="10"/>
      <c r="Q190" s="10"/>
      <c r="R190" s="10"/>
    </row>
    <row r="191" spans="9:18" x14ac:dyDescent="0.3">
      <c r="I191" s="7"/>
      <c r="J191" s="9"/>
      <c r="K191" s="9"/>
      <c r="L191" s="9"/>
      <c r="M191" s="9"/>
      <c r="N191" s="30"/>
      <c r="O191" s="10"/>
      <c r="P191" s="10"/>
      <c r="Q191" s="10"/>
      <c r="R191" s="10"/>
    </row>
    <row r="192" spans="9:18" x14ac:dyDescent="0.3">
      <c r="I192" s="7"/>
      <c r="J192" s="9"/>
      <c r="K192" s="9"/>
      <c r="L192" s="9"/>
      <c r="M192" s="9"/>
      <c r="N192" s="30"/>
      <c r="O192" s="10"/>
      <c r="P192" s="10"/>
      <c r="Q192" s="10"/>
      <c r="R192" s="10"/>
    </row>
    <row r="193" spans="9:18" x14ac:dyDescent="0.3">
      <c r="I193" s="7"/>
      <c r="J193" s="9"/>
      <c r="K193" s="9"/>
      <c r="L193" s="9"/>
      <c r="M193" s="9"/>
      <c r="N193" s="30"/>
      <c r="O193" s="10"/>
      <c r="P193" s="10"/>
      <c r="Q193" s="10"/>
      <c r="R193" s="10"/>
    </row>
    <row r="194" spans="9:18" x14ac:dyDescent="0.3">
      <c r="I194" s="7"/>
      <c r="J194" s="9"/>
      <c r="K194" s="9"/>
      <c r="L194" s="9"/>
      <c r="M194" s="9"/>
      <c r="N194" s="30"/>
      <c r="O194" s="10"/>
      <c r="P194" s="10"/>
      <c r="Q194" s="10"/>
      <c r="R194" s="10"/>
    </row>
    <row r="195" spans="9:18" x14ac:dyDescent="0.3">
      <c r="I195" s="7"/>
      <c r="J195" s="9"/>
      <c r="K195" s="9"/>
      <c r="L195" s="9"/>
      <c r="M195" s="9"/>
      <c r="N195" s="30"/>
      <c r="O195" s="10"/>
      <c r="P195" s="10"/>
      <c r="Q195" s="10"/>
      <c r="R195" s="10"/>
    </row>
    <row r="196" spans="9:18" x14ac:dyDescent="0.3">
      <c r="I196" s="7"/>
      <c r="J196" s="9"/>
      <c r="K196" s="9"/>
      <c r="L196" s="9"/>
      <c r="M196" s="9"/>
      <c r="N196" s="30"/>
      <c r="O196" s="10"/>
      <c r="P196" s="10"/>
      <c r="Q196" s="10"/>
      <c r="R196" s="10"/>
    </row>
    <row r="197" spans="9:18" x14ac:dyDescent="0.3">
      <c r="I197" s="7"/>
      <c r="J197" s="9"/>
      <c r="K197" s="9"/>
      <c r="L197" s="9"/>
      <c r="M197" s="9"/>
      <c r="N197" s="30"/>
      <c r="O197" s="10"/>
      <c r="P197" s="10"/>
      <c r="Q197" s="10"/>
      <c r="R197" s="10"/>
    </row>
    <row r="198" spans="9:18" x14ac:dyDescent="0.3">
      <c r="I198" s="7"/>
      <c r="J198" s="9"/>
      <c r="K198" s="9"/>
      <c r="L198" s="9"/>
      <c r="M198" s="9"/>
      <c r="N198" s="30"/>
      <c r="O198" s="10"/>
      <c r="P198" s="10"/>
      <c r="Q198" s="10"/>
      <c r="R198" s="10"/>
    </row>
    <row r="199" spans="9:18" x14ac:dyDescent="0.3">
      <c r="I199" s="7"/>
      <c r="J199" s="9"/>
      <c r="K199" s="9"/>
      <c r="L199" s="9"/>
      <c r="M199" s="9"/>
      <c r="N199" s="30"/>
      <c r="O199" s="10"/>
      <c r="P199" s="10"/>
      <c r="Q199" s="10"/>
      <c r="R199" s="10"/>
    </row>
    <row r="200" spans="9:18" x14ac:dyDescent="0.3">
      <c r="I200" s="7"/>
      <c r="J200" s="9"/>
      <c r="K200" s="9"/>
      <c r="L200" s="9"/>
      <c r="M200" s="9"/>
      <c r="N200" s="30"/>
      <c r="O200" s="10"/>
      <c r="P200" s="10"/>
      <c r="Q200" s="10"/>
      <c r="R200" s="10"/>
    </row>
    <row r="201" spans="9:18" x14ac:dyDescent="0.3">
      <c r="I201" s="7"/>
      <c r="J201" s="9"/>
      <c r="K201" s="9"/>
      <c r="L201" s="9"/>
      <c r="M201" s="9"/>
      <c r="N201" s="30"/>
      <c r="O201" s="10"/>
      <c r="P201" s="10"/>
      <c r="Q201" s="10"/>
      <c r="R201" s="10"/>
    </row>
    <row r="202" spans="9:18" x14ac:dyDescent="0.3">
      <c r="I202" s="7"/>
      <c r="J202" s="9"/>
      <c r="K202" s="9"/>
      <c r="L202" s="9"/>
      <c r="M202" s="9"/>
      <c r="N202" s="30"/>
      <c r="O202" s="10"/>
      <c r="P202" s="10"/>
      <c r="Q202" s="10"/>
      <c r="R202" s="10"/>
    </row>
    <row r="203" spans="9:18" x14ac:dyDescent="0.3">
      <c r="I203" s="7"/>
      <c r="J203" s="9"/>
      <c r="K203" s="9"/>
      <c r="L203" s="9"/>
      <c r="M203" s="9"/>
      <c r="N203" s="30"/>
      <c r="O203" s="10"/>
      <c r="P203" s="10"/>
      <c r="Q203" s="10"/>
      <c r="R203" s="10"/>
    </row>
    <row r="204" spans="9:18" x14ac:dyDescent="0.3">
      <c r="I204" s="7"/>
      <c r="J204" s="9"/>
      <c r="K204" s="9"/>
      <c r="L204" s="9"/>
      <c r="M204" s="9"/>
      <c r="N204" s="30"/>
      <c r="O204" s="10"/>
      <c r="P204" s="10"/>
      <c r="Q204" s="10"/>
      <c r="R204" s="10"/>
    </row>
    <row r="205" spans="9:18" x14ac:dyDescent="0.3">
      <c r="I205" s="7"/>
      <c r="J205" s="9"/>
      <c r="K205" s="9"/>
      <c r="L205" s="9"/>
      <c r="M205" s="9"/>
      <c r="N205" s="30"/>
      <c r="O205" s="10"/>
      <c r="P205" s="10"/>
      <c r="Q205" s="10"/>
      <c r="R205" s="10"/>
    </row>
    <row r="206" spans="9:18" x14ac:dyDescent="0.3">
      <c r="I206" s="7"/>
      <c r="J206" s="9"/>
      <c r="K206" s="9"/>
      <c r="L206" s="9"/>
      <c r="M206" s="9"/>
      <c r="N206" s="30"/>
      <c r="O206" s="10"/>
      <c r="P206" s="10"/>
      <c r="Q206" s="10"/>
      <c r="R206" s="10"/>
    </row>
    <row r="207" spans="9:18" x14ac:dyDescent="0.3">
      <c r="I207" s="7"/>
      <c r="J207" s="9"/>
      <c r="K207" s="9"/>
      <c r="L207" s="9"/>
      <c r="M207" s="9"/>
      <c r="N207" s="30"/>
      <c r="O207" s="10"/>
      <c r="P207" s="10"/>
      <c r="Q207" s="10"/>
      <c r="R207" s="10"/>
    </row>
    <row r="208" spans="9:18" x14ac:dyDescent="0.3">
      <c r="I208" s="7"/>
      <c r="J208" s="9"/>
      <c r="K208" s="9"/>
      <c r="L208" s="9"/>
      <c r="M208" s="9"/>
      <c r="N208" s="30"/>
      <c r="O208" s="10"/>
      <c r="P208" s="10"/>
      <c r="Q208" s="10"/>
      <c r="R208" s="10"/>
    </row>
    <row r="209" spans="9:18" x14ac:dyDescent="0.3">
      <c r="I209" s="7"/>
      <c r="J209" s="9"/>
      <c r="K209" s="9"/>
      <c r="L209" s="9"/>
      <c r="M209" s="9"/>
      <c r="N209" s="30"/>
      <c r="O209" s="10"/>
      <c r="P209" s="10"/>
      <c r="Q209" s="10"/>
      <c r="R209" s="10"/>
    </row>
    <row r="210" spans="9:18" x14ac:dyDescent="0.3">
      <c r="I210" s="7"/>
      <c r="J210" s="9"/>
      <c r="K210" s="9"/>
      <c r="L210" s="9"/>
      <c r="M210" s="9"/>
      <c r="N210" s="30"/>
      <c r="O210" s="10"/>
      <c r="P210" s="10"/>
      <c r="Q210" s="10"/>
      <c r="R210" s="10"/>
    </row>
    <row r="211" spans="9:18" x14ac:dyDescent="0.3">
      <c r="I211" s="7"/>
      <c r="J211" s="9"/>
      <c r="K211" s="9"/>
      <c r="L211" s="9"/>
      <c r="M211" s="9"/>
      <c r="N211" s="30"/>
      <c r="O211" s="10"/>
      <c r="P211" s="10"/>
      <c r="Q211" s="10"/>
      <c r="R211" s="10"/>
    </row>
    <row r="212" spans="9:18" x14ac:dyDescent="0.3">
      <c r="I212" s="7"/>
      <c r="J212" s="9"/>
      <c r="K212" s="9"/>
      <c r="L212" s="9"/>
      <c r="M212" s="9"/>
      <c r="N212" s="30"/>
      <c r="O212" s="10"/>
      <c r="P212" s="10"/>
      <c r="Q212" s="10"/>
      <c r="R212" s="10"/>
    </row>
    <row r="213" spans="9:18" x14ac:dyDescent="0.3">
      <c r="I213" s="7"/>
      <c r="J213" s="9"/>
      <c r="K213" s="9"/>
      <c r="L213" s="9"/>
      <c r="M213" s="9"/>
      <c r="N213" s="30"/>
      <c r="O213" s="10"/>
      <c r="P213" s="10"/>
      <c r="Q213" s="10"/>
      <c r="R213" s="10"/>
    </row>
    <row r="214" spans="9:18" x14ac:dyDescent="0.3">
      <c r="I214" s="7"/>
      <c r="J214" s="9"/>
      <c r="K214" s="9"/>
      <c r="L214" s="9"/>
      <c r="M214" s="9"/>
      <c r="N214" s="30"/>
      <c r="O214" s="10"/>
      <c r="P214" s="10"/>
      <c r="Q214" s="10"/>
      <c r="R214" s="10"/>
    </row>
    <row r="215" spans="9:18" x14ac:dyDescent="0.3">
      <c r="I215" s="7"/>
      <c r="J215" s="9"/>
      <c r="K215" s="9"/>
      <c r="L215" s="9"/>
      <c r="M215" s="9"/>
      <c r="N215" s="30"/>
      <c r="O215" s="10"/>
      <c r="P215" s="10"/>
      <c r="Q215" s="10"/>
      <c r="R215" s="10"/>
    </row>
    <row r="216" spans="9:18" x14ac:dyDescent="0.3">
      <c r="I216" s="7"/>
      <c r="J216" s="9"/>
      <c r="K216" s="9"/>
      <c r="L216" s="9"/>
      <c r="M216" s="9"/>
      <c r="N216" s="30"/>
      <c r="O216" s="10"/>
      <c r="P216" s="10"/>
      <c r="Q216" s="10"/>
      <c r="R216" s="10"/>
    </row>
    <row r="217" spans="9:18" x14ac:dyDescent="0.3">
      <c r="I217" s="7"/>
      <c r="J217" s="9"/>
      <c r="K217" s="9"/>
      <c r="L217" s="9"/>
      <c r="M217" s="9"/>
      <c r="N217" s="30"/>
      <c r="O217" s="10"/>
      <c r="P217" s="10"/>
      <c r="Q217" s="10"/>
      <c r="R217" s="10"/>
    </row>
    <row r="218" spans="9:18" x14ac:dyDescent="0.3">
      <c r="I218" s="7"/>
      <c r="J218" s="9"/>
      <c r="K218" s="9"/>
      <c r="L218" s="9"/>
      <c r="M218" s="9"/>
      <c r="N218" s="30"/>
      <c r="O218" s="10"/>
      <c r="P218" s="10"/>
      <c r="Q218" s="10"/>
      <c r="R218" s="10"/>
    </row>
    <row r="219" spans="9:18" x14ac:dyDescent="0.3">
      <c r="I219" s="7"/>
      <c r="J219" s="9"/>
      <c r="K219" s="9"/>
      <c r="L219" s="9"/>
      <c r="M219" s="9"/>
      <c r="N219" s="30"/>
      <c r="O219" s="10"/>
      <c r="P219" s="10"/>
      <c r="Q219" s="10"/>
      <c r="R219" s="10"/>
    </row>
    <row r="220" spans="9:18" x14ac:dyDescent="0.3">
      <c r="I220" s="7"/>
      <c r="J220" s="9"/>
      <c r="K220" s="9"/>
      <c r="L220" s="9"/>
      <c r="M220" s="9"/>
      <c r="N220" s="30"/>
      <c r="O220" s="10"/>
      <c r="P220" s="10"/>
      <c r="Q220" s="10"/>
      <c r="R220" s="10"/>
    </row>
    <row r="221" spans="9:18" x14ac:dyDescent="0.3">
      <c r="I221" s="7"/>
      <c r="J221" s="9"/>
      <c r="K221" s="9"/>
      <c r="L221" s="9"/>
      <c r="M221" s="9"/>
      <c r="N221" s="30"/>
      <c r="O221" s="10"/>
      <c r="P221" s="10"/>
      <c r="Q221" s="10"/>
      <c r="R221" s="10"/>
    </row>
    <row r="222" spans="9:18" x14ac:dyDescent="0.3">
      <c r="I222" s="7"/>
      <c r="J222" s="9"/>
      <c r="K222" s="9"/>
      <c r="L222" s="9"/>
      <c r="M222" s="9"/>
      <c r="N222" s="30"/>
      <c r="O222" s="10"/>
      <c r="P222" s="10"/>
      <c r="Q222" s="10"/>
      <c r="R222" s="10"/>
    </row>
    <row r="223" spans="9:18" x14ac:dyDescent="0.3">
      <c r="I223" s="7"/>
      <c r="J223" s="9"/>
      <c r="K223" s="9"/>
      <c r="L223" s="9"/>
      <c r="M223" s="9"/>
      <c r="N223" s="30"/>
      <c r="O223" s="10"/>
      <c r="P223" s="10"/>
      <c r="Q223" s="10"/>
      <c r="R223" s="10"/>
    </row>
    <row r="224" spans="9:18" x14ac:dyDescent="0.3">
      <c r="I224" s="7"/>
      <c r="J224" s="9"/>
      <c r="K224" s="9"/>
      <c r="L224" s="9"/>
      <c r="M224" s="9"/>
      <c r="N224" s="30"/>
      <c r="O224" s="10"/>
      <c r="P224" s="10"/>
      <c r="Q224" s="10"/>
      <c r="R224" s="10"/>
    </row>
    <row r="225" spans="9:18" x14ac:dyDescent="0.3">
      <c r="I225" s="7"/>
      <c r="J225" s="9"/>
      <c r="K225" s="9"/>
      <c r="L225" s="9"/>
      <c r="M225" s="9"/>
      <c r="N225" s="30"/>
      <c r="O225" s="10"/>
      <c r="P225" s="10"/>
      <c r="Q225" s="10"/>
      <c r="R225" s="10"/>
    </row>
    <row r="226" spans="9:18" x14ac:dyDescent="0.3">
      <c r="I226" s="7"/>
      <c r="J226" s="9"/>
      <c r="K226" s="9"/>
      <c r="L226" s="9"/>
      <c r="M226" s="9"/>
      <c r="N226" s="30"/>
      <c r="O226" s="10"/>
      <c r="P226" s="10"/>
      <c r="Q226" s="10"/>
      <c r="R226" s="10"/>
    </row>
    <row r="227" spans="9:18" x14ac:dyDescent="0.3">
      <c r="I227" s="7"/>
      <c r="J227" s="9"/>
      <c r="K227" s="9"/>
      <c r="L227" s="9"/>
      <c r="M227" s="9"/>
      <c r="N227" s="30"/>
      <c r="O227" s="10"/>
      <c r="P227" s="10"/>
      <c r="Q227" s="10"/>
      <c r="R227" s="10"/>
    </row>
    <row r="228" spans="9:18" x14ac:dyDescent="0.3">
      <c r="I228" s="7"/>
      <c r="J228" s="9"/>
      <c r="K228" s="9"/>
      <c r="L228" s="9"/>
      <c r="M228" s="9"/>
      <c r="N228" s="30"/>
      <c r="O228" s="10"/>
      <c r="P228" s="10"/>
      <c r="Q228" s="10"/>
      <c r="R228" s="10"/>
    </row>
    <row r="229" spans="9:18" x14ac:dyDescent="0.3">
      <c r="I229" s="7"/>
      <c r="J229" s="9"/>
      <c r="K229" s="9"/>
      <c r="L229" s="9"/>
      <c r="M229" s="9"/>
      <c r="N229" s="30"/>
      <c r="O229" s="10"/>
      <c r="P229" s="10"/>
      <c r="Q229" s="10"/>
      <c r="R229" s="10"/>
    </row>
    <row r="230" spans="9:18" x14ac:dyDescent="0.3">
      <c r="I230" s="7"/>
      <c r="J230" s="9"/>
      <c r="K230" s="9"/>
      <c r="L230" s="9"/>
      <c r="M230" s="9"/>
      <c r="N230" s="30"/>
      <c r="O230" s="10"/>
      <c r="P230" s="10"/>
      <c r="Q230" s="10"/>
      <c r="R230" s="10"/>
    </row>
    <row r="231" spans="9:18" x14ac:dyDescent="0.3">
      <c r="I231" s="7"/>
      <c r="J231" s="9"/>
      <c r="K231" s="9"/>
      <c r="L231" s="9"/>
      <c r="M231" s="9"/>
      <c r="N231" s="30"/>
      <c r="O231" s="10"/>
      <c r="P231" s="10"/>
      <c r="Q231" s="10"/>
      <c r="R231" s="10"/>
    </row>
    <row r="232" spans="9:18" x14ac:dyDescent="0.3">
      <c r="I232" s="7"/>
      <c r="J232" s="9"/>
      <c r="K232" s="9"/>
      <c r="L232" s="9"/>
      <c r="M232" s="9"/>
      <c r="N232" s="30"/>
      <c r="O232" s="10"/>
      <c r="P232" s="10"/>
      <c r="Q232" s="10"/>
      <c r="R232" s="10"/>
    </row>
    <row r="233" spans="9:18" x14ac:dyDescent="0.3">
      <c r="I233" s="7"/>
      <c r="J233" s="9"/>
      <c r="K233" s="9"/>
      <c r="L233" s="9"/>
      <c r="M233" s="9"/>
      <c r="N233" s="30"/>
      <c r="O233" s="10"/>
      <c r="P233" s="10"/>
      <c r="Q233" s="10"/>
      <c r="R233" s="10"/>
    </row>
    <row r="234" spans="9:18" x14ac:dyDescent="0.3">
      <c r="I234" s="7"/>
      <c r="J234" s="9"/>
      <c r="K234" s="9"/>
      <c r="L234" s="9"/>
      <c r="M234" s="9"/>
      <c r="N234" s="30"/>
      <c r="O234" s="10"/>
      <c r="P234" s="10"/>
      <c r="Q234" s="10"/>
      <c r="R234" s="10"/>
    </row>
    <row r="235" spans="9:18" x14ac:dyDescent="0.3">
      <c r="I235" s="7"/>
      <c r="J235" s="9"/>
      <c r="K235" s="9"/>
      <c r="L235" s="9"/>
      <c r="M235" s="9"/>
      <c r="N235" s="30"/>
      <c r="O235" s="10"/>
      <c r="P235" s="10"/>
      <c r="Q235" s="10"/>
      <c r="R235" s="10"/>
    </row>
    <row r="236" spans="9:18" x14ac:dyDescent="0.3">
      <c r="I236" s="7"/>
      <c r="J236" s="9"/>
      <c r="K236" s="9"/>
      <c r="L236" s="9"/>
      <c r="M236" s="9"/>
      <c r="N236" s="30"/>
      <c r="O236" s="10"/>
      <c r="P236" s="10"/>
      <c r="Q236" s="10"/>
      <c r="R236" s="10"/>
    </row>
    <row r="237" spans="9:18" x14ac:dyDescent="0.3">
      <c r="I237" s="7"/>
      <c r="J237" s="9"/>
      <c r="K237" s="9"/>
      <c r="L237" s="9"/>
      <c r="M237" s="9"/>
      <c r="N237" s="30"/>
      <c r="O237" s="10"/>
      <c r="P237" s="10"/>
      <c r="Q237" s="10"/>
      <c r="R237" s="10"/>
    </row>
    <row r="238" spans="9:18" x14ac:dyDescent="0.3">
      <c r="I238" s="7"/>
      <c r="J238" s="9"/>
      <c r="K238" s="9"/>
      <c r="L238" s="9"/>
      <c r="M238" s="9"/>
      <c r="N238" s="30"/>
      <c r="O238" s="10"/>
      <c r="P238" s="10"/>
      <c r="Q238" s="10"/>
      <c r="R238" s="10"/>
    </row>
    <row r="239" spans="9:18" x14ac:dyDescent="0.3">
      <c r="I239" s="7"/>
      <c r="J239" s="9"/>
      <c r="K239" s="9"/>
      <c r="L239" s="9"/>
      <c r="M239" s="9"/>
      <c r="N239" s="30"/>
      <c r="O239" s="10"/>
      <c r="P239" s="10"/>
      <c r="Q239" s="10"/>
      <c r="R239" s="10"/>
    </row>
    <row r="240" spans="9:18" x14ac:dyDescent="0.3">
      <c r="I240" s="7"/>
      <c r="J240" s="9"/>
      <c r="K240" s="9"/>
      <c r="L240" s="9"/>
      <c r="M240" s="9"/>
      <c r="N240" s="30"/>
      <c r="O240" s="10"/>
      <c r="P240" s="10"/>
      <c r="Q240" s="10"/>
      <c r="R240" s="10"/>
    </row>
    <row r="241" spans="9:18" x14ac:dyDescent="0.3">
      <c r="I241" s="7"/>
      <c r="J241" s="9"/>
      <c r="K241" s="9"/>
      <c r="L241" s="9"/>
      <c r="M241" s="9"/>
      <c r="N241" s="30"/>
      <c r="O241" s="10"/>
      <c r="P241" s="10"/>
      <c r="Q241" s="10"/>
      <c r="R241" s="10"/>
    </row>
    <row r="242" spans="9:18" x14ac:dyDescent="0.3">
      <c r="I242" s="7"/>
      <c r="J242" s="9"/>
      <c r="K242" s="9"/>
      <c r="L242" s="9"/>
      <c r="M242" s="9"/>
      <c r="N242" s="30"/>
      <c r="O242" s="10"/>
      <c r="P242" s="10"/>
      <c r="Q242" s="10"/>
      <c r="R242" s="10"/>
    </row>
    <row r="243" spans="9:18" x14ac:dyDescent="0.3">
      <c r="I243" s="7"/>
      <c r="J243" s="9"/>
      <c r="K243" s="9"/>
      <c r="L243" s="9"/>
      <c r="M243" s="9"/>
      <c r="N243" s="30"/>
      <c r="O243" s="10"/>
      <c r="P243" s="10"/>
      <c r="Q243" s="10"/>
      <c r="R243" s="10"/>
    </row>
    <row r="244" spans="9:18" x14ac:dyDescent="0.3">
      <c r="I244" s="7"/>
      <c r="J244" s="9"/>
      <c r="K244" s="9"/>
      <c r="L244" s="9"/>
      <c r="M244" s="9"/>
      <c r="N244" s="30"/>
      <c r="O244" s="10"/>
      <c r="P244" s="10"/>
      <c r="Q244" s="10"/>
      <c r="R244" s="10"/>
    </row>
    <row r="245" spans="9:18" x14ac:dyDescent="0.3">
      <c r="I245" s="7"/>
      <c r="J245" s="9"/>
      <c r="K245" s="9"/>
      <c r="L245" s="9"/>
      <c r="M245" s="9"/>
      <c r="N245" s="30"/>
      <c r="O245" s="10"/>
      <c r="P245" s="10"/>
      <c r="Q245" s="10"/>
      <c r="R245" s="10"/>
    </row>
    <row r="246" spans="9:18" x14ac:dyDescent="0.3">
      <c r="I246" s="7"/>
      <c r="J246" s="9"/>
      <c r="K246" s="9"/>
      <c r="L246" s="9"/>
      <c r="M246" s="9"/>
      <c r="N246" s="30"/>
      <c r="O246" s="10"/>
      <c r="P246" s="10"/>
      <c r="Q246" s="10"/>
      <c r="R246" s="10"/>
    </row>
    <row r="247" spans="9:18" x14ac:dyDescent="0.3">
      <c r="I247" s="7"/>
      <c r="J247" s="9"/>
      <c r="K247" s="9"/>
      <c r="L247" s="9"/>
      <c r="M247" s="9"/>
      <c r="N247" s="30"/>
      <c r="O247" s="10"/>
      <c r="P247" s="10"/>
      <c r="Q247" s="10"/>
      <c r="R247" s="10"/>
    </row>
    <row r="248" spans="9:18" x14ac:dyDescent="0.3">
      <c r="I248" s="7"/>
      <c r="J248" s="9"/>
      <c r="K248" s="9"/>
      <c r="L248" s="9"/>
      <c r="M248" s="9"/>
      <c r="N248" s="30"/>
      <c r="O248" s="10"/>
      <c r="P248" s="10"/>
      <c r="Q248" s="10"/>
      <c r="R248" s="10"/>
    </row>
    <row r="249" spans="9:18" x14ac:dyDescent="0.3">
      <c r="I249" s="7"/>
      <c r="J249" s="9"/>
      <c r="K249" s="9"/>
      <c r="L249" s="9"/>
      <c r="M249" s="9"/>
      <c r="N249" s="30"/>
      <c r="O249" s="10"/>
      <c r="P249" s="10"/>
      <c r="Q249" s="10"/>
      <c r="R249" s="10"/>
    </row>
    <row r="250" spans="9:18" x14ac:dyDescent="0.3">
      <c r="I250" s="7"/>
      <c r="J250" s="9"/>
      <c r="K250" s="9"/>
      <c r="L250" s="9"/>
      <c r="M250" s="9"/>
      <c r="N250" s="30"/>
      <c r="O250" s="10"/>
      <c r="P250" s="10"/>
      <c r="Q250" s="10"/>
      <c r="R250" s="10"/>
    </row>
    <row r="251" spans="9:18" x14ac:dyDescent="0.3">
      <c r="I251" s="7"/>
      <c r="J251" s="9"/>
      <c r="K251" s="9"/>
      <c r="L251" s="9"/>
      <c r="M251" s="9"/>
      <c r="N251" s="30"/>
      <c r="O251" s="10"/>
      <c r="P251" s="10"/>
      <c r="Q251" s="10"/>
      <c r="R251" s="10"/>
    </row>
    <row r="252" spans="9:18" x14ac:dyDescent="0.3">
      <c r="I252" s="7"/>
      <c r="J252" s="9"/>
      <c r="K252" s="9"/>
      <c r="L252" s="9"/>
      <c r="M252" s="9"/>
      <c r="N252" s="30"/>
      <c r="O252" s="10"/>
      <c r="P252" s="10"/>
      <c r="Q252" s="10"/>
      <c r="R252" s="10"/>
    </row>
    <row r="253" spans="9:18" x14ac:dyDescent="0.3">
      <c r="I253" s="7"/>
      <c r="J253" s="9"/>
      <c r="K253" s="9"/>
      <c r="L253" s="9"/>
      <c r="M253" s="9"/>
      <c r="N253" s="30"/>
      <c r="O253" s="10"/>
      <c r="P253" s="10"/>
      <c r="Q253" s="10"/>
      <c r="R253" s="10"/>
    </row>
    <row r="254" spans="9:18" x14ac:dyDescent="0.3">
      <c r="I254" s="7"/>
      <c r="J254" s="9"/>
      <c r="K254" s="9"/>
      <c r="L254" s="9"/>
      <c r="M254" s="9"/>
      <c r="N254" s="30"/>
      <c r="O254" s="10"/>
      <c r="P254" s="10"/>
      <c r="Q254" s="10"/>
      <c r="R254" s="10"/>
    </row>
    <row r="255" spans="9:18" x14ac:dyDescent="0.3">
      <c r="I255" s="7"/>
      <c r="J255" s="9"/>
      <c r="K255" s="9"/>
      <c r="L255" s="9"/>
      <c r="M255" s="9"/>
      <c r="N255" s="30"/>
      <c r="O255" s="10"/>
      <c r="P255" s="10"/>
      <c r="Q255" s="10"/>
      <c r="R255" s="10"/>
    </row>
    <row r="256" spans="9:18" x14ac:dyDescent="0.3">
      <c r="I256" s="7"/>
      <c r="J256" s="9"/>
      <c r="K256" s="9"/>
      <c r="L256" s="9"/>
      <c r="M256" s="9"/>
      <c r="N256" s="30"/>
      <c r="O256" s="10"/>
      <c r="P256" s="10"/>
      <c r="Q256" s="10"/>
      <c r="R256" s="10"/>
    </row>
    <row r="257" spans="9:18" x14ac:dyDescent="0.3">
      <c r="I257" s="7"/>
      <c r="J257" s="9"/>
      <c r="K257" s="9"/>
      <c r="L257" s="9"/>
      <c r="M257" s="9"/>
      <c r="N257" s="30"/>
      <c r="O257" s="10"/>
      <c r="P257" s="10"/>
      <c r="Q257" s="10"/>
      <c r="R257" s="10"/>
    </row>
    <row r="258" spans="9:18" x14ac:dyDescent="0.3">
      <c r="I258" s="7"/>
      <c r="J258" s="9"/>
      <c r="K258" s="9"/>
      <c r="L258" s="9"/>
      <c r="M258" s="9"/>
      <c r="N258" s="30"/>
      <c r="O258" s="10"/>
      <c r="P258" s="10"/>
      <c r="Q258" s="10"/>
      <c r="R258" s="10"/>
    </row>
    <row r="259" spans="9:18" x14ac:dyDescent="0.3">
      <c r="I259" s="7"/>
      <c r="J259" s="9"/>
      <c r="K259" s="9"/>
      <c r="L259" s="9"/>
      <c r="M259" s="9"/>
      <c r="N259" s="30"/>
      <c r="O259" s="10"/>
      <c r="P259" s="10"/>
      <c r="Q259" s="10"/>
      <c r="R259" s="10"/>
    </row>
    <row r="260" spans="9:18" x14ac:dyDescent="0.3">
      <c r="I260" s="7"/>
      <c r="J260" s="9"/>
      <c r="K260" s="9"/>
      <c r="L260" s="9"/>
      <c r="M260" s="9"/>
      <c r="N260" s="30"/>
      <c r="O260" s="10"/>
      <c r="P260" s="10"/>
      <c r="Q260" s="10"/>
      <c r="R260" s="10"/>
    </row>
    <row r="261" spans="9:18" x14ac:dyDescent="0.3">
      <c r="I261" s="7"/>
      <c r="J261" s="9"/>
      <c r="K261" s="9"/>
      <c r="L261" s="9"/>
      <c r="M261" s="9"/>
      <c r="N261" s="30"/>
      <c r="O261" s="10"/>
      <c r="P261" s="10"/>
      <c r="Q261" s="10"/>
      <c r="R261" s="10"/>
    </row>
    <row r="262" spans="9:18" x14ac:dyDescent="0.3">
      <c r="I262" s="7"/>
      <c r="J262" s="9"/>
      <c r="K262" s="9"/>
      <c r="L262" s="9"/>
      <c r="M262" s="9"/>
      <c r="N262" s="30"/>
      <c r="O262" s="10"/>
      <c r="P262" s="10"/>
      <c r="Q262" s="10"/>
      <c r="R262" s="10"/>
    </row>
    <row r="263" spans="9:18" x14ac:dyDescent="0.3">
      <c r="I263" s="7"/>
      <c r="J263" s="9"/>
      <c r="K263" s="9"/>
      <c r="L263" s="9"/>
      <c r="M263" s="9"/>
      <c r="N263" s="30"/>
      <c r="O263" s="10"/>
      <c r="P263" s="10"/>
      <c r="Q263" s="10"/>
      <c r="R263" s="10"/>
    </row>
    <row r="264" spans="9:18" x14ac:dyDescent="0.3">
      <c r="I264" s="7"/>
      <c r="J264" s="9"/>
      <c r="K264" s="9"/>
      <c r="L264" s="9"/>
      <c r="M264" s="9"/>
      <c r="N264" s="30"/>
      <c r="O264" s="10"/>
      <c r="P264" s="10"/>
      <c r="Q264" s="10"/>
      <c r="R264" s="10"/>
    </row>
    <row r="265" spans="9:18" x14ac:dyDescent="0.3">
      <c r="I265" s="7"/>
      <c r="J265" s="9"/>
      <c r="K265" s="9"/>
      <c r="L265" s="9"/>
      <c r="M265" s="9"/>
      <c r="N265" s="30"/>
      <c r="O265" s="10"/>
      <c r="P265" s="10"/>
      <c r="Q265" s="10"/>
      <c r="R265" s="10"/>
    </row>
    <row r="266" spans="9:18" x14ac:dyDescent="0.3">
      <c r="I266" s="7"/>
      <c r="J266" s="9"/>
      <c r="K266" s="9"/>
      <c r="L266" s="9"/>
      <c r="M266" s="9"/>
      <c r="N266" s="30"/>
      <c r="O266" s="10"/>
      <c r="P266" s="10"/>
      <c r="Q266" s="10"/>
      <c r="R266" s="10"/>
    </row>
    <row r="267" spans="9:18" x14ac:dyDescent="0.3">
      <c r="I267" s="7"/>
      <c r="J267" s="9"/>
      <c r="K267" s="9"/>
      <c r="L267" s="9"/>
      <c r="M267" s="9"/>
      <c r="N267" s="30"/>
      <c r="O267" s="10"/>
      <c r="P267" s="10"/>
      <c r="Q267" s="10"/>
      <c r="R267" s="10"/>
    </row>
    <row r="268" spans="9:18" x14ac:dyDescent="0.3">
      <c r="I268" s="7"/>
      <c r="J268" s="9"/>
      <c r="K268" s="9"/>
      <c r="L268" s="9"/>
      <c r="M268" s="9"/>
      <c r="N268" s="30"/>
      <c r="O268" s="10"/>
      <c r="P268" s="10"/>
      <c r="Q268" s="10"/>
      <c r="R268" s="10"/>
    </row>
    <row r="269" spans="9:18" x14ac:dyDescent="0.3">
      <c r="I269" s="7"/>
      <c r="J269" s="9"/>
      <c r="K269" s="9"/>
      <c r="L269" s="9"/>
      <c r="M269" s="9"/>
      <c r="N269" s="30"/>
      <c r="O269" s="10"/>
      <c r="P269" s="10"/>
      <c r="Q269" s="10"/>
      <c r="R269" s="10"/>
    </row>
    <row r="270" spans="9:18" x14ac:dyDescent="0.3">
      <c r="I270" s="7"/>
      <c r="J270" s="9"/>
      <c r="K270" s="9"/>
      <c r="L270" s="9"/>
      <c r="M270" s="9"/>
      <c r="N270" s="30"/>
      <c r="O270" s="10"/>
      <c r="P270" s="10"/>
      <c r="Q270" s="10"/>
      <c r="R270" s="10"/>
    </row>
    <row r="271" spans="9:18" x14ac:dyDescent="0.3">
      <c r="I271" s="7"/>
      <c r="J271" s="9"/>
      <c r="K271" s="9"/>
      <c r="L271" s="9"/>
      <c r="M271" s="9"/>
      <c r="N271" s="30"/>
      <c r="O271" s="10"/>
      <c r="P271" s="10"/>
      <c r="Q271" s="10"/>
      <c r="R271" s="10"/>
    </row>
    <row r="272" spans="9:18" x14ac:dyDescent="0.3">
      <c r="I272" s="7"/>
      <c r="J272" s="9"/>
      <c r="K272" s="9"/>
      <c r="L272" s="9"/>
      <c r="M272" s="9"/>
      <c r="N272" s="30"/>
      <c r="O272" s="10"/>
      <c r="P272" s="10"/>
      <c r="Q272" s="10"/>
      <c r="R272" s="10"/>
    </row>
    <row r="273" spans="9:18" x14ac:dyDescent="0.3">
      <c r="I273" s="7"/>
      <c r="J273" s="9"/>
      <c r="K273" s="9"/>
      <c r="L273" s="9"/>
      <c r="M273" s="9"/>
      <c r="N273" s="30"/>
      <c r="O273" s="10"/>
      <c r="P273" s="10"/>
      <c r="Q273" s="10"/>
      <c r="R273" s="10"/>
    </row>
    <row r="274" spans="9:18" x14ac:dyDescent="0.3">
      <c r="I274" s="7"/>
      <c r="J274" s="9"/>
      <c r="K274" s="9"/>
      <c r="L274" s="9"/>
      <c r="M274" s="9"/>
      <c r="N274" s="30"/>
      <c r="O274" s="10"/>
      <c r="P274" s="10"/>
      <c r="Q274" s="10"/>
      <c r="R274" s="10"/>
    </row>
    <row r="275" spans="9:18" x14ac:dyDescent="0.3">
      <c r="I275" s="7"/>
      <c r="J275" s="9"/>
      <c r="K275" s="9"/>
      <c r="L275" s="9"/>
      <c r="M275" s="9"/>
      <c r="N275" s="30"/>
      <c r="O275" s="10"/>
      <c r="P275" s="10"/>
      <c r="Q275" s="10"/>
      <c r="R275" s="10"/>
    </row>
    <row r="276" spans="9:18" x14ac:dyDescent="0.3">
      <c r="I276" s="7"/>
      <c r="J276" s="9"/>
      <c r="K276" s="9"/>
      <c r="L276" s="9"/>
      <c r="M276" s="9"/>
      <c r="N276" s="30"/>
      <c r="O276" s="10"/>
      <c r="P276" s="10"/>
      <c r="Q276" s="10"/>
      <c r="R276" s="10"/>
    </row>
    <row r="277" spans="9:18" x14ac:dyDescent="0.3">
      <c r="I277" s="7"/>
      <c r="J277" s="9"/>
      <c r="K277" s="9"/>
      <c r="L277" s="9"/>
      <c r="M277" s="9"/>
      <c r="N277" s="30"/>
      <c r="O277" s="10"/>
      <c r="P277" s="10"/>
      <c r="Q277" s="10"/>
      <c r="R277" s="10"/>
    </row>
    <row r="278" spans="9:18" x14ac:dyDescent="0.3">
      <c r="I278" s="7"/>
      <c r="J278" s="9"/>
      <c r="K278" s="9"/>
      <c r="L278" s="9"/>
      <c r="M278" s="9"/>
      <c r="N278" s="30"/>
      <c r="O278" s="10"/>
      <c r="P278" s="10"/>
      <c r="Q278" s="10"/>
      <c r="R278" s="10"/>
    </row>
    <row r="279" spans="9:18" x14ac:dyDescent="0.3">
      <c r="I279" s="7"/>
      <c r="J279" s="9"/>
      <c r="K279" s="9"/>
      <c r="L279" s="9"/>
      <c r="M279" s="9"/>
      <c r="N279" s="30"/>
      <c r="O279" s="10"/>
      <c r="P279" s="10"/>
      <c r="Q279" s="10"/>
      <c r="R279" s="10"/>
    </row>
    <row r="280" spans="9:18" x14ac:dyDescent="0.3">
      <c r="I280" s="7"/>
      <c r="J280" s="9"/>
      <c r="K280" s="9"/>
      <c r="L280" s="9"/>
      <c r="M280" s="9"/>
      <c r="N280" s="30"/>
      <c r="O280" s="10"/>
      <c r="P280" s="10"/>
      <c r="Q280" s="10"/>
      <c r="R280" s="10"/>
    </row>
    <row r="281" spans="9:18" x14ac:dyDescent="0.3">
      <c r="I281" s="7"/>
      <c r="J281" s="9"/>
      <c r="K281" s="9"/>
      <c r="L281" s="9"/>
      <c r="M281" s="9"/>
      <c r="N281" s="30"/>
      <c r="O281" s="10"/>
      <c r="P281" s="10"/>
      <c r="Q281" s="10"/>
      <c r="R281" s="10"/>
    </row>
    <row r="282" spans="9:18" x14ac:dyDescent="0.3">
      <c r="I282" s="7"/>
      <c r="J282" s="9"/>
      <c r="K282" s="9"/>
      <c r="L282" s="9"/>
      <c r="M282" s="9"/>
      <c r="N282" s="30"/>
      <c r="O282" s="10"/>
      <c r="P282" s="10"/>
      <c r="Q282" s="10"/>
      <c r="R282" s="10"/>
    </row>
    <row r="283" spans="9:18" x14ac:dyDescent="0.3">
      <c r="I283" s="7"/>
      <c r="J283" s="9"/>
      <c r="K283" s="9"/>
      <c r="L283" s="9"/>
      <c r="M283" s="9"/>
      <c r="N283" s="30"/>
      <c r="O283" s="10"/>
      <c r="P283" s="10"/>
      <c r="Q283" s="10"/>
      <c r="R283" s="10"/>
    </row>
    <row r="284" spans="9:18" x14ac:dyDescent="0.3">
      <c r="I284" s="7"/>
      <c r="J284" s="9"/>
      <c r="K284" s="9"/>
      <c r="L284" s="9"/>
      <c r="M284" s="9"/>
      <c r="N284" s="30"/>
      <c r="O284" s="10"/>
      <c r="P284" s="10"/>
      <c r="Q284" s="10"/>
      <c r="R284" s="10"/>
    </row>
    <row r="285" spans="9:18" x14ac:dyDescent="0.3">
      <c r="I285" s="7"/>
      <c r="J285" s="9"/>
      <c r="K285" s="9"/>
      <c r="L285" s="9"/>
      <c r="M285" s="9"/>
      <c r="N285" s="30"/>
      <c r="O285" s="10"/>
      <c r="P285" s="10"/>
      <c r="Q285" s="10"/>
      <c r="R285" s="10"/>
    </row>
    <row r="286" spans="9:18" x14ac:dyDescent="0.3">
      <c r="I286" s="7"/>
      <c r="J286" s="9"/>
      <c r="K286" s="9"/>
      <c r="L286" s="9"/>
      <c r="M286" s="9"/>
      <c r="N286" s="30"/>
      <c r="O286" s="10"/>
      <c r="P286" s="10"/>
      <c r="Q286" s="10"/>
      <c r="R286" s="10"/>
    </row>
    <row r="287" spans="9:18" x14ac:dyDescent="0.3">
      <c r="I287" s="7"/>
      <c r="J287" s="9"/>
      <c r="K287" s="9"/>
      <c r="L287" s="9"/>
      <c r="M287" s="9"/>
      <c r="N287" s="30"/>
      <c r="O287" s="10"/>
      <c r="P287" s="10"/>
      <c r="Q287" s="10"/>
      <c r="R287" s="10"/>
    </row>
    <row r="288" spans="9:18" x14ac:dyDescent="0.3">
      <c r="I288" s="7"/>
      <c r="J288" s="9"/>
      <c r="K288" s="9"/>
      <c r="L288" s="9"/>
      <c r="M288" s="9"/>
      <c r="N288" s="30"/>
      <c r="O288" s="10"/>
      <c r="P288" s="10"/>
      <c r="Q288" s="10"/>
      <c r="R288" s="10"/>
    </row>
    <row r="289" spans="9:18" x14ac:dyDescent="0.3">
      <c r="I289" s="7"/>
      <c r="J289" s="9"/>
      <c r="K289" s="9"/>
      <c r="L289" s="9"/>
      <c r="M289" s="9"/>
      <c r="N289" s="30"/>
      <c r="O289" s="10"/>
      <c r="P289" s="10"/>
      <c r="Q289" s="10"/>
      <c r="R289" s="10"/>
    </row>
    <row r="290" spans="9:18" x14ac:dyDescent="0.3">
      <c r="I290" s="7"/>
      <c r="J290" s="9"/>
      <c r="K290" s="9"/>
      <c r="L290" s="9"/>
      <c r="M290" s="9"/>
      <c r="N290" s="30"/>
      <c r="O290" s="10"/>
      <c r="P290" s="10"/>
      <c r="Q290" s="10"/>
      <c r="R290" s="10"/>
    </row>
    <row r="291" spans="9:18" x14ac:dyDescent="0.3">
      <c r="I291" s="7"/>
      <c r="J291" s="9"/>
      <c r="K291" s="9"/>
      <c r="L291" s="9"/>
      <c r="M291" s="9"/>
      <c r="N291" s="30"/>
      <c r="O291" s="10"/>
      <c r="P291" s="10"/>
      <c r="Q291" s="10"/>
      <c r="R291" s="10"/>
    </row>
    <row r="292" spans="9:18" x14ac:dyDescent="0.3">
      <c r="I292" s="7"/>
      <c r="J292" s="9"/>
      <c r="K292" s="9"/>
      <c r="L292" s="9"/>
      <c r="M292" s="9"/>
      <c r="N292" s="30"/>
      <c r="O292" s="10"/>
      <c r="P292" s="10"/>
      <c r="Q292" s="10"/>
      <c r="R292" s="10"/>
    </row>
    <row r="293" spans="9:18" x14ac:dyDescent="0.3">
      <c r="I293" s="7"/>
      <c r="J293" s="9"/>
      <c r="K293" s="9"/>
      <c r="L293" s="9"/>
      <c r="M293" s="9"/>
      <c r="N293" s="30"/>
      <c r="O293" s="10"/>
      <c r="P293" s="10"/>
      <c r="Q293" s="10"/>
      <c r="R293" s="10"/>
    </row>
    <row r="294" spans="9:18" x14ac:dyDescent="0.3">
      <c r="I294" s="7"/>
      <c r="J294" s="9"/>
      <c r="K294" s="9"/>
      <c r="L294" s="9"/>
      <c r="M294" s="9"/>
      <c r="N294" s="30"/>
      <c r="O294" s="10"/>
      <c r="P294" s="10"/>
      <c r="Q294" s="10"/>
      <c r="R294" s="10"/>
    </row>
    <row r="295" spans="9:18" x14ac:dyDescent="0.3">
      <c r="I295" s="7"/>
      <c r="J295" s="9"/>
      <c r="K295" s="9"/>
      <c r="L295" s="9"/>
      <c r="M295" s="9"/>
      <c r="N295" s="30"/>
      <c r="O295" s="10"/>
      <c r="P295" s="10"/>
      <c r="Q295" s="10"/>
      <c r="R295" s="10"/>
    </row>
    <row r="296" spans="9:18" x14ac:dyDescent="0.3">
      <c r="I296" s="7"/>
      <c r="J296" s="9"/>
      <c r="K296" s="9"/>
      <c r="L296" s="9"/>
      <c r="M296" s="9"/>
      <c r="N296" s="30"/>
      <c r="O296" s="10"/>
      <c r="P296" s="10"/>
      <c r="Q296" s="10"/>
      <c r="R296" s="10"/>
    </row>
    <row r="297" spans="9:18" x14ac:dyDescent="0.3">
      <c r="I297" s="7"/>
      <c r="J297" s="9"/>
      <c r="K297" s="9"/>
      <c r="L297" s="9"/>
      <c r="M297" s="9"/>
      <c r="N297" s="30"/>
      <c r="O297" s="10"/>
      <c r="P297" s="10"/>
      <c r="Q297" s="10"/>
      <c r="R297" s="10"/>
    </row>
    <row r="298" spans="9:18" x14ac:dyDescent="0.3">
      <c r="I298" s="7"/>
      <c r="J298" s="9"/>
      <c r="K298" s="9"/>
      <c r="L298" s="9"/>
      <c r="M298" s="9"/>
      <c r="N298" s="30"/>
      <c r="O298" s="10"/>
      <c r="P298" s="10"/>
      <c r="Q298" s="10"/>
      <c r="R298" s="10"/>
    </row>
    <row r="299" spans="9:18" x14ac:dyDescent="0.3">
      <c r="I299" s="7"/>
      <c r="J299" s="9"/>
      <c r="K299" s="9"/>
      <c r="L299" s="9"/>
      <c r="M299" s="9"/>
      <c r="N299" s="30"/>
      <c r="O299" s="10"/>
      <c r="P299" s="10"/>
      <c r="Q299" s="10"/>
      <c r="R299" s="10"/>
    </row>
    <row r="300" spans="9:18" x14ac:dyDescent="0.3">
      <c r="I300" s="7"/>
      <c r="J300" s="9"/>
      <c r="K300" s="9"/>
      <c r="L300" s="9"/>
      <c r="M300" s="9"/>
      <c r="N300" s="30"/>
      <c r="O300" s="10"/>
      <c r="P300" s="10"/>
      <c r="Q300" s="10"/>
      <c r="R300" s="10"/>
    </row>
    <row r="301" spans="9:18" x14ac:dyDescent="0.3">
      <c r="I301" s="7"/>
      <c r="J301" s="9"/>
      <c r="K301" s="9"/>
      <c r="L301" s="9"/>
      <c r="M301" s="9"/>
      <c r="N301" s="30"/>
      <c r="O301" s="10"/>
      <c r="P301" s="10"/>
      <c r="Q301" s="10"/>
      <c r="R301" s="10"/>
    </row>
    <row r="302" spans="9:18" x14ac:dyDescent="0.3">
      <c r="I302" s="7"/>
      <c r="J302" s="9"/>
      <c r="K302" s="9"/>
      <c r="L302" s="9"/>
      <c r="M302" s="9"/>
      <c r="N302" s="30"/>
      <c r="O302" s="10"/>
      <c r="P302" s="10"/>
      <c r="Q302" s="10"/>
      <c r="R302" s="10"/>
    </row>
    <row r="303" spans="9:18" x14ac:dyDescent="0.3">
      <c r="I303" s="7"/>
      <c r="J303" s="9"/>
      <c r="K303" s="9"/>
      <c r="L303" s="9"/>
      <c r="M303" s="9"/>
      <c r="N303" s="30"/>
      <c r="O303" s="10"/>
      <c r="P303" s="10"/>
      <c r="Q303" s="10"/>
      <c r="R303" s="10"/>
    </row>
    <row r="304" spans="9:18" x14ac:dyDescent="0.3">
      <c r="I304" s="7"/>
      <c r="J304" s="9"/>
      <c r="K304" s="9"/>
      <c r="L304" s="9"/>
      <c r="M304" s="9"/>
      <c r="N304" s="30"/>
      <c r="O304" s="10"/>
      <c r="P304" s="10"/>
      <c r="Q304" s="10"/>
      <c r="R304" s="10"/>
    </row>
    <row r="305" spans="9:18" x14ac:dyDescent="0.3">
      <c r="I305" s="7"/>
      <c r="J305" s="9"/>
      <c r="K305" s="9"/>
      <c r="L305" s="9"/>
      <c r="M305" s="9"/>
      <c r="N305" s="30"/>
      <c r="O305" s="10"/>
      <c r="P305" s="10"/>
      <c r="Q305" s="10"/>
      <c r="R305" s="10"/>
    </row>
    <row r="306" spans="9:18" x14ac:dyDescent="0.3">
      <c r="I306" s="7"/>
      <c r="J306" s="9"/>
      <c r="K306" s="9"/>
      <c r="L306" s="9"/>
      <c r="M306" s="9"/>
      <c r="N306" s="30"/>
      <c r="O306" s="10"/>
      <c r="P306" s="10"/>
      <c r="Q306" s="10"/>
      <c r="R306" s="10"/>
    </row>
    <row r="307" spans="9:18" x14ac:dyDescent="0.3">
      <c r="I307" s="7"/>
      <c r="J307" s="9"/>
      <c r="K307" s="9"/>
      <c r="L307" s="9"/>
      <c r="M307" s="9"/>
      <c r="N307" s="30"/>
      <c r="O307" s="10"/>
      <c r="P307" s="10"/>
      <c r="Q307" s="10"/>
      <c r="R307" s="10"/>
    </row>
    <row r="308" spans="9:18" x14ac:dyDescent="0.3">
      <c r="I308" s="7"/>
      <c r="J308" s="9"/>
      <c r="K308" s="9"/>
      <c r="L308" s="9"/>
      <c r="M308" s="9"/>
      <c r="N308" s="30"/>
      <c r="O308" s="10"/>
      <c r="P308" s="10"/>
      <c r="Q308" s="10"/>
      <c r="R308" s="10"/>
    </row>
    <row r="309" spans="9:18" x14ac:dyDescent="0.3">
      <c r="I309" s="7"/>
      <c r="J309" s="9"/>
      <c r="K309" s="9"/>
      <c r="L309" s="9"/>
      <c r="M309" s="9"/>
      <c r="N309" s="30"/>
      <c r="O309" s="10"/>
      <c r="P309" s="10"/>
      <c r="Q309" s="10"/>
      <c r="R309" s="10"/>
    </row>
    <row r="310" spans="9:18" x14ac:dyDescent="0.3">
      <c r="I310" s="7"/>
      <c r="J310" s="9"/>
      <c r="K310" s="9"/>
      <c r="L310" s="9"/>
      <c r="M310" s="9"/>
      <c r="N310" s="30"/>
      <c r="O310" s="10"/>
      <c r="P310" s="10"/>
      <c r="Q310" s="10"/>
      <c r="R310" s="10"/>
    </row>
    <row r="311" spans="9:18" x14ac:dyDescent="0.3">
      <c r="I311" s="7"/>
      <c r="J311" s="9"/>
      <c r="K311" s="9"/>
      <c r="L311" s="9"/>
      <c r="M311" s="9"/>
      <c r="N311" s="30"/>
      <c r="O311" s="10"/>
      <c r="P311" s="10"/>
      <c r="Q311" s="10"/>
      <c r="R311" s="10"/>
    </row>
    <row r="312" spans="9:18" x14ac:dyDescent="0.3">
      <c r="I312" s="7"/>
      <c r="J312" s="9"/>
      <c r="K312" s="9"/>
      <c r="L312" s="9"/>
      <c r="M312" s="9"/>
      <c r="N312" s="30"/>
      <c r="O312" s="10"/>
      <c r="P312" s="10"/>
      <c r="Q312" s="10"/>
      <c r="R312" s="10"/>
    </row>
    <row r="313" spans="9:18" x14ac:dyDescent="0.3">
      <c r="I313" s="7"/>
      <c r="J313" s="9"/>
      <c r="K313" s="9"/>
      <c r="L313" s="9"/>
      <c r="M313" s="9"/>
      <c r="N313" s="30"/>
      <c r="O313" s="10"/>
      <c r="P313" s="10"/>
      <c r="Q313" s="10"/>
      <c r="R313" s="10"/>
    </row>
    <row r="314" spans="9:18" x14ac:dyDescent="0.3">
      <c r="I314" s="7"/>
      <c r="J314" s="9"/>
      <c r="K314" s="9"/>
      <c r="L314" s="9"/>
      <c r="M314" s="9"/>
      <c r="N314" s="30"/>
      <c r="O314" s="10"/>
      <c r="P314" s="10"/>
      <c r="Q314" s="10"/>
      <c r="R314" s="10"/>
    </row>
    <row r="315" spans="9:18" x14ac:dyDescent="0.3">
      <c r="I315" s="7"/>
      <c r="J315" s="9"/>
      <c r="K315" s="9"/>
      <c r="L315" s="9"/>
      <c r="M315" s="9"/>
      <c r="N315" s="30"/>
      <c r="O315" s="10"/>
      <c r="P315" s="10"/>
      <c r="Q315" s="10"/>
      <c r="R315" s="10"/>
    </row>
    <row r="316" spans="9:18" x14ac:dyDescent="0.3">
      <c r="I316" s="7"/>
      <c r="J316" s="9"/>
      <c r="K316" s="9"/>
      <c r="L316" s="9"/>
      <c r="M316" s="9"/>
      <c r="N316" s="30"/>
      <c r="O316" s="10"/>
      <c r="P316" s="10"/>
      <c r="Q316" s="10"/>
      <c r="R316" s="10"/>
    </row>
    <row r="317" spans="9:18" x14ac:dyDescent="0.3">
      <c r="I317" s="7"/>
      <c r="J317" s="9"/>
      <c r="K317" s="9"/>
      <c r="L317" s="9"/>
      <c r="M317" s="9"/>
      <c r="N317" s="30"/>
      <c r="O317" s="10"/>
      <c r="P317" s="10"/>
      <c r="Q317" s="10"/>
      <c r="R317" s="10"/>
    </row>
    <row r="318" spans="9:18" x14ac:dyDescent="0.3">
      <c r="I318" s="7"/>
      <c r="J318" s="9"/>
      <c r="K318" s="9"/>
      <c r="L318" s="9"/>
      <c r="M318" s="9"/>
      <c r="N318" s="30"/>
      <c r="O318" s="10"/>
      <c r="P318" s="10"/>
      <c r="Q318" s="10"/>
      <c r="R318" s="10"/>
    </row>
    <row r="319" spans="9:18" x14ac:dyDescent="0.3">
      <c r="I319" s="7"/>
      <c r="J319" s="9"/>
      <c r="K319" s="9"/>
      <c r="L319" s="9"/>
      <c r="M319" s="9"/>
      <c r="N319" s="30"/>
      <c r="O319" s="10"/>
      <c r="P319" s="10"/>
      <c r="Q319" s="10"/>
      <c r="R319" s="10"/>
    </row>
    <row r="320" spans="9:18" x14ac:dyDescent="0.3">
      <c r="I320" s="7"/>
      <c r="J320" s="9"/>
      <c r="K320" s="9"/>
      <c r="L320" s="9"/>
      <c r="M320" s="9"/>
      <c r="N320" s="30"/>
      <c r="O320" s="10"/>
      <c r="P320" s="10"/>
      <c r="Q320" s="10"/>
      <c r="R320" s="10"/>
    </row>
    <row r="321" spans="9:18" x14ac:dyDescent="0.3">
      <c r="I321" s="7"/>
      <c r="J321" s="9"/>
      <c r="K321" s="9"/>
      <c r="L321" s="9"/>
      <c r="M321" s="9"/>
      <c r="N321" s="30"/>
      <c r="O321" s="10"/>
      <c r="P321" s="10"/>
      <c r="Q321" s="10"/>
      <c r="R321" s="10"/>
    </row>
    <row r="322" spans="9:18" x14ac:dyDescent="0.3">
      <c r="I322" s="7"/>
      <c r="J322" s="9"/>
      <c r="K322" s="9"/>
      <c r="L322" s="9"/>
      <c r="M322" s="9"/>
      <c r="N322" s="30"/>
      <c r="O322" s="10"/>
      <c r="P322" s="10"/>
      <c r="Q322" s="10"/>
      <c r="R322" s="10"/>
    </row>
    <row r="323" spans="9:18" x14ac:dyDescent="0.3">
      <c r="I323" s="7"/>
      <c r="J323" s="9"/>
      <c r="K323" s="9"/>
      <c r="L323" s="9"/>
      <c r="M323" s="9"/>
      <c r="N323" s="30"/>
      <c r="O323" s="10"/>
      <c r="P323" s="10"/>
      <c r="Q323" s="10"/>
      <c r="R323" s="10"/>
    </row>
    <row r="324" spans="9:18" x14ac:dyDescent="0.3">
      <c r="I324" s="7"/>
      <c r="J324" s="9"/>
      <c r="K324" s="9"/>
      <c r="L324" s="9"/>
      <c r="M324" s="9"/>
      <c r="N324" s="30"/>
      <c r="O324" s="10"/>
      <c r="P324" s="10"/>
      <c r="Q324" s="10"/>
      <c r="R324" s="10"/>
    </row>
    <row r="325" spans="9:18" x14ac:dyDescent="0.3">
      <c r="I325" s="7"/>
      <c r="J325" s="9"/>
      <c r="K325" s="9"/>
      <c r="L325" s="9"/>
      <c r="M325" s="9"/>
      <c r="N325" s="30"/>
      <c r="O325" s="10"/>
      <c r="P325" s="10"/>
      <c r="Q325" s="10"/>
      <c r="R325" s="10"/>
    </row>
    <row r="326" spans="9:18" x14ac:dyDescent="0.3">
      <c r="I326" s="7"/>
      <c r="J326" s="9"/>
      <c r="K326" s="9"/>
      <c r="L326" s="9"/>
      <c r="M326" s="9"/>
      <c r="N326" s="30"/>
      <c r="O326" s="10"/>
      <c r="P326" s="10"/>
      <c r="Q326" s="10"/>
      <c r="R326" s="10"/>
    </row>
    <row r="327" spans="9:18" x14ac:dyDescent="0.3">
      <c r="I327" s="7"/>
      <c r="J327" s="9"/>
      <c r="K327" s="9"/>
      <c r="L327" s="9"/>
      <c r="M327" s="9"/>
      <c r="N327" s="30"/>
      <c r="O327" s="10"/>
      <c r="P327" s="10"/>
      <c r="Q327" s="10"/>
      <c r="R327" s="10"/>
    </row>
    <row r="328" spans="9:18" x14ac:dyDescent="0.3">
      <c r="I328" s="7"/>
      <c r="J328" s="9"/>
      <c r="K328" s="9"/>
      <c r="L328" s="9"/>
      <c r="M328" s="9"/>
      <c r="N328" s="30"/>
      <c r="O328" s="10"/>
      <c r="P328" s="10"/>
      <c r="Q328" s="10"/>
      <c r="R328" s="10"/>
    </row>
    <row r="329" spans="9:18" x14ac:dyDescent="0.3">
      <c r="I329" s="7"/>
      <c r="J329" s="9"/>
      <c r="K329" s="9"/>
      <c r="L329" s="9"/>
      <c r="M329" s="9"/>
      <c r="N329" s="30"/>
      <c r="O329" s="10"/>
      <c r="P329" s="10"/>
      <c r="Q329" s="10"/>
      <c r="R329" s="10"/>
    </row>
    <row r="330" spans="9:18" x14ac:dyDescent="0.3">
      <c r="I330" s="7"/>
      <c r="J330" s="9"/>
      <c r="K330" s="9"/>
      <c r="L330" s="9"/>
      <c r="M330" s="9"/>
      <c r="N330" s="30"/>
      <c r="O330" s="10"/>
      <c r="P330" s="10"/>
      <c r="Q330" s="10"/>
      <c r="R330" s="10"/>
    </row>
    <row r="331" spans="9:18" x14ac:dyDescent="0.3">
      <c r="I331" s="7"/>
      <c r="J331" s="9"/>
      <c r="K331" s="9"/>
      <c r="L331" s="9"/>
      <c r="M331" s="9"/>
      <c r="N331" s="30"/>
      <c r="O331" s="10"/>
      <c r="P331" s="10"/>
      <c r="Q331" s="10"/>
      <c r="R331" s="10"/>
    </row>
    <row r="332" spans="9:18" x14ac:dyDescent="0.3">
      <c r="I332" s="7"/>
      <c r="J332" s="9"/>
      <c r="K332" s="9"/>
      <c r="L332" s="9"/>
      <c r="M332" s="9"/>
      <c r="N332" s="30"/>
      <c r="O332" s="10"/>
      <c r="P332" s="10"/>
      <c r="Q332" s="10"/>
      <c r="R332" s="10"/>
    </row>
    <row r="333" spans="9:18" x14ac:dyDescent="0.3">
      <c r="I333" s="7"/>
      <c r="J333" s="9"/>
      <c r="K333" s="9"/>
      <c r="L333" s="9"/>
      <c r="M333" s="9"/>
      <c r="N333" s="30"/>
      <c r="O333" s="10"/>
      <c r="P333" s="10"/>
      <c r="Q333" s="10"/>
      <c r="R333" s="10"/>
    </row>
    <row r="334" spans="9:18" x14ac:dyDescent="0.3">
      <c r="I334" s="7"/>
      <c r="J334" s="9"/>
      <c r="K334" s="9"/>
      <c r="L334" s="9"/>
      <c r="M334" s="9"/>
      <c r="N334" s="30"/>
      <c r="O334" s="10"/>
      <c r="P334" s="10"/>
      <c r="Q334" s="10"/>
      <c r="R334" s="10"/>
    </row>
    <row r="335" spans="9:18" x14ac:dyDescent="0.3">
      <c r="I335" s="7"/>
      <c r="J335" s="9"/>
      <c r="K335" s="9"/>
      <c r="L335" s="9"/>
      <c r="M335" s="9"/>
      <c r="N335" s="30"/>
      <c r="O335" s="10"/>
      <c r="P335" s="10"/>
      <c r="Q335" s="10"/>
      <c r="R335" s="10"/>
    </row>
    <row r="336" spans="9:18" x14ac:dyDescent="0.3">
      <c r="I336" s="7"/>
      <c r="J336" s="9"/>
      <c r="K336" s="9"/>
      <c r="L336" s="9"/>
      <c r="M336" s="9"/>
      <c r="N336" s="30"/>
      <c r="O336" s="10"/>
      <c r="P336" s="10"/>
      <c r="Q336" s="10"/>
      <c r="R336" s="10"/>
    </row>
    <row r="337" spans="9:18" x14ac:dyDescent="0.3">
      <c r="I337" s="7"/>
      <c r="J337" s="9"/>
      <c r="K337" s="9"/>
      <c r="L337" s="9"/>
      <c r="M337" s="9"/>
      <c r="N337" s="30"/>
      <c r="O337" s="10"/>
      <c r="P337" s="10"/>
      <c r="Q337" s="10"/>
      <c r="R337" s="10"/>
    </row>
    <row r="338" spans="9:18" x14ac:dyDescent="0.3">
      <c r="I338" s="7"/>
      <c r="J338" s="9"/>
      <c r="K338" s="9"/>
      <c r="L338" s="9"/>
      <c r="M338" s="9"/>
      <c r="N338" s="30"/>
      <c r="O338" s="10"/>
      <c r="P338" s="10"/>
      <c r="Q338" s="10"/>
      <c r="R338" s="10"/>
    </row>
    <row r="339" spans="9:18" x14ac:dyDescent="0.3">
      <c r="I339" s="7"/>
      <c r="J339" s="9"/>
      <c r="K339" s="9"/>
      <c r="L339" s="9"/>
      <c r="M339" s="9"/>
      <c r="N339" s="30"/>
      <c r="O339" s="10"/>
      <c r="P339" s="10"/>
      <c r="Q339" s="10"/>
      <c r="R339" s="10"/>
    </row>
    <row r="340" spans="9:18" x14ac:dyDescent="0.3">
      <c r="I340" s="7"/>
      <c r="J340" s="9"/>
      <c r="K340" s="9"/>
      <c r="L340" s="9"/>
      <c r="M340" s="9"/>
      <c r="N340" s="30"/>
      <c r="O340" s="10"/>
      <c r="P340" s="10"/>
      <c r="Q340" s="10"/>
      <c r="R340" s="10"/>
    </row>
    <row r="341" spans="9:18" x14ac:dyDescent="0.3">
      <c r="I341" s="7"/>
      <c r="J341" s="9"/>
      <c r="K341" s="9"/>
      <c r="L341" s="9"/>
      <c r="M341" s="9"/>
      <c r="N341" s="30"/>
      <c r="O341" s="10"/>
      <c r="P341" s="10"/>
      <c r="Q341" s="10"/>
      <c r="R341" s="10"/>
    </row>
    <row r="342" spans="9:18" x14ac:dyDescent="0.3">
      <c r="I342" s="7"/>
      <c r="J342" s="9"/>
      <c r="K342" s="9"/>
      <c r="L342" s="9"/>
      <c r="M342" s="9"/>
      <c r="N342" s="30"/>
      <c r="O342" s="10"/>
      <c r="P342" s="10"/>
      <c r="Q342" s="10"/>
      <c r="R342" s="10"/>
    </row>
    <row r="343" spans="9:18" x14ac:dyDescent="0.3">
      <c r="I343" s="7"/>
      <c r="J343" s="9"/>
      <c r="K343" s="9"/>
      <c r="L343" s="9"/>
      <c r="M343" s="9"/>
      <c r="N343" s="30"/>
      <c r="O343" s="10"/>
      <c r="P343" s="10"/>
      <c r="Q343" s="10"/>
      <c r="R343" s="10"/>
    </row>
    <row r="344" spans="9:18" x14ac:dyDescent="0.3">
      <c r="I344" s="7"/>
      <c r="J344" s="9"/>
      <c r="K344" s="9"/>
      <c r="L344" s="9"/>
      <c r="M344" s="9"/>
      <c r="N344" s="30"/>
      <c r="O344" s="10"/>
      <c r="P344" s="10"/>
      <c r="Q344" s="10"/>
      <c r="R344" s="10"/>
    </row>
    <row r="345" spans="9:18" x14ac:dyDescent="0.3">
      <c r="I345" s="7"/>
      <c r="J345" s="9"/>
      <c r="K345" s="9"/>
      <c r="L345" s="9"/>
      <c r="M345" s="9"/>
      <c r="N345" s="30"/>
      <c r="O345" s="10"/>
      <c r="P345" s="10"/>
      <c r="Q345" s="10"/>
      <c r="R345" s="10"/>
    </row>
    <row r="346" spans="9:18" x14ac:dyDescent="0.3">
      <c r="I346" s="7"/>
      <c r="J346" s="9"/>
      <c r="K346" s="9"/>
      <c r="L346" s="9"/>
      <c r="M346" s="9"/>
      <c r="N346" s="30"/>
      <c r="O346" s="10"/>
      <c r="P346" s="10"/>
      <c r="Q346" s="10"/>
      <c r="R346" s="10"/>
    </row>
    <row r="347" spans="9:18" x14ac:dyDescent="0.3">
      <c r="I347" s="7"/>
      <c r="J347" s="9"/>
      <c r="K347" s="9"/>
      <c r="L347" s="9"/>
      <c r="M347" s="9"/>
      <c r="N347" s="30"/>
      <c r="O347" s="10"/>
      <c r="P347" s="10"/>
      <c r="Q347" s="10"/>
      <c r="R347" s="10"/>
    </row>
    <row r="348" spans="9:18" x14ac:dyDescent="0.3">
      <c r="I348" s="7"/>
      <c r="J348" s="9"/>
      <c r="K348" s="9"/>
      <c r="L348" s="9"/>
      <c r="M348" s="9"/>
      <c r="N348" s="30"/>
      <c r="O348" s="10"/>
      <c r="P348" s="10"/>
      <c r="Q348" s="10"/>
      <c r="R348" s="10"/>
    </row>
    <row r="349" spans="9:18" x14ac:dyDescent="0.3">
      <c r="I349" s="7"/>
      <c r="J349" s="9"/>
      <c r="K349" s="9"/>
      <c r="L349" s="9"/>
      <c r="M349" s="9"/>
      <c r="N349" s="30"/>
      <c r="O349" s="10"/>
      <c r="P349" s="10"/>
      <c r="Q349" s="10"/>
      <c r="R349" s="10"/>
    </row>
    <row r="350" spans="9:18" x14ac:dyDescent="0.3">
      <c r="I350" s="7"/>
      <c r="J350" s="9"/>
      <c r="K350" s="9"/>
      <c r="L350" s="9"/>
      <c r="M350" s="9"/>
      <c r="N350" s="30"/>
      <c r="O350" s="10"/>
      <c r="P350" s="10"/>
      <c r="Q350" s="10"/>
      <c r="R350" s="10"/>
    </row>
    <row r="351" spans="9:18" x14ac:dyDescent="0.3">
      <c r="I351" s="7"/>
      <c r="J351" s="9"/>
      <c r="K351" s="9"/>
      <c r="L351" s="9"/>
      <c r="M351" s="9"/>
      <c r="N351" s="30"/>
      <c r="O351" s="10"/>
      <c r="P351" s="10"/>
      <c r="Q351" s="10"/>
      <c r="R351" s="10"/>
    </row>
    <row r="352" spans="9:18" x14ac:dyDescent="0.3">
      <c r="I352" s="7"/>
      <c r="J352" s="9"/>
      <c r="K352" s="9"/>
      <c r="L352" s="9"/>
      <c r="M352" s="9"/>
      <c r="N352" s="30"/>
      <c r="O352" s="10"/>
      <c r="P352" s="10"/>
      <c r="Q352" s="10"/>
      <c r="R352" s="10"/>
    </row>
    <row r="353" spans="9:18" x14ac:dyDescent="0.3">
      <c r="I353" s="7"/>
      <c r="J353" s="9"/>
      <c r="K353" s="9"/>
      <c r="L353" s="9"/>
      <c r="M353" s="9"/>
      <c r="N353" s="30"/>
      <c r="O353" s="10"/>
      <c r="P353" s="10"/>
      <c r="Q353" s="10"/>
      <c r="R353" s="10"/>
    </row>
    <row r="354" spans="9:18" x14ac:dyDescent="0.3">
      <c r="I354" s="7"/>
      <c r="J354" s="9"/>
      <c r="K354" s="9"/>
      <c r="L354" s="9"/>
      <c r="M354" s="9"/>
      <c r="N354" s="30"/>
      <c r="O354" s="10"/>
      <c r="P354" s="10"/>
      <c r="Q354" s="10"/>
      <c r="R354" s="10"/>
    </row>
    <row r="355" spans="9:18" x14ac:dyDescent="0.3">
      <c r="I355" s="7"/>
      <c r="J355" s="9"/>
      <c r="K355" s="9"/>
      <c r="L355" s="9"/>
      <c r="M355" s="9"/>
      <c r="N355" s="30"/>
      <c r="O355" s="10"/>
      <c r="P355" s="10"/>
      <c r="Q355" s="10"/>
      <c r="R355" s="10"/>
    </row>
    <row r="356" spans="9:18" x14ac:dyDescent="0.3">
      <c r="I356" s="7"/>
      <c r="J356" s="9"/>
      <c r="K356" s="9"/>
      <c r="L356" s="9"/>
      <c r="M356" s="9"/>
      <c r="N356" s="30"/>
      <c r="O356" s="10"/>
      <c r="P356" s="10"/>
      <c r="Q356" s="10"/>
      <c r="R356" s="10"/>
    </row>
    <row r="357" spans="9:18" x14ac:dyDescent="0.3">
      <c r="I357" s="7"/>
      <c r="J357" s="9"/>
      <c r="K357" s="9"/>
      <c r="L357" s="9"/>
      <c r="M357" s="9"/>
      <c r="N357" s="30"/>
      <c r="O357" s="10"/>
      <c r="P357" s="10"/>
      <c r="Q357" s="10"/>
      <c r="R357" s="10"/>
    </row>
    <row r="358" spans="9:18" x14ac:dyDescent="0.3">
      <c r="I358" s="7"/>
      <c r="J358" s="9"/>
      <c r="K358" s="9"/>
      <c r="L358" s="9"/>
      <c r="M358" s="9"/>
      <c r="N358" s="30"/>
      <c r="O358" s="10"/>
      <c r="P358" s="10"/>
      <c r="Q358" s="10"/>
      <c r="R358" s="10"/>
    </row>
    <row r="359" spans="9:18" x14ac:dyDescent="0.3">
      <c r="I359" s="7"/>
      <c r="J359" s="9"/>
      <c r="K359" s="9"/>
      <c r="L359" s="9"/>
      <c r="M359" s="9"/>
      <c r="N359" s="30"/>
      <c r="O359" s="10"/>
      <c r="P359" s="10"/>
      <c r="Q359" s="10"/>
      <c r="R359" s="10"/>
    </row>
    <row r="360" spans="9:18" x14ac:dyDescent="0.3">
      <c r="I360" s="7"/>
      <c r="J360" s="9"/>
      <c r="K360" s="9"/>
      <c r="L360" s="9"/>
      <c r="M360" s="9"/>
      <c r="N360" s="30"/>
      <c r="O360" s="10"/>
      <c r="P360" s="10"/>
      <c r="Q360" s="10"/>
      <c r="R360" s="10"/>
    </row>
    <row r="361" spans="9:18" x14ac:dyDescent="0.3">
      <c r="I361" s="7"/>
      <c r="J361" s="9"/>
      <c r="K361" s="9"/>
      <c r="L361" s="9"/>
      <c r="M361" s="9"/>
      <c r="N361" s="30"/>
      <c r="O361" s="10"/>
      <c r="P361" s="10"/>
      <c r="Q361" s="10"/>
      <c r="R361" s="10"/>
    </row>
    <row r="362" spans="9:18" x14ac:dyDescent="0.3">
      <c r="I362" s="7"/>
      <c r="J362" s="9"/>
      <c r="K362" s="9"/>
      <c r="L362" s="9"/>
      <c r="M362" s="9"/>
      <c r="N362" s="30"/>
      <c r="O362" s="10"/>
      <c r="P362" s="10"/>
      <c r="Q362" s="10"/>
      <c r="R362" s="10"/>
    </row>
    <row r="363" spans="9:18" x14ac:dyDescent="0.3">
      <c r="I363" s="7"/>
      <c r="J363" s="9"/>
      <c r="K363" s="9"/>
      <c r="L363" s="9"/>
      <c r="M363" s="9"/>
      <c r="N363" s="30"/>
      <c r="O363" s="10"/>
      <c r="P363" s="10"/>
      <c r="Q363" s="10"/>
      <c r="R363" s="10"/>
    </row>
    <row r="364" spans="9:18" x14ac:dyDescent="0.3">
      <c r="I364" s="7"/>
      <c r="J364" s="9"/>
      <c r="K364" s="9"/>
      <c r="L364" s="9"/>
      <c r="M364" s="9"/>
      <c r="N364" s="30"/>
      <c r="O364" s="10"/>
      <c r="P364" s="10"/>
      <c r="Q364" s="10"/>
      <c r="R364" s="10"/>
    </row>
    <row r="365" spans="9:18" x14ac:dyDescent="0.3">
      <c r="I365" s="7"/>
      <c r="J365" s="9"/>
      <c r="K365" s="9"/>
      <c r="L365" s="9"/>
      <c r="M365" s="9"/>
      <c r="N365" s="30"/>
      <c r="O365" s="10"/>
      <c r="P365" s="10"/>
      <c r="Q365" s="10"/>
      <c r="R365" s="10"/>
    </row>
    <row r="366" spans="9:18" x14ac:dyDescent="0.3">
      <c r="I366" s="7"/>
      <c r="J366" s="9"/>
      <c r="K366" s="9"/>
      <c r="L366" s="9"/>
      <c r="M366" s="9"/>
      <c r="N366" s="30"/>
      <c r="O366" s="10"/>
      <c r="P366" s="10"/>
      <c r="Q366" s="10"/>
      <c r="R366" s="10"/>
    </row>
    <row r="367" spans="9:18" x14ac:dyDescent="0.3">
      <c r="I367" s="7"/>
      <c r="J367" s="9"/>
      <c r="K367" s="9"/>
      <c r="L367" s="9"/>
      <c r="M367" s="9"/>
      <c r="N367" s="30"/>
      <c r="O367" s="10"/>
      <c r="P367" s="10"/>
      <c r="Q367" s="10"/>
      <c r="R367" s="10"/>
    </row>
    <row r="368" spans="9:18" x14ac:dyDescent="0.3">
      <c r="I368" s="7"/>
      <c r="J368" s="9"/>
      <c r="K368" s="9"/>
      <c r="L368" s="9"/>
      <c r="M368" s="9"/>
      <c r="N368" s="30"/>
      <c r="O368" s="10"/>
      <c r="P368" s="10"/>
      <c r="Q368" s="10"/>
      <c r="R368" s="10"/>
    </row>
    <row r="369" spans="9:18" x14ac:dyDescent="0.3">
      <c r="I369" s="7"/>
      <c r="J369" s="9"/>
      <c r="K369" s="9"/>
      <c r="L369" s="9"/>
      <c r="M369" s="9"/>
      <c r="N369" s="30"/>
      <c r="O369" s="10"/>
      <c r="P369" s="10"/>
      <c r="Q369" s="10"/>
      <c r="R369" s="10"/>
    </row>
    <row r="370" spans="9:18" x14ac:dyDescent="0.3">
      <c r="I370" s="7"/>
      <c r="J370" s="9"/>
      <c r="K370" s="9"/>
      <c r="L370" s="9"/>
      <c r="M370" s="9"/>
      <c r="N370" s="30"/>
      <c r="O370" s="10"/>
      <c r="P370" s="10"/>
      <c r="Q370" s="10"/>
      <c r="R370" s="10"/>
    </row>
    <row r="371" spans="9:18" x14ac:dyDescent="0.3">
      <c r="I371" s="7"/>
      <c r="J371" s="9"/>
      <c r="K371" s="9"/>
      <c r="L371" s="9"/>
      <c r="M371" s="9"/>
      <c r="N371" s="30"/>
      <c r="O371" s="10"/>
      <c r="P371" s="10"/>
      <c r="Q371" s="10"/>
      <c r="R371" s="10"/>
    </row>
    <row r="372" spans="9:18" x14ac:dyDescent="0.3">
      <c r="I372" s="7"/>
      <c r="J372" s="9"/>
      <c r="K372" s="9"/>
      <c r="L372" s="9"/>
      <c r="M372" s="9"/>
      <c r="N372" s="30"/>
      <c r="O372" s="10"/>
      <c r="P372" s="10"/>
      <c r="Q372" s="10"/>
      <c r="R372" s="10"/>
    </row>
    <row r="373" spans="9:18" x14ac:dyDescent="0.3">
      <c r="I373" s="7"/>
      <c r="J373" s="9"/>
      <c r="K373" s="9"/>
      <c r="L373" s="9"/>
      <c r="M373" s="9"/>
      <c r="N373" s="30"/>
      <c r="O373" s="10"/>
      <c r="P373" s="10"/>
      <c r="Q373" s="10"/>
      <c r="R373" s="10"/>
    </row>
    <row r="374" spans="9:18" x14ac:dyDescent="0.3">
      <c r="I374" s="7"/>
      <c r="J374" s="9"/>
      <c r="K374" s="9"/>
      <c r="L374" s="9"/>
      <c r="M374" s="9"/>
      <c r="N374" s="30"/>
      <c r="O374" s="10"/>
      <c r="P374" s="10"/>
      <c r="Q374" s="10"/>
      <c r="R374" s="10"/>
    </row>
    <row r="375" spans="9:18" x14ac:dyDescent="0.3">
      <c r="I375" s="7"/>
      <c r="J375" s="9"/>
      <c r="K375" s="9"/>
      <c r="L375" s="9"/>
      <c r="M375" s="9"/>
      <c r="N375" s="30"/>
      <c r="O375" s="10"/>
      <c r="P375" s="10"/>
      <c r="Q375" s="10"/>
      <c r="R375" s="10"/>
    </row>
    <row r="376" spans="9:18" x14ac:dyDescent="0.3">
      <c r="I376" s="7"/>
      <c r="J376" s="9"/>
      <c r="K376" s="9"/>
      <c r="L376" s="9"/>
      <c r="M376" s="9"/>
      <c r="N376" s="30"/>
      <c r="O376" s="10"/>
      <c r="P376" s="10"/>
      <c r="Q376" s="10"/>
      <c r="R376" s="10"/>
    </row>
    <row r="377" spans="9:18" x14ac:dyDescent="0.3">
      <c r="I377" s="7"/>
      <c r="J377" s="9"/>
      <c r="K377" s="9"/>
      <c r="L377" s="9"/>
      <c r="M377" s="9"/>
      <c r="N377" s="30"/>
      <c r="O377" s="10"/>
      <c r="P377" s="10"/>
      <c r="Q377" s="10"/>
      <c r="R377" s="10"/>
    </row>
    <row r="378" spans="9:18" x14ac:dyDescent="0.3">
      <c r="I378" s="7"/>
      <c r="J378" s="9"/>
      <c r="K378" s="9"/>
      <c r="L378" s="9"/>
      <c r="M378" s="9"/>
      <c r="N378" s="30"/>
      <c r="O378" s="10"/>
      <c r="P378" s="10"/>
      <c r="Q378" s="10"/>
      <c r="R378" s="10"/>
    </row>
    <row r="379" spans="9:18" x14ac:dyDescent="0.3">
      <c r="I379" s="7"/>
      <c r="J379" s="9"/>
      <c r="K379" s="9"/>
      <c r="L379" s="9"/>
      <c r="M379" s="9"/>
      <c r="N379" s="4"/>
    </row>
    <row r="380" spans="9:18" x14ac:dyDescent="0.3">
      <c r="I380" s="7"/>
      <c r="J380" s="9"/>
      <c r="K380" s="9"/>
      <c r="L380" s="9"/>
      <c r="M380" s="9"/>
      <c r="N380" s="4"/>
    </row>
    <row r="381" spans="9:18" x14ac:dyDescent="0.3">
      <c r="I381" s="7"/>
      <c r="J381" s="9"/>
      <c r="K381" s="9"/>
      <c r="L381" s="9"/>
      <c r="M381" s="9"/>
      <c r="N381" s="4"/>
    </row>
    <row r="382" spans="9:18" x14ac:dyDescent="0.3">
      <c r="I382" s="7"/>
      <c r="J382" s="9"/>
      <c r="K382" s="9"/>
      <c r="L382" s="9"/>
      <c r="M382" s="9"/>
      <c r="N382" s="4"/>
    </row>
    <row r="383" spans="9:18" x14ac:dyDescent="0.3">
      <c r="I383" s="7"/>
      <c r="J383" s="9"/>
      <c r="K383" s="9"/>
      <c r="L383" s="9"/>
      <c r="M383" s="9"/>
      <c r="N383" s="4"/>
    </row>
    <row r="384" spans="9:18" x14ac:dyDescent="0.3">
      <c r="I384" s="7"/>
      <c r="J384" s="9"/>
      <c r="K384" s="9"/>
      <c r="L384" s="9"/>
      <c r="M384" s="9"/>
      <c r="N384" s="4"/>
    </row>
    <row r="385" spans="9:14" x14ac:dyDescent="0.3">
      <c r="I385" s="7"/>
      <c r="J385" s="9"/>
      <c r="K385" s="9"/>
      <c r="L385" s="9"/>
      <c r="M385" s="9"/>
      <c r="N385" s="4"/>
    </row>
    <row r="386" spans="9:14" x14ac:dyDescent="0.3">
      <c r="I386" s="7"/>
      <c r="J386" s="9"/>
      <c r="K386" s="9"/>
      <c r="L386" s="9"/>
      <c r="M386" s="9"/>
      <c r="N386" s="4"/>
    </row>
    <row r="387" spans="9:14" x14ac:dyDescent="0.3">
      <c r="I387" s="7"/>
      <c r="J387" s="9"/>
      <c r="K387" s="9"/>
      <c r="L387" s="9"/>
      <c r="M387" s="9"/>
      <c r="N387" s="4"/>
    </row>
    <row r="388" spans="9:14" x14ac:dyDescent="0.3">
      <c r="I388" s="7"/>
      <c r="J388" s="9"/>
      <c r="K388" s="9"/>
      <c r="L388" s="9"/>
      <c r="M388" s="9"/>
      <c r="N388" s="4"/>
    </row>
    <row r="389" spans="9:14" x14ac:dyDescent="0.3">
      <c r="I389" s="7"/>
      <c r="J389" s="9"/>
      <c r="K389" s="9"/>
      <c r="L389" s="9"/>
      <c r="M389" s="9"/>
      <c r="N389" s="4"/>
    </row>
    <row r="390" spans="9:14" x14ac:dyDescent="0.3">
      <c r="I390" s="7"/>
      <c r="J390" s="9"/>
      <c r="K390" s="9"/>
      <c r="L390" s="9"/>
      <c r="M390" s="9"/>
      <c r="N390" s="4"/>
    </row>
    <row r="391" spans="9:14" x14ac:dyDescent="0.3">
      <c r="I391" s="7"/>
      <c r="J391" s="9"/>
      <c r="K391" s="9"/>
      <c r="L391" s="9"/>
      <c r="M391" s="9"/>
      <c r="N391" s="4"/>
    </row>
    <row r="392" spans="9:14" x14ac:dyDescent="0.3">
      <c r="I392" s="7"/>
      <c r="J392" s="9"/>
      <c r="K392" s="9"/>
      <c r="L392" s="9"/>
      <c r="M392" s="9"/>
      <c r="N392" s="4"/>
    </row>
    <row r="393" spans="9:14" x14ac:dyDescent="0.3">
      <c r="I393" s="7"/>
      <c r="J393" s="9"/>
      <c r="K393" s="9"/>
      <c r="L393" s="9"/>
      <c r="M393" s="9"/>
      <c r="N393" s="4"/>
    </row>
    <row r="394" spans="9:14" x14ac:dyDescent="0.3">
      <c r="I394" s="7"/>
      <c r="J394" s="9"/>
      <c r="K394" s="9"/>
      <c r="L394" s="9"/>
      <c r="M394" s="9"/>
      <c r="N394" s="4"/>
    </row>
    <row r="395" spans="9:14" x14ac:dyDescent="0.3">
      <c r="I395" s="7"/>
      <c r="J395" s="9"/>
      <c r="K395" s="9"/>
      <c r="L395" s="9"/>
      <c r="M395" s="9"/>
      <c r="N395" s="4"/>
    </row>
    <row r="396" spans="9:14" x14ac:dyDescent="0.3">
      <c r="I396" s="7"/>
      <c r="J396" s="9"/>
      <c r="K396" s="9"/>
      <c r="L396" s="9"/>
      <c r="M396" s="9"/>
      <c r="N396" s="4"/>
    </row>
    <row r="397" spans="9:14" x14ac:dyDescent="0.3">
      <c r="I397" s="7"/>
      <c r="J397" s="9"/>
      <c r="K397" s="9"/>
      <c r="L397" s="9"/>
      <c r="M397" s="9"/>
      <c r="N397" s="4"/>
    </row>
    <row r="398" spans="9:14" x14ac:dyDescent="0.3">
      <c r="I398" s="7"/>
      <c r="J398" s="9"/>
      <c r="K398" s="9"/>
      <c r="L398" s="9"/>
      <c r="M398" s="9"/>
      <c r="N398" s="4"/>
    </row>
    <row r="399" spans="9:14" x14ac:dyDescent="0.3">
      <c r="I399" s="7"/>
      <c r="J399" s="9"/>
      <c r="K399" s="9"/>
      <c r="L399" s="9"/>
      <c r="M399" s="9"/>
      <c r="N399" s="4"/>
    </row>
    <row r="400" spans="9:14" x14ac:dyDescent="0.3">
      <c r="I400" s="7"/>
      <c r="J400" s="9"/>
      <c r="K400" s="9"/>
      <c r="L400" s="9"/>
      <c r="M400" s="9"/>
      <c r="N400" s="4"/>
    </row>
    <row r="401" spans="9:14" x14ac:dyDescent="0.3">
      <c r="I401" s="7"/>
      <c r="J401" s="9"/>
      <c r="K401" s="9"/>
      <c r="L401" s="9"/>
      <c r="M401" s="9"/>
      <c r="N401" s="4"/>
    </row>
    <row r="402" spans="9:14" x14ac:dyDescent="0.3">
      <c r="I402" s="7"/>
      <c r="J402" s="9"/>
      <c r="K402" s="9"/>
      <c r="L402" s="9"/>
      <c r="M402" s="9"/>
      <c r="N402" s="4"/>
    </row>
    <row r="403" spans="9:14" x14ac:dyDescent="0.3">
      <c r="I403" s="7"/>
      <c r="J403" s="9"/>
      <c r="K403" s="9"/>
      <c r="L403" s="9"/>
      <c r="M403" s="9"/>
      <c r="N403" s="4"/>
    </row>
    <row r="404" spans="9:14" x14ac:dyDescent="0.3">
      <c r="I404" s="7"/>
      <c r="J404" s="9"/>
      <c r="K404" s="9"/>
      <c r="L404" s="9"/>
      <c r="M404" s="9"/>
      <c r="N404" s="4"/>
    </row>
    <row r="405" spans="9:14" x14ac:dyDescent="0.3">
      <c r="I405" s="7"/>
      <c r="J405" s="9"/>
      <c r="K405" s="9"/>
      <c r="L405" s="9"/>
      <c r="M405" s="9"/>
      <c r="N405" s="4"/>
    </row>
    <row r="406" spans="9:14" x14ac:dyDescent="0.3">
      <c r="I406" s="7"/>
      <c r="J406" s="9"/>
      <c r="K406" s="9"/>
      <c r="L406" s="9"/>
      <c r="M406" s="9"/>
      <c r="N406" s="4"/>
    </row>
    <row r="407" spans="9:14" x14ac:dyDescent="0.3">
      <c r="I407" s="7"/>
      <c r="J407" s="9"/>
      <c r="K407" s="9"/>
      <c r="L407" s="9"/>
      <c r="M407" s="9"/>
      <c r="N407" s="4"/>
    </row>
    <row r="408" spans="9:14" x14ac:dyDescent="0.3">
      <c r="I408" s="7"/>
      <c r="J408" s="9"/>
      <c r="K408" s="9"/>
      <c r="L408" s="9"/>
      <c r="M408" s="9"/>
      <c r="N408" s="4"/>
    </row>
    <row r="409" spans="9:14" x14ac:dyDescent="0.3">
      <c r="I409" s="7"/>
      <c r="J409" s="9"/>
      <c r="K409" s="9"/>
      <c r="L409" s="9"/>
      <c r="M409" s="9"/>
      <c r="N409" s="4"/>
    </row>
    <row r="410" spans="9:14" x14ac:dyDescent="0.3">
      <c r="I410" s="7"/>
      <c r="J410" s="9"/>
      <c r="K410" s="9"/>
      <c r="L410" s="9"/>
      <c r="M410" s="9"/>
      <c r="N410" s="4"/>
    </row>
    <row r="411" spans="9:14" x14ac:dyDescent="0.3">
      <c r="I411" s="7"/>
      <c r="J411" s="9"/>
      <c r="K411" s="9"/>
      <c r="L411" s="9"/>
      <c r="M411" s="9"/>
      <c r="N411" s="4"/>
    </row>
    <row r="412" spans="9:14" x14ac:dyDescent="0.3">
      <c r="I412" s="7"/>
      <c r="J412" s="9"/>
      <c r="K412" s="9"/>
      <c r="L412" s="9"/>
      <c r="M412" s="9"/>
      <c r="N412" s="4"/>
    </row>
    <row r="413" spans="9:14" x14ac:dyDescent="0.3">
      <c r="I413" s="7"/>
      <c r="J413" s="9"/>
      <c r="K413" s="9"/>
      <c r="L413" s="9"/>
      <c r="M413" s="9"/>
      <c r="N413" s="4"/>
    </row>
    <row r="414" spans="9:14" x14ac:dyDescent="0.3">
      <c r="I414" s="7"/>
      <c r="J414" s="9"/>
      <c r="K414" s="9"/>
      <c r="L414" s="9"/>
      <c r="M414" s="9"/>
      <c r="N414" s="4"/>
    </row>
    <row r="415" spans="9:14" x14ac:dyDescent="0.3">
      <c r="I415" s="7"/>
      <c r="J415" s="9"/>
      <c r="K415" s="9"/>
      <c r="L415" s="9"/>
      <c r="M415" s="9"/>
      <c r="N415" s="4"/>
    </row>
    <row r="416" spans="9:14" x14ac:dyDescent="0.3">
      <c r="I416" s="7"/>
      <c r="J416" s="9"/>
      <c r="K416" s="9"/>
      <c r="L416" s="9"/>
      <c r="M416" s="9"/>
      <c r="N416" s="4"/>
    </row>
    <row r="417" spans="9:14" x14ac:dyDescent="0.3">
      <c r="I417" s="7"/>
      <c r="J417" s="9"/>
      <c r="K417" s="9"/>
      <c r="L417" s="9"/>
      <c r="M417" s="9"/>
      <c r="N417" s="4"/>
    </row>
    <row r="418" spans="9:14" x14ac:dyDescent="0.3">
      <c r="I418" s="7"/>
      <c r="J418" s="9"/>
      <c r="K418" s="9"/>
      <c r="L418" s="9"/>
      <c r="M418" s="9"/>
      <c r="N418" s="4"/>
    </row>
    <row r="419" spans="9:14" x14ac:dyDescent="0.3">
      <c r="I419" s="7"/>
      <c r="J419" s="9"/>
      <c r="K419" s="9"/>
      <c r="L419" s="9"/>
      <c r="M419" s="9"/>
      <c r="N419" s="4"/>
    </row>
    <row r="420" spans="9:14" x14ac:dyDescent="0.3">
      <c r="I420" s="7"/>
      <c r="J420" s="9"/>
      <c r="K420" s="9"/>
      <c r="L420" s="9"/>
      <c r="M420" s="9"/>
      <c r="N420" s="4"/>
    </row>
    <row r="421" spans="9:14" x14ac:dyDescent="0.3">
      <c r="I421" s="7"/>
      <c r="J421" s="9"/>
      <c r="K421" s="9"/>
      <c r="L421" s="9"/>
      <c r="M421" s="9"/>
      <c r="N421" s="4"/>
    </row>
    <row r="422" spans="9:14" x14ac:dyDescent="0.3">
      <c r="I422" s="7"/>
      <c r="J422" s="9"/>
      <c r="K422" s="9"/>
      <c r="L422" s="9"/>
      <c r="M422" s="9"/>
      <c r="N422" s="4"/>
    </row>
    <row r="423" spans="9:14" x14ac:dyDescent="0.3">
      <c r="I423" s="7"/>
      <c r="J423" s="9"/>
      <c r="K423" s="9"/>
      <c r="L423" s="9"/>
      <c r="M423" s="9"/>
      <c r="N423" s="4"/>
    </row>
    <row r="424" spans="9:14" x14ac:dyDescent="0.3">
      <c r="I424" s="7"/>
      <c r="J424" s="9"/>
      <c r="K424" s="9"/>
      <c r="L424" s="9"/>
      <c r="M424" s="9"/>
      <c r="N424" s="4"/>
    </row>
    <row r="425" spans="9:14" x14ac:dyDescent="0.3">
      <c r="I425" s="7"/>
      <c r="J425" s="9"/>
      <c r="K425" s="9"/>
      <c r="L425" s="9"/>
      <c r="M425" s="9"/>
      <c r="N425" s="4"/>
    </row>
    <row r="426" spans="9:14" x14ac:dyDescent="0.3">
      <c r="I426" s="7"/>
      <c r="J426" s="9"/>
      <c r="K426" s="9"/>
      <c r="L426" s="9"/>
      <c r="M426" s="9"/>
      <c r="N426" s="4"/>
    </row>
    <row r="427" spans="9:14" x14ac:dyDescent="0.3">
      <c r="I427" s="7"/>
      <c r="J427" s="9"/>
      <c r="K427" s="9"/>
      <c r="L427" s="9"/>
      <c r="M427" s="9"/>
      <c r="N427" s="4"/>
    </row>
    <row r="428" spans="9:14" x14ac:dyDescent="0.3">
      <c r="I428" s="7"/>
      <c r="J428" s="9"/>
      <c r="K428" s="9"/>
      <c r="L428" s="9"/>
      <c r="M428" s="9"/>
      <c r="N428" s="4"/>
    </row>
    <row r="429" spans="9:14" x14ac:dyDescent="0.3">
      <c r="I429" s="7"/>
      <c r="J429" s="9"/>
      <c r="K429" s="9"/>
      <c r="L429" s="9"/>
      <c r="M429" s="9"/>
      <c r="N429" s="4"/>
    </row>
    <row r="430" spans="9:14" x14ac:dyDescent="0.3">
      <c r="I430" s="7"/>
      <c r="J430" s="9"/>
      <c r="K430" s="9"/>
      <c r="L430" s="9"/>
      <c r="M430" s="9"/>
      <c r="N430" s="4"/>
    </row>
    <row r="431" spans="9:14" x14ac:dyDescent="0.3">
      <c r="I431" s="7"/>
      <c r="J431" s="9"/>
      <c r="K431" s="9"/>
      <c r="L431" s="9"/>
      <c r="M431" s="9"/>
      <c r="N431" s="4"/>
    </row>
    <row r="432" spans="9:14" x14ac:dyDescent="0.3">
      <c r="I432" s="7"/>
      <c r="J432" s="9"/>
      <c r="K432" s="9"/>
      <c r="L432" s="9"/>
      <c r="M432" s="9"/>
      <c r="N432" s="4"/>
    </row>
    <row r="433" spans="9:14" x14ac:dyDescent="0.3">
      <c r="I433" s="7"/>
      <c r="J433" s="9"/>
      <c r="K433" s="9"/>
      <c r="L433" s="9"/>
      <c r="M433" s="9"/>
      <c r="N433" s="4"/>
    </row>
    <row r="434" spans="9:14" x14ac:dyDescent="0.3">
      <c r="I434" s="7"/>
      <c r="J434" s="9"/>
      <c r="K434" s="9"/>
      <c r="L434" s="9"/>
      <c r="M434" s="9"/>
      <c r="N434" s="4"/>
    </row>
    <row r="435" spans="9:14" x14ac:dyDescent="0.3">
      <c r="I435" s="7"/>
      <c r="J435" s="9"/>
      <c r="K435" s="9"/>
      <c r="L435" s="9"/>
      <c r="M435" s="9"/>
      <c r="N435" s="4"/>
    </row>
    <row r="436" spans="9:14" x14ac:dyDescent="0.3">
      <c r="I436" s="7"/>
      <c r="J436" s="9"/>
      <c r="K436" s="9"/>
      <c r="L436" s="9"/>
      <c r="M436" s="9"/>
      <c r="N436" s="4"/>
    </row>
    <row r="437" spans="9:14" x14ac:dyDescent="0.3">
      <c r="I437" s="7"/>
      <c r="J437" s="9"/>
      <c r="K437" s="9"/>
      <c r="L437" s="9"/>
      <c r="M437" s="9"/>
      <c r="N437" s="4"/>
    </row>
    <row r="438" spans="9:14" x14ac:dyDescent="0.3">
      <c r="I438" s="7"/>
      <c r="J438" s="9"/>
      <c r="K438" s="9"/>
      <c r="L438" s="9"/>
      <c r="M438" s="9"/>
      <c r="N438" s="4"/>
    </row>
    <row r="439" spans="9:14" x14ac:dyDescent="0.3">
      <c r="I439" s="7"/>
      <c r="J439" s="9"/>
      <c r="K439" s="9"/>
      <c r="L439" s="9"/>
      <c r="M439" s="9"/>
      <c r="N439" s="4"/>
    </row>
    <row r="440" spans="9:14" x14ac:dyDescent="0.3">
      <c r="I440" s="7"/>
      <c r="J440" s="9"/>
      <c r="K440" s="9"/>
      <c r="L440" s="9"/>
      <c r="M440" s="9"/>
      <c r="N440" s="4"/>
    </row>
    <row r="441" spans="9:14" x14ac:dyDescent="0.3">
      <c r="I441" s="7"/>
      <c r="J441" s="9"/>
      <c r="K441" s="9"/>
      <c r="L441" s="9"/>
      <c r="M441" s="9"/>
      <c r="N441" s="4"/>
    </row>
    <row r="442" spans="9:14" x14ac:dyDescent="0.3">
      <c r="I442" s="7"/>
      <c r="J442" s="9"/>
      <c r="K442" s="9"/>
      <c r="L442" s="9"/>
      <c r="M442" s="9"/>
      <c r="N442" s="4"/>
    </row>
    <row r="443" spans="9:14" x14ac:dyDescent="0.3">
      <c r="I443" s="7"/>
      <c r="J443" s="9"/>
      <c r="K443" s="9"/>
      <c r="L443" s="9"/>
      <c r="M443" s="9"/>
      <c r="N443" s="4"/>
    </row>
    <row r="444" spans="9:14" x14ac:dyDescent="0.3">
      <c r="I444" s="7"/>
      <c r="J444" s="9"/>
      <c r="K444" s="9"/>
      <c r="L444" s="9"/>
      <c r="M444" s="9"/>
      <c r="N444" s="4"/>
    </row>
    <row r="445" spans="9:14" x14ac:dyDescent="0.3">
      <c r="I445" s="7"/>
      <c r="J445" s="9"/>
      <c r="K445" s="9"/>
      <c r="L445" s="9"/>
      <c r="M445" s="9"/>
      <c r="N445" s="4"/>
    </row>
    <row r="446" spans="9:14" x14ac:dyDescent="0.3">
      <c r="I446" s="7"/>
      <c r="J446" s="9"/>
      <c r="K446" s="9"/>
      <c r="L446" s="9"/>
      <c r="M446" s="9"/>
      <c r="N446" s="4"/>
    </row>
    <row r="447" spans="9:14" x14ac:dyDescent="0.3">
      <c r="I447" s="7"/>
      <c r="J447" s="9"/>
      <c r="K447" s="9"/>
      <c r="L447" s="9"/>
      <c r="M447" s="9"/>
      <c r="N447" s="4"/>
    </row>
    <row r="448" spans="9:14" x14ac:dyDescent="0.3">
      <c r="I448" s="7"/>
      <c r="J448" s="9"/>
      <c r="K448" s="9"/>
      <c r="L448" s="9"/>
      <c r="M448" s="9"/>
      <c r="N448" s="4"/>
    </row>
    <row r="449" spans="9:14" x14ac:dyDescent="0.3">
      <c r="I449" s="7"/>
      <c r="J449" s="9"/>
      <c r="K449" s="9"/>
      <c r="L449" s="9"/>
      <c r="M449" s="9"/>
      <c r="N449" s="4"/>
    </row>
    <row r="450" spans="9:14" x14ac:dyDescent="0.3">
      <c r="I450" s="7"/>
      <c r="J450" s="9"/>
      <c r="K450" s="9"/>
      <c r="L450" s="9"/>
      <c r="M450" s="9"/>
      <c r="N450" s="4"/>
    </row>
    <row r="451" spans="9:14" x14ac:dyDescent="0.3">
      <c r="I451" s="7"/>
      <c r="J451" s="9"/>
      <c r="K451" s="9"/>
      <c r="L451" s="9"/>
      <c r="M451" s="9"/>
      <c r="N451" s="4"/>
    </row>
    <row r="452" spans="9:14" x14ac:dyDescent="0.3">
      <c r="I452" s="7"/>
      <c r="J452" s="9"/>
      <c r="K452" s="9"/>
      <c r="L452" s="9"/>
      <c r="M452" s="9"/>
      <c r="N452" s="4"/>
    </row>
    <row r="453" spans="9:14" x14ac:dyDescent="0.3">
      <c r="I453" s="7"/>
      <c r="J453" s="9"/>
      <c r="K453" s="9"/>
      <c r="L453" s="9"/>
      <c r="M453" s="9"/>
      <c r="N453" s="4"/>
    </row>
    <row r="454" spans="9:14" x14ac:dyDescent="0.3">
      <c r="I454" s="7"/>
      <c r="J454" s="9"/>
      <c r="K454" s="9"/>
      <c r="L454" s="9"/>
      <c r="M454" s="9"/>
      <c r="N454" s="4"/>
    </row>
    <row r="455" spans="9:14" x14ac:dyDescent="0.3">
      <c r="I455" s="7"/>
      <c r="J455" s="9"/>
      <c r="K455" s="9"/>
      <c r="L455" s="9"/>
      <c r="M455" s="9"/>
      <c r="N455" s="4"/>
    </row>
    <row r="456" spans="9:14" x14ac:dyDescent="0.3">
      <c r="I456" s="7"/>
      <c r="J456" s="9"/>
      <c r="K456" s="9"/>
      <c r="L456" s="9"/>
      <c r="M456" s="9"/>
      <c r="N456" s="4"/>
    </row>
    <row r="457" spans="9:14" x14ac:dyDescent="0.3">
      <c r="I457" s="7"/>
      <c r="J457" s="9"/>
      <c r="K457" s="9"/>
      <c r="L457" s="9"/>
      <c r="M457" s="9"/>
      <c r="N457" s="4"/>
    </row>
    <row r="458" spans="9:14" x14ac:dyDescent="0.3">
      <c r="I458" s="7"/>
      <c r="J458" s="9"/>
      <c r="K458" s="9"/>
      <c r="L458" s="9"/>
      <c r="M458" s="9"/>
      <c r="N458" s="4"/>
    </row>
    <row r="459" spans="9:14" x14ac:dyDescent="0.3">
      <c r="I459" s="7"/>
      <c r="J459" s="9"/>
      <c r="K459" s="9"/>
      <c r="L459" s="9"/>
      <c r="M459" s="9"/>
      <c r="N459" s="4"/>
    </row>
    <row r="460" spans="9:14" x14ac:dyDescent="0.3">
      <c r="I460" s="7"/>
      <c r="J460" s="9"/>
      <c r="K460" s="9"/>
      <c r="L460" s="9"/>
      <c r="M460" s="9"/>
      <c r="N460" s="4"/>
    </row>
    <row r="461" spans="9:14" x14ac:dyDescent="0.3">
      <c r="I461" s="7"/>
      <c r="J461" s="9"/>
      <c r="K461" s="9"/>
      <c r="L461" s="9"/>
      <c r="M461" s="9"/>
      <c r="N461" s="4"/>
    </row>
    <row r="462" spans="9:14" x14ac:dyDescent="0.3">
      <c r="I462" s="7"/>
      <c r="J462" s="9"/>
      <c r="K462" s="9"/>
      <c r="L462" s="9"/>
      <c r="M462" s="9"/>
      <c r="N462" s="4"/>
    </row>
    <row r="463" spans="9:14" x14ac:dyDescent="0.3">
      <c r="I463" s="7"/>
      <c r="J463" s="9"/>
      <c r="K463" s="9"/>
      <c r="L463" s="9"/>
      <c r="M463" s="9"/>
      <c r="N463" s="4"/>
    </row>
    <row r="464" spans="9:14" x14ac:dyDescent="0.3">
      <c r="I464" s="7"/>
      <c r="J464" s="9"/>
      <c r="K464" s="9"/>
      <c r="L464" s="9"/>
      <c r="M464" s="9"/>
      <c r="N464" s="4"/>
    </row>
    <row r="465" spans="9:14" x14ac:dyDescent="0.3">
      <c r="I465" s="7"/>
      <c r="J465" s="9"/>
      <c r="K465" s="9"/>
      <c r="L465" s="9"/>
      <c r="M465" s="9"/>
      <c r="N465" s="4"/>
    </row>
    <row r="466" spans="9:14" x14ac:dyDescent="0.3">
      <c r="I466" s="7"/>
      <c r="J466" s="9"/>
      <c r="K466" s="9"/>
      <c r="L466" s="9"/>
      <c r="M466" s="9"/>
      <c r="N466" s="4"/>
    </row>
    <row r="467" spans="9:14" x14ac:dyDescent="0.3">
      <c r="I467" s="7"/>
      <c r="J467" s="9"/>
      <c r="K467" s="9"/>
      <c r="L467" s="9"/>
      <c r="M467" s="9"/>
      <c r="N467" s="4"/>
    </row>
    <row r="468" spans="9:14" x14ac:dyDescent="0.3">
      <c r="I468" s="7"/>
      <c r="J468" s="9"/>
      <c r="K468" s="9"/>
      <c r="L468" s="9"/>
      <c r="M468" s="9"/>
      <c r="N468" s="4"/>
    </row>
    <row r="469" spans="9:14" x14ac:dyDescent="0.3">
      <c r="I469" s="7"/>
      <c r="J469" s="9"/>
      <c r="K469" s="9"/>
      <c r="L469" s="9"/>
      <c r="M469" s="9"/>
      <c r="N469" s="4"/>
    </row>
    <row r="470" spans="9:14" x14ac:dyDescent="0.3">
      <c r="I470" s="7"/>
      <c r="J470" s="9"/>
      <c r="K470" s="9"/>
      <c r="L470" s="9"/>
      <c r="M470" s="9"/>
      <c r="N470" s="4"/>
    </row>
    <row r="471" spans="9:14" x14ac:dyDescent="0.3">
      <c r="I471" s="7"/>
      <c r="J471" s="9"/>
      <c r="K471" s="9"/>
      <c r="L471" s="9"/>
      <c r="M471" s="9"/>
      <c r="N471" s="4"/>
    </row>
    <row r="472" spans="9:14" x14ac:dyDescent="0.3">
      <c r="I472" s="7"/>
      <c r="J472" s="9"/>
      <c r="K472" s="9"/>
      <c r="L472" s="9"/>
      <c r="M472" s="9"/>
      <c r="N472" s="4"/>
    </row>
    <row r="473" spans="9:14" x14ac:dyDescent="0.3">
      <c r="I473" s="7"/>
      <c r="J473" s="9"/>
      <c r="K473" s="9"/>
      <c r="L473" s="9"/>
      <c r="M473" s="9"/>
      <c r="N473" s="4"/>
    </row>
    <row r="474" spans="9:14" x14ac:dyDescent="0.3">
      <c r="I474" s="7"/>
      <c r="J474" s="9"/>
      <c r="K474" s="9"/>
      <c r="L474" s="9"/>
      <c r="M474" s="9"/>
      <c r="N474" s="4"/>
    </row>
    <row r="475" spans="9:14" x14ac:dyDescent="0.3">
      <c r="I475" s="7"/>
      <c r="J475" s="9"/>
      <c r="K475" s="9"/>
      <c r="L475" s="9"/>
      <c r="M475" s="9"/>
      <c r="N475" s="4"/>
    </row>
    <row r="476" spans="9:14" x14ac:dyDescent="0.3">
      <c r="I476" s="7"/>
      <c r="J476" s="9"/>
      <c r="K476" s="9"/>
      <c r="L476" s="9"/>
      <c r="M476" s="9"/>
      <c r="N476" s="4"/>
    </row>
    <row r="477" spans="9:14" x14ac:dyDescent="0.3">
      <c r="I477" s="7"/>
      <c r="J477" s="9"/>
      <c r="K477" s="9"/>
      <c r="L477" s="9"/>
      <c r="M477" s="9"/>
      <c r="N477" s="4"/>
    </row>
    <row r="478" spans="9:14" x14ac:dyDescent="0.3">
      <c r="I478" s="7"/>
      <c r="J478" s="9"/>
      <c r="K478" s="9"/>
      <c r="L478" s="9"/>
      <c r="M478" s="9"/>
      <c r="N478" s="4"/>
    </row>
    <row r="479" spans="9:14" x14ac:dyDescent="0.3">
      <c r="I479" s="7"/>
      <c r="J479" s="9"/>
      <c r="K479" s="9"/>
      <c r="L479" s="9"/>
      <c r="M479" s="9"/>
      <c r="N479" s="4"/>
    </row>
    <row r="480" spans="9:14" x14ac:dyDescent="0.3">
      <c r="I480" s="7"/>
      <c r="J480" s="9"/>
      <c r="K480" s="9"/>
      <c r="L480" s="9"/>
      <c r="M480" s="9"/>
      <c r="N480" s="4"/>
    </row>
    <row r="481" spans="9:14" x14ac:dyDescent="0.3">
      <c r="I481" s="7"/>
      <c r="J481" s="9"/>
      <c r="K481" s="9"/>
      <c r="L481" s="9"/>
      <c r="M481" s="9"/>
      <c r="N481" s="4"/>
    </row>
    <row r="482" spans="9:14" x14ac:dyDescent="0.3">
      <c r="I482" s="7"/>
      <c r="J482" s="9"/>
      <c r="K482" s="9"/>
      <c r="L482" s="9"/>
      <c r="M482" s="9"/>
      <c r="N482" s="4"/>
    </row>
    <row r="483" spans="9:14" x14ac:dyDescent="0.3">
      <c r="I483" s="7"/>
      <c r="J483" s="9"/>
      <c r="K483" s="9"/>
      <c r="L483" s="9"/>
      <c r="M483" s="9"/>
      <c r="N483" s="4"/>
    </row>
    <row r="484" spans="9:14" x14ac:dyDescent="0.3">
      <c r="I484" s="7"/>
      <c r="J484" s="9"/>
      <c r="K484" s="9"/>
      <c r="L484" s="9"/>
      <c r="M484" s="9"/>
      <c r="N484" s="4"/>
    </row>
    <row r="485" spans="9:14" x14ac:dyDescent="0.3">
      <c r="I485" s="7"/>
      <c r="J485" s="9"/>
      <c r="K485" s="9"/>
      <c r="L485" s="9"/>
      <c r="M485" s="9"/>
      <c r="N485" s="4"/>
    </row>
    <row r="486" spans="9:14" x14ac:dyDescent="0.3">
      <c r="I486" s="7"/>
      <c r="J486" s="9"/>
      <c r="K486" s="9"/>
      <c r="L486" s="9"/>
      <c r="M486" s="9"/>
      <c r="N486" s="4"/>
    </row>
    <row r="487" spans="9:14" x14ac:dyDescent="0.3">
      <c r="I487" s="7"/>
      <c r="J487" s="9"/>
      <c r="K487" s="9"/>
      <c r="L487" s="9"/>
      <c r="M487" s="9"/>
      <c r="N487" s="4"/>
    </row>
    <row r="488" spans="9:14" x14ac:dyDescent="0.3">
      <c r="I488" s="7"/>
      <c r="J488" s="9"/>
      <c r="K488" s="9"/>
      <c r="L488" s="9"/>
      <c r="M488" s="9"/>
      <c r="N488" s="4"/>
    </row>
    <row r="489" spans="9:14" x14ac:dyDescent="0.3">
      <c r="I489" s="7"/>
      <c r="J489" s="9"/>
      <c r="K489" s="9"/>
      <c r="L489" s="9"/>
      <c r="M489" s="9"/>
      <c r="N489" s="4"/>
    </row>
    <row r="490" spans="9:14" x14ac:dyDescent="0.3">
      <c r="I490" s="7"/>
      <c r="J490" s="9"/>
      <c r="K490" s="9"/>
      <c r="L490" s="9"/>
      <c r="M490" s="9"/>
      <c r="N490" s="4"/>
    </row>
    <row r="491" spans="9:14" x14ac:dyDescent="0.3">
      <c r="I491" s="7"/>
      <c r="J491" s="9"/>
      <c r="K491" s="9"/>
      <c r="L491" s="9"/>
      <c r="M491" s="9"/>
      <c r="N491" s="4"/>
    </row>
    <row r="492" spans="9:14" x14ac:dyDescent="0.3">
      <c r="I492" s="7"/>
      <c r="J492" s="9"/>
      <c r="K492" s="9"/>
      <c r="L492" s="9"/>
      <c r="M492" s="9"/>
      <c r="N492" s="4"/>
    </row>
    <row r="493" spans="9:14" x14ac:dyDescent="0.3">
      <c r="I493" s="7"/>
      <c r="J493" s="9"/>
      <c r="K493" s="9"/>
      <c r="L493" s="9"/>
      <c r="M493" s="9"/>
      <c r="N493" s="4"/>
    </row>
    <row r="494" spans="9:14" x14ac:dyDescent="0.3">
      <c r="I494" s="7"/>
      <c r="J494" s="9"/>
      <c r="K494" s="9"/>
      <c r="L494" s="9"/>
      <c r="M494" s="9"/>
      <c r="N494" s="4"/>
    </row>
    <row r="495" spans="9:14" x14ac:dyDescent="0.3">
      <c r="I495" s="7"/>
      <c r="J495" s="9"/>
      <c r="K495" s="9"/>
      <c r="L495" s="9"/>
      <c r="M495" s="9"/>
      <c r="N495" s="4"/>
    </row>
    <row r="496" spans="9:14" x14ac:dyDescent="0.3">
      <c r="I496" s="7"/>
      <c r="J496" s="9"/>
      <c r="K496" s="9"/>
      <c r="L496" s="9"/>
      <c r="M496" s="9"/>
      <c r="N496" s="4"/>
    </row>
    <row r="497" spans="9:14" x14ac:dyDescent="0.3">
      <c r="I497" s="7"/>
      <c r="J497" s="9"/>
      <c r="K497" s="9"/>
      <c r="L497" s="9"/>
      <c r="M497" s="9"/>
      <c r="N497" s="4"/>
    </row>
    <row r="498" spans="9:14" x14ac:dyDescent="0.3">
      <c r="I498" s="7"/>
      <c r="J498" s="9"/>
      <c r="K498" s="9"/>
      <c r="L498" s="9"/>
      <c r="M498" s="9"/>
      <c r="N498" s="4"/>
    </row>
    <row r="499" spans="9:14" x14ac:dyDescent="0.3">
      <c r="I499" s="7"/>
      <c r="J499" s="9"/>
      <c r="K499" s="9"/>
      <c r="L499" s="9"/>
      <c r="M499" s="9"/>
      <c r="N499" s="4"/>
    </row>
    <row r="500" spans="9:14" x14ac:dyDescent="0.3">
      <c r="I500" s="7"/>
      <c r="J500" s="9"/>
      <c r="K500" s="9"/>
      <c r="L500" s="9"/>
      <c r="M500" s="9"/>
      <c r="N500" s="4"/>
    </row>
    <row r="501" spans="9:14" x14ac:dyDescent="0.3">
      <c r="I501" s="7"/>
      <c r="J501" s="9"/>
      <c r="K501" s="9"/>
      <c r="L501" s="9"/>
      <c r="M501" s="9"/>
      <c r="N501" s="4"/>
    </row>
    <row r="502" spans="9:14" x14ac:dyDescent="0.3">
      <c r="I502" s="7"/>
      <c r="J502" s="9"/>
      <c r="K502" s="9"/>
      <c r="L502" s="9"/>
      <c r="M502" s="9"/>
      <c r="N502" s="4"/>
    </row>
    <row r="503" spans="9:14" x14ac:dyDescent="0.3">
      <c r="I503" s="7"/>
      <c r="J503" s="9"/>
      <c r="K503" s="9"/>
      <c r="L503" s="9"/>
      <c r="M503" s="9"/>
      <c r="N503" s="4"/>
    </row>
    <row r="504" spans="9:14" x14ac:dyDescent="0.3">
      <c r="I504" s="7"/>
      <c r="J504" s="9"/>
      <c r="K504" s="9"/>
      <c r="L504" s="9"/>
      <c r="M504" s="9"/>
      <c r="N504" s="4"/>
    </row>
    <row r="505" spans="9:14" x14ac:dyDescent="0.3">
      <c r="I505" s="7"/>
      <c r="J505" s="9"/>
      <c r="K505" s="9"/>
      <c r="L505" s="9"/>
      <c r="M505" s="9"/>
      <c r="N505" s="4"/>
    </row>
    <row r="506" spans="9:14" x14ac:dyDescent="0.3">
      <c r="I506" s="7"/>
      <c r="J506" s="9"/>
      <c r="K506" s="9"/>
      <c r="L506" s="9"/>
      <c r="M506" s="9"/>
      <c r="N506" s="4"/>
    </row>
    <row r="507" spans="9:14" x14ac:dyDescent="0.3">
      <c r="I507" s="7"/>
      <c r="J507" s="9"/>
      <c r="K507" s="9"/>
      <c r="L507" s="9"/>
      <c r="M507" s="9"/>
      <c r="N507" s="4"/>
    </row>
    <row r="508" spans="9:14" x14ac:dyDescent="0.3">
      <c r="I508" s="7"/>
      <c r="J508" s="9"/>
      <c r="K508" s="9"/>
      <c r="L508" s="9"/>
      <c r="M508" s="9"/>
      <c r="N508" s="4"/>
    </row>
    <row r="509" spans="9:14" x14ac:dyDescent="0.3">
      <c r="I509" s="7"/>
      <c r="J509" s="9"/>
      <c r="K509" s="9"/>
      <c r="L509" s="9"/>
      <c r="M509" s="9"/>
      <c r="N509" s="4"/>
    </row>
    <row r="510" spans="9:14" x14ac:dyDescent="0.3">
      <c r="I510" s="7"/>
      <c r="J510" s="9"/>
      <c r="K510" s="9"/>
      <c r="L510" s="9"/>
      <c r="M510" s="9"/>
      <c r="N510" s="4"/>
    </row>
    <row r="511" spans="9:14" x14ac:dyDescent="0.3">
      <c r="I511" s="7"/>
      <c r="J511" s="9"/>
      <c r="K511" s="9"/>
      <c r="L511" s="9"/>
      <c r="M511" s="9"/>
      <c r="N511" s="4"/>
    </row>
    <row r="512" spans="9:14" x14ac:dyDescent="0.3">
      <c r="I512" s="7"/>
      <c r="J512" s="9"/>
      <c r="K512" s="9"/>
      <c r="L512" s="9"/>
      <c r="M512" s="9"/>
      <c r="N512" s="4"/>
    </row>
    <row r="513" spans="9:14" x14ac:dyDescent="0.3">
      <c r="I513" s="7"/>
      <c r="J513" s="9"/>
      <c r="K513" s="9"/>
      <c r="L513" s="9"/>
      <c r="M513" s="9"/>
      <c r="N513" s="4"/>
    </row>
    <row r="514" spans="9:14" x14ac:dyDescent="0.3">
      <c r="I514" s="7"/>
      <c r="J514" s="9"/>
      <c r="K514" s="9"/>
      <c r="L514" s="9"/>
      <c r="M514" s="9"/>
      <c r="N514" s="4"/>
    </row>
    <row r="515" spans="9:14" x14ac:dyDescent="0.3">
      <c r="I515" s="7"/>
      <c r="J515" s="9"/>
      <c r="K515" s="9"/>
      <c r="L515" s="9"/>
      <c r="M515" s="9"/>
      <c r="N515" s="4"/>
    </row>
    <row r="516" spans="9:14" x14ac:dyDescent="0.3">
      <c r="I516" s="7"/>
      <c r="J516" s="9"/>
      <c r="K516" s="9"/>
      <c r="L516" s="9"/>
      <c r="M516" s="9"/>
      <c r="N516" s="4"/>
    </row>
    <row r="517" spans="9:14" x14ac:dyDescent="0.3">
      <c r="I517" s="7"/>
      <c r="J517" s="9"/>
      <c r="K517" s="9"/>
      <c r="L517" s="9"/>
      <c r="M517" s="9"/>
      <c r="N517" s="4"/>
    </row>
    <row r="518" spans="9:14" x14ac:dyDescent="0.3">
      <c r="I518" s="7"/>
      <c r="J518" s="9"/>
      <c r="K518" s="9"/>
      <c r="L518" s="9"/>
      <c r="M518" s="9"/>
      <c r="N518" s="4"/>
    </row>
    <row r="519" spans="9:14" x14ac:dyDescent="0.3">
      <c r="I519" s="7"/>
      <c r="J519" s="9"/>
      <c r="K519" s="9"/>
      <c r="L519" s="9"/>
      <c r="M519" s="9"/>
      <c r="N519" s="4"/>
    </row>
    <row r="520" spans="9:14" x14ac:dyDescent="0.3">
      <c r="I520" s="7"/>
      <c r="J520" s="9"/>
      <c r="K520" s="9"/>
      <c r="L520" s="9"/>
      <c r="M520" s="9"/>
      <c r="N520" s="4"/>
    </row>
    <row r="521" spans="9:14" x14ac:dyDescent="0.3">
      <c r="I521" s="7"/>
      <c r="J521" s="9"/>
      <c r="K521" s="9"/>
      <c r="L521" s="9"/>
      <c r="M521" s="9"/>
      <c r="N521" s="4"/>
    </row>
    <row r="522" spans="9:14" x14ac:dyDescent="0.3">
      <c r="I522" s="7"/>
      <c r="J522" s="9"/>
      <c r="K522" s="9"/>
      <c r="L522" s="9"/>
      <c r="M522" s="9"/>
      <c r="N522" s="4"/>
    </row>
    <row r="523" spans="9:14" x14ac:dyDescent="0.3">
      <c r="I523" s="7"/>
      <c r="J523" s="9"/>
      <c r="K523" s="9"/>
      <c r="L523" s="9"/>
      <c r="M523" s="9"/>
      <c r="N523" s="4"/>
    </row>
    <row r="524" spans="9:14" x14ac:dyDescent="0.3">
      <c r="I524" s="7"/>
      <c r="J524" s="9"/>
      <c r="K524" s="9"/>
      <c r="L524" s="9"/>
      <c r="M524" s="9"/>
      <c r="N524" s="4"/>
    </row>
    <row r="525" spans="9:14" x14ac:dyDescent="0.3">
      <c r="I525" s="7"/>
      <c r="J525" s="9"/>
      <c r="K525" s="9"/>
      <c r="L525" s="9"/>
      <c r="M525" s="9"/>
      <c r="N525" s="4"/>
    </row>
    <row r="526" spans="9:14" x14ac:dyDescent="0.3">
      <c r="I526" s="7"/>
      <c r="J526" s="9"/>
      <c r="K526" s="9"/>
      <c r="L526" s="9"/>
      <c r="M526" s="9"/>
      <c r="N526" s="4"/>
    </row>
    <row r="527" spans="9:14" x14ac:dyDescent="0.3">
      <c r="I527" s="7"/>
      <c r="J527" s="9"/>
      <c r="K527" s="9"/>
      <c r="L527" s="9"/>
      <c r="M527" s="9"/>
      <c r="N527" s="4"/>
    </row>
    <row r="528" spans="9:14" x14ac:dyDescent="0.3">
      <c r="I528" s="7"/>
      <c r="J528" s="9"/>
      <c r="K528" s="9"/>
      <c r="L528" s="9"/>
      <c r="M528" s="9"/>
      <c r="N528" s="4"/>
    </row>
    <row r="529" spans="9:14" x14ac:dyDescent="0.3">
      <c r="I529" s="7"/>
      <c r="J529" s="9"/>
      <c r="K529" s="9"/>
      <c r="L529" s="9"/>
      <c r="M529" s="9"/>
      <c r="N529" s="4"/>
    </row>
    <row r="530" spans="9:14" x14ac:dyDescent="0.3">
      <c r="I530" s="7"/>
      <c r="J530" s="9"/>
      <c r="K530" s="9"/>
      <c r="L530" s="9"/>
      <c r="M530" s="9"/>
      <c r="N530" s="4"/>
    </row>
    <row r="531" spans="9:14" x14ac:dyDescent="0.3">
      <c r="I531" s="7"/>
      <c r="J531" s="9"/>
      <c r="K531" s="9"/>
      <c r="L531" s="9"/>
      <c r="M531" s="9"/>
      <c r="N531" s="4"/>
    </row>
    <row r="532" spans="9:14" x14ac:dyDescent="0.3">
      <c r="I532" s="7"/>
      <c r="J532" s="9"/>
      <c r="K532" s="9"/>
      <c r="L532" s="9"/>
      <c r="M532" s="9"/>
      <c r="N532" s="4"/>
    </row>
    <row r="533" spans="9:14" x14ac:dyDescent="0.3">
      <c r="I533" s="7"/>
      <c r="J533" s="9"/>
      <c r="K533" s="9"/>
      <c r="L533" s="9"/>
      <c r="M533" s="9"/>
      <c r="N533" s="4"/>
    </row>
    <row r="534" spans="9:14" x14ac:dyDescent="0.3">
      <c r="I534" s="7"/>
      <c r="J534" s="9"/>
      <c r="K534" s="9"/>
      <c r="L534" s="9"/>
      <c r="M534" s="9"/>
      <c r="N534" s="4"/>
    </row>
    <row r="535" spans="9:14" x14ac:dyDescent="0.3">
      <c r="I535" s="7"/>
      <c r="J535" s="9"/>
      <c r="K535" s="9"/>
      <c r="L535" s="9"/>
      <c r="M535" s="9"/>
      <c r="N535" s="4"/>
    </row>
    <row r="536" spans="9:14" x14ac:dyDescent="0.3">
      <c r="I536" s="7"/>
      <c r="J536" s="9"/>
      <c r="K536" s="9"/>
      <c r="L536" s="9"/>
      <c r="M536" s="9"/>
      <c r="N536" s="4"/>
    </row>
    <row r="537" spans="9:14" x14ac:dyDescent="0.3">
      <c r="I537" s="7"/>
      <c r="J537" s="9"/>
      <c r="K537" s="9"/>
      <c r="L537" s="9"/>
      <c r="M537" s="9"/>
      <c r="N537" s="4"/>
    </row>
    <row r="538" spans="9:14" x14ac:dyDescent="0.3">
      <c r="I538" s="7"/>
      <c r="J538" s="9"/>
      <c r="K538" s="9"/>
      <c r="L538" s="9"/>
      <c r="M538" s="9"/>
      <c r="N538" s="4"/>
    </row>
    <row r="539" spans="9:14" x14ac:dyDescent="0.3">
      <c r="I539" s="7"/>
      <c r="J539" s="9"/>
      <c r="K539" s="9"/>
      <c r="L539" s="9"/>
      <c r="M539" s="9"/>
      <c r="N539" s="4"/>
    </row>
    <row r="540" spans="9:14" x14ac:dyDescent="0.3">
      <c r="I540" s="7"/>
      <c r="J540" s="9"/>
      <c r="K540" s="9"/>
      <c r="L540" s="9"/>
      <c r="M540" s="9"/>
      <c r="N540" s="4"/>
    </row>
    <row r="541" spans="9:14" x14ac:dyDescent="0.3">
      <c r="I541" s="7"/>
      <c r="J541" s="9"/>
      <c r="K541" s="9"/>
      <c r="L541" s="9"/>
      <c r="M541" s="9"/>
      <c r="N541" s="4"/>
    </row>
    <row r="542" spans="9:14" x14ac:dyDescent="0.3">
      <c r="I542" s="7"/>
      <c r="J542" s="9"/>
      <c r="K542" s="9"/>
      <c r="L542" s="9"/>
      <c r="M542" s="9"/>
      <c r="N542" s="4"/>
    </row>
    <row r="543" spans="9:14" x14ac:dyDescent="0.3">
      <c r="I543" s="7"/>
      <c r="J543" s="9"/>
      <c r="K543" s="9"/>
      <c r="L543" s="9"/>
      <c r="M543" s="9"/>
      <c r="N543" s="4"/>
    </row>
    <row r="544" spans="9:14" x14ac:dyDescent="0.3">
      <c r="I544" s="7"/>
      <c r="J544" s="9"/>
      <c r="K544" s="9"/>
      <c r="L544" s="9"/>
      <c r="M544" s="9"/>
      <c r="N544" s="4"/>
    </row>
    <row r="545" spans="9:14" x14ac:dyDescent="0.3">
      <c r="I545" s="7"/>
      <c r="J545" s="9"/>
      <c r="K545" s="9"/>
      <c r="L545" s="9"/>
      <c r="M545" s="9"/>
      <c r="N545" s="4"/>
    </row>
    <row r="546" spans="9:14" x14ac:dyDescent="0.3">
      <c r="I546" s="7"/>
      <c r="J546" s="9"/>
      <c r="K546" s="9"/>
      <c r="L546" s="9"/>
      <c r="M546" s="9"/>
      <c r="N546" s="4"/>
    </row>
    <row r="547" spans="9:14" x14ac:dyDescent="0.3">
      <c r="I547" s="7"/>
      <c r="J547" s="9"/>
      <c r="K547" s="9"/>
      <c r="L547" s="9"/>
      <c r="M547" s="9"/>
      <c r="N547" s="4"/>
    </row>
    <row r="548" spans="9:14" x14ac:dyDescent="0.3">
      <c r="I548" s="7"/>
      <c r="J548" s="9"/>
      <c r="K548" s="9"/>
      <c r="L548" s="9"/>
      <c r="M548" s="9"/>
      <c r="N548" s="4"/>
    </row>
    <row r="549" spans="9:14" x14ac:dyDescent="0.3">
      <c r="I549" s="7"/>
      <c r="J549" s="9"/>
      <c r="K549" s="9"/>
      <c r="L549" s="9"/>
      <c r="M549" s="9"/>
      <c r="N549" s="4"/>
    </row>
    <row r="550" spans="9:14" x14ac:dyDescent="0.3">
      <c r="I550" s="7"/>
      <c r="J550" s="9"/>
      <c r="K550" s="9"/>
      <c r="L550" s="9"/>
      <c r="M550" s="9"/>
      <c r="N550" s="4"/>
    </row>
    <row r="551" spans="9:14" x14ac:dyDescent="0.3">
      <c r="I551" s="7"/>
      <c r="J551" s="9"/>
      <c r="K551" s="9"/>
      <c r="L551" s="9"/>
      <c r="M551" s="9"/>
      <c r="N551" s="4"/>
    </row>
    <row r="552" spans="9:14" x14ac:dyDescent="0.3">
      <c r="I552" s="7"/>
      <c r="J552" s="9"/>
      <c r="K552" s="9"/>
      <c r="L552" s="9"/>
      <c r="M552" s="9"/>
      <c r="N552" s="4"/>
    </row>
    <row r="553" spans="9:14" x14ac:dyDescent="0.3">
      <c r="I553" s="7"/>
      <c r="J553" s="9"/>
      <c r="K553" s="9"/>
      <c r="L553" s="9"/>
      <c r="M553" s="9"/>
      <c r="N553" s="4"/>
    </row>
    <row r="554" spans="9:14" x14ac:dyDescent="0.3">
      <c r="I554" s="7"/>
      <c r="J554" s="9"/>
      <c r="K554" s="9"/>
      <c r="L554" s="9"/>
      <c r="M554" s="9"/>
      <c r="N554" s="4"/>
    </row>
    <row r="555" spans="9:14" x14ac:dyDescent="0.3">
      <c r="I555" s="7"/>
      <c r="J555" s="9"/>
      <c r="K555" s="9"/>
      <c r="L555" s="9"/>
      <c r="M555" s="9"/>
      <c r="N555" s="4"/>
    </row>
    <row r="556" spans="9:14" x14ac:dyDescent="0.3">
      <c r="I556" s="7"/>
      <c r="J556" s="9"/>
      <c r="K556" s="9"/>
      <c r="L556" s="9"/>
      <c r="M556" s="9"/>
      <c r="N556" s="4"/>
    </row>
    <row r="557" spans="9:14" x14ac:dyDescent="0.3">
      <c r="I557" s="7"/>
      <c r="J557" s="9"/>
      <c r="K557" s="9"/>
      <c r="L557" s="9"/>
      <c r="M557" s="9"/>
      <c r="N557" s="4"/>
    </row>
    <row r="558" spans="9:14" x14ac:dyDescent="0.3">
      <c r="I558" s="7"/>
      <c r="J558" s="9"/>
      <c r="K558" s="9"/>
      <c r="L558" s="9"/>
      <c r="M558" s="9"/>
      <c r="N558" s="4"/>
    </row>
    <row r="559" spans="9:14" x14ac:dyDescent="0.3">
      <c r="I559" s="7"/>
      <c r="J559" s="9"/>
      <c r="K559" s="9"/>
      <c r="L559" s="9"/>
      <c r="M559" s="9"/>
      <c r="N559" s="4"/>
    </row>
    <row r="560" spans="9:14" x14ac:dyDescent="0.3">
      <c r="I560" s="7"/>
      <c r="J560" s="9"/>
      <c r="K560" s="9"/>
      <c r="L560" s="9"/>
      <c r="M560" s="9"/>
      <c r="N560" s="4"/>
    </row>
    <row r="561" spans="9:14" x14ac:dyDescent="0.3">
      <c r="I561" s="7"/>
      <c r="J561" s="9"/>
      <c r="K561" s="9"/>
      <c r="L561" s="9"/>
      <c r="M561" s="9"/>
      <c r="N561" s="4"/>
    </row>
    <row r="562" spans="9:14" x14ac:dyDescent="0.3">
      <c r="I562" s="7"/>
      <c r="J562" s="9"/>
      <c r="K562" s="9"/>
      <c r="L562" s="9"/>
      <c r="M562" s="9"/>
      <c r="N562" s="4"/>
    </row>
    <row r="563" spans="9:14" x14ac:dyDescent="0.3">
      <c r="I563" s="7"/>
      <c r="J563" s="9"/>
      <c r="K563" s="9"/>
      <c r="L563" s="9"/>
      <c r="M563" s="9"/>
      <c r="N563" s="4"/>
    </row>
    <row r="564" spans="9:14" x14ac:dyDescent="0.3">
      <c r="I564" s="7"/>
      <c r="J564" s="9"/>
      <c r="K564" s="9"/>
      <c r="L564" s="9"/>
      <c r="M564" s="9"/>
      <c r="N564" s="4"/>
    </row>
    <row r="565" spans="9:14" x14ac:dyDescent="0.3">
      <c r="I565" s="7"/>
      <c r="J565" s="9"/>
      <c r="K565" s="9"/>
      <c r="L565" s="9"/>
      <c r="M565" s="9"/>
      <c r="N565" s="4"/>
    </row>
    <row r="566" spans="9:14" x14ac:dyDescent="0.3">
      <c r="I566" s="7"/>
      <c r="J566" s="9"/>
      <c r="K566" s="9"/>
      <c r="L566" s="9"/>
      <c r="M566" s="9"/>
      <c r="N566" s="4"/>
    </row>
    <row r="567" spans="9:14" x14ac:dyDescent="0.3">
      <c r="I567" s="7"/>
      <c r="J567" s="9"/>
      <c r="K567" s="9"/>
      <c r="L567" s="9"/>
      <c r="M567" s="9"/>
      <c r="N567" s="4"/>
    </row>
    <row r="568" spans="9:14" x14ac:dyDescent="0.3">
      <c r="I568" s="7"/>
      <c r="J568" s="9"/>
      <c r="K568" s="9"/>
      <c r="L568" s="9"/>
      <c r="M568" s="9"/>
      <c r="N568" s="4"/>
    </row>
    <row r="569" spans="9:14" x14ac:dyDescent="0.3">
      <c r="I569" s="7"/>
      <c r="J569" s="9"/>
      <c r="K569" s="9"/>
      <c r="L569" s="9"/>
      <c r="M569" s="9"/>
      <c r="N569" s="4"/>
    </row>
    <row r="570" spans="9:14" x14ac:dyDescent="0.3">
      <c r="I570" s="7"/>
      <c r="J570" s="9"/>
      <c r="K570" s="9"/>
      <c r="L570" s="9"/>
      <c r="M570" s="9"/>
      <c r="N570" s="4"/>
    </row>
    <row r="571" spans="9:14" x14ac:dyDescent="0.3">
      <c r="I571" s="7"/>
      <c r="J571" s="9"/>
      <c r="K571" s="9"/>
      <c r="L571" s="9"/>
      <c r="M571" s="9"/>
      <c r="N571" s="4"/>
    </row>
    <row r="572" spans="9:14" x14ac:dyDescent="0.3">
      <c r="I572" s="7"/>
      <c r="J572" s="9"/>
      <c r="K572" s="9"/>
      <c r="L572" s="9"/>
      <c r="M572" s="9"/>
      <c r="N572" s="4"/>
    </row>
    <row r="573" spans="9:14" x14ac:dyDescent="0.3">
      <c r="I573" s="7"/>
      <c r="J573" s="9"/>
      <c r="K573" s="9"/>
      <c r="L573" s="9"/>
      <c r="M573" s="9"/>
      <c r="N573" s="4"/>
    </row>
    <row r="574" spans="9:14" x14ac:dyDescent="0.3">
      <c r="I574" s="7"/>
      <c r="J574" s="9"/>
      <c r="K574" s="9"/>
      <c r="L574" s="9"/>
      <c r="M574" s="9"/>
      <c r="N574" s="4"/>
    </row>
    <row r="575" spans="9:14" x14ac:dyDescent="0.3">
      <c r="I575" s="7"/>
      <c r="J575" s="9"/>
      <c r="K575" s="9"/>
      <c r="L575" s="9"/>
      <c r="M575" s="9"/>
      <c r="N575" s="4"/>
    </row>
    <row r="576" spans="9:14" x14ac:dyDescent="0.3">
      <c r="I576" s="7"/>
      <c r="J576" s="9"/>
      <c r="K576" s="9"/>
      <c r="L576" s="9"/>
      <c r="M576" s="9"/>
      <c r="N576" s="4"/>
    </row>
    <row r="577" spans="9:14" x14ac:dyDescent="0.3">
      <c r="I577" s="7"/>
      <c r="J577" s="9"/>
      <c r="K577" s="9"/>
      <c r="L577" s="9"/>
      <c r="M577" s="9"/>
      <c r="N577" s="4"/>
    </row>
    <row r="578" spans="9:14" x14ac:dyDescent="0.3">
      <c r="I578" s="7"/>
      <c r="J578" s="9"/>
      <c r="K578" s="9"/>
      <c r="L578" s="9"/>
      <c r="M578" s="9"/>
      <c r="N578" s="4"/>
    </row>
    <row r="579" spans="9:14" x14ac:dyDescent="0.3">
      <c r="I579" s="7"/>
      <c r="J579" s="9"/>
      <c r="K579" s="9"/>
      <c r="L579" s="9"/>
      <c r="M579" s="9"/>
      <c r="N579" s="4"/>
    </row>
    <row r="580" spans="9:14" x14ac:dyDescent="0.3">
      <c r="I580" s="7"/>
      <c r="J580" s="9"/>
      <c r="K580" s="9"/>
      <c r="L580" s="9"/>
      <c r="M580" s="9"/>
      <c r="N580" s="4"/>
    </row>
    <row r="581" spans="9:14" x14ac:dyDescent="0.3">
      <c r="I581" s="7"/>
      <c r="J581" s="9"/>
      <c r="K581" s="9"/>
      <c r="L581" s="9"/>
      <c r="M581" s="9"/>
      <c r="N581" s="4"/>
    </row>
    <row r="582" spans="9:14" x14ac:dyDescent="0.3">
      <c r="I582" s="7"/>
      <c r="J582" s="9"/>
      <c r="K582" s="9"/>
      <c r="L582" s="9"/>
      <c r="M582" s="9"/>
      <c r="N582" s="4"/>
    </row>
    <row r="583" spans="9:14" x14ac:dyDescent="0.3">
      <c r="I583" s="7"/>
      <c r="J583" s="9"/>
      <c r="K583" s="9"/>
      <c r="L583" s="9"/>
      <c r="M583" s="9"/>
      <c r="N583" s="4"/>
    </row>
    <row r="584" spans="9:14" x14ac:dyDescent="0.3">
      <c r="I584" s="7"/>
      <c r="J584" s="9"/>
      <c r="K584" s="9"/>
      <c r="L584" s="9"/>
      <c r="M584" s="9"/>
      <c r="N584" s="4"/>
    </row>
    <row r="585" spans="9:14" x14ac:dyDescent="0.3">
      <c r="I585" s="7"/>
      <c r="J585" s="9"/>
      <c r="K585" s="9"/>
      <c r="L585" s="9"/>
      <c r="M585" s="9"/>
      <c r="N585" s="4"/>
    </row>
    <row r="586" spans="9:14" x14ac:dyDescent="0.3">
      <c r="I586" s="7"/>
      <c r="J586" s="9"/>
      <c r="K586" s="9"/>
      <c r="L586" s="9"/>
      <c r="M586" s="9"/>
      <c r="N586" s="4"/>
    </row>
    <row r="587" spans="9:14" x14ac:dyDescent="0.3">
      <c r="I587" s="7"/>
      <c r="J587" s="9"/>
      <c r="K587" s="9"/>
      <c r="L587" s="9"/>
      <c r="M587" s="9"/>
      <c r="N587" s="4"/>
    </row>
    <row r="588" spans="9:14" x14ac:dyDescent="0.3">
      <c r="I588" s="7"/>
      <c r="J588" s="9"/>
      <c r="K588" s="9"/>
      <c r="L588" s="9"/>
      <c r="M588" s="9"/>
      <c r="N588" s="4"/>
    </row>
    <row r="589" spans="9:14" x14ac:dyDescent="0.3">
      <c r="I589" s="7"/>
      <c r="J589" s="9"/>
      <c r="K589" s="9"/>
      <c r="L589" s="9"/>
      <c r="M589" s="9"/>
      <c r="N589" s="4"/>
    </row>
    <row r="590" spans="9:14" x14ac:dyDescent="0.3">
      <c r="I590" s="7"/>
      <c r="J590" s="9"/>
      <c r="K590" s="9"/>
      <c r="L590" s="9"/>
      <c r="M590" s="9"/>
      <c r="N590" s="4"/>
    </row>
    <row r="591" spans="9:14" x14ac:dyDescent="0.3">
      <c r="I591" s="7"/>
      <c r="J591" s="9"/>
      <c r="K591" s="9"/>
      <c r="L591" s="9"/>
      <c r="M591" s="9"/>
      <c r="N591" s="4"/>
    </row>
    <row r="592" spans="9:14" x14ac:dyDescent="0.3">
      <c r="I592" s="7"/>
      <c r="J592" s="9"/>
      <c r="K592" s="9"/>
      <c r="L592" s="9"/>
      <c r="M592" s="9"/>
      <c r="N592" s="4"/>
    </row>
    <row r="593" spans="9:14" x14ac:dyDescent="0.3">
      <c r="I593" s="7"/>
      <c r="J593" s="9"/>
      <c r="K593" s="9"/>
      <c r="L593" s="9"/>
      <c r="M593" s="9"/>
      <c r="N593" s="4"/>
    </row>
    <row r="594" spans="9:14" x14ac:dyDescent="0.3">
      <c r="I594" s="7"/>
      <c r="J594" s="9"/>
      <c r="K594" s="9"/>
      <c r="L594" s="9"/>
      <c r="M594" s="9"/>
      <c r="N594" s="4"/>
    </row>
    <row r="595" spans="9:14" x14ac:dyDescent="0.3">
      <c r="I595" s="7"/>
      <c r="J595" s="9"/>
      <c r="K595" s="9"/>
      <c r="L595" s="9"/>
      <c r="M595" s="9"/>
      <c r="N595" s="4"/>
    </row>
    <row r="596" spans="9:14" x14ac:dyDescent="0.3">
      <c r="I596" s="7"/>
      <c r="J596" s="9"/>
      <c r="K596" s="9"/>
      <c r="L596" s="9"/>
      <c r="M596" s="9"/>
      <c r="N596" s="4"/>
    </row>
    <row r="597" spans="9:14" x14ac:dyDescent="0.3">
      <c r="I597" s="7"/>
      <c r="J597" s="9"/>
      <c r="K597" s="9"/>
      <c r="L597" s="9"/>
      <c r="M597" s="9"/>
      <c r="N597" s="4"/>
    </row>
    <row r="598" spans="9:14" x14ac:dyDescent="0.3">
      <c r="I598" s="7"/>
      <c r="J598" s="9"/>
      <c r="K598" s="9"/>
      <c r="L598" s="9"/>
      <c r="M598" s="9"/>
      <c r="N598" s="4"/>
    </row>
    <row r="599" spans="9:14" x14ac:dyDescent="0.3">
      <c r="I599" s="7"/>
      <c r="J599" s="9"/>
      <c r="K599" s="9"/>
      <c r="L599" s="9"/>
      <c r="M599" s="9"/>
      <c r="N599" s="4"/>
    </row>
    <row r="600" spans="9:14" x14ac:dyDescent="0.3">
      <c r="I600" s="7"/>
      <c r="J600" s="9"/>
      <c r="K600" s="9"/>
      <c r="L600" s="9"/>
      <c r="M600" s="9"/>
      <c r="N600" s="4"/>
    </row>
    <row r="601" spans="9:14" x14ac:dyDescent="0.3">
      <c r="I601" s="7"/>
      <c r="J601" s="9"/>
      <c r="K601" s="9"/>
      <c r="L601" s="9"/>
      <c r="M601" s="9"/>
      <c r="N601" s="4"/>
    </row>
    <row r="602" spans="9:14" x14ac:dyDescent="0.3">
      <c r="I602" s="7"/>
      <c r="J602" s="9"/>
      <c r="K602" s="9"/>
      <c r="L602" s="9"/>
      <c r="M602" s="9"/>
      <c r="N602" s="4"/>
    </row>
    <row r="603" spans="9:14" x14ac:dyDescent="0.3">
      <c r="I603" s="7"/>
      <c r="J603" s="9"/>
      <c r="K603" s="9"/>
      <c r="L603" s="9"/>
      <c r="M603" s="9"/>
      <c r="N603" s="4"/>
    </row>
    <row r="604" spans="9:14" x14ac:dyDescent="0.3">
      <c r="I604" s="7"/>
      <c r="J604" s="9"/>
      <c r="K604" s="9"/>
      <c r="L604" s="9"/>
      <c r="M604" s="9"/>
      <c r="N604" s="4"/>
    </row>
    <row r="605" spans="9:14" x14ac:dyDescent="0.3">
      <c r="I605" s="7"/>
      <c r="J605" s="9"/>
      <c r="K605" s="9"/>
      <c r="L605" s="9"/>
      <c r="M605" s="9"/>
      <c r="N605" s="4"/>
    </row>
    <row r="606" spans="9:14" x14ac:dyDescent="0.3">
      <c r="I606" s="7"/>
      <c r="J606" s="9"/>
      <c r="K606" s="9"/>
      <c r="L606" s="9"/>
      <c r="M606" s="9"/>
      <c r="N606" s="4"/>
    </row>
    <row r="607" spans="9:14" x14ac:dyDescent="0.3">
      <c r="I607" s="7"/>
      <c r="J607" s="9"/>
      <c r="K607" s="9"/>
      <c r="L607" s="9"/>
      <c r="M607" s="9"/>
      <c r="N607" s="4"/>
    </row>
    <row r="608" spans="9:14" x14ac:dyDescent="0.3">
      <c r="I608" s="7"/>
      <c r="J608" s="9"/>
      <c r="K608" s="9"/>
      <c r="L608" s="9"/>
      <c r="M608" s="9"/>
      <c r="N608" s="4"/>
    </row>
    <row r="609" spans="9:14" x14ac:dyDescent="0.3">
      <c r="I609" s="7"/>
      <c r="J609" s="9"/>
      <c r="K609" s="9"/>
      <c r="L609" s="9"/>
      <c r="M609" s="9"/>
      <c r="N609" s="4"/>
    </row>
    <row r="610" spans="9:14" x14ac:dyDescent="0.3">
      <c r="I610" s="7"/>
      <c r="J610" s="9"/>
      <c r="K610" s="9"/>
      <c r="L610" s="9"/>
      <c r="M610" s="9"/>
      <c r="N610" s="4"/>
    </row>
    <row r="611" spans="9:14" x14ac:dyDescent="0.3">
      <c r="I611" s="7"/>
      <c r="J611" s="9"/>
      <c r="K611" s="9"/>
      <c r="L611" s="9"/>
      <c r="M611" s="9"/>
      <c r="N611" s="4"/>
    </row>
    <row r="612" spans="9:14" x14ac:dyDescent="0.3">
      <c r="I612" s="7"/>
      <c r="J612" s="9"/>
      <c r="K612" s="9"/>
      <c r="L612" s="9"/>
      <c r="M612" s="9"/>
      <c r="N612" s="4"/>
    </row>
    <row r="613" spans="9:14" x14ac:dyDescent="0.3">
      <c r="I613" s="7"/>
      <c r="J613" s="9"/>
      <c r="K613" s="9"/>
      <c r="L613" s="9"/>
      <c r="M613" s="9"/>
      <c r="N613" s="4"/>
    </row>
    <row r="614" spans="9:14" x14ac:dyDescent="0.3">
      <c r="I614" s="7"/>
      <c r="J614" s="9"/>
      <c r="K614" s="9"/>
      <c r="L614" s="9"/>
      <c r="M614" s="9"/>
      <c r="N614" s="4"/>
    </row>
    <row r="615" spans="9:14" x14ac:dyDescent="0.3">
      <c r="I615" s="7"/>
      <c r="J615" s="9"/>
      <c r="K615" s="9"/>
      <c r="L615" s="9"/>
      <c r="M615" s="9"/>
      <c r="N615" s="4"/>
    </row>
    <row r="616" spans="9:14" x14ac:dyDescent="0.3">
      <c r="I616" s="7"/>
      <c r="J616" s="9"/>
      <c r="K616" s="9"/>
      <c r="L616" s="9"/>
      <c r="M616" s="9"/>
      <c r="N616" s="4"/>
    </row>
    <row r="617" spans="9:14" x14ac:dyDescent="0.3">
      <c r="I617" s="7"/>
      <c r="J617" s="9"/>
      <c r="K617" s="9"/>
      <c r="L617" s="9"/>
      <c r="M617" s="9"/>
      <c r="N617" s="4"/>
    </row>
    <row r="618" spans="9:14" x14ac:dyDescent="0.3">
      <c r="I618" s="7"/>
      <c r="J618" s="9"/>
      <c r="K618" s="9"/>
      <c r="L618" s="9"/>
      <c r="M618" s="9"/>
      <c r="N618" s="4"/>
    </row>
    <row r="619" spans="9:14" x14ac:dyDescent="0.3">
      <c r="I619" s="7"/>
      <c r="J619" s="9"/>
      <c r="K619" s="9"/>
      <c r="L619" s="9"/>
      <c r="M619" s="9"/>
      <c r="N619" s="4"/>
    </row>
    <row r="620" spans="9:14" x14ac:dyDescent="0.3">
      <c r="I620" s="7"/>
      <c r="J620" s="9"/>
      <c r="K620" s="9"/>
      <c r="L620" s="9"/>
      <c r="M620" s="9"/>
      <c r="N620" s="4"/>
    </row>
    <row r="621" spans="9:14" x14ac:dyDescent="0.3">
      <c r="I621" s="7"/>
      <c r="J621" s="9"/>
      <c r="K621" s="9"/>
      <c r="L621" s="9"/>
      <c r="M621" s="9"/>
      <c r="N621" s="4"/>
    </row>
    <row r="622" spans="9:14" x14ac:dyDescent="0.3">
      <c r="I622" s="7"/>
      <c r="J622" s="9"/>
      <c r="K622" s="9"/>
      <c r="L622" s="9"/>
      <c r="M622" s="9"/>
      <c r="N622" s="4"/>
    </row>
    <row r="623" spans="9:14" x14ac:dyDescent="0.3">
      <c r="I623" s="7"/>
      <c r="J623" s="9"/>
      <c r="K623" s="9"/>
      <c r="L623" s="9"/>
      <c r="M623" s="9"/>
      <c r="N623" s="4"/>
    </row>
    <row r="624" spans="9:14" x14ac:dyDescent="0.3">
      <c r="I624" s="7"/>
      <c r="J624" s="9"/>
      <c r="K624" s="9"/>
      <c r="L624" s="9"/>
      <c r="M624" s="9"/>
      <c r="N624" s="4"/>
    </row>
    <row r="625" spans="9:14" x14ac:dyDescent="0.3">
      <c r="I625" s="7"/>
      <c r="J625" s="9"/>
      <c r="K625" s="9"/>
      <c r="L625" s="9"/>
      <c r="M625" s="9"/>
      <c r="N625" s="4"/>
    </row>
    <row r="626" spans="9:14" x14ac:dyDescent="0.3">
      <c r="I626" s="7"/>
      <c r="J626" s="9"/>
      <c r="K626" s="9"/>
      <c r="L626" s="9"/>
      <c r="M626" s="9"/>
      <c r="N626" s="4"/>
    </row>
    <row r="627" spans="9:14" x14ac:dyDescent="0.3">
      <c r="I627" s="7"/>
      <c r="J627" s="9"/>
      <c r="K627" s="9"/>
      <c r="L627" s="9"/>
      <c r="M627" s="9"/>
      <c r="N627" s="4"/>
    </row>
    <row r="628" spans="9:14" x14ac:dyDescent="0.3">
      <c r="I628" s="7"/>
      <c r="J628" s="9"/>
      <c r="K628" s="9"/>
      <c r="L628" s="9"/>
      <c r="M628" s="9"/>
      <c r="N628" s="4"/>
    </row>
    <row r="629" spans="9:14" x14ac:dyDescent="0.3">
      <c r="I629" s="7"/>
      <c r="J629" s="9"/>
      <c r="K629" s="9"/>
      <c r="L629" s="9"/>
      <c r="M629" s="9"/>
      <c r="N629" s="4"/>
    </row>
    <row r="630" spans="9:14" x14ac:dyDescent="0.3">
      <c r="I630" s="7"/>
      <c r="J630" s="9"/>
      <c r="K630" s="9"/>
      <c r="L630" s="9"/>
      <c r="M630" s="9"/>
      <c r="N630" s="4"/>
    </row>
    <row r="631" spans="9:14" x14ac:dyDescent="0.3">
      <c r="I631" s="7"/>
      <c r="J631" s="9"/>
      <c r="K631" s="9"/>
      <c r="L631" s="9"/>
      <c r="M631" s="9"/>
      <c r="N631" s="4"/>
    </row>
    <row r="632" spans="9:14" x14ac:dyDescent="0.3">
      <c r="I632" s="7"/>
      <c r="J632" s="9"/>
      <c r="K632" s="9"/>
      <c r="L632" s="9"/>
      <c r="M632" s="9"/>
      <c r="N632" s="4"/>
    </row>
    <row r="633" spans="9:14" x14ac:dyDescent="0.3">
      <c r="I633" s="7"/>
      <c r="J633" s="9"/>
      <c r="K633" s="9"/>
      <c r="L633" s="9"/>
      <c r="M633" s="9"/>
      <c r="N633" s="4"/>
    </row>
    <row r="634" spans="9:14" x14ac:dyDescent="0.3">
      <c r="I634" s="7"/>
      <c r="J634" s="9"/>
      <c r="K634" s="9"/>
      <c r="L634" s="9"/>
      <c r="M634" s="9"/>
      <c r="N634" s="4"/>
    </row>
    <row r="635" spans="9:14" x14ac:dyDescent="0.3">
      <c r="I635" s="7"/>
      <c r="J635" s="9"/>
      <c r="K635" s="9"/>
      <c r="L635" s="9"/>
      <c r="M635" s="9"/>
      <c r="N635" s="4"/>
    </row>
    <row r="636" spans="9:14" x14ac:dyDescent="0.3">
      <c r="I636" s="7"/>
      <c r="J636" s="9"/>
      <c r="K636" s="9"/>
      <c r="L636" s="9"/>
      <c r="M636" s="9"/>
      <c r="N636" s="4"/>
    </row>
    <row r="637" spans="9:14" x14ac:dyDescent="0.3">
      <c r="I637" s="7"/>
      <c r="J637" s="9"/>
      <c r="K637" s="9"/>
      <c r="L637" s="9"/>
      <c r="M637" s="9"/>
      <c r="N637" s="4"/>
    </row>
    <row r="638" spans="9:14" x14ac:dyDescent="0.3">
      <c r="I638" s="7"/>
      <c r="J638" s="9"/>
      <c r="K638" s="9"/>
      <c r="L638" s="9"/>
      <c r="M638" s="9"/>
      <c r="N638" s="4"/>
    </row>
    <row r="639" spans="9:14" x14ac:dyDescent="0.3">
      <c r="I639" s="7"/>
      <c r="J639" s="9"/>
      <c r="K639" s="9"/>
      <c r="L639" s="9"/>
      <c r="M639" s="9"/>
      <c r="N639" s="4"/>
    </row>
    <row r="640" spans="9:14" x14ac:dyDescent="0.3">
      <c r="I640" s="7"/>
      <c r="J640" s="9"/>
      <c r="K640" s="9"/>
      <c r="L640" s="9"/>
      <c r="M640" s="9"/>
      <c r="N640" s="4"/>
    </row>
    <row r="641" spans="9:14" x14ac:dyDescent="0.3">
      <c r="I641" s="7"/>
      <c r="J641" s="9"/>
      <c r="K641" s="9"/>
      <c r="L641" s="9"/>
      <c r="M641" s="9"/>
      <c r="N641" s="4"/>
    </row>
    <row r="642" spans="9:14" x14ac:dyDescent="0.3">
      <c r="I642" s="7"/>
      <c r="J642" s="9"/>
      <c r="K642" s="9"/>
      <c r="L642" s="9"/>
      <c r="M642" s="9"/>
      <c r="N642" s="4"/>
    </row>
    <row r="643" spans="9:14" x14ac:dyDescent="0.3">
      <c r="I643" s="7"/>
      <c r="J643" s="9"/>
      <c r="K643" s="9"/>
      <c r="L643" s="9"/>
      <c r="M643" s="9"/>
      <c r="N643" s="4"/>
    </row>
    <row r="644" spans="9:14" x14ac:dyDescent="0.3">
      <c r="I644" s="7"/>
      <c r="J644" s="9"/>
      <c r="K644" s="9"/>
      <c r="L644" s="9"/>
      <c r="M644" s="9"/>
      <c r="N644" s="4"/>
    </row>
    <row r="645" spans="9:14" x14ac:dyDescent="0.3">
      <c r="I645" s="7"/>
      <c r="J645" s="9"/>
      <c r="K645" s="9"/>
      <c r="L645" s="9"/>
      <c r="M645" s="9"/>
      <c r="N645" s="4"/>
    </row>
    <row r="646" spans="9:14" x14ac:dyDescent="0.3">
      <c r="I646" s="7"/>
      <c r="J646" s="9"/>
      <c r="K646" s="9"/>
      <c r="L646" s="9"/>
      <c r="M646" s="9"/>
      <c r="N646" s="4"/>
    </row>
    <row r="647" spans="9:14" x14ac:dyDescent="0.3">
      <c r="I647" s="7"/>
      <c r="J647" s="9"/>
      <c r="K647" s="9"/>
      <c r="L647" s="9"/>
      <c r="M647" s="9"/>
      <c r="N647" s="4"/>
    </row>
    <row r="648" spans="9:14" x14ac:dyDescent="0.3">
      <c r="I648" s="7"/>
      <c r="J648" s="9"/>
      <c r="K648" s="9"/>
      <c r="L648" s="9"/>
      <c r="M648" s="9"/>
      <c r="N648" s="4"/>
    </row>
    <row r="649" spans="9:14" x14ac:dyDescent="0.3">
      <c r="I649" s="7"/>
      <c r="J649" s="9"/>
      <c r="K649" s="9"/>
      <c r="L649" s="9"/>
      <c r="M649" s="9"/>
      <c r="N649" s="4"/>
    </row>
    <row r="650" spans="9:14" x14ac:dyDescent="0.3">
      <c r="I650" s="7"/>
      <c r="J650" s="9"/>
      <c r="K650" s="9"/>
      <c r="L650" s="9"/>
      <c r="M650" s="9"/>
      <c r="N650" s="4"/>
    </row>
    <row r="651" spans="9:14" x14ac:dyDescent="0.3">
      <c r="I651" s="7"/>
      <c r="J651" s="9"/>
      <c r="K651" s="9"/>
      <c r="L651" s="9"/>
      <c r="M651" s="9"/>
      <c r="N651" s="4"/>
    </row>
    <row r="652" spans="9:14" x14ac:dyDescent="0.3">
      <c r="I652" s="7"/>
      <c r="J652" s="9"/>
      <c r="K652" s="9"/>
      <c r="L652" s="9"/>
      <c r="M652" s="9"/>
      <c r="N652" s="4"/>
    </row>
    <row r="653" spans="9:14" x14ac:dyDescent="0.3">
      <c r="I653" s="7"/>
      <c r="J653" s="9"/>
      <c r="K653" s="9"/>
      <c r="L653" s="9"/>
      <c r="M653" s="9"/>
      <c r="N653" s="4"/>
    </row>
    <row r="654" spans="9:14" x14ac:dyDescent="0.3">
      <c r="I654" s="7"/>
      <c r="J654" s="9"/>
      <c r="K654" s="9"/>
      <c r="L654" s="9"/>
      <c r="M654" s="9"/>
      <c r="N654" s="4"/>
    </row>
    <row r="655" spans="9:14" x14ac:dyDescent="0.3">
      <c r="I655" s="7"/>
      <c r="J655" s="9"/>
      <c r="K655" s="9"/>
      <c r="L655" s="9"/>
      <c r="M655" s="9"/>
      <c r="N655" s="4"/>
    </row>
    <row r="656" spans="9:14" x14ac:dyDescent="0.3">
      <c r="I656" s="7"/>
      <c r="J656" s="9"/>
      <c r="K656" s="9"/>
      <c r="L656" s="9"/>
      <c r="M656" s="9"/>
      <c r="N656" s="4"/>
    </row>
    <row r="657" spans="9:14" x14ac:dyDescent="0.3">
      <c r="I657" s="7"/>
      <c r="J657" s="9"/>
      <c r="K657" s="9"/>
      <c r="L657" s="9"/>
      <c r="M657" s="9"/>
      <c r="N657" s="4"/>
    </row>
    <row r="658" spans="9:14" x14ac:dyDescent="0.3">
      <c r="I658" s="7"/>
      <c r="J658" s="9"/>
      <c r="K658" s="9"/>
      <c r="L658" s="9"/>
      <c r="M658" s="9"/>
      <c r="N658" s="4"/>
    </row>
    <row r="659" spans="9:14" x14ac:dyDescent="0.3">
      <c r="I659" s="7"/>
      <c r="J659" s="9"/>
      <c r="K659" s="9"/>
      <c r="L659" s="9"/>
      <c r="M659" s="9"/>
      <c r="N659" s="4"/>
    </row>
    <row r="660" spans="9:14" x14ac:dyDescent="0.3">
      <c r="I660" s="7"/>
      <c r="J660" s="9"/>
      <c r="K660" s="9"/>
      <c r="L660" s="9"/>
      <c r="M660" s="9"/>
      <c r="N660" s="4"/>
    </row>
    <row r="661" spans="9:14" x14ac:dyDescent="0.3">
      <c r="I661" s="7"/>
      <c r="J661" s="9"/>
      <c r="K661" s="9"/>
      <c r="L661" s="9"/>
      <c r="M661" s="9"/>
      <c r="N661" s="4"/>
    </row>
    <row r="662" spans="9:14" x14ac:dyDescent="0.3">
      <c r="I662" s="7"/>
      <c r="J662" s="9"/>
      <c r="K662" s="9"/>
      <c r="L662" s="9"/>
      <c r="M662" s="9"/>
      <c r="N662" s="4"/>
    </row>
    <row r="663" spans="9:14" x14ac:dyDescent="0.3">
      <c r="I663" s="7"/>
      <c r="J663" s="9"/>
      <c r="K663" s="9"/>
      <c r="L663" s="9"/>
      <c r="M663" s="9"/>
      <c r="N663" s="4"/>
    </row>
    <row r="664" spans="9:14" x14ac:dyDescent="0.3">
      <c r="I664" s="7"/>
      <c r="J664" s="9"/>
      <c r="K664" s="9"/>
      <c r="L664" s="9"/>
      <c r="M664" s="9"/>
      <c r="N664" s="4"/>
    </row>
    <row r="665" spans="9:14" x14ac:dyDescent="0.3">
      <c r="I665" s="7"/>
      <c r="J665" s="9"/>
      <c r="K665" s="9"/>
      <c r="L665" s="9"/>
      <c r="M665" s="9"/>
      <c r="N665" s="4"/>
    </row>
    <row r="666" spans="9:14" x14ac:dyDescent="0.3">
      <c r="I666" s="7"/>
      <c r="J666" s="9"/>
      <c r="K666" s="9"/>
      <c r="L666" s="9"/>
      <c r="M666" s="9"/>
      <c r="N666" s="4"/>
    </row>
    <row r="667" spans="9:14" x14ac:dyDescent="0.3">
      <c r="I667" s="7"/>
      <c r="J667" s="9"/>
      <c r="K667" s="9"/>
      <c r="L667" s="9"/>
      <c r="M667" s="9"/>
      <c r="N667" s="4"/>
    </row>
    <row r="668" spans="9:14" x14ac:dyDescent="0.3">
      <c r="I668" s="7"/>
      <c r="J668" s="9"/>
      <c r="K668" s="9"/>
      <c r="L668" s="9"/>
      <c r="M668" s="9"/>
      <c r="N668" s="4"/>
    </row>
    <row r="669" spans="9:14" x14ac:dyDescent="0.3">
      <c r="I669" s="7"/>
      <c r="J669" s="9"/>
      <c r="K669" s="9"/>
      <c r="L669" s="9"/>
      <c r="M669" s="9"/>
      <c r="N669" s="4"/>
    </row>
    <row r="670" spans="9:14" x14ac:dyDescent="0.3">
      <c r="I670" s="7"/>
      <c r="J670" s="9"/>
      <c r="K670" s="9"/>
      <c r="L670" s="9"/>
      <c r="M670" s="9"/>
      <c r="N670" s="4"/>
    </row>
    <row r="671" spans="9:14" x14ac:dyDescent="0.3">
      <c r="I671" s="7"/>
      <c r="J671" s="9"/>
      <c r="K671" s="9"/>
      <c r="L671" s="9"/>
      <c r="M671" s="9"/>
      <c r="N671" s="4"/>
    </row>
    <row r="672" spans="9:14" x14ac:dyDescent="0.3">
      <c r="I672" s="7"/>
      <c r="J672" s="9"/>
      <c r="K672" s="9"/>
      <c r="L672" s="9"/>
      <c r="M672" s="9"/>
      <c r="N672" s="4"/>
    </row>
    <row r="673" spans="9:14" x14ac:dyDescent="0.3">
      <c r="I673" s="7"/>
      <c r="J673" s="9"/>
      <c r="K673" s="9"/>
      <c r="L673" s="9"/>
      <c r="M673" s="9"/>
      <c r="N673" s="4"/>
    </row>
    <row r="674" spans="9:14" x14ac:dyDescent="0.3">
      <c r="I674" s="7"/>
      <c r="J674" s="9"/>
      <c r="K674" s="9"/>
      <c r="L674" s="9"/>
      <c r="M674" s="9"/>
      <c r="N674" s="4"/>
    </row>
    <row r="675" spans="9:14" x14ac:dyDescent="0.3">
      <c r="I675" s="7"/>
      <c r="J675" s="9"/>
      <c r="K675" s="9"/>
      <c r="L675" s="9"/>
      <c r="M675" s="9"/>
      <c r="N675" s="4"/>
    </row>
    <row r="676" spans="9:14" x14ac:dyDescent="0.3">
      <c r="I676" s="7"/>
      <c r="J676" s="9"/>
      <c r="K676" s="9"/>
      <c r="L676" s="9"/>
      <c r="M676" s="9"/>
      <c r="N676" s="4"/>
    </row>
    <row r="677" spans="9:14" x14ac:dyDescent="0.3">
      <c r="I677" s="7"/>
      <c r="J677" s="9"/>
      <c r="K677" s="9"/>
      <c r="L677" s="9"/>
      <c r="M677" s="9"/>
      <c r="N677" s="4"/>
    </row>
    <row r="678" spans="9:14" x14ac:dyDescent="0.3">
      <c r="I678" s="7"/>
      <c r="J678" s="9"/>
      <c r="K678" s="9"/>
      <c r="L678" s="9"/>
      <c r="M678" s="9"/>
      <c r="N678" s="4"/>
    </row>
    <row r="679" spans="9:14" x14ac:dyDescent="0.3">
      <c r="I679" s="7"/>
      <c r="J679" s="9"/>
      <c r="K679" s="9"/>
      <c r="L679" s="9"/>
      <c r="M679" s="9"/>
      <c r="N679" s="4"/>
    </row>
    <row r="680" spans="9:14" x14ac:dyDescent="0.3">
      <c r="I680" s="7"/>
      <c r="J680" s="9"/>
      <c r="K680" s="9"/>
      <c r="L680" s="9"/>
      <c r="M680" s="9"/>
      <c r="N680" s="4"/>
    </row>
    <row r="681" spans="9:14" x14ac:dyDescent="0.3">
      <c r="I681" s="7"/>
      <c r="J681" s="9"/>
      <c r="K681" s="9"/>
      <c r="L681" s="9"/>
      <c r="M681" s="9"/>
      <c r="N681" s="4"/>
    </row>
    <row r="682" spans="9:14" x14ac:dyDescent="0.3">
      <c r="I682" s="7"/>
      <c r="J682" s="9"/>
      <c r="K682" s="9"/>
      <c r="L682" s="9"/>
      <c r="M682" s="9"/>
      <c r="N682" s="4"/>
    </row>
    <row r="683" spans="9:14" x14ac:dyDescent="0.3">
      <c r="I683" s="7"/>
      <c r="J683" s="9"/>
      <c r="K683" s="9"/>
      <c r="L683" s="9"/>
      <c r="M683" s="9"/>
      <c r="N683" s="4"/>
    </row>
    <row r="684" spans="9:14" x14ac:dyDescent="0.3">
      <c r="I684" s="7"/>
      <c r="J684" s="9"/>
      <c r="K684" s="9"/>
      <c r="L684" s="9"/>
      <c r="M684" s="9"/>
      <c r="N684" s="4"/>
    </row>
    <row r="685" spans="9:14" x14ac:dyDescent="0.3">
      <c r="I685" s="7"/>
      <c r="J685" s="9"/>
      <c r="K685" s="9"/>
      <c r="L685" s="9"/>
      <c r="M685" s="9"/>
      <c r="N685" s="4"/>
    </row>
    <row r="686" spans="9:14" x14ac:dyDescent="0.3">
      <c r="I686" s="7"/>
      <c r="J686" s="9"/>
      <c r="K686" s="9"/>
      <c r="L686" s="9"/>
      <c r="M686" s="9"/>
      <c r="N686" s="4"/>
    </row>
    <row r="687" spans="9:14" x14ac:dyDescent="0.3">
      <c r="I687" s="7"/>
      <c r="J687" s="9"/>
      <c r="K687" s="9"/>
      <c r="L687" s="9"/>
      <c r="M687" s="9"/>
      <c r="N687" s="4"/>
    </row>
    <row r="688" spans="9:14" x14ac:dyDescent="0.3">
      <c r="I688" s="7"/>
      <c r="J688" s="9"/>
      <c r="K688" s="9"/>
      <c r="L688" s="9"/>
      <c r="M688" s="9"/>
      <c r="N688" s="4"/>
    </row>
    <row r="689" spans="9:14" x14ac:dyDescent="0.3">
      <c r="I689" s="7"/>
      <c r="J689" s="9"/>
      <c r="K689" s="9"/>
      <c r="L689" s="9"/>
      <c r="M689" s="9"/>
      <c r="N689" s="4"/>
    </row>
    <row r="690" spans="9:14" x14ac:dyDescent="0.3">
      <c r="I690" s="7"/>
      <c r="J690" s="9"/>
      <c r="K690" s="9"/>
      <c r="L690" s="9"/>
      <c r="M690" s="9"/>
      <c r="N690" s="4"/>
    </row>
    <row r="691" spans="9:14" x14ac:dyDescent="0.3">
      <c r="I691" s="7"/>
      <c r="J691" s="9"/>
      <c r="K691" s="9"/>
      <c r="L691" s="9"/>
      <c r="M691" s="9"/>
      <c r="N691" s="4"/>
    </row>
    <row r="692" spans="9:14" x14ac:dyDescent="0.3">
      <c r="I692" s="7"/>
      <c r="J692" s="9"/>
      <c r="K692" s="9"/>
      <c r="L692" s="9"/>
      <c r="M692" s="9"/>
      <c r="N692" s="4"/>
    </row>
    <row r="693" spans="9:14" x14ac:dyDescent="0.3">
      <c r="I693" s="7"/>
      <c r="J693" s="9"/>
      <c r="K693" s="9"/>
      <c r="L693" s="9"/>
      <c r="M693" s="9"/>
      <c r="N693" s="4"/>
    </row>
    <row r="694" spans="9:14" x14ac:dyDescent="0.3">
      <c r="I694" s="7"/>
      <c r="J694" s="9"/>
      <c r="K694" s="9"/>
      <c r="L694" s="9"/>
      <c r="M694" s="9"/>
      <c r="N694" s="4"/>
    </row>
    <row r="695" spans="9:14" x14ac:dyDescent="0.3">
      <c r="I695" s="7"/>
      <c r="J695" s="9"/>
      <c r="K695" s="9"/>
      <c r="L695" s="9"/>
      <c r="M695" s="9"/>
      <c r="N695" s="4"/>
    </row>
    <row r="696" spans="9:14" x14ac:dyDescent="0.3">
      <c r="I696" s="7"/>
      <c r="J696" s="9"/>
      <c r="K696" s="9"/>
      <c r="L696" s="9"/>
      <c r="M696" s="9"/>
      <c r="N696" s="4"/>
    </row>
    <row r="697" spans="9:14" x14ac:dyDescent="0.3">
      <c r="I697" s="7"/>
      <c r="J697" s="9"/>
      <c r="K697" s="9"/>
      <c r="L697" s="9"/>
      <c r="M697" s="9"/>
      <c r="N697" s="4"/>
    </row>
    <row r="698" spans="9:14" x14ac:dyDescent="0.3">
      <c r="I698" s="7"/>
      <c r="J698" s="9"/>
      <c r="K698" s="9"/>
      <c r="L698" s="9"/>
      <c r="M698" s="9"/>
      <c r="N698" s="4"/>
    </row>
    <row r="699" spans="9:14" x14ac:dyDescent="0.3">
      <c r="I699" s="7"/>
      <c r="J699" s="9"/>
      <c r="K699" s="9"/>
      <c r="L699" s="9"/>
      <c r="M699" s="9"/>
      <c r="N699" s="4"/>
    </row>
    <row r="700" spans="9:14" x14ac:dyDescent="0.3">
      <c r="I700" s="7"/>
      <c r="J700" s="9"/>
      <c r="K700" s="9"/>
      <c r="L700" s="9"/>
      <c r="M700" s="9"/>
      <c r="N700" s="4"/>
    </row>
    <row r="701" spans="9:14" x14ac:dyDescent="0.3">
      <c r="I701" s="7"/>
      <c r="J701" s="9"/>
      <c r="K701" s="9"/>
      <c r="L701" s="9"/>
      <c r="M701" s="9"/>
      <c r="N701" s="4"/>
    </row>
    <row r="702" spans="9:14" x14ac:dyDescent="0.3">
      <c r="I702" s="7"/>
      <c r="J702" s="9"/>
      <c r="K702" s="9"/>
      <c r="L702" s="9"/>
      <c r="M702" s="9"/>
      <c r="N702" s="4"/>
    </row>
    <row r="703" spans="9:14" x14ac:dyDescent="0.3">
      <c r="I703" s="7"/>
      <c r="J703" s="9"/>
      <c r="K703" s="9"/>
      <c r="L703" s="9"/>
      <c r="M703" s="9"/>
      <c r="N703" s="4"/>
    </row>
    <row r="704" spans="9:14" x14ac:dyDescent="0.3">
      <c r="I704" s="7"/>
      <c r="J704" s="9"/>
      <c r="K704" s="9"/>
      <c r="L704" s="9"/>
      <c r="M704" s="9"/>
      <c r="N704" s="4"/>
    </row>
    <row r="705" spans="9:14" x14ac:dyDescent="0.3">
      <c r="I705" s="7"/>
      <c r="J705" s="9"/>
      <c r="K705" s="9"/>
      <c r="L705" s="9"/>
      <c r="M705" s="9"/>
      <c r="N705" s="4"/>
    </row>
    <row r="706" spans="9:14" x14ac:dyDescent="0.3">
      <c r="I706" s="7"/>
      <c r="J706" s="9"/>
      <c r="K706" s="9"/>
      <c r="L706" s="9"/>
      <c r="M706" s="9"/>
      <c r="N706" s="4"/>
    </row>
    <row r="707" spans="9:14" x14ac:dyDescent="0.3">
      <c r="I707" s="7"/>
      <c r="J707" s="9"/>
      <c r="K707" s="9"/>
      <c r="L707" s="9"/>
      <c r="M707" s="9"/>
      <c r="N707" s="4"/>
    </row>
    <row r="708" spans="9:14" x14ac:dyDescent="0.3">
      <c r="I708" s="7"/>
      <c r="J708" s="9"/>
      <c r="K708" s="9"/>
      <c r="L708" s="9"/>
      <c r="M708" s="9"/>
      <c r="N708" s="4"/>
    </row>
    <row r="709" spans="9:14" x14ac:dyDescent="0.3">
      <c r="I709" s="7"/>
      <c r="J709" s="9"/>
      <c r="K709" s="9"/>
      <c r="L709" s="9"/>
      <c r="M709" s="9"/>
      <c r="N709" s="4"/>
    </row>
    <row r="710" spans="9:14" x14ac:dyDescent="0.3">
      <c r="I710" s="7"/>
      <c r="J710" s="9"/>
      <c r="K710" s="9"/>
      <c r="L710" s="9"/>
      <c r="M710" s="9"/>
      <c r="N710" s="4"/>
    </row>
    <row r="711" spans="9:14" x14ac:dyDescent="0.3">
      <c r="I711" s="7"/>
      <c r="J711" s="9"/>
      <c r="K711" s="9"/>
      <c r="L711" s="9"/>
      <c r="M711" s="9"/>
      <c r="N711" s="4"/>
    </row>
    <row r="712" spans="9:14" x14ac:dyDescent="0.3">
      <c r="I712" s="7"/>
      <c r="J712" s="9"/>
      <c r="K712" s="9"/>
      <c r="L712" s="9"/>
      <c r="M712" s="9"/>
      <c r="N712" s="4"/>
    </row>
    <row r="713" spans="9:14" x14ac:dyDescent="0.3">
      <c r="I713" s="7"/>
      <c r="J713" s="9"/>
      <c r="K713" s="9"/>
      <c r="L713" s="9"/>
      <c r="M713" s="9"/>
      <c r="N713" s="4"/>
    </row>
    <row r="714" spans="9:14" x14ac:dyDescent="0.3">
      <c r="I714" s="7"/>
      <c r="J714" s="9"/>
      <c r="K714" s="9"/>
      <c r="L714" s="9"/>
      <c r="M714" s="9"/>
      <c r="N714" s="4"/>
    </row>
    <row r="715" spans="9:14" x14ac:dyDescent="0.3">
      <c r="I715" s="7"/>
      <c r="J715" s="9"/>
      <c r="K715" s="9"/>
      <c r="L715" s="9"/>
      <c r="M715" s="9"/>
      <c r="N715" s="4"/>
    </row>
    <row r="716" spans="9:14" x14ac:dyDescent="0.3">
      <c r="I716" s="7"/>
      <c r="J716" s="9"/>
      <c r="K716" s="9"/>
      <c r="L716" s="9"/>
      <c r="M716" s="9"/>
      <c r="N716" s="4"/>
    </row>
    <row r="717" spans="9:14" x14ac:dyDescent="0.3">
      <c r="I717" s="7"/>
      <c r="J717" s="9"/>
      <c r="K717" s="9"/>
      <c r="L717" s="9"/>
      <c r="M717" s="9"/>
      <c r="N717" s="4"/>
    </row>
    <row r="718" spans="9:14" x14ac:dyDescent="0.3">
      <c r="I718" s="7"/>
      <c r="J718" s="9"/>
      <c r="K718" s="9"/>
      <c r="L718" s="9"/>
      <c r="M718" s="9"/>
      <c r="N718" s="4"/>
    </row>
    <row r="719" spans="9:14" x14ac:dyDescent="0.3">
      <c r="I719" s="7"/>
      <c r="J719" s="9"/>
      <c r="K719" s="9"/>
      <c r="L719" s="9"/>
      <c r="M719" s="9"/>
      <c r="N719" s="4"/>
    </row>
    <row r="720" spans="9:14" x14ac:dyDescent="0.3">
      <c r="I720" s="7"/>
      <c r="J720" s="9"/>
      <c r="K720" s="9"/>
      <c r="L720" s="9"/>
      <c r="M720" s="9"/>
      <c r="N720" s="4"/>
    </row>
    <row r="721" spans="9:14" x14ac:dyDescent="0.3">
      <c r="I721" s="7"/>
      <c r="J721" s="9"/>
      <c r="K721" s="9"/>
      <c r="L721" s="9"/>
      <c r="M721" s="9"/>
      <c r="N721" s="4"/>
    </row>
    <row r="722" spans="9:14" x14ac:dyDescent="0.3">
      <c r="I722" s="7"/>
      <c r="J722" s="9"/>
      <c r="K722" s="9"/>
      <c r="L722" s="9"/>
      <c r="M722" s="9"/>
      <c r="N722" s="4"/>
    </row>
    <row r="723" spans="9:14" x14ac:dyDescent="0.3">
      <c r="I723" s="7"/>
      <c r="J723" s="9"/>
      <c r="K723" s="9"/>
      <c r="L723" s="9"/>
      <c r="M723" s="9"/>
      <c r="N723" s="4"/>
    </row>
    <row r="724" spans="9:14" x14ac:dyDescent="0.3">
      <c r="I724" s="7"/>
      <c r="J724" s="9"/>
      <c r="K724" s="9"/>
      <c r="L724" s="9"/>
      <c r="M724" s="9"/>
      <c r="N724" s="4"/>
    </row>
    <row r="725" spans="9:14" x14ac:dyDescent="0.3">
      <c r="I725" s="7"/>
      <c r="J725" s="9"/>
      <c r="K725" s="9"/>
      <c r="L725" s="9"/>
      <c r="M725" s="9"/>
      <c r="N725" s="4"/>
    </row>
    <row r="726" spans="9:14" x14ac:dyDescent="0.3">
      <c r="I726" s="7"/>
      <c r="J726" s="9"/>
      <c r="K726" s="9"/>
      <c r="L726" s="9"/>
      <c r="M726" s="9"/>
      <c r="N726" s="4"/>
    </row>
    <row r="727" spans="9:14" x14ac:dyDescent="0.3">
      <c r="I727" s="7"/>
      <c r="J727" s="9"/>
      <c r="K727" s="9"/>
      <c r="L727" s="9"/>
      <c r="M727" s="9"/>
      <c r="N727" s="4"/>
    </row>
    <row r="728" spans="9:14" x14ac:dyDescent="0.3">
      <c r="I728" s="7"/>
      <c r="J728" s="9"/>
      <c r="K728" s="9"/>
      <c r="L728" s="9"/>
      <c r="M728" s="9"/>
      <c r="N728" s="4"/>
    </row>
    <row r="729" spans="9:14" x14ac:dyDescent="0.3">
      <c r="I729" s="7"/>
      <c r="J729" s="9"/>
      <c r="K729" s="9"/>
      <c r="L729" s="9"/>
      <c r="M729" s="9"/>
      <c r="N729" s="4"/>
    </row>
    <row r="730" spans="9:14" x14ac:dyDescent="0.3">
      <c r="I730" s="7"/>
      <c r="J730" s="9"/>
      <c r="K730" s="9"/>
      <c r="L730" s="9"/>
      <c r="M730" s="9"/>
      <c r="N730" s="4"/>
    </row>
    <row r="731" spans="9:14" x14ac:dyDescent="0.3">
      <c r="I731" s="7"/>
      <c r="J731" s="9"/>
      <c r="K731" s="9"/>
      <c r="L731" s="9"/>
      <c r="M731" s="9"/>
      <c r="N731" s="4"/>
    </row>
    <row r="732" spans="9:14" x14ac:dyDescent="0.3">
      <c r="I732" s="7"/>
      <c r="J732" s="9"/>
      <c r="K732" s="9"/>
      <c r="L732" s="9"/>
      <c r="M732" s="9"/>
      <c r="N732" s="4"/>
    </row>
    <row r="733" spans="9:14" x14ac:dyDescent="0.3">
      <c r="I733" s="7"/>
      <c r="J733" s="9"/>
      <c r="K733" s="9"/>
      <c r="L733" s="9"/>
      <c r="M733" s="9"/>
      <c r="N733" s="4"/>
    </row>
    <row r="734" spans="9:14" x14ac:dyDescent="0.3">
      <c r="I734" s="7"/>
      <c r="J734" s="9"/>
      <c r="K734" s="9"/>
      <c r="L734" s="9"/>
      <c r="M734" s="9"/>
      <c r="N734" s="4"/>
    </row>
    <row r="735" spans="9:14" x14ac:dyDescent="0.3">
      <c r="I735" s="7"/>
      <c r="J735" s="9"/>
      <c r="K735" s="9"/>
      <c r="L735" s="9"/>
      <c r="M735" s="9"/>
      <c r="N735" s="4"/>
    </row>
    <row r="736" spans="9:14" x14ac:dyDescent="0.3">
      <c r="I736" s="7"/>
      <c r="J736" s="9"/>
      <c r="K736" s="9"/>
      <c r="L736" s="9"/>
      <c r="M736" s="9"/>
      <c r="N736" s="4"/>
    </row>
    <row r="737" spans="9:14" x14ac:dyDescent="0.3">
      <c r="I737" s="7"/>
      <c r="J737" s="9"/>
      <c r="K737" s="9"/>
      <c r="L737" s="9"/>
      <c r="M737" s="9"/>
      <c r="N737" s="4"/>
    </row>
    <row r="738" spans="9:14" x14ac:dyDescent="0.3">
      <c r="I738" s="7"/>
      <c r="J738" s="9"/>
      <c r="K738" s="9"/>
      <c r="L738" s="9"/>
      <c r="M738" s="9"/>
      <c r="N738" s="4"/>
    </row>
    <row r="739" spans="9:14" x14ac:dyDescent="0.3">
      <c r="I739" s="7"/>
      <c r="J739" s="9"/>
      <c r="K739" s="9"/>
      <c r="L739" s="9"/>
      <c r="M739" s="9"/>
      <c r="N739" s="4"/>
    </row>
    <row r="740" spans="9:14" x14ac:dyDescent="0.3">
      <c r="I740" s="7"/>
      <c r="J740" s="9"/>
      <c r="K740" s="9"/>
      <c r="L740" s="9"/>
      <c r="M740" s="9"/>
      <c r="N740" s="4"/>
    </row>
    <row r="741" spans="9:14" x14ac:dyDescent="0.3">
      <c r="I741" s="7"/>
      <c r="J741" s="9"/>
      <c r="K741" s="9"/>
      <c r="L741" s="9"/>
      <c r="M741" s="9"/>
      <c r="N741" s="4"/>
    </row>
    <row r="742" spans="9:14" x14ac:dyDescent="0.3">
      <c r="I742" s="7"/>
      <c r="J742" s="9"/>
      <c r="K742" s="9"/>
      <c r="L742" s="9"/>
      <c r="M742" s="9"/>
      <c r="N742" s="4"/>
    </row>
    <row r="743" spans="9:14" x14ac:dyDescent="0.3">
      <c r="I743" s="7"/>
      <c r="J743" s="9"/>
      <c r="K743" s="9"/>
      <c r="L743" s="9"/>
      <c r="M743" s="9"/>
      <c r="N743" s="4"/>
    </row>
    <row r="744" spans="9:14" x14ac:dyDescent="0.3">
      <c r="I744" s="7"/>
      <c r="J744" s="9"/>
      <c r="K744" s="9"/>
      <c r="L744" s="9"/>
      <c r="M744" s="9"/>
      <c r="N744" s="4"/>
    </row>
    <row r="745" spans="9:14" x14ac:dyDescent="0.3">
      <c r="I745" s="7"/>
      <c r="J745" s="9"/>
      <c r="K745" s="9"/>
      <c r="L745" s="9"/>
      <c r="M745" s="9"/>
      <c r="N745" s="4"/>
    </row>
    <row r="746" spans="9:14" x14ac:dyDescent="0.3">
      <c r="I746" s="7"/>
      <c r="J746" s="9"/>
      <c r="K746" s="9"/>
      <c r="L746" s="9"/>
      <c r="M746" s="9"/>
      <c r="N746" s="4"/>
    </row>
    <row r="747" spans="9:14" x14ac:dyDescent="0.3">
      <c r="I747" s="7"/>
      <c r="J747" s="9"/>
      <c r="K747" s="9"/>
      <c r="L747" s="9"/>
      <c r="M747" s="9"/>
      <c r="N747" s="4"/>
    </row>
    <row r="748" spans="9:14" x14ac:dyDescent="0.3">
      <c r="I748" s="7"/>
      <c r="J748" s="9"/>
      <c r="K748" s="9"/>
      <c r="L748" s="9"/>
      <c r="M748" s="9"/>
      <c r="N748" s="4"/>
    </row>
    <row r="749" spans="9:14" x14ac:dyDescent="0.3">
      <c r="I749" s="7"/>
      <c r="J749" s="9"/>
      <c r="K749" s="9"/>
      <c r="L749" s="9"/>
      <c r="M749" s="9"/>
      <c r="N749" s="4"/>
    </row>
    <row r="750" spans="9:14" x14ac:dyDescent="0.3">
      <c r="I750" s="7"/>
      <c r="J750" s="9"/>
      <c r="K750" s="9"/>
      <c r="L750" s="9"/>
      <c r="M750" s="9"/>
      <c r="N750" s="4"/>
    </row>
    <row r="751" spans="9:14" x14ac:dyDescent="0.3">
      <c r="I751" s="7"/>
      <c r="J751" s="9"/>
      <c r="K751" s="9"/>
      <c r="L751" s="9"/>
      <c r="M751" s="9"/>
      <c r="N751" s="4"/>
    </row>
    <row r="752" spans="9:14" x14ac:dyDescent="0.3">
      <c r="I752" s="7"/>
      <c r="J752" s="9"/>
      <c r="K752" s="9"/>
      <c r="L752" s="9"/>
      <c r="M752" s="9"/>
      <c r="N752" s="4"/>
    </row>
    <row r="753" spans="9:14" x14ac:dyDescent="0.3">
      <c r="I753" s="7"/>
      <c r="J753" s="9"/>
      <c r="K753" s="9"/>
      <c r="L753" s="9"/>
      <c r="M753" s="9"/>
      <c r="N753" s="4"/>
    </row>
    <row r="754" spans="9:14" x14ac:dyDescent="0.3">
      <c r="I754" s="7"/>
      <c r="J754" s="9"/>
      <c r="K754" s="9"/>
      <c r="L754" s="9"/>
      <c r="M754" s="9"/>
      <c r="N754" s="4"/>
    </row>
    <row r="755" spans="9:14" x14ac:dyDescent="0.3">
      <c r="I755" s="7"/>
      <c r="J755" s="9"/>
      <c r="K755" s="9"/>
      <c r="L755" s="9"/>
      <c r="M755" s="9"/>
      <c r="N755" s="4"/>
    </row>
    <row r="756" spans="9:14" x14ac:dyDescent="0.3">
      <c r="I756" s="7"/>
      <c r="J756" s="9"/>
      <c r="K756" s="9"/>
      <c r="L756" s="9"/>
      <c r="M756" s="9"/>
      <c r="N756" s="4"/>
    </row>
    <row r="757" spans="9:14" x14ac:dyDescent="0.3">
      <c r="I757" s="7"/>
      <c r="J757" s="9"/>
      <c r="K757" s="9"/>
      <c r="L757" s="9"/>
      <c r="M757" s="9"/>
      <c r="N757" s="4"/>
    </row>
    <row r="758" spans="9:14" x14ac:dyDescent="0.3">
      <c r="I758" s="7"/>
      <c r="J758" s="9"/>
      <c r="K758" s="9"/>
      <c r="L758" s="9"/>
      <c r="M758" s="9"/>
      <c r="N758" s="4"/>
    </row>
    <row r="759" spans="9:14" x14ac:dyDescent="0.3">
      <c r="I759" s="7"/>
      <c r="J759" s="9"/>
      <c r="K759" s="9"/>
      <c r="L759" s="9"/>
      <c r="M759" s="9"/>
      <c r="N759" s="4"/>
    </row>
    <row r="760" spans="9:14" x14ac:dyDescent="0.3">
      <c r="I760" s="7"/>
      <c r="J760" s="9"/>
      <c r="K760" s="9"/>
      <c r="L760" s="9"/>
      <c r="M760" s="9"/>
      <c r="N760" s="4"/>
    </row>
    <row r="761" spans="9:14" x14ac:dyDescent="0.3">
      <c r="I761" s="7"/>
      <c r="J761" s="9"/>
      <c r="K761" s="9"/>
      <c r="L761" s="9"/>
      <c r="M761" s="9"/>
      <c r="N761" s="4"/>
    </row>
    <row r="762" spans="9:14" x14ac:dyDescent="0.3">
      <c r="I762" s="7"/>
      <c r="J762" s="9"/>
      <c r="K762" s="9"/>
      <c r="L762" s="9"/>
      <c r="M762" s="9"/>
      <c r="N762" s="4"/>
    </row>
    <row r="763" spans="9:14" x14ac:dyDescent="0.3">
      <c r="I763" s="7"/>
      <c r="J763" s="9"/>
      <c r="K763" s="9"/>
      <c r="L763" s="9"/>
      <c r="M763" s="9"/>
      <c r="N763" s="4"/>
    </row>
    <row r="764" spans="9:14" x14ac:dyDescent="0.3">
      <c r="I764" s="7"/>
      <c r="J764" s="9"/>
      <c r="K764" s="9"/>
      <c r="L764" s="9"/>
      <c r="M764" s="9"/>
      <c r="N764" s="4"/>
    </row>
    <row r="765" spans="9:14" x14ac:dyDescent="0.3">
      <c r="I765" s="7"/>
      <c r="J765" s="9"/>
      <c r="K765" s="9"/>
      <c r="L765" s="9"/>
      <c r="M765" s="9"/>
      <c r="N765" s="4"/>
    </row>
    <row r="766" spans="9:14" x14ac:dyDescent="0.3">
      <c r="I766" s="7"/>
      <c r="J766" s="9"/>
      <c r="K766" s="9"/>
      <c r="L766" s="9"/>
      <c r="M766" s="9"/>
      <c r="N766" s="4"/>
    </row>
    <row r="767" spans="9:14" x14ac:dyDescent="0.3">
      <c r="I767" s="7"/>
      <c r="J767" s="9"/>
      <c r="K767" s="9"/>
      <c r="L767" s="9"/>
      <c r="M767" s="9"/>
      <c r="N767" s="4"/>
    </row>
    <row r="768" spans="9:14" x14ac:dyDescent="0.3">
      <c r="I768" s="7"/>
      <c r="J768" s="9"/>
      <c r="K768" s="9"/>
      <c r="L768" s="9"/>
      <c r="M768" s="9"/>
      <c r="N768" s="4"/>
    </row>
    <row r="769" spans="9:14" x14ac:dyDescent="0.3">
      <c r="I769" s="7"/>
      <c r="J769" s="9"/>
      <c r="K769" s="9"/>
      <c r="L769" s="9"/>
      <c r="M769" s="9"/>
      <c r="N769" s="4"/>
    </row>
    <row r="770" spans="9:14" x14ac:dyDescent="0.3">
      <c r="I770" s="7"/>
      <c r="J770" s="9"/>
      <c r="K770" s="9"/>
      <c r="L770" s="9"/>
      <c r="M770" s="9"/>
      <c r="N770" s="4"/>
    </row>
    <row r="771" spans="9:14" x14ac:dyDescent="0.3">
      <c r="I771" s="7"/>
      <c r="J771" s="9"/>
      <c r="K771" s="9"/>
      <c r="L771" s="9"/>
      <c r="M771" s="9"/>
      <c r="N771" s="4"/>
    </row>
    <row r="772" spans="9:14" x14ac:dyDescent="0.3">
      <c r="I772" s="7"/>
      <c r="J772" s="9"/>
      <c r="K772" s="9"/>
      <c r="L772" s="9"/>
      <c r="M772" s="9"/>
      <c r="N772" s="4"/>
    </row>
    <row r="773" spans="9:14" x14ac:dyDescent="0.3">
      <c r="I773" s="7"/>
      <c r="J773" s="9"/>
      <c r="K773" s="9"/>
      <c r="L773" s="9"/>
      <c r="M773" s="9"/>
      <c r="N773" s="4"/>
    </row>
    <row r="774" spans="9:14" x14ac:dyDescent="0.3">
      <c r="I774" s="7"/>
      <c r="J774" s="9"/>
      <c r="K774" s="9"/>
      <c r="L774" s="9"/>
      <c r="M774" s="9"/>
      <c r="N774" s="4"/>
    </row>
    <row r="775" spans="9:14" x14ac:dyDescent="0.3">
      <c r="I775" s="7"/>
      <c r="J775" s="9"/>
      <c r="K775" s="9"/>
      <c r="L775" s="9"/>
      <c r="M775" s="9"/>
      <c r="N775" s="4"/>
    </row>
    <row r="776" spans="9:14" x14ac:dyDescent="0.3">
      <c r="I776" s="7"/>
      <c r="J776" s="9"/>
      <c r="K776" s="9"/>
      <c r="L776" s="9"/>
      <c r="M776" s="9"/>
      <c r="N776" s="4"/>
    </row>
    <row r="777" spans="9:14" x14ac:dyDescent="0.3">
      <c r="I777" s="7"/>
      <c r="J777" s="9"/>
      <c r="K777" s="9"/>
      <c r="L777" s="9"/>
      <c r="M777" s="9"/>
      <c r="N777" s="4"/>
    </row>
    <row r="778" spans="9:14" x14ac:dyDescent="0.3">
      <c r="I778" s="7"/>
      <c r="J778" s="9"/>
      <c r="K778" s="9"/>
      <c r="L778" s="9"/>
      <c r="M778" s="9"/>
      <c r="N778" s="4"/>
    </row>
    <row r="779" spans="9:14" x14ac:dyDescent="0.3">
      <c r="I779" s="7"/>
      <c r="J779" s="9"/>
      <c r="K779" s="9"/>
      <c r="L779" s="9"/>
      <c r="M779" s="9"/>
      <c r="N779" s="4"/>
    </row>
    <row r="780" spans="9:14" x14ac:dyDescent="0.3">
      <c r="I780" s="7"/>
      <c r="J780" s="9"/>
      <c r="K780" s="9"/>
      <c r="L780" s="9"/>
      <c r="M780" s="9"/>
      <c r="N780" s="4"/>
    </row>
    <row r="781" spans="9:14" x14ac:dyDescent="0.3">
      <c r="I781" s="7"/>
      <c r="J781" s="9"/>
      <c r="K781" s="9"/>
      <c r="L781" s="9"/>
      <c r="M781" s="9"/>
      <c r="N781" s="4"/>
    </row>
    <row r="782" spans="9:14" x14ac:dyDescent="0.3">
      <c r="I782" s="7"/>
      <c r="J782" s="9"/>
      <c r="K782" s="9"/>
      <c r="L782" s="9"/>
      <c r="M782" s="9"/>
      <c r="N782" s="4"/>
    </row>
    <row r="783" spans="9:14" x14ac:dyDescent="0.3">
      <c r="I783" s="7"/>
      <c r="J783" s="9"/>
      <c r="K783" s="9"/>
      <c r="L783" s="9"/>
      <c r="M783" s="9"/>
      <c r="N783" s="4"/>
    </row>
    <row r="784" spans="9:14" x14ac:dyDescent="0.3">
      <c r="I784" s="7"/>
      <c r="J784" s="9"/>
      <c r="K784" s="9"/>
      <c r="L784" s="9"/>
      <c r="M784" s="9"/>
      <c r="N784" s="4"/>
    </row>
    <row r="785" spans="9:14" x14ac:dyDescent="0.3">
      <c r="I785" s="7"/>
      <c r="J785" s="9"/>
      <c r="K785" s="9"/>
      <c r="L785" s="9"/>
      <c r="M785" s="9"/>
      <c r="N785" s="4"/>
    </row>
    <row r="786" spans="9:14" x14ac:dyDescent="0.3">
      <c r="I786" s="7"/>
      <c r="J786" s="9"/>
      <c r="K786" s="9"/>
      <c r="L786" s="9"/>
      <c r="M786" s="9"/>
      <c r="N786" s="4"/>
    </row>
    <row r="787" spans="9:14" x14ac:dyDescent="0.3">
      <c r="I787" s="7"/>
      <c r="J787" s="9"/>
      <c r="K787" s="9"/>
      <c r="L787" s="9"/>
      <c r="M787" s="9"/>
      <c r="N787" s="4"/>
    </row>
    <row r="788" spans="9:14" x14ac:dyDescent="0.3">
      <c r="I788" s="7"/>
      <c r="J788" s="9"/>
      <c r="K788" s="9"/>
      <c r="L788" s="9"/>
      <c r="M788" s="9"/>
      <c r="N788" s="4"/>
    </row>
    <row r="789" spans="9:14" x14ac:dyDescent="0.3">
      <c r="I789" s="7"/>
      <c r="J789" s="9"/>
      <c r="K789" s="9"/>
      <c r="L789" s="9"/>
      <c r="M789" s="9"/>
      <c r="N789" s="4"/>
    </row>
    <row r="790" spans="9:14" x14ac:dyDescent="0.3">
      <c r="I790" s="7"/>
      <c r="J790" s="9"/>
      <c r="K790" s="9"/>
      <c r="L790" s="9"/>
      <c r="M790" s="9"/>
      <c r="N790" s="4"/>
    </row>
    <row r="791" spans="9:14" x14ac:dyDescent="0.3">
      <c r="I791" s="7"/>
      <c r="J791" s="9"/>
      <c r="K791" s="9"/>
      <c r="L791" s="9"/>
      <c r="M791" s="9"/>
      <c r="N791" s="4"/>
    </row>
    <row r="792" spans="9:14" x14ac:dyDescent="0.3">
      <c r="I792" s="7"/>
      <c r="J792" s="9"/>
      <c r="K792" s="9"/>
      <c r="L792" s="9"/>
      <c r="M792" s="9"/>
      <c r="N792" s="4"/>
    </row>
    <row r="793" spans="9:14" x14ac:dyDescent="0.3">
      <c r="I793" s="7"/>
      <c r="J793" s="9"/>
      <c r="K793" s="9"/>
      <c r="L793" s="9"/>
      <c r="M793" s="9"/>
      <c r="N793" s="4"/>
    </row>
    <row r="794" spans="9:14" x14ac:dyDescent="0.3">
      <c r="I794" s="7"/>
      <c r="J794" s="9"/>
      <c r="K794" s="9"/>
      <c r="L794" s="9"/>
      <c r="M794" s="9"/>
      <c r="N794" s="4"/>
    </row>
    <row r="795" spans="9:14" x14ac:dyDescent="0.3">
      <c r="I795" s="7"/>
      <c r="J795" s="9"/>
      <c r="K795" s="9"/>
      <c r="L795" s="9"/>
      <c r="M795" s="9"/>
      <c r="N795" s="4"/>
    </row>
    <row r="796" spans="9:14" x14ac:dyDescent="0.3">
      <c r="I796" s="7"/>
      <c r="J796" s="9"/>
      <c r="K796" s="9"/>
      <c r="L796" s="9"/>
      <c r="M796" s="9"/>
      <c r="N796" s="4"/>
    </row>
    <row r="797" spans="9:14" x14ac:dyDescent="0.3">
      <c r="I797" s="7"/>
      <c r="J797" s="9"/>
      <c r="K797" s="9"/>
      <c r="L797" s="9"/>
      <c r="M797" s="9"/>
      <c r="N797" s="4"/>
    </row>
    <row r="798" spans="9:14" x14ac:dyDescent="0.3">
      <c r="I798" s="7"/>
      <c r="J798" s="9"/>
      <c r="K798" s="9"/>
      <c r="L798" s="9"/>
      <c r="M798" s="9"/>
      <c r="N798" s="4"/>
    </row>
    <row r="799" spans="9:14" x14ac:dyDescent="0.3">
      <c r="I799" s="7"/>
      <c r="J799" s="9"/>
      <c r="K799" s="9"/>
      <c r="L799" s="9"/>
      <c r="M799" s="9"/>
      <c r="N799" s="4"/>
    </row>
    <row r="800" spans="9:14" x14ac:dyDescent="0.3">
      <c r="I800" s="7"/>
      <c r="J800" s="9"/>
      <c r="K800" s="9"/>
      <c r="L800" s="9"/>
      <c r="M800" s="9"/>
      <c r="N800" s="4"/>
    </row>
    <row r="801" spans="9:14" x14ac:dyDescent="0.3">
      <c r="I801" s="7"/>
      <c r="J801" s="9"/>
      <c r="K801" s="9"/>
      <c r="L801" s="9"/>
      <c r="M801" s="9"/>
      <c r="N801" s="4"/>
    </row>
    <row r="802" spans="9:14" x14ac:dyDescent="0.3">
      <c r="I802" s="7"/>
      <c r="J802" s="9"/>
      <c r="K802" s="9"/>
      <c r="L802" s="9"/>
      <c r="M802" s="9"/>
      <c r="N802" s="4"/>
    </row>
    <row r="803" spans="9:14" x14ac:dyDescent="0.3">
      <c r="I803" s="7"/>
      <c r="J803" s="9"/>
      <c r="K803" s="9"/>
      <c r="L803" s="9"/>
      <c r="M803" s="9"/>
      <c r="N803" s="4"/>
    </row>
    <row r="804" spans="9:14" x14ac:dyDescent="0.3">
      <c r="I804" s="7"/>
      <c r="J804" s="9"/>
      <c r="K804" s="9"/>
      <c r="L804" s="9"/>
      <c r="M804" s="9"/>
      <c r="N804" s="4"/>
    </row>
    <row r="805" spans="9:14" x14ac:dyDescent="0.3">
      <c r="I805" s="7"/>
      <c r="J805" s="9"/>
      <c r="K805" s="9"/>
      <c r="L805" s="9"/>
      <c r="M805" s="9"/>
      <c r="N805" s="4"/>
    </row>
    <row r="806" spans="9:14" x14ac:dyDescent="0.3">
      <c r="I806" s="7"/>
      <c r="J806" s="9"/>
      <c r="K806" s="9"/>
      <c r="L806" s="9"/>
      <c r="M806" s="9"/>
      <c r="N806" s="4"/>
    </row>
    <row r="807" spans="9:14" x14ac:dyDescent="0.3">
      <c r="I807" s="7"/>
      <c r="J807" s="9"/>
      <c r="K807" s="9"/>
      <c r="L807" s="9"/>
      <c r="M807" s="9"/>
      <c r="N807" s="4"/>
    </row>
    <row r="808" spans="9:14" x14ac:dyDescent="0.3">
      <c r="I808" s="7"/>
      <c r="J808" s="9"/>
      <c r="K808" s="9"/>
      <c r="L808" s="9"/>
      <c r="M808" s="9"/>
      <c r="N808" s="4"/>
    </row>
    <row r="809" spans="9:14" x14ac:dyDescent="0.3">
      <c r="I809" s="7"/>
      <c r="J809" s="9"/>
      <c r="K809" s="9"/>
      <c r="L809" s="9"/>
      <c r="M809" s="9"/>
      <c r="N809" s="4"/>
    </row>
    <row r="810" spans="9:14" x14ac:dyDescent="0.3">
      <c r="I810" s="7"/>
      <c r="J810" s="9"/>
      <c r="K810" s="9"/>
      <c r="L810" s="9"/>
      <c r="M810" s="9"/>
      <c r="N810" s="4"/>
    </row>
    <row r="811" spans="9:14" x14ac:dyDescent="0.3">
      <c r="I811" s="7"/>
      <c r="J811" s="9"/>
      <c r="K811" s="9"/>
      <c r="L811" s="9"/>
      <c r="M811" s="9"/>
      <c r="N811" s="4"/>
    </row>
    <row r="812" spans="9:14" x14ac:dyDescent="0.3">
      <c r="I812" s="7"/>
      <c r="J812" s="9"/>
      <c r="K812" s="9"/>
      <c r="L812" s="9"/>
      <c r="M812" s="9"/>
      <c r="N812" s="4"/>
    </row>
    <row r="813" spans="9:14" x14ac:dyDescent="0.3">
      <c r="I813" s="7"/>
      <c r="J813" s="9"/>
      <c r="K813" s="9"/>
      <c r="L813" s="9"/>
      <c r="M813" s="9"/>
      <c r="N813" s="4"/>
    </row>
    <row r="814" spans="9:14" x14ac:dyDescent="0.3">
      <c r="I814" s="7"/>
      <c r="J814" s="9"/>
      <c r="K814" s="9"/>
      <c r="L814" s="9"/>
      <c r="M814" s="9"/>
      <c r="N814" s="4"/>
    </row>
    <row r="815" spans="9:14" x14ac:dyDescent="0.3">
      <c r="I815" s="7"/>
      <c r="J815" s="9"/>
      <c r="K815" s="9"/>
      <c r="L815" s="9"/>
      <c r="M815" s="9"/>
      <c r="N815" s="4"/>
    </row>
    <row r="816" spans="9:14" x14ac:dyDescent="0.3">
      <c r="I816" s="7"/>
      <c r="J816" s="9"/>
      <c r="K816" s="9"/>
      <c r="L816" s="9"/>
      <c r="M816" s="9"/>
      <c r="N816" s="4"/>
    </row>
    <row r="817" spans="9:14" x14ac:dyDescent="0.3">
      <c r="I817" s="7"/>
      <c r="J817" s="9"/>
      <c r="K817" s="9"/>
      <c r="L817" s="9"/>
      <c r="M817" s="9"/>
      <c r="N817" s="4"/>
    </row>
    <row r="818" spans="9:14" x14ac:dyDescent="0.3">
      <c r="I818" s="7"/>
      <c r="J818" s="9"/>
      <c r="K818" s="9"/>
      <c r="L818" s="9"/>
      <c r="M818" s="9"/>
      <c r="N818" s="4"/>
    </row>
    <row r="819" spans="9:14" x14ac:dyDescent="0.3">
      <c r="I819" s="7"/>
      <c r="J819" s="9"/>
      <c r="K819" s="9"/>
      <c r="L819" s="9"/>
      <c r="M819" s="9"/>
      <c r="N819" s="4"/>
    </row>
    <row r="820" spans="9:14" x14ac:dyDescent="0.3">
      <c r="I820" s="7"/>
      <c r="J820" s="9"/>
      <c r="K820" s="9"/>
      <c r="L820" s="9"/>
      <c r="M820" s="9"/>
      <c r="N820" s="4"/>
    </row>
    <row r="821" spans="9:14" x14ac:dyDescent="0.3">
      <c r="I821" s="7"/>
      <c r="J821" s="9"/>
      <c r="K821" s="9"/>
      <c r="L821" s="9"/>
      <c r="M821" s="9"/>
      <c r="N821" s="4"/>
    </row>
    <row r="822" spans="9:14" x14ac:dyDescent="0.3">
      <c r="I822" s="7"/>
      <c r="J822" s="9"/>
      <c r="K822" s="9"/>
      <c r="L822" s="9"/>
      <c r="M822" s="9"/>
      <c r="N822" s="4"/>
    </row>
    <row r="823" spans="9:14" x14ac:dyDescent="0.3">
      <c r="I823" s="7"/>
      <c r="J823" s="9"/>
      <c r="K823" s="9"/>
      <c r="L823" s="9"/>
      <c r="M823" s="9"/>
      <c r="N823" s="4"/>
    </row>
    <row r="824" spans="9:14" x14ac:dyDescent="0.3">
      <c r="I824" s="7"/>
      <c r="J824" s="9"/>
      <c r="K824" s="9"/>
      <c r="L824" s="9"/>
      <c r="M824" s="9"/>
      <c r="N824" s="4"/>
    </row>
    <row r="825" spans="9:14" x14ac:dyDescent="0.3">
      <c r="I825" s="7"/>
      <c r="J825" s="9"/>
      <c r="K825" s="9"/>
      <c r="L825" s="9"/>
      <c r="M825" s="9"/>
      <c r="N825" s="4"/>
    </row>
    <row r="826" spans="9:14" x14ac:dyDescent="0.3">
      <c r="I826" s="7"/>
      <c r="J826" s="9"/>
      <c r="K826" s="9"/>
      <c r="L826" s="9"/>
      <c r="M826" s="9"/>
      <c r="N826" s="4"/>
    </row>
    <row r="827" spans="9:14" x14ac:dyDescent="0.3">
      <c r="I827" s="7"/>
      <c r="J827" s="9"/>
      <c r="K827" s="9"/>
      <c r="L827" s="9"/>
      <c r="M827" s="9"/>
      <c r="N827" s="4"/>
    </row>
    <row r="828" spans="9:14" x14ac:dyDescent="0.3">
      <c r="I828" s="7"/>
      <c r="J828" s="9"/>
      <c r="K828" s="9"/>
      <c r="L828" s="9"/>
      <c r="M828" s="9"/>
      <c r="N828" s="4"/>
    </row>
    <row r="829" spans="9:14" x14ac:dyDescent="0.3">
      <c r="I829" s="7"/>
      <c r="J829" s="9"/>
      <c r="K829" s="9"/>
      <c r="L829" s="9"/>
      <c r="M829" s="9"/>
      <c r="N829" s="4"/>
    </row>
    <row r="830" spans="9:14" x14ac:dyDescent="0.3">
      <c r="I830" s="7"/>
      <c r="J830" s="9"/>
      <c r="K830" s="9"/>
      <c r="L830" s="9"/>
      <c r="M830" s="9"/>
      <c r="N830" s="4"/>
    </row>
    <row r="831" spans="9:14" x14ac:dyDescent="0.3">
      <c r="I831" s="7"/>
      <c r="J831" s="9"/>
      <c r="K831" s="9"/>
      <c r="L831" s="9"/>
      <c r="M831" s="9"/>
      <c r="N831" s="4"/>
    </row>
    <row r="832" spans="9:14" x14ac:dyDescent="0.3">
      <c r="I832" s="7"/>
      <c r="J832" s="9"/>
      <c r="K832" s="9"/>
      <c r="L832" s="9"/>
      <c r="M832" s="9"/>
      <c r="N832" s="4"/>
    </row>
    <row r="833" spans="9:14" x14ac:dyDescent="0.3">
      <c r="I833" s="7"/>
      <c r="J833" s="9"/>
      <c r="K833" s="9"/>
      <c r="L833" s="9"/>
      <c r="M833" s="9"/>
      <c r="N833" s="4"/>
    </row>
    <row r="834" spans="9:14" x14ac:dyDescent="0.3">
      <c r="I834" s="7"/>
      <c r="J834" s="9"/>
      <c r="K834" s="9"/>
      <c r="L834" s="9"/>
      <c r="M834" s="9"/>
      <c r="N834" s="4"/>
    </row>
    <row r="835" spans="9:14" x14ac:dyDescent="0.3">
      <c r="I835" s="7"/>
      <c r="J835" s="9"/>
      <c r="K835" s="9"/>
      <c r="L835" s="9"/>
      <c r="M835" s="9"/>
      <c r="N835" s="4"/>
    </row>
    <row r="836" spans="9:14" x14ac:dyDescent="0.3">
      <c r="I836" s="7"/>
      <c r="J836" s="9"/>
      <c r="K836" s="9"/>
      <c r="L836" s="9"/>
      <c r="M836" s="9"/>
      <c r="N836" s="4"/>
    </row>
    <row r="837" spans="9:14" x14ac:dyDescent="0.3">
      <c r="I837" s="7"/>
      <c r="J837" s="9"/>
      <c r="K837" s="9"/>
      <c r="L837" s="9"/>
      <c r="M837" s="9"/>
      <c r="N837" s="4"/>
    </row>
    <row r="838" spans="9:14" x14ac:dyDescent="0.3">
      <c r="I838" s="7"/>
      <c r="J838" s="9"/>
      <c r="K838" s="9"/>
      <c r="L838" s="9"/>
      <c r="M838" s="9"/>
      <c r="N838" s="4"/>
    </row>
    <row r="839" spans="9:14" x14ac:dyDescent="0.3">
      <c r="I839" s="7"/>
      <c r="J839" s="9"/>
      <c r="K839" s="9"/>
      <c r="L839" s="9"/>
      <c r="M839" s="9"/>
      <c r="N839" s="4"/>
    </row>
    <row r="840" spans="9:14" x14ac:dyDescent="0.3">
      <c r="I840" s="7"/>
      <c r="J840" s="9"/>
      <c r="K840" s="9"/>
      <c r="L840" s="9"/>
      <c r="M840" s="9"/>
      <c r="N840" s="4"/>
    </row>
    <row r="841" spans="9:14" x14ac:dyDescent="0.3">
      <c r="I841" s="7"/>
      <c r="J841" s="9"/>
      <c r="K841" s="9"/>
      <c r="L841" s="9"/>
      <c r="M841" s="9"/>
      <c r="N841" s="4"/>
    </row>
    <row r="842" spans="9:14" x14ac:dyDescent="0.3">
      <c r="I842" s="7"/>
      <c r="J842" s="9"/>
      <c r="K842" s="9"/>
      <c r="L842" s="9"/>
      <c r="M842" s="9"/>
      <c r="N842" s="4"/>
    </row>
    <row r="843" spans="9:14" x14ac:dyDescent="0.3">
      <c r="I843" s="7"/>
      <c r="J843" s="9"/>
      <c r="K843" s="9"/>
      <c r="L843" s="9"/>
      <c r="M843" s="9"/>
      <c r="N843" s="4"/>
    </row>
    <row r="844" spans="9:14" x14ac:dyDescent="0.3">
      <c r="I844" s="7"/>
      <c r="J844" s="9"/>
      <c r="K844" s="9"/>
      <c r="L844" s="9"/>
      <c r="M844" s="9"/>
      <c r="N844" s="4"/>
    </row>
    <row r="845" spans="9:14" x14ac:dyDescent="0.3">
      <c r="I845" s="7"/>
      <c r="J845" s="9"/>
      <c r="K845" s="9"/>
      <c r="L845" s="9"/>
      <c r="M845" s="9"/>
      <c r="N845" s="4"/>
    </row>
    <row r="846" spans="9:14" x14ac:dyDescent="0.3">
      <c r="I846" s="7"/>
      <c r="J846" s="9"/>
      <c r="K846" s="9"/>
      <c r="L846" s="9"/>
      <c r="M846" s="9"/>
      <c r="N846" s="4"/>
    </row>
    <row r="847" spans="9:14" x14ac:dyDescent="0.3">
      <c r="I847" s="7"/>
      <c r="J847" s="9"/>
      <c r="K847" s="9"/>
      <c r="L847" s="9"/>
      <c r="M847" s="9"/>
      <c r="N847" s="4"/>
    </row>
    <row r="848" spans="9:14" x14ac:dyDescent="0.3">
      <c r="I848" s="7"/>
      <c r="J848" s="9"/>
      <c r="K848" s="9"/>
      <c r="L848" s="9"/>
      <c r="M848" s="9"/>
      <c r="N848" s="4"/>
    </row>
    <row r="849" spans="9:14" x14ac:dyDescent="0.3">
      <c r="I849" s="7"/>
      <c r="J849" s="9"/>
      <c r="K849" s="9"/>
      <c r="L849" s="9"/>
      <c r="M849" s="9"/>
      <c r="N849" s="4"/>
    </row>
    <row r="850" spans="9:14" x14ac:dyDescent="0.3">
      <c r="I850" s="7"/>
      <c r="J850" s="9"/>
      <c r="K850" s="9"/>
      <c r="L850" s="9"/>
      <c r="M850" s="9"/>
      <c r="N850" s="4"/>
    </row>
    <row r="851" spans="9:14" x14ac:dyDescent="0.3">
      <c r="I851" s="7"/>
      <c r="J851" s="9"/>
      <c r="K851" s="9"/>
      <c r="L851" s="9"/>
      <c r="M851" s="9"/>
      <c r="N851" s="4"/>
    </row>
    <row r="852" spans="9:14" x14ac:dyDescent="0.3">
      <c r="I852" s="7"/>
      <c r="J852" s="9"/>
      <c r="K852" s="9"/>
      <c r="L852" s="9"/>
      <c r="M852" s="9"/>
      <c r="N852" s="4"/>
    </row>
    <row r="853" spans="9:14" x14ac:dyDescent="0.3">
      <c r="I853" s="7"/>
      <c r="J853" s="9"/>
      <c r="K853" s="9"/>
      <c r="L853" s="9"/>
      <c r="M853" s="9"/>
      <c r="N853" s="4"/>
    </row>
    <row r="854" spans="9:14" x14ac:dyDescent="0.3">
      <c r="I854" s="7"/>
      <c r="J854" s="9"/>
      <c r="K854" s="9"/>
      <c r="L854" s="9"/>
      <c r="M854" s="9"/>
      <c r="N854" s="4"/>
    </row>
    <row r="855" spans="9:14" x14ac:dyDescent="0.3">
      <c r="I855" s="7"/>
      <c r="J855" s="9"/>
      <c r="K855" s="9"/>
      <c r="L855" s="9"/>
      <c r="M855" s="9"/>
      <c r="N855" s="4"/>
    </row>
    <row r="856" spans="9:14" x14ac:dyDescent="0.3">
      <c r="I856" s="7"/>
      <c r="J856" s="9"/>
      <c r="K856" s="9"/>
      <c r="L856" s="9"/>
      <c r="M856" s="9"/>
      <c r="N856" s="4"/>
    </row>
    <row r="857" spans="9:14" x14ac:dyDescent="0.3">
      <c r="I857" s="7"/>
      <c r="J857" s="9"/>
      <c r="K857" s="9"/>
      <c r="L857" s="9"/>
      <c r="M857" s="9"/>
      <c r="N857" s="4"/>
    </row>
    <row r="858" spans="9:14" x14ac:dyDescent="0.3">
      <c r="I858" s="7"/>
      <c r="J858" s="9"/>
      <c r="K858" s="9"/>
      <c r="L858" s="9"/>
      <c r="M858" s="9"/>
      <c r="N858" s="4"/>
    </row>
    <row r="859" spans="9:14" x14ac:dyDescent="0.3">
      <c r="I859" s="7"/>
      <c r="J859" s="9"/>
      <c r="K859" s="9"/>
      <c r="L859" s="9"/>
      <c r="M859" s="9"/>
      <c r="N859" s="4"/>
    </row>
    <row r="860" spans="9:14" x14ac:dyDescent="0.3">
      <c r="I860" s="7"/>
      <c r="J860" s="9"/>
      <c r="K860" s="9"/>
      <c r="L860" s="9"/>
      <c r="M860" s="9"/>
      <c r="N860" s="4"/>
    </row>
    <row r="861" spans="9:14" x14ac:dyDescent="0.3">
      <c r="I861" s="7"/>
      <c r="J861" s="9"/>
      <c r="K861" s="9"/>
      <c r="L861" s="9"/>
      <c r="M861" s="9"/>
      <c r="N861" s="4"/>
    </row>
    <row r="862" spans="9:14" x14ac:dyDescent="0.3">
      <c r="I862" s="7"/>
      <c r="J862" s="9"/>
      <c r="K862" s="9"/>
      <c r="L862" s="9"/>
      <c r="M862" s="9"/>
      <c r="N862" s="4"/>
    </row>
    <row r="863" spans="9:14" x14ac:dyDescent="0.3">
      <c r="I863" s="7"/>
      <c r="J863" s="9"/>
      <c r="K863" s="9"/>
      <c r="L863" s="9"/>
      <c r="M863" s="9"/>
      <c r="N863" s="4"/>
    </row>
    <row r="864" spans="9:14" x14ac:dyDescent="0.3">
      <c r="I864" s="7"/>
      <c r="J864" s="9"/>
      <c r="K864" s="9"/>
      <c r="L864" s="9"/>
      <c r="M864" s="9"/>
      <c r="N864" s="4"/>
    </row>
    <row r="865" spans="9:14" x14ac:dyDescent="0.3">
      <c r="I865" s="7"/>
      <c r="J865" s="9"/>
      <c r="K865" s="9"/>
      <c r="L865" s="9"/>
      <c r="M865" s="9"/>
      <c r="N865" s="4"/>
    </row>
    <row r="866" spans="9:14" x14ac:dyDescent="0.3">
      <c r="I866" s="7"/>
      <c r="J866" s="9"/>
      <c r="K866" s="9"/>
      <c r="L866" s="9"/>
      <c r="M866" s="9"/>
      <c r="N866" s="4"/>
    </row>
    <row r="867" spans="9:14" x14ac:dyDescent="0.3">
      <c r="I867" s="7"/>
      <c r="J867" s="9"/>
      <c r="K867" s="9"/>
      <c r="L867" s="9"/>
      <c r="M867" s="9"/>
      <c r="N867" s="4"/>
    </row>
    <row r="868" spans="9:14" x14ac:dyDescent="0.3">
      <c r="I868" s="7"/>
      <c r="J868" s="9"/>
      <c r="K868" s="9"/>
      <c r="L868" s="9"/>
      <c r="M868" s="9"/>
      <c r="N868" s="4"/>
    </row>
    <row r="869" spans="9:14" x14ac:dyDescent="0.3">
      <c r="I869" s="7"/>
      <c r="J869" s="9"/>
      <c r="K869" s="9"/>
      <c r="L869" s="9"/>
      <c r="M869" s="9"/>
      <c r="N869" s="4"/>
    </row>
    <row r="870" spans="9:14" x14ac:dyDescent="0.3">
      <c r="I870" s="7"/>
      <c r="J870" s="9"/>
      <c r="K870" s="9"/>
      <c r="L870" s="9"/>
      <c r="M870" s="9"/>
      <c r="N870" s="4"/>
    </row>
    <row r="871" spans="9:14" x14ac:dyDescent="0.3">
      <c r="I871" s="7"/>
      <c r="J871" s="9"/>
      <c r="K871" s="9"/>
      <c r="L871" s="9"/>
      <c r="M871" s="9"/>
      <c r="N871" s="4"/>
    </row>
    <row r="872" spans="9:14" x14ac:dyDescent="0.3">
      <c r="I872" s="7"/>
      <c r="J872" s="9"/>
      <c r="K872" s="9"/>
      <c r="L872" s="9"/>
      <c r="M872" s="9"/>
      <c r="N872" s="4"/>
    </row>
    <row r="873" spans="9:14" x14ac:dyDescent="0.3">
      <c r="I873" s="7"/>
      <c r="J873" s="9"/>
      <c r="K873" s="9"/>
      <c r="L873" s="9"/>
      <c r="M873" s="9"/>
      <c r="N873" s="4"/>
    </row>
    <row r="874" spans="9:14" x14ac:dyDescent="0.3">
      <c r="I874" s="7"/>
      <c r="J874" s="9"/>
      <c r="K874" s="9"/>
      <c r="L874" s="9"/>
      <c r="M874" s="9"/>
      <c r="N874" s="4"/>
    </row>
    <row r="875" spans="9:14" x14ac:dyDescent="0.3">
      <c r="I875" s="7"/>
      <c r="J875" s="9"/>
      <c r="K875" s="9"/>
      <c r="L875" s="9"/>
      <c r="M875" s="9"/>
      <c r="N875" s="4"/>
    </row>
    <row r="876" spans="9:14" x14ac:dyDescent="0.3">
      <c r="I876" s="7"/>
      <c r="J876" s="9"/>
      <c r="K876" s="9"/>
      <c r="L876" s="9"/>
      <c r="M876" s="9"/>
      <c r="N876" s="4"/>
    </row>
    <row r="877" spans="9:14" x14ac:dyDescent="0.3">
      <c r="I877" s="7"/>
      <c r="J877" s="9"/>
      <c r="K877" s="9"/>
      <c r="L877" s="9"/>
      <c r="M877" s="9"/>
      <c r="N877" s="4"/>
    </row>
    <row r="878" spans="9:14" x14ac:dyDescent="0.3">
      <c r="I878" s="7"/>
      <c r="J878" s="9"/>
      <c r="K878" s="9"/>
      <c r="L878" s="9"/>
      <c r="M878" s="9"/>
      <c r="N878" s="4"/>
    </row>
    <row r="879" spans="9:14" x14ac:dyDescent="0.3">
      <c r="I879" s="7"/>
      <c r="J879" s="9"/>
      <c r="K879" s="9"/>
      <c r="L879" s="9"/>
      <c r="M879" s="9"/>
      <c r="N879" s="4"/>
    </row>
    <row r="880" spans="9:14" x14ac:dyDescent="0.3">
      <c r="I880" s="7"/>
      <c r="J880" s="9"/>
      <c r="K880" s="9"/>
      <c r="L880" s="9"/>
      <c r="M880" s="9"/>
      <c r="N880" s="4"/>
    </row>
    <row r="881" spans="9:14" x14ac:dyDescent="0.3">
      <c r="I881" s="7"/>
      <c r="J881" s="9"/>
      <c r="K881" s="9"/>
      <c r="L881" s="9"/>
      <c r="M881" s="9"/>
      <c r="N881" s="4"/>
    </row>
    <row r="882" spans="9:14" x14ac:dyDescent="0.3">
      <c r="I882" s="7"/>
      <c r="J882" s="9"/>
      <c r="K882" s="9"/>
      <c r="L882" s="9"/>
      <c r="M882" s="9"/>
      <c r="N882" s="4"/>
    </row>
    <row r="883" spans="9:14" x14ac:dyDescent="0.3">
      <c r="I883" s="7"/>
      <c r="J883" s="9"/>
      <c r="K883" s="9"/>
      <c r="L883" s="9"/>
      <c r="M883" s="9"/>
      <c r="N883" s="4"/>
    </row>
    <row r="884" spans="9:14" x14ac:dyDescent="0.3">
      <c r="I884" s="7"/>
      <c r="J884" s="9"/>
      <c r="K884" s="9"/>
      <c r="L884" s="9"/>
      <c r="M884" s="9"/>
      <c r="N884" s="4"/>
    </row>
    <row r="885" spans="9:14" x14ac:dyDescent="0.3">
      <c r="I885" s="7"/>
      <c r="J885" s="9"/>
      <c r="K885" s="9"/>
      <c r="L885" s="9"/>
      <c r="M885" s="9"/>
      <c r="N885" s="4"/>
    </row>
    <row r="886" spans="9:14" x14ac:dyDescent="0.3">
      <c r="I886" s="7"/>
      <c r="J886" s="9"/>
      <c r="K886" s="9"/>
      <c r="L886" s="9"/>
      <c r="M886" s="9"/>
      <c r="N886" s="4"/>
    </row>
    <row r="887" spans="9:14" x14ac:dyDescent="0.3">
      <c r="I887" s="7"/>
      <c r="J887" s="9"/>
      <c r="K887" s="9"/>
      <c r="L887" s="9"/>
      <c r="M887" s="9"/>
      <c r="N887" s="4"/>
    </row>
    <row r="888" spans="9:14" x14ac:dyDescent="0.3">
      <c r="I888" s="7"/>
      <c r="J888" s="9"/>
      <c r="K888" s="9"/>
      <c r="L888" s="9"/>
      <c r="M888" s="9"/>
      <c r="N888" s="4"/>
    </row>
    <row r="889" spans="9:14" x14ac:dyDescent="0.3">
      <c r="I889" s="7"/>
      <c r="J889" s="9"/>
      <c r="K889" s="9"/>
      <c r="L889" s="9"/>
      <c r="M889" s="9"/>
      <c r="N889" s="4"/>
    </row>
    <row r="890" spans="9:14" x14ac:dyDescent="0.3">
      <c r="I890" s="7"/>
      <c r="J890" s="9"/>
      <c r="K890" s="9"/>
      <c r="L890" s="9"/>
      <c r="M890" s="9"/>
      <c r="N890" s="4"/>
    </row>
    <row r="891" spans="9:14" x14ac:dyDescent="0.3">
      <c r="I891" s="7"/>
      <c r="J891" s="9"/>
      <c r="K891" s="9"/>
      <c r="L891" s="9"/>
      <c r="M891" s="9"/>
      <c r="N891" s="4"/>
    </row>
    <row r="892" spans="9:14" x14ac:dyDescent="0.3">
      <c r="I892" s="7"/>
      <c r="J892" s="9"/>
      <c r="K892" s="9"/>
      <c r="L892" s="9"/>
      <c r="M892" s="9"/>
      <c r="N892" s="4"/>
    </row>
    <row r="893" spans="9:14" x14ac:dyDescent="0.3">
      <c r="I893" s="7"/>
      <c r="J893" s="9"/>
      <c r="K893" s="9"/>
      <c r="L893" s="9"/>
      <c r="M893" s="9"/>
      <c r="N893" s="4"/>
    </row>
    <row r="894" spans="9:14" x14ac:dyDescent="0.3">
      <c r="I894" s="7"/>
      <c r="J894" s="9"/>
      <c r="K894" s="9"/>
      <c r="L894" s="9"/>
      <c r="M894" s="9"/>
      <c r="N894" s="4"/>
    </row>
    <row r="895" spans="9:14" x14ac:dyDescent="0.3">
      <c r="I895" s="7"/>
      <c r="J895" s="9"/>
      <c r="K895" s="9"/>
      <c r="L895" s="9"/>
      <c r="M895" s="9"/>
      <c r="N895" s="4"/>
    </row>
    <row r="896" spans="9:14" x14ac:dyDescent="0.3">
      <c r="I896" s="7"/>
      <c r="J896" s="9"/>
      <c r="K896" s="9"/>
      <c r="L896" s="9"/>
      <c r="M896" s="9"/>
      <c r="N896" s="4"/>
    </row>
    <row r="897" spans="9:14" x14ac:dyDescent="0.3">
      <c r="I897" s="7"/>
      <c r="J897" s="9"/>
      <c r="K897" s="9"/>
      <c r="L897" s="9"/>
      <c r="M897" s="9"/>
      <c r="N897" s="4"/>
    </row>
    <row r="898" spans="9:14" x14ac:dyDescent="0.3">
      <c r="I898" s="7"/>
      <c r="J898" s="9"/>
      <c r="K898" s="9"/>
      <c r="L898" s="9"/>
      <c r="M898" s="9"/>
      <c r="N898" s="4"/>
    </row>
    <row r="899" spans="9:14" x14ac:dyDescent="0.3">
      <c r="I899" s="7"/>
      <c r="J899" s="9"/>
      <c r="K899" s="9"/>
      <c r="L899" s="9"/>
      <c r="M899" s="9"/>
      <c r="N899" s="4"/>
    </row>
    <row r="900" spans="9:14" x14ac:dyDescent="0.3">
      <c r="I900" s="7"/>
      <c r="J900" s="9"/>
      <c r="K900" s="9"/>
      <c r="L900" s="9"/>
      <c r="M900" s="9"/>
      <c r="N900" s="4"/>
    </row>
    <row r="901" spans="9:14" x14ac:dyDescent="0.3">
      <c r="I901" s="7"/>
      <c r="J901" s="9"/>
      <c r="K901" s="9"/>
      <c r="L901" s="9"/>
      <c r="M901" s="9"/>
      <c r="N901" s="4"/>
    </row>
    <row r="902" spans="9:14" x14ac:dyDescent="0.3">
      <c r="I902" s="7"/>
      <c r="J902" s="9"/>
      <c r="K902" s="9"/>
      <c r="L902" s="9"/>
      <c r="M902" s="9"/>
      <c r="N902" s="4"/>
    </row>
    <row r="903" spans="9:14" x14ac:dyDescent="0.3">
      <c r="I903" s="7"/>
      <c r="J903" s="9"/>
      <c r="K903" s="9"/>
      <c r="L903" s="9"/>
      <c r="M903" s="9"/>
      <c r="N903" s="4"/>
    </row>
    <row r="904" spans="9:14" x14ac:dyDescent="0.3">
      <c r="I904" s="7"/>
      <c r="J904" s="9"/>
      <c r="K904" s="9"/>
      <c r="L904" s="9"/>
      <c r="M904" s="9"/>
      <c r="N904" s="4"/>
    </row>
    <row r="905" spans="9:14" x14ac:dyDescent="0.3">
      <c r="I905" s="7"/>
      <c r="J905" s="9"/>
      <c r="K905" s="9"/>
      <c r="L905" s="9"/>
      <c r="M905" s="9"/>
      <c r="N905" s="4"/>
    </row>
    <row r="906" spans="9:14" x14ac:dyDescent="0.3">
      <c r="I906" s="7"/>
      <c r="J906" s="9"/>
      <c r="K906" s="9"/>
      <c r="L906" s="9"/>
      <c r="M906" s="9"/>
      <c r="N906" s="4"/>
    </row>
    <row r="907" spans="9:14" x14ac:dyDescent="0.3">
      <c r="I907" s="7"/>
      <c r="J907" s="9"/>
      <c r="K907" s="9"/>
      <c r="L907" s="9"/>
      <c r="M907" s="9"/>
      <c r="N907" s="4"/>
    </row>
    <row r="908" spans="9:14" x14ac:dyDescent="0.3">
      <c r="I908" s="7"/>
      <c r="J908" s="9"/>
      <c r="K908" s="9"/>
      <c r="L908" s="9"/>
      <c r="M908" s="9"/>
      <c r="N908" s="4"/>
    </row>
    <row r="909" spans="9:14" x14ac:dyDescent="0.3">
      <c r="I909" s="7"/>
      <c r="J909" s="9"/>
      <c r="K909" s="9"/>
      <c r="L909" s="9"/>
      <c r="M909" s="9"/>
      <c r="N909" s="4"/>
    </row>
    <row r="910" spans="9:14" x14ac:dyDescent="0.3">
      <c r="I910" s="7"/>
      <c r="J910" s="9"/>
      <c r="K910" s="9"/>
      <c r="L910" s="9"/>
      <c r="M910" s="9"/>
      <c r="N910" s="4"/>
    </row>
    <row r="911" spans="9:14" x14ac:dyDescent="0.3">
      <c r="I911" s="7"/>
      <c r="J911" s="9"/>
      <c r="K911" s="9"/>
      <c r="L911" s="9"/>
      <c r="M911" s="9"/>
      <c r="N911" s="4"/>
    </row>
    <row r="912" spans="9:14" x14ac:dyDescent="0.3">
      <c r="I912" s="7"/>
      <c r="J912" s="9"/>
      <c r="K912" s="9"/>
      <c r="L912" s="9"/>
      <c r="M912" s="9"/>
      <c r="N912" s="4"/>
    </row>
    <row r="913" spans="9:14" x14ac:dyDescent="0.3">
      <c r="I913" s="7"/>
      <c r="J913" s="9"/>
      <c r="K913" s="9"/>
      <c r="L913" s="9"/>
      <c r="M913" s="9"/>
      <c r="N913" s="4"/>
    </row>
    <row r="914" spans="9:14" x14ac:dyDescent="0.3">
      <c r="I914" s="7"/>
      <c r="J914" s="9"/>
      <c r="K914" s="9"/>
      <c r="L914" s="9"/>
      <c r="M914" s="9"/>
      <c r="N914" s="4"/>
    </row>
    <row r="915" spans="9:14" x14ac:dyDescent="0.3">
      <c r="I915" s="7"/>
      <c r="J915" s="9"/>
      <c r="K915" s="9"/>
      <c r="L915" s="9"/>
      <c r="M915" s="9"/>
      <c r="N915" s="4"/>
    </row>
    <row r="916" spans="9:14" x14ac:dyDescent="0.3">
      <c r="I916" s="7"/>
      <c r="J916" s="9"/>
      <c r="K916" s="9"/>
      <c r="L916" s="9"/>
      <c r="M916" s="9"/>
      <c r="N916" s="4"/>
    </row>
    <row r="917" spans="9:14" x14ac:dyDescent="0.3">
      <c r="I917" s="7"/>
      <c r="J917" s="9"/>
      <c r="K917" s="9"/>
      <c r="L917" s="9"/>
      <c r="M917" s="9"/>
      <c r="N917" s="4"/>
    </row>
    <row r="918" spans="9:14" x14ac:dyDescent="0.3">
      <c r="I918" s="7"/>
      <c r="J918" s="9"/>
      <c r="K918" s="9"/>
      <c r="L918" s="9"/>
      <c r="M918" s="9"/>
      <c r="N918" s="4"/>
    </row>
    <row r="919" spans="9:14" x14ac:dyDescent="0.3">
      <c r="I919" s="7"/>
      <c r="J919" s="9"/>
      <c r="K919" s="9"/>
      <c r="L919" s="9"/>
      <c r="M919" s="9"/>
      <c r="N919" s="4"/>
    </row>
    <row r="920" spans="9:14" x14ac:dyDescent="0.3">
      <c r="I920" s="7"/>
      <c r="J920" s="9"/>
      <c r="K920" s="9"/>
      <c r="L920" s="9"/>
      <c r="M920" s="9"/>
      <c r="N920" s="4"/>
    </row>
    <row r="921" spans="9:14" x14ac:dyDescent="0.3">
      <c r="I921" s="7"/>
      <c r="J921" s="9"/>
      <c r="K921" s="9"/>
      <c r="L921" s="9"/>
      <c r="M921" s="9"/>
      <c r="N921" s="4"/>
    </row>
    <row r="922" spans="9:14" x14ac:dyDescent="0.3">
      <c r="I922" s="7"/>
      <c r="J922" s="9"/>
      <c r="K922" s="9"/>
      <c r="L922" s="9"/>
      <c r="M922" s="9"/>
      <c r="N922" s="4"/>
    </row>
    <row r="923" spans="9:14" x14ac:dyDescent="0.3">
      <c r="I923" s="7"/>
      <c r="J923" s="9"/>
      <c r="K923" s="9"/>
      <c r="L923" s="9"/>
      <c r="M923" s="9"/>
      <c r="N923" s="4"/>
    </row>
    <row r="924" spans="9:14" x14ac:dyDescent="0.3">
      <c r="I924" s="7"/>
      <c r="J924" s="9"/>
      <c r="K924" s="9"/>
      <c r="L924" s="9"/>
      <c r="M924" s="9"/>
      <c r="N924" s="4"/>
    </row>
    <row r="925" spans="9:14" x14ac:dyDescent="0.3">
      <c r="I925" s="7"/>
      <c r="J925" s="9"/>
      <c r="K925" s="9"/>
      <c r="L925" s="9"/>
      <c r="M925" s="9"/>
      <c r="N925" s="4"/>
    </row>
    <row r="926" spans="9:14" x14ac:dyDescent="0.3">
      <c r="I926" s="7"/>
      <c r="J926" s="9"/>
      <c r="K926" s="9"/>
      <c r="L926" s="9"/>
      <c r="M926" s="9"/>
      <c r="N926" s="4"/>
    </row>
    <row r="927" spans="9:14" x14ac:dyDescent="0.3">
      <c r="I927" s="7"/>
      <c r="J927" s="9"/>
      <c r="K927" s="9"/>
      <c r="L927" s="9"/>
      <c r="M927" s="9"/>
      <c r="N927" s="4"/>
    </row>
    <row r="928" spans="9:14" x14ac:dyDescent="0.3">
      <c r="I928" s="7"/>
      <c r="J928" s="9"/>
      <c r="K928" s="9"/>
      <c r="L928" s="9"/>
      <c r="M928" s="9"/>
      <c r="N928" s="4"/>
    </row>
    <row r="929" spans="9:14" x14ac:dyDescent="0.3">
      <c r="I929" s="7"/>
      <c r="J929" s="9"/>
      <c r="K929" s="9"/>
      <c r="L929" s="9"/>
      <c r="M929" s="9"/>
      <c r="N929" s="4"/>
    </row>
    <row r="930" spans="9:14" x14ac:dyDescent="0.3">
      <c r="I930" s="7"/>
      <c r="J930" s="9"/>
      <c r="K930" s="9"/>
      <c r="L930" s="9"/>
      <c r="M930" s="9"/>
      <c r="N930" s="4"/>
    </row>
    <row r="931" spans="9:14" x14ac:dyDescent="0.3">
      <c r="I931" s="7"/>
      <c r="J931" s="9"/>
      <c r="K931" s="9"/>
      <c r="L931" s="9"/>
      <c r="M931" s="9"/>
      <c r="N931" s="4"/>
    </row>
    <row r="932" spans="9:14" x14ac:dyDescent="0.3">
      <c r="I932" s="7"/>
      <c r="J932" s="9"/>
      <c r="K932" s="9"/>
      <c r="L932" s="9"/>
      <c r="M932" s="9"/>
      <c r="N932" s="4"/>
    </row>
    <row r="933" spans="9:14" x14ac:dyDescent="0.3">
      <c r="I933" s="7"/>
      <c r="J933" s="9"/>
      <c r="K933" s="9"/>
      <c r="L933" s="9"/>
      <c r="M933" s="9"/>
      <c r="N933" s="4"/>
    </row>
    <row r="934" spans="9:14" x14ac:dyDescent="0.3">
      <c r="I934" s="7"/>
      <c r="J934" s="9"/>
      <c r="K934" s="9"/>
      <c r="L934" s="9"/>
      <c r="M934" s="9"/>
      <c r="N934" s="4"/>
    </row>
    <row r="935" spans="9:14" x14ac:dyDescent="0.3">
      <c r="I935" s="7"/>
      <c r="J935" s="9"/>
      <c r="K935" s="9"/>
      <c r="L935" s="9"/>
      <c r="M935" s="9"/>
      <c r="N935" s="4"/>
    </row>
    <row r="936" spans="9:14" x14ac:dyDescent="0.3">
      <c r="I936" s="7"/>
      <c r="J936" s="9"/>
      <c r="K936" s="9"/>
      <c r="L936" s="9"/>
      <c r="M936" s="9"/>
      <c r="N936" s="4"/>
    </row>
    <row r="937" spans="9:14" x14ac:dyDescent="0.3">
      <c r="I937" s="7"/>
      <c r="J937" s="9"/>
      <c r="K937" s="9"/>
      <c r="L937" s="9"/>
      <c r="M937" s="9"/>
      <c r="N937" s="4"/>
    </row>
    <row r="938" spans="9:14" x14ac:dyDescent="0.3">
      <c r="I938" s="7"/>
      <c r="J938" s="9"/>
      <c r="K938" s="9"/>
      <c r="L938" s="9"/>
      <c r="M938" s="9"/>
      <c r="N938" s="4"/>
    </row>
    <row r="939" spans="9:14" x14ac:dyDescent="0.3">
      <c r="I939" s="7"/>
      <c r="J939" s="9"/>
      <c r="K939" s="9"/>
      <c r="L939" s="9"/>
      <c r="M939" s="9"/>
      <c r="N939" s="4"/>
    </row>
    <row r="940" spans="9:14" x14ac:dyDescent="0.3">
      <c r="I940" s="7"/>
      <c r="J940" s="9"/>
      <c r="K940" s="9"/>
      <c r="L940" s="9"/>
      <c r="M940" s="9"/>
      <c r="N940" s="4"/>
    </row>
    <row r="941" spans="9:14" x14ac:dyDescent="0.3">
      <c r="I941" s="7"/>
      <c r="J941" s="9"/>
      <c r="K941" s="9"/>
      <c r="L941" s="9"/>
      <c r="M941" s="9"/>
      <c r="N941" s="4"/>
    </row>
    <row r="942" spans="9:14" x14ac:dyDescent="0.3">
      <c r="I942" s="7"/>
      <c r="J942" s="9"/>
      <c r="K942" s="9"/>
      <c r="L942" s="9"/>
      <c r="M942" s="9"/>
      <c r="N942" s="4"/>
    </row>
    <row r="943" spans="9:14" x14ac:dyDescent="0.3">
      <c r="I943" s="7"/>
      <c r="J943" s="9"/>
      <c r="K943" s="9"/>
      <c r="L943" s="9"/>
      <c r="M943" s="9"/>
      <c r="N943" s="4"/>
    </row>
    <row r="944" spans="9:14" x14ac:dyDescent="0.3">
      <c r="I944" s="7"/>
      <c r="J944" s="9"/>
      <c r="K944" s="9"/>
      <c r="L944" s="9"/>
      <c r="M944" s="9"/>
      <c r="N944" s="4"/>
    </row>
    <row r="945" spans="9:14" x14ac:dyDescent="0.3">
      <c r="I945" s="7"/>
      <c r="J945" s="9"/>
      <c r="K945" s="9"/>
      <c r="L945" s="9"/>
      <c r="M945" s="9"/>
      <c r="N945" s="4"/>
    </row>
    <row r="946" spans="9:14" x14ac:dyDescent="0.3">
      <c r="I946" s="7"/>
      <c r="J946" s="9"/>
      <c r="K946" s="9"/>
      <c r="L946" s="9"/>
      <c r="M946" s="9"/>
      <c r="N946" s="4"/>
    </row>
    <row r="947" spans="9:14" x14ac:dyDescent="0.3">
      <c r="I947" s="7"/>
      <c r="J947" s="9"/>
      <c r="K947" s="9"/>
      <c r="L947" s="9"/>
      <c r="M947" s="9"/>
      <c r="N947" s="4"/>
    </row>
    <row r="948" spans="9:14" x14ac:dyDescent="0.3">
      <c r="I948" s="7"/>
      <c r="J948" s="9"/>
      <c r="K948" s="9"/>
      <c r="L948" s="9"/>
      <c r="M948" s="9"/>
      <c r="N948" s="4"/>
    </row>
    <row r="949" spans="9:14" x14ac:dyDescent="0.3">
      <c r="I949" s="7"/>
      <c r="J949" s="9"/>
      <c r="K949" s="9"/>
      <c r="L949" s="9"/>
      <c r="M949" s="9"/>
      <c r="N949" s="4"/>
    </row>
    <row r="950" spans="9:14" x14ac:dyDescent="0.3">
      <c r="I950" s="7"/>
      <c r="J950" s="9"/>
      <c r="K950" s="9"/>
      <c r="L950" s="9"/>
      <c r="M950" s="9"/>
      <c r="N950" s="4"/>
    </row>
    <row r="951" spans="9:14" x14ac:dyDescent="0.3">
      <c r="I951" s="7"/>
      <c r="J951" s="9"/>
      <c r="K951" s="9"/>
      <c r="L951" s="9"/>
      <c r="M951" s="9"/>
      <c r="N951" s="4"/>
    </row>
    <row r="952" spans="9:14" x14ac:dyDescent="0.3">
      <c r="I952" s="7"/>
      <c r="J952" s="9"/>
      <c r="K952" s="9"/>
      <c r="L952" s="9"/>
      <c r="M952" s="9"/>
      <c r="N952" s="4"/>
    </row>
    <row r="953" spans="9:14" x14ac:dyDescent="0.3">
      <c r="I953" s="7"/>
      <c r="J953" s="9"/>
      <c r="K953" s="9"/>
      <c r="L953" s="9"/>
      <c r="M953" s="9"/>
      <c r="N953" s="4"/>
    </row>
    <row r="954" spans="9:14" x14ac:dyDescent="0.3">
      <c r="I954" s="7"/>
      <c r="J954" s="9"/>
      <c r="K954" s="9"/>
      <c r="L954" s="9"/>
      <c r="M954" s="9"/>
      <c r="N954" s="4"/>
    </row>
    <row r="955" spans="9:14" x14ac:dyDescent="0.3">
      <c r="I955" s="7"/>
      <c r="J955" s="9"/>
      <c r="K955" s="9"/>
      <c r="L955" s="9"/>
      <c r="M955" s="9"/>
      <c r="N955" s="4"/>
    </row>
    <row r="956" spans="9:14" x14ac:dyDescent="0.3">
      <c r="I956" s="7"/>
      <c r="J956" s="9"/>
      <c r="K956" s="9"/>
      <c r="L956" s="9"/>
      <c r="M956" s="9"/>
      <c r="N956" s="4"/>
    </row>
    <row r="957" spans="9:14" x14ac:dyDescent="0.3">
      <c r="I957" s="7"/>
      <c r="J957" s="9"/>
      <c r="K957" s="9"/>
      <c r="L957" s="9"/>
      <c r="M957" s="9"/>
      <c r="N957" s="4"/>
    </row>
    <row r="958" spans="9:14" x14ac:dyDescent="0.3">
      <c r="I958" s="7"/>
      <c r="J958" s="9"/>
      <c r="K958" s="9"/>
      <c r="L958" s="9"/>
      <c r="M958" s="9"/>
      <c r="N958" s="4"/>
    </row>
    <row r="959" spans="9:14" x14ac:dyDescent="0.3">
      <c r="I959" s="7"/>
      <c r="J959" s="9"/>
      <c r="K959" s="9"/>
      <c r="L959" s="9"/>
      <c r="M959" s="9"/>
      <c r="N959" s="4"/>
    </row>
    <row r="960" spans="9:14" x14ac:dyDescent="0.3">
      <c r="I960" s="7"/>
      <c r="J960" s="9"/>
      <c r="K960" s="9"/>
      <c r="L960" s="9"/>
      <c r="M960" s="9"/>
      <c r="N960" s="4"/>
    </row>
    <row r="961" spans="9:14" x14ac:dyDescent="0.3">
      <c r="I961" s="7"/>
      <c r="J961" s="9"/>
      <c r="K961" s="9"/>
      <c r="L961" s="9"/>
      <c r="M961" s="9"/>
      <c r="N961" s="4"/>
    </row>
    <row r="962" spans="9:14" x14ac:dyDescent="0.3">
      <c r="I962" s="7"/>
      <c r="J962" s="9"/>
      <c r="K962" s="9"/>
      <c r="L962" s="9"/>
      <c r="M962" s="9"/>
      <c r="N962" s="4"/>
    </row>
    <row r="963" spans="9:14" x14ac:dyDescent="0.3">
      <c r="I963" s="7"/>
      <c r="J963" s="9"/>
      <c r="K963" s="9"/>
      <c r="L963" s="9"/>
      <c r="M963" s="9"/>
      <c r="N963" s="4"/>
    </row>
    <row r="964" spans="9:14" x14ac:dyDescent="0.3">
      <c r="I964" s="7"/>
      <c r="J964" s="9"/>
      <c r="K964" s="9"/>
      <c r="L964" s="9"/>
      <c r="M964" s="9"/>
      <c r="N964" s="4"/>
    </row>
    <row r="965" spans="9:14" x14ac:dyDescent="0.3">
      <c r="I965" s="7"/>
      <c r="J965" s="9"/>
      <c r="K965" s="9"/>
      <c r="L965" s="9"/>
      <c r="M965" s="9"/>
      <c r="N965" s="4"/>
    </row>
    <row r="966" spans="9:14" x14ac:dyDescent="0.3">
      <c r="I966" s="7"/>
      <c r="J966" s="9"/>
      <c r="K966" s="9"/>
      <c r="L966" s="9"/>
      <c r="M966" s="9"/>
      <c r="N966" s="4"/>
    </row>
    <row r="967" spans="9:14" x14ac:dyDescent="0.3">
      <c r="I967" s="7"/>
      <c r="J967" s="9"/>
      <c r="K967" s="9"/>
      <c r="L967" s="9"/>
      <c r="M967" s="9"/>
      <c r="N967" s="4"/>
    </row>
    <row r="968" spans="9:14" x14ac:dyDescent="0.3">
      <c r="I968" s="7"/>
      <c r="J968" s="9"/>
      <c r="K968" s="9"/>
      <c r="L968" s="9"/>
      <c r="M968" s="9"/>
      <c r="N968" s="4"/>
    </row>
    <row r="969" spans="9:14" x14ac:dyDescent="0.3">
      <c r="I969" s="7"/>
      <c r="J969" s="9"/>
      <c r="K969" s="9"/>
      <c r="L969" s="9"/>
      <c r="M969" s="9"/>
      <c r="N969" s="4"/>
    </row>
    <row r="970" spans="9:14" x14ac:dyDescent="0.3">
      <c r="I970" s="7"/>
      <c r="J970" s="9"/>
      <c r="K970" s="9"/>
      <c r="L970" s="9"/>
      <c r="M970" s="9"/>
      <c r="N970" s="4"/>
    </row>
    <row r="971" spans="9:14" x14ac:dyDescent="0.3">
      <c r="I971" s="7"/>
      <c r="J971" s="9"/>
      <c r="K971" s="9"/>
      <c r="L971" s="9"/>
      <c r="M971" s="9"/>
      <c r="N971" s="4"/>
    </row>
    <row r="972" spans="9:14" x14ac:dyDescent="0.3">
      <c r="I972" s="7"/>
      <c r="J972" s="9"/>
      <c r="K972" s="9"/>
      <c r="L972" s="9"/>
      <c r="M972" s="9"/>
      <c r="N972" s="4"/>
    </row>
    <row r="973" spans="9:14" x14ac:dyDescent="0.3">
      <c r="I973" s="7"/>
      <c r="J973" s="9"/>
      <c r="K973" s="9"/>
      <c r="L973" s="9"/>
      <c r="M973" s="9"/>
      <c r="N973" s="4"/>
    </row>
    <row r="974" spans="9:14" x14ac:dyDescent="0.3">
      <c r="I974" s="7"/>
      <c r="J974" s="9"/>
      <c r="K974" s="9"/>
      <c r="L974" s="9"/>
      <c r="M974" s="9"/>
      <c r="N974" s="4"/>
    </row>
    <row r="975" spans="9:14" x14ac:dyDescent="0.3">
      <c r="I975" s="7"/>
      <c r="J975" s="9"/>
      <c r="K975" s="9"/>
      <c r="L975" s="9"/>
      <c r="M975" s="9"/>
      <c r="N975" s="4"/>
    </row>
    <row r="976" spans="9:14" x14ac:dyDescent="0.3">
      <c r="I976" s="7"/>
      <c r="J976" s="9"/>
      <c r="K976" s="9"/>
      <c r="L976" s="9"/>
      <c r="M976" s="9"/>
      <c r="N976" s="4"/>
    </row>
    <row r="977" spans="9:14" x14ac:dyDescent="0.3">
      <c r="I977" s="7"/>
      <c r="J977" s="9"/>
      <c r="K977" s="9"/>
      <c r="L977" s="9"/>
      <c r="M977" s="9"/>
      <c r="N977" s="4"/>
    </row>
    <row r="978" spans="9:14" x14ac:dyDescent="0.3">
      <c r="I978" s="7"/>
      <c r="J978" s="9"/>
      <c r="K978" s="9"/>
      <c r="L978" s="9"/>
      <c r="M978" s="9"/>
      <c r="N978" s="4"/>
    </row>
    <row r="979" spans="9:14" x14ac:dyDescent="0.3">
      <c r="I979" s="7"/>
      <c r="J979" s="9"/>
      <c r="K979" s="9"/>
      <c r="L979" s="9"/>
      <c r="M979" s="9"/>
      <c r="N979" s="4"/>
    </row>
    <row r="980" spans="9:14" x14ac:dyDescent="0.3">
      <c r="I980" s="7"/>
      <c r="J980" s="9"/>
      <c r="K980" s="9"/>
      <c r="L980" s="9"/>
      <c r="M980" s="9"/>
      <c r="N980" s="4"/>
    </row>
    <row r="981" spans="9:14" x14ac:dyDescent="0.3">
      <c r="I981" s="7"/>
      <c r="J981" s="9"/>
      <c r="K981" s="9"/>
      <c r="L981" s="9"/>
      <c r="M981" s="9"/>
      <c r="N981" s="4"/>
    </row>
    <row r="982" spans="9:14" x14ac:dyDescent="0.3">
      <c r="I982" s="7"/>
      <c r="J982" s="9"/>
      <c r="K982" s="9"/>
      <c r="L982" s="9"/>
      <c r="M982" s="9"/>
      <c r="N982" s="4"/>
    </row>
    <row r="983" spans="9:14" x14ac:dyDescent="0.3">
      <c r="I983" s="7"/>
      <c r="J983" s="9"/>
      <c r="K983" s="9"/>
      <c r="L983" s="9"/>
      <c r="M983" s="9"/>
      <c r="N983" s="4"/>
    </row>
    <row r="984" spans="9:14" x14ac:dyDescent="0.3">
      <c r="I984" s="7"/>
      <c r="J984" s="9"/>
      <c r="K984" s="9"/>
      <c r="L984" s="9"/>
      <c r="M984" s="9"/>
      <c r="N984" s="4"/>
    </row>
    <row r="985" spans="9:14" x14ac:dyDescent="0.3">
      <c r="I985" s="7"/>
      <c r="J985" s="9"/>
      <c r="K985" s="9"/>
      <c r="L985" s="9"/>
      <c r="M985" s="9"/>
      <c r="N985" s="4"/>
    </row>
    <row r="986" spans="9:14" x14ac:dyDescent="0.3">
      <c r="I986" s="7"/>
      <c r="J986" s="9"/>
      <c r="K986" s="9"/>
      <c r="L986" s="9"/>
      <c r="M986" s="9"/>
      <c r="N986" s="4"/>
    </row>
    <row r="987" spans="9:14" x14ac:dyDescent="0.3">
      <c r="I987" s="7"/>
      <c r="J987" s="9"/>
      <c r="K987" s="9"/>
      <c r="L987" s="9"/>
      <c r="M987" s="9"/>
      <c r="N987" s="4"/>
    </row>
    <row r="988" spans="9:14" x14ac:dyDescent="0.3">
      <c r="I988" s="7"/>
      <c r="J988" s="9"/>
      <c r="K988" s="9"/>
      <c r="L988" s="9"/>
      <c r="M988" s="9"/>
      <c r="N988" s="4"/>
    </row>
    <row r="989" spans="9:14" x14ac:dyDescent="0.3">
      <c r="I989" s="7"/>
      <c r="J989" s="9"/>
      <c r="K989" s="9"/>
      <c r="L989" s="9"/>
      <c r="M989" s="9"/>
      <c r="N989" s="4"/>
    </row>
    <row r="990" spans="9:14" x14ac:dyDescent="0.3">
      <c r="I990" s="7"/>
      <c r="J990" s="9"/>
      <c r="K990" s="9"/>
      <c r="L990" s="9"/>
      <c r="M990" s="9"/>
      <c r="N990" s="4"/>
    </row>
    <row r="991" spans="9:14" x14ac:dyDescent="0.3">
      <c r="I991" s="7"/>
      <c r="J991" s="9"/>
      <c r="K991" s="9"/>
      <c r="L991" s="9"/>
      <c r="M991" s="9"/>
      <c r="N991" s="4"/>
    </row>
    <row r="992" spans="9:14" x14ac:dyDescent="0.3">
      <c r="I992" s="7"/>
      <c r="J992" s="9"/>
      <c r="K992" s="9"/>
      <c r="L992" s="9"/>
      <c r="M992" s="9"/>
      <c r="N992" s="4"/>
    </row>
    <row r="993" spans="9:14" x14ac:dyDescent="0.3">
      <c r="I993" s="7"/>
      <c r="J993" s="9"/>
      <c r="K993" s="9"/>
      <c r="L993" s="9"/>
      <c r="M993" s="9"/>
      <c r="N993" s="4"/>
    </row>
    <row r="994" spans="9:14" x14ac:dyDescent="0.3">
      <c r="I994" s="7"/>
      <c r="J994" s="9"/>
      <c r="K994" s="9"/>
      <c r="L994" s="9"/>
      <c r="M994" s="9"/>
      <c r="N994" s="4"/>
    </row>
    <row r="995" spans="9:14" x14ac:dyDescent="0.3">
      <c r="I995" s="7"/>
      <c r="J995" s="9"/>
      <c r="K995" s="9"/>
      <c r="L995" s="9"/>
      <c r="M995" s="9"/>
      <c r="N995" s="4"/>
    </row>
    <row r="996" spans="9:14" x14ac:dyDescent="0.3">
      <c r="I996" s="7"/>
      <c r="J996" s="9"/>
      <c r="K996" s="9"/>
      <c r="L996" s="9"/>
      <c r="M996" s="9"/>
      <c r="N996" s="4"/>
    </row>
    <row r="997" spans="9:14" x14ac:dyDescent="0.3">
      <c r="I997" s="7"/>
      <c r="J997" s="9"/>
      <c r="K997" s="9"/>
      <c r="L997" s="9"/>
      <c r="M997" s="9"/>
      <c r="N997" s="4"/>
    </row>
    <row r="998" spans="9:14" x14ac:dyDescent="0.3">
      <c r="I998" s="7"/>
      <c r="J998" s="9"/>
      <c r="K998" s="9"/>
      <c r="L998" s="9"/>
      <c r="M998" s="9"/>
      <c r="N998" s="4"/>
    </row>
    <row r="999" spans="9:14" x14ac:dyDescent="0.3">
      <c r="I999" s="7"/>
      <c r="J999" s="9"/>
      <c r="K999" s="9"/>
      <c r="L999" s="9"/>
      <c r="M999" s="9"/>
      <c r="N999" s="4"/>
    </row>
    <row r="1000" spans="9:14" x14ac:dyDescent="0.3">
      <c r="I1000" s="7"/>
      <c r="J1000" s="9"/>
      <c r="K1000" s="9"/>
      <c r="L1000" s="9"/>
      <c r="M1000" s="9"/>
      <c r="N1000" s="4"/>
    </row>
    <row r="1001" spans="9:14" x14ac:dyDescent="0.3">
      <c r="I1001" s="7"/>
      <c r="J1001" s="9"/>
      <c r="K1001" s="9"/>
      <c r="L1001" s="9"/>
      <c r="M1001" s="9"/>
      <c r="N1001" s="4"/>
    </row>
    <row r="1002" spans="9:14" x14ac:dyDescent="0.3">
      <c r="I1002" s="7"/>
      <c r="J1002" s="9"/>
      <c r="K1002" s="9"/>
      <c r="L1002" s="9"/>
      <c r="M1002" s="9"/>
      <c r="N1002" s="4"/>
    </row>
    <row r="1003" spans="9:14" x14ac:dyDescent="0.3">
      <c r="I1003" s="7"/>
      <c r="J1003" s="9"/>
      <c r="K1003" s="9"/>
      <c r="L1003" s="9"/>
      <c r="M1003" s="9"/>
      <c r="N1003" s="4"/>
    </row>
    <row r="1004" spans="9:14" x14ac:dyDescent="0.3">
      <c r="I1004" s="7"/>
      <c r="J1004" s="9"/>
      <c r="K1004" s="9"/>
      <c r="L1004" s="9"/>
      <c r="M1004" s="9"/>
      <c r="N1004" s="4"/>
    </row>
    <row r="1005" spans="9:14" x14ac:dyDescent="0.3">
      <c r="I1005" s="7"/>
      <c r="J1005" s="9"/>
      <c r="K1005" s="9"/>
      <c r="L1005" s="9"/>
      <c r="M1005" s="9"/>
      <c r="N1005" s="4"/>
    </row>
    <row r="1006" spans="9:14" x14ac:dyDescent="0.3">
      <c r="I1006" s="7"/>
      <c r="J1006" s="9"/>
      <c r="K1006" s="9"/>
      <c r="L1006" s="9"/>
      <c r="M1006" s="9"/>
      <c r="N1006" s="4"/>
    </row>
    <row r="1007" spans="9:14" x14ac:dyDescent="0.3">
      <c r="I1007" s="7"/>
      <c r="J1007" s="9"/>
      <c r="K1007" s="9"/>
      <c r="L1007" s="9"/>
      <c r="M1007" s="9"/>
      <c r="N1007" s="4"/>
    </row>
    <row r="1008" spans="9:14" x14ac:dyDescent="0.3">
      <c r="I1008" s="7"/>
      <c r="J1008" s="9"/>
      <c r="K1008" s="9"/>
      <c r="L1008" s="9"/>
      <c r="M1008" s="9"/>
      <c r="N1008" s="4"/>
    </row>
    <row r="1009" spans="9:14" x14ac:dyDescent="0.3">
      <c r="I1009" s="7"/>
      <c r="J1009" s="9"/>
      <c r="K1009" s="9"/>
      <c r="L1009" s="9"/>
      <c r="M1009" s="9"/>
      <c r="N1009" s="4"/>
    </row>
    <row r="1010" spans="9:14" x14ac:dyDescent="0.3">
      <c r="I1010" s="7"/>
      <c r="J1010" s="9"/>
      <c r="K1010" s="9"/>
      <c r="L1010" s="9"/>
      <c r="M1010" s="9"/>
      <c r="N1010" s="4"/>
    </row>
    <row r="1011" spans="9:14" x14ac:dyDescent="0.3">
      <c r="I1011" s="7"/>
      <c r="J1011" s="9"/>
      <c r="K1011" s="9"/>
      <c r="L1011" s="9"/>
      <c r="M1011" s="9"/>
      <c r="N1011" s="4"/>
    </row>
    <row r="1012" spans="9:14" x14ac:dyDescent="0.3">
      <c r="I1012" s="7"/>
      <c r="J1012" s="9"/>
      <c r="K1012" s="9"/>
      <c r="L1012" s="9"/>
      <c r="M1012" s="9"/>
      <c r="N1012" s="4"/>
    </row>
    <row r="1013" spans="9:14" x14ac:dyDescent="0.3">
      <c r="I1013" s="7"/>
      <c r="J1013" s="9"/>
      <c r="K1013" s="9"/>
      <c r="L1013" s="9"/>
      <c r="M1013" s="9"/>
      <c r="N1013" s="4"/>
    </row>
    <row r="1014" spans="9:14" x14ac:dyDescent="0.3">
      <c r="I1014" s="7"/>
      <c r="J1014" s="9"/>
      <c r="K1014" s="9"/>
      <c r="L1014" s="9"/>
      <c r="M1014" s="9"/>
      <c r="N1014" s="4"/>
    </row>
    <row r="1015" spans="9:14" x14ac:dyDescent="0.3">
      <c r="I1015" s="7"/>
      <c r="J1015" s="9"/>
      <c r="K1015" s="9"/>
      <c r="L1015" s="9"/>
      <c r="M1015" s="9"/>
      <c r="N1015" s="4"/>
    </row>
    <row r="1016" spans="9:14" x14ac:dyDescent="0.3">
      <c r="I1016" s="7"/>
      <c r="J1016" s="9"/>
      <c r="K1016" s="9"/>
      <c r="L1016" s="9"/>
      <c r="M1016" s="9"/>
      <c r="N1016" s="4"/>
    </row>
    <row r="1017" spans="9:14" x14ac:dyDescent="0.3">
      <c r="I1017" s="7"/>
      <c r="J1017" s="9"/>
      <c r="K1017" s="9"/>
      <c r="L1017" s="9"/>
      <c r="M1017" s="9"/>
      <c r="N1017" s="4"/>
    </row>
    <row r="1018" spans="9:14" x14ac:dyDescent="0.3">
      <c r="I1018" s="7"/>
      <c r="J1018" s="9"/>
      <c r="K1018" s="9"/>
      <c r="L1018" s="9"/>
      <c r="M1018" s="9"/>
      <c r="N1018" s="4"/>
    </row>
    <row r="1019" spans="9:14" x14ac:dyDescent="0.3">
      <c r="I1019" s="7"/>
      <c r="J1019" s="9"/>
      <c r="K1019" s="9"/>
      <c r="L1019" s="9"/>
      <c r="M1019" s="9"/>
      <c r="N1019" s="4"/>
    </row>
    <row r="1020" spans="9:14" x14ac:dyDescent="0.3">
      <c r="I1020" s="7"/>
      <c r="J1020" s="9"/>
      <c r="K1020" s="9"/>
      <c r="L1020" s="9"/>
      <c r="M1020" s="9"/>
      <c r="N1020" s="4"/>
    </row>
    <row r="1021" spans="9:14" x14ac:dyDescent="0.3">
      <c r="I1021" s="7"/>
      <c r="J1021" s="9"/>
      <c r="K1021" s="9"/>
      <c r="L1021" s="9"/>
      <c r="M1021" s="9"/>
      <c r="N1021" s="4"/>
    </row>
    <row r="1022" spans="9:14" x14ac:dyDescent="0.3">
      <c r="I1022" s="7"/>
      <c r="J1022" s="9"/>
      <c r="K1022" s="9"/>
      <c r="L1022" s="9"/>
      <c r="M1022" s="9"/>
      <c r="N1022" s="4"/>
    </row>
    <row r="1023" spans="9:14" x14ac:dyDescent="0.3">
      <c r="I1023" s="7"/>
      <c r="J1023" s="9"/>
      <c r="K1023" s="9"/>
      <c r="L1023" s="9"/>
      <c r="M1023" s="9"/>
      <c r="N1023" s="4"/>
    </row>
    <row r="1024" spans="9:14" x14ac:dyDescent="0.3">
      <c r="I1024" s="7"/>
      <c r="J1024" s="9"/>
      <c r="K1024" s="9"/>
      <c r="L1024" s="9"/>
      <c r="M1024" s="9"/>
      <c r="N1024" s="4"/>
    </row>
    <row r="1025" spans="9:14" x14ac:dyDescent="0.3">
      <c r="I1025" s="7"/>
      <c r="J1025" s="9"/>
      <c r="K1025" s="9"/>
      <c r="L1025" s="9"/>
      <c r="M1025" s="9"/>
      <c r="N1025" s="4"/>
    </row>
    <row r="1026" spans="9:14" x14ac:dyDescent="0.3">
      <c r="I1026" s="7"/>
      <c r="J1026" s="9"/>
      <c r="K1026" s="9"/>
      <c r="L1026" s="9"/>
      <c r="M1026" s="9"/>
      <c r="N1026" s="4"/>
    </row>
    <row r="1027" spans="9:14" x14ac:dyDescent="0.3">
      <c r="I1027" s="7"/>
      <c r="J1027" s="9"/>
      <c r="K1027" s="9"/>
      <c r="L1027" s="9"/>
      <c r="M1027" s="9"/>
      <c r="N1027" s="4"/>
    </row>
    <row r="1028" spans="9:14" x14ac:dyDescent="0.3">
      <c r="I1028" s="7"/>
      <c r="J1028" s="9"/>
      <c r="K1028" s="9"/>
      <c r="L1028" s="9"/>
      <c r="M1028" s="9"/>
      <c r="N1028" s="4"/>
    </row>
    <row r="1029" spans="9:14" x14ac:dyDescent="0.3">
      <c r="I1029" s="7"/>
      <c r="J1029" s="9"/>
      <c r="K1029" s="9"/>
      <c r="L1029" s="9"/>
      <c r="M1029" s="9"/>
      <c r="N1029" s="4"/>
    </row>
    <row r="1030" spans="9:14" x14ac:dyDescent="0.3">
      <c r="I1030" s="7"/>
      <c r="J1030" s="9"/>
      <c r="K1030" s="9"/>
      <c r="L1030" s="9"/>
      <c r="M1030" s="9"/>
      <c r="N1030" s="4"/>
    </row>
    <row r="1031" spans="9:14" x14ac:dyDescent="0.3">
      <c r="I1031" s="7"/>
      <c r="J1031" s="9"/>
      <c r="K1031" s="9"/>
      <c r="L1031" s="9"/>
      <c r="M1031" s="9"/>
      <c r="N1031" s="4"/>
    </row>
    <row r="1032" spans="9:14" x14ac:dyDescent="0.3">
      <c r="I1032" s="7"/>
      <c r="J1032" s="9"/>
      <c r="K1032" s="9"/>
      <c r="L1032" s="9"/>
      <c r="M1032" s="9"/>
      <c r="N1032" s="4"/>
    </row>
    <row r="1033" spans="9:14" x14ac:dyDescent="0.3">
      <c r="I1033" s="7"/>
      <c r="J1033" s="9"/>
      <c r="K1033" s="9"/>
      <c r="L1033" s="9"/>
      <c r="M1033" s="9"/>
      <c r="N1033" s="4"/>
    </row>
    <row r="1034" spans="9:14" x14ac:dyDescent="0.3">
      <c r="I1034" s="7"/>
      <c r="J1034" s="9"/>
      <c r="K1034" s="9"/>
      <c r="L1034" s="9"/>
      <c r="M1034" s="9"/>
      <c r="N1034" s="4"/>
    </row>
    <row r="1035" spans="9:14" x14ac:dyDescent="0.3">
      <c r="I1035" s="7"/>
      <c r="J1035" s="9"/>
      <c r="K1035" s="9"/>
      <c r="L1035" s="9"/>
      <c r="M1035" s="9"/>
      <c r="N1035" s="4"/>
    </row>
    <row r="1036" spans="9:14" x14ac:dyDescent="0.3">
      <c r="I1036" s="7"/>
      <c r="J1036" s="9"/>
      <c r="K1036" s="9"/>
      <c r="L1036" s="9"/>
      <c r="M1036" s="9"/>
      <c r="N1036" s="4"/>
    </row>
    <row r="1037" spans="9:14" x14ac:dyDescent="0.3">
      <c r="I1037" s="7"/>
      <c r="J1037" s="9"/>
      <c r="K1037" s="9"/>
      <c r="L1037" s="9"/>
      <c r="M1037" s="9"/>
      <c r="N1037" s="4"/>
    </row>
    <row r="1038" spans="9:14" x14ac:dyDescent="0.3">
      <c r="I1038" s="7"/>
      <c r="J1038" s="9"/>
      <c r="K1038" s="9"/>
      <c r="L1038" s="9"/>
      <c r="M1038" s="9"/>
      <c r="N1038" s="4"/>
    </row>
    <row r="1039" spans="9:14" x14ac:dyDescent="0.3">
      <c r="I1039" s="7"/>
      <c r="J1039" s="9"/>
      <c r="K1039" s="9"/>
      <c r="L1039" s="9"/>
      <c r="M1039" s="9"/>
      <c r="N1039" s="4"/>
    </row>
    <row r="1040" spans="9:14" x14ac:dyDescent="0.3">
      <c r="I1040" s="7"/>
      <c r="J1040" s="9"/>
      <c r="K1040" s="9"/>
      <c r="L1040" s="9"/>
      <c r="M1040" s="9"/>
      <c r="N1040" s="4"/>
    </row>
    <row r="1041" spans="9:14" x14ac:dyDescent="0.3">
      <c r="I1041" s="7"/>
      <c r="J1041" s="9"/>
      <c r="K1041" s="9"/>
      <c r="L1041" s="9"/>
      <c r="M1041" s="9"/>
      <c r="N1041" s="4"/>
    </row>
    <row r="1042" spans="9:14" x14ac:dyDescent="0.3">
      <c r="I1042" s="7"/>
      <c r="J1042" s="9"/>
      <c r="K1042" s="9"/>
      <c r="L1042" s="9"/>
      <c r="M1042" s="9"/>
      <c r="N1042" s="4"/>
    </row>
    <row r="1043" spans="9:14" x14ac:dyDescent="0.3">
      <c r="I1043" s="7"/>
      <c r="J1043" s="9"/>
      <c r="K1043" s="9"/>
      <c r="L1043" s="9"/>
      <c r="M1043" s="9"/>
      <c r="N1043" s="4"/>
    </row>
    <row r="1044" spans="9:14" x14ac:dyDescent="0.3">
      <c r="I1044" s="7"/>
      <c r="J1044" s="9"/>
      <c r="K1044" s="9"/>
      <c r="L1044" s="9"/>
      <c r="M1044" s="9"/>
      <c r="N1044" s="4"/>
    </row>
    <row r="1045" spans="9:14" x14ac:dyDescent="0.3">
      <c r="I1045" s="7"/>
      <c r="J1045" s="9"/>
      <c r="K1045" s="9"/>
      <c r="L1045" s="9"/>
      <c r="M1045" s="9"/>
      <c r="N1045" s="4"/>
    </row>
    <row r="1046" spans="9:14" x14ac:dyDescent="0.3">
      <c r="I1046" s="7"/>
      <c r="J1046" s="9"/>
      <c r="K1046" s="9"/>
      <c r="L1046" s="9"/>
      <c r="M1046" s="9"/>
      <c r="N1046" s="4"/>
    </row>
    <row r="1047" spans="9:14" x14ac:dyDescent="0.3">
      <c r="I1047" s="7"/>
      <c r="J1047" s="9"/>
      <c r="K1047" s="9"/>
      <c r="L1047" s="9"/>
      <c r="M1047" s="9"/>
      <c r="N1047" s="4"/>
    </row>
    <row r="1048" spans="9:14" x14ac:dyDescent="0.3">
      <c r="I1048" s="7"/>
      <c r="J1048" s="9"/>
      <c r="K1048" s="9"/>
      <c r="L1048" s="9"/>
      <c r="M1048" s="9"/>
      <c r="N1048" s="4"/>
    </row>
    <row r="1049" spans="9:14" x14ac:dyDescent="0.3">
      <c r="I1049" s="7"/>
      <c r="J1049" s="9"/>
      <c r="K1049" s="9"/>
      <c r="L1049" s="9"/>
      <c r="M1049" s="9"/>
      <c r="N1049" s="4"/>
    </row>
    <row r="1050" spans="9:14" x14ac:dyDescent="0.3">
      <c r="I1050" s="7"/>
      <c r="J1050" s="9"/>
      <c r="K1050" s="9"/>
      <c r="L1050" s="9"/>
      <c r="M1050" s="9"/>
      <c r="N1050" s="4"/>
    </row>
    <row r="1051" spans="9:14" x14ac:dyDescent="0.3">
      <c r="I1051" s="7"/>
      <c r="J1051" s="9"/>
      <c r="K1051" s="9"/>
      <c r="L1051" s="9"/>
      <c r="M1051" s="9"/>
      <c r="N1051" s="4"/>
    </row>
    <row r="1052" spans="9:14" x14ac:dyDescent="0.3">
      <c r="I1052" s="7"/>
      <c r="J1052" s="9"/>
      <c r="K1052" s="9"/>
      <c r="L1052" s="9"/>
      <c r="M1052" s="9"/>
      <c r="N1052" s="4"/>
    </row>
    <row r="1053" spans="9:14" x14ac:dyDescent="0.3">
      <c r="I1053" s="7"/>
      <c r="J1053" s="9"/>
      <c r="K1053" s="9"/>
      <c r="L1053" s="9"/>
      <c r="M1053" s="9"/>
      <c r="N1053" s="4"/>
    </row>
    <row r="1054" spans="9:14" x14ac:dyDescent="0.3">
      <c r="I1054" s="7"/>
      <c r="J1054" s="9"/>
      <c r="K1054" s="9"/>
      <c r="L1054" s="9"/>
      <c r="M1054" s="9"/>
      <c r="N1054" s="4"/>
    </row>
    <row r="1055" spans="9:14" x14ac:dyDescent="0.3">
      <c r="I1055" s="7"/>
      <c r="J1055" s="9"/>
      <c r="K1055" s="9"/>
      <c r="L1055" s="9"/>
      <c r="M1055" s="9"/>
      <c r="N1055" s="4"/>
    </row>
    <row r="1056" spans="9:14" x14ac:dyDescent="0.3">
      <c r="I1056" s="7"/>
      <c r="J1056" s="9"/>
      <c r="K1056" s="9"/>
      <c r="L1056" s="9"/>
      <c r="M1056" s="9"/>
      <c r="N1056" s="4"/>
    </row>
    <row r="1057" spans="9:14" x14ac:dyDescent="0.3">
      <c r="I1057" s="7"/>
      <c r="J1057" s="9"/>
      <c r="K1057" s="9"/>
      <c r="L1057" s="9"/>
      <c r="M1057" s="9"/>
      <c r="N1057" s="4"/>
    </row>
    <row r="1058" spans="9:14" x14ac:dyDescent="0.3">
      <c r="I1058" s="7"/>
      <c r="J1058" s="9"/>
      <c r="K1058" s="9"/>
      <c r="L1058" s="9"/>
      <c r="M1058" s="9"/>
      <c r="N1058" s="4"/>
    </row>
    <row r="1059" spans="9:14" x14ac:dyDescent="0.3">
      <c r="I1059" s="7"/>
      <c r="J1059" s="9"/>
      <c r="K1059" s="9"/>
      <c r="L1059" s="9"/>
      <c r="M1059" s="9"/>
      <c r="N1059" s="4"/>
    </row>
    <row r="1060" spans="9:14" x14ac:dyDescent="0.3">
      <c r="I1060" s="7"/>
      <c r="J1060" s="9"/>
      <c r="K1060" s="9"/>
      <c r="L1060" s="9"/>
      <c r="M1060" s="9"/>
      <c r="N1060" s="4"/>
    </row>
    <row r="1061" spans="9:14" x14ac:dyDescent="0.3">
      <c r="I1061" s="7"/>
      <c r="J1061" s="9"/>
      <c r="K1061" s="9"/>
      <c r="L1061" s="9"/>
      <c r="M1061" s="9"/>
      <c r="N1061" s="4"/>
    </row>
    <row r="1062" spans="9:14" x14ac:dyDescent="0.3">
      <c r="I1062" s="7"/>
      <c r="J1062" s="9"/>
      <c r="K1062" s="9"/>
      <c r="L1062" s="9"/>
      <c r="M1062" s="9"/>
      <c r="N1062" s="4"/>
    </row>
    <row r="1063" spans="9:14" x14ac:dyDescent="0.3">
      <c r="I1063" s="7"/>
      <c r="J1063" s="9"/>
      <c r="K1063" s="9"/>
      <c r="L1063" s="9"/>
      <c r="M1063" s="9"/>
      <c r="N1063" s="4"/>
    </row>
    <row r="1064" spans="9:14" x14ac:dyDescent="0.3">
      <c r="I1064" s="7"/>
      <c r="J1064" s="9"/>
      <c r="K1064" s="9"/>
      <c r="L1064" s="9"/>
      <c r="M1064" s="9"/>
      <c r="N1064" s="4"/>
    </row>
    <row r="1065" spans="9:14" x14ac:dyDescent="0.3">
      <c r="I1065" s="7"/>
      <c r="J1065" s="9"/>
      <c r="K1065" s="9"/>
      <c r="L1065" s="9"/>
      <c r="M1065" s="9"/>
      <c r="N1065" s="4"/>
    </row>
    <row r="1066" spans="9:14" x14ac:dyDescent="0.3">
      <c r="I1066" s="7"/>
      <c r="J1066" s="9"/>
      <c r="K1066" s="9"/>
      <c r="L1066" s="9"/>
      <c r="M1066" s="9"/>
      <c r="N1066" s="4"/>
    </row>
    <row r="1067" spans="9:14" x14ac:dyDescent="0.3">
      <c r="I1067" s="7"/>
      <c r="J1067" s="9"/>
      <c r="K1067" s="9"/>
      <c r="L1067" s="9"/>
      <c r="M1067" s="9"/>
      <c r="N1067" s="4"/>
    </row>
    <row r="1068" spans="9:14" x14ac:dyDescent="0.3">
      <c r="I1068" s="7"/>
      <c r="J1068" s="9"/>
      <c r="K1068" s="9"/>
      <c r="L1068" s="9"/>
      <c r="M1068" s="9"/>
      <c r="N1068" s="4"/>
    </row>
    <row r="1069" spans="9:14" x14ac:dyDescent="0.3">
      <c r="I1069" s="7"/>
      <c r="J1069" s="9"/>
      <c r="K1069" s="9"/>
      <c r="L1069" s="9"/>
      <c r="M1069" s="9"/>
      <c r="N1069" s="4"/>
    </row>
    <row r="1070" spans="9:14" x14ac:dyDescent="0.3">
      <c r="I1070" s="7"/>
      <c r="J1070" s="9"/>
      <c r="K1070" s="9"/>
      <c r="L1070" s="9"/>
      <c r="M1070" s="9"/>
      <c r="N1070" s="4"/>
    </row>
    <row r="1071" spans="9:14" x14ac:dyDescent="0.3">
      <c r="I1071" s="7"/>
      <c r="J1071" s="9"/>
      <c r="K1071" s="9"/>
      <c r="L1071" s="9"/>
      <c r="M1071" s="9"/>
      <c r="N1071" s="4"/>
    </row>
    <row r="1072" spans="9:14" x14ac:dyDescent="0.3">
      <c r="I1072" s="7"/>
      <c r="J1072" s="9"/>
      <c r="K1072" s="9"/>
      <c r="L1072" s="9"/>
      <c r="M1072" s="9"/>
      <c r="N1072" s="4"/>
    </row>
    <row r="1073" spans="9:14" x14ac:dyDescent="0.3">
      <c r="I1073" s="7"/>
      <c r="J1073" s="9"/>
      <c r="K1073" s="9"/>
      <c r="L1073" s="9"/>
      <c r="M1073" s="9"/>
      <c r="N1073" s="4"/>
    </row>
    <row r="1074" spans="9:14" x14ac:dyDescent="0.3">
      <c r="I1074" s="7"/>
      <c r="J1074" s="9"/>
      <c r="K1074" s="9"/>
      <c r="L1074" s="9"/>
      <c r="M1074" s="9"/>
      <c r="N1074" s="4"/>
    </row>
    <row r="1075" spans="9:14" x14ac:dyDescent="0.3">
      <c r="I1075" s="7"/>
      <c r="J1075" s="9"/>
      <c r="K1075" s="9"/>
      <c r="L1075" s="9"/>
      <c r="M1075" s="9"/>
      <c r="N1075" s="4"/>
    </row>
    <row r="1076" spans="9:14" x14ac:dyDescent="0.3">
      <c r="I1076" s="7"/>
      <c r="J1076" s="9"/>
      <c r="K1076" s="9"/>
      <c r="L1076" s="9"/>
      <c r="M1076" s="9"/>
      <c r="N1076" s="4"/>
    </row>
    <row r="1077" spans="9:14" x14ac:dyDescent="0.3">
      <c r="I1077" s="7"/>
      <c r="J1077" s="9"/>
      <c r="K1077" s="9"/>
      <c r="L1077" s="9"/>
      <c r="M1077" s="9"/>
      <c r="N1077" s="4"/>
    </row>
    <row r="1078" spans="9:14" x14ac:dyDescent="0.3">
      <c r="I1078" s="7"/>
      <c r="J1078" s="9"/>
      <c r="K1078" s="9"/>
      <c r="L1078" s="9"/>
      <c r="M1078" s="9"/>
      <c r="N1078" s="4"/>
    </row>
    <row r="1079" spans="9:14" x14ac:dyDescent="0.3">
      <c r="I1079" s="7"/>
      <c r="J1079" s="9"/>
      <c r="K1079" s="9"/>
      <c r="L1079" s="9"/>
      <c r="M1079" s="9"/>
      <c r="N1079" s="4"/>
    </row>
    <row r="1080" spans="9:14" x14ac:dyDescent="0.3">
      <c r="I1080" s="7"/>
      <c r="J1080" s="9"/>
      <c r="K1080" s="9"/>
      <c r="L1080" s="9"/>
      <c r="M1080" s="9"/>
      <c r="N1080" s="4"/>
    </row>
    <row r="1081" spans="9:14" x14ac:dyDescent="0.3">
      <c r="I1081" s="7"/>
      <c r="J1081" s="9"/>
      <c r="K1081" s="9"/>
      <c r="L1081" s="9"/>
      <c r="M1081" s="9"/>
      <c r="N1081" s="4"/>
    </row>
    <row r="1082" spans="9:14" x14ac:dyDescent="0.3">
      <c r="I1082" s="7"/>
      <c r="J1082" s="9"/>
      <c r="K1082" s="9"/>
      <c r="L1082" s="9"/>
      <c r="M1082" s="9"/>
      <c r="N1082" s="4"/>
    </row>
    <row r="1083" spans="9:14" x14ac:dyDescent="0.3">
      <c r="I1083" s="7"/>
      <c r="J1083" s="9"/>
      <c r="K1083" s="9"/>
      <c r="L1083" s="9"/>
      <c r="M1083" s="9"/>
      <c r="N1083" s="4"/>
    </row>
    <row r="1084" spans="9:14" x14ac:dyDescent="0.3">
      <c r="I1084" s="7"/>
      <c r="J1084" s="9"/>
      <c r="K1084" s="9"/>
      <c r="L1084" s="9"/>
      <c r="M1084" s="9"/>
      <c r="N1084" s="4"/>
    </row>
    <row r="1085" spans="9:14" x14ac:dyDescent="0.3">
      <c r="I1085" s="7"/>
      <c r="J1085" s="9"/>
      <c r="K1085" s="9"/>
      <c r="L1085" s="9"/>
      <c r="M1085" s="9"/>
      <c r="N1085" s="4"/>
    </row>
    <row r="1086" spans="9:14" x14ac:dyDescent="0.3">
      <c r="I1086" s="7"/>
      <c r="J1086" s="9"/>
      <c r="K1086" s="9"/>
      <c r="L1086" s="9"/>
      <c r="M1086" s="9"/>
      <c r="N1086" s="4"/>
    </row>
    <row r="1087" spans="9:14" x14ac:dyDescent="0.3">
      <c r="I1087" s="7"/>
      <c r="J1087" s="9"/>
      <c r="K1087" s="9"/>
      <c r="L1087" s="9"/>
      <c r="M1087" s="9"/>
      <c r="N1087" s="4"/>
    </row>
    <row r="1088" spans="9:14" x14ac:dyDescent="0.3">
      <c r="I1088" s="7"/>
      <c r="J1088" s="9"/>
      <c r="K1088" s="9"/>
      <c r="L1088" s="9"/>
      <c r="M1088" s="9"/>
      <c r="N1088" s="4"/>
    </row>
    <row r="1089" spans="9:14" x14ac:dyDescent="0.3">
      <c r="I1089" s="7"/>
      <c r="J1089" s="9"/>
      <c r="K1089" s="9"/>
      <c r="L1089" s="9"/>
      <c r="M1089" s="9"/>
      <c r="N1089" s="4"/>
    </row>
    <row r="1090" spans="9:14" x14ac:dyDescent="0.3">
      <c r="I1090" s="7"/>
      <c r="J1090" s="9"/>
      <c r="K1090" s="9"/>
      <c r="L1090" s="9"/>
      <c r="M1090" s="9"/>
      <c r="N1090" s="4"/>
    </row>
    <row r="1091" spans="9:14" x14ac:dyDescent="0.3">
      <c r="I1091" s="7"/>
      <c r="J1091" s="9"/>
      <c r="K1091" s="9"/>
      <c r="L1091" s="9"/>
      <c r="M1091" s="9"/>
      <c r="N1091" s="4"/>
    </row>
    <row r="1092" spans="9:14" x14ac:dyDescent="0.3">
      <c r="I1092" s="7"/>
      <c r="J1092" s="9"/>
      <c r="K1092" s="9"/>
      <c r="L1092" s="9"/>
      <c r="M1092" s="9"/>
      <c r="N1092" s="4"/>
    </row>
    <row r="1093" spans="9:14" x14ac:dyDescent="0.3">
      <c r="I1093" s="7"/>
      <c r="J1093" s="9"/>
      <c r="K1093" s="9"/>
      <c r="L1093" s="9"/>
      <c r="M1093" s="9"/>
      <c r="N1093" s="4"/>
    </row>
    <row r="1094" spans="9:14" x14ac:dyDescent="0.3">
      <c r="I1094" s="7"/>
      <c r="J1094" s="9"/>
      <c r="K1094" s="9"/>
      <c r="L1094" s="9"/>
      <c r="M1094" s="9"/>
      <c r="N1094" s="4"/>
    </row>
    <row r="1095" spans="9:14" x14ac:dyDescent="0.3">
      <c r="I1095" s="7"/>
      <c r="J1095" s="9"/>
      <c r="K1095" s="9"/>
      <c r="L1095" s="9"/>
      <c r="M1095" s="9"/>
      <c r="N1095" s="4"/>
    </row>
    <row r="1096" spans="9:14" x14ac:dyDescent="0.3">
      <c r="I1096" s="7"/>
      <c r="J1096" s="9"/>
      <c r="K1096" s="9"/>
      <c r="L1096" s="9"/>
      <c r="M1096" s="9"/>
      <c r="N1096" s="4"/>
    </row>
    <row r="1097" spans="9:14" x14ac:dyDescent="0.3">
      <c r="I1097" s="7"/>
      <c r="J1097" s="9"/>
      <c r="K1097" s="9"/>
      <c r="L1097" s="9"/>
      <c r="M1097" s="9"/>
      <c r="N1097" s="4"/>
    </row>
    <row r="1098" spans="9:14" x14ac:dyDescent="0.3">
      <c r="I1098" s="7"/>
      <c r="J1098" s="9"/>
      <c r="K1098" s="9"/>
      <c r="L1098" s="9"/>
      <c r="M1098" s="9"/>
      <c r="N1098" s="4"/>
    </row>
    <row r="1099" spans="9:14" x14ac:dyDescent="0.3">
      <c r="I1099" s="7"/>
      <c r="J1099" s="9"/>
      <c r="K1099" s="9"/>
      <c r="L1099" s="9"/>
      <c r="M1099" s="9"/>
      <c r="N1099" s="4"/>
    </row>
    <row r="1100" spans="9:14" x14ac:dyDescent="0.3">
      <c r="I1100" s="7"/>
      <c r="J1100" s="9"/>
      <c r="K1100" s="9"/>
      <c r="L1100" s="9"/>
      <c r="M1100" s="9"/>
      <c r="N1100" s="4"/>
    </row>
    <row r="1101" spans="9:14" x14ac:dyDescent="0.3">
      <c r="I1101" s="7"/>
      <c r="J1101" s="9"/>
      <c r="K1101" s="9"/>
      <c r="L1101" s="9"/>
      <c r="M1101" s="9"/>
      <c r="N1101" s="4"/>
    </row>
    <row r="1102" spans="9:14" x14ac:dyDescent="0.3">
      <c r="I1102" s="7"/>
      <c r="J1102" s="9"/>
      <c r="K1102" s="9"/>
      <c r="L1102" s="9"/>
      <c r="M1102" s="9"/>
      <c r="N1102" s="4"/>
    </row>
    <row r="1103" spans="9:14" x14ac:dyDescent="0.3">
      <c r="I1103" s="7"/>
      <c r="J1103" s="9"/>
      <c r="K1103" s="9"/>
      <c r="L1103" s="9"/>
      <c r="M1103" s="9"/>
      <c r="N1103" s="4"/>
    </row>
    <row r="1104" spans="9:14" x14ac:dyDescent="0.3">
      <c r="I1104" s="7"/>
      <c r="J1104" s="9"/>
      <c r="K1104" s="9"/>
      <c r="L1104" s="9"/>
      <c r="M1104" s="9"/>
      <c r="N1104" s="4"/>
    </row>
    <row r="1105" spans="9:14" x14ac:dyDescent="0.3">
      <c r="I1105" s="7"/>
      <c r="J1105" s="9"/>
      <c r="K1105" s="9"/>
      <c r="L1105" s="9"/>
      <c r="M1105" s="9"/>
      <c r="N1105" s="4"/>
    </row>
    <row r="1106" spans="9:14" x14ac:dyDescent="0.3">
      <c r="I1106" s="7"/>
      <c r="J1106" s="9"/>
      <c r="K1106" s="9"/>
      <c r="L1106" s="9"/>
      <c r="M1106" s="9"/>
      <c r="N1106" s="4"/>
    </row>
    <row r="1107" spans="9:14" x14ac:dyDescent="0.3">
      <c r="I1107" s="7"/>
      <c r="J1107" s="9"/>
      <c r="K1107" s="9"/>
      <c r="L1107" s="9"/>
      <c r="M1107" s="9"/>
      <c r="N1107" s="4"/>
    </row>
    <row r="1108" spans="9:14" x14ac:dyDescent="0.3">
      <c r="I1108" s="7"/>
      <c r="J1108" s="9"/>
      <c r="K1108" s="9"/>
      <c r="L1108" s="9"/>
      <c r="M1108" s="9"/>
      <c r="N1108" s="4"/>
    </row>
    <row r="1109" spans="9:14" x14ac:dyDescent="0.3">
      <c r="I1109" s="7"/>
      <c r="J1109" s="9"/>
      <c r="K1109" s="9"/>
      <c r="L1109" s="9"/>
      <c r="M1109" s="9"/>
      <c r="N1109" s="4"/>
    </row>
    <row r="1110" spans="9:14" x14ac:dyDescent="0.3">
      <c r="I1110" s="7"/>
      <c r="J1110" s="9"/>
      <c r="K1110" s="9"/>
      <c r="L1110" s="9"/>
      <c r="M1110" s="9"/>
      <c r="N1110" s="4"/>
    </row>
    <row r="1111" spans="9:14" x14ac:dyDescent="0.3">
      <c r="I1111" s="7"/>
      <c r="J1111" s="9"/>
      <c r="K1111" s="9"/>
      <c r="L1111" s="9"/>
      <c r="M1111" s="9"/>
      <c r="N1111" s="4"/>
    </row>
    <row r="1112" spans="9:14" x14ac:dyDescent="0.3">
      <c r="I1112" s="7"/>
      <c r="J1112" s="9"/>
      <c r="K1112" s="9"/>
      <c r="L1112" s="9"/>
      <c r="M1112" s="9"/>
      <c r="N1112" s="4"/>
    </row>
    <row r="1113" spans="9:14" x14ac:dyDescent="0.3">
      <c r="I1113" s="7"/>
      <c r="J1113" s="9"/>
      <c r="K1113" s="9"/>
      <c r="L1113" s="9"/>
      <c r="M1113" s="9"/>
      <c r="N1113" s="4"/>
    </row>
    <row r="1114" spans="9:14" x14ac:dyDescent="0.3">
      <c r="I1114" s="7"/>
      <c r="J1114" s="9"/>
      <c r="K1114" s="9"/>
      <c r="L1114" s="9"/>
      <c r="M1114" s="9"/>
      <c r="N1114" s="4"/>
    </row>
    <row r="1115" spans="9:14" x14ac:dyDescent="0.3">
      <c r="I1115" s="7"/>
      <c r="J1115" s="9"/>
      <c r="K1115" s="9"/>
      <c r="L1115" s="9"/>
      <c r="M1115" s="9"/>
      <c r="N1115" s="4"/>
    </row>
    <row r="1116" spans="9:14" x14ac:dyDescent="0.3">
      <c r="I1116" s="7"/>
      <c r="J1116" s="9"/>
      <c r="K1116" s="9"/>
      <c r="L1116" s="9"/>
      <c r="M1116" s="9"/>
      <c r="N1116" s="4"/>
    </row>
    <row r="1117" spans="9:14" x14ac:dyDescent="0.3">
      <c r="I1117" s="7"/>
      <c r="J1117" s="9"/>
      <c r="K1117" s="9"/>
      <c r="L1117" s="9"/>
      <c r="M1117" s="9"/>
      <c r="N1117" s="4"/>
    </row>
    <row r="1118" spans="9:14" x14ac:dyDescent="0.3">
      <c r="I1118" s="7"/>
      <c r="J1118" s="9"/>
      <c r="K1118" s="9"/>
      <c r="L1118" s="9"/>
      <c r="M1118" s="9"/>
      <c r="N1118" s="4"/>
    </row>
    <row r="1119" spans="9:14" x14ac:dyDescent="0.3">
      <c r="I1119" s="7"/>
      <c r="J1119" s="9"/>
      <c r="K1119" s="9"/>
      <c r="L1119" s="9"/>
      <c r="M1119" s="9"/>
      <c r="N1119" s="4"/>
    </row>
    <row r="1120" spans="9:14" x14ac:dyDescent="0.3">
      <c r="I1120" s="7"/>
      <c r="J1120" s="9"/>
      <c r="K1120" s="9"/>
      <c r="L1120" s="9"/>
      <c r="M1120" s="9"/>
      <c r="N1120" s="4"/>
    </row>
    <row r="1121" spans="9:14" x14ac:dyDescent="0.3">
      <c r="I1121" s="7"/>
      <c r="J1121" s="9"/>
      <c r="K1121" s="9"/>
      <c r="L1121" s="9"/>
      <c r="M1121" s="9"/>
      <c r="N1121" s="4"/>
    </row>
    <row r="1122" spans="9:14" x14ac:dyDescent="0.3">
      <c r="I1122" s="7"/>
      <c r="J1122" s="9"/>
      <c r="K1122" s="9"/>
      <c r="L1122" s="9"/>
      <c r="M1122" s="9"/>
      <c r="N1122" s="4"/>
    </row>
    <row r="1123" spans="9:14" x14ac:dyDescent="0.3">
      <c r="I1123" s="7"/>
      <c r="J1123" s="9"/>
      <c r="K1123" s="9"/>
      <c r="L1123" s="9"/>
      <c r="M1123" s="9"/>
      <c r="N1123" s="4"/>
    </row>
    <row r="1124" spans="9:14" x14ac:dyDescent="0.3">
      <c r="I1124" s="7"/>
      <c r="J1124" s="9"/>
      <c r="K1124" s="9"/>
      <c r="L1124" s="9"/>
      <c r="M1124" s="9"/>
      <c r="N1124" s="4"/>
    </row>
    <row r="1125" spans="9:14" x14ac:dyDescent="0.3">
      <c r="I1125" s="7"/>
      <c r="J1125" s="9"/>
      <c r="K1125" s="9"/>
      <c r="L1125" s="9"/>
      <c r="M1125" s="9"/>
      <c r="N1125" s="4"/>
    </row>
    <row r="1126" spans="9:14" x14ac:dyDescent="0.3">
      <c r="I1126" s="7"/>
      <c r="J1126" s="9"/>
      <c r="K1126" s="9"/>
      <c r="L1126" s="9"/>
      <c r="M1126" s="9"/>
      <c r="N1126" s="4"/>
    </row>
    <row r="1127" spans="9:14" x14ac:dyDescent="0.3">
      <c r="I1127" s="7"/>
      <c r="J1127" s="9"/>
      <c r="K1127" s="9"/>
      <c r="L1127" s="9"/>
      <c r="M1127" s="9"/>
      <c r="N1127" s="4"/>
    </row>
    <row r="1128" spans="9:14" x14ac:dyDescent="0.3">
      <c r="I1128" s="7"/>
      <c r="J1128" s="9"/>
      <c r="K1128" s="9"/>
      <c r="L1128" s="9"/>
      <c r="M1128" s="9"/>
      <c r="N1128" s="4"/>
    </row>
    <row r="1129" spans="9:14" x14ac:dyDescent="0.3">
      <c r="I1129" s="7"/>
      <c r="J1129" s="9"/>
      <c r="K1129" s="9"/>
      <c r="L1129" s="9"/>
      <c r="M1129" s="9"/>
      <c r="N1129" s="4"/>
    </row>
    <row r="1130" spans="9:14" x14ac:dyDescent="0.3">
      <c r="I1130" s="7"/>
      <c r="J1130" s="9"/>
      <c r="K1130" s="9"/>
      <c r="L1130" s="9"/>
      <c r="M1130" s="9"/>
      <c r="N1130" s="4"/>
    </row>
    <row r="1131" spans="9:14" x14ac:dyDescent="0.3">
      <c r="I1131" s="7"/>
      <c r="J1131" s="9"/>
      <c r="K1131" s="9"/>
      <c r="L1131" s="9"/>
      <c r="M1131" s="9"/>
      <c r="N1131" s="4"/>
    </row>
    <row r="1132" spans="9:14" x14ac:dyDescent="0.3">
      <c r="I1132" s="7"/>
      <c r="J1132" s="9"/>
      <c r="K1132" s="9"/>
      <c r="L1132" s="9"/>
      <c r="M1132" s="9"/>
      <c r="N1132" s="4"/>
    </row>
    <row r="1133" spans="9:14" x14ac:dyDescent="0.3">
      <c r="I1133" s="7"/>
      <c r="J1133" s="9"/>
      <c r="K1133" s="9"/>
      <c r="L1133" s="9"/>
      <c r="M1133" s="9"/>
      <c r="N1133" s="4"/>
    </row>
    <row r="1134" spans="9:14" x14ac:dyDescent="0.3">
      <c r="I1134" s="7"/>
      <c r="J1134" s="9"/>
      <c r="K1134" s="9"/>
      <c r="L1134" s="9"/>
      <c r="M1134" s="9"/>
      <c r="N1134" s="4"/>
    </row>
    <row r="1135" spans="9:14" x14ac:dyDescent="0.3">
      <c r="I1135" s="7"/>
      <c r="J1135" s="9"/>
      <c r="K1135" s="9"/>
      <c r="L1135" s="9"/>
      <c r="M1135" s="9"/>
      <c r="N1135" s="4"/>
    </row>
    <row r="1136" spans="9:14" x14ac:dyDescent="0.3">
      <c r="I1136" s="7"/>
      <c r="J1136" s="9"/>
      <c r="K1136" s="9"/>
      <c r="L1136" s="9"/>
      <c r="M1136" s="9"/>
      <c r="N1136" s="4"/>
    </row>
    <row r="1137" spans="9:14" x14ac:dyDescent="0.3">
      <c r="I1137" s="7"/>
      <c r="J1137" s="9"/>
      <c r="K1137" s="9"/>
      <c r="L1137" s="9"/>
      <c r="M1137" s="9"/>
      <c r="N1137" s="4"/>
    </row>
    <row r="1138" spans="9:14" x14ac:dyDescent="0.3">
      <c r="I1138" s="7"/>
      <c r="J1138" s="9"/>
      <c r="K1138" s="9"/>
      <c r="L1138" s="9"/>
      <c r="M1138" s="9"/>
      <c r="N1138" s="4"/>
    </row>
    <row r="1139" spans="9:14" x14ac:dyDescent="0.3">
      <c r="I1139" s="7"/>
      <c r="J1139" s="9"/>
      <c r="K1139" s="9"/>
      <c r="L1139" s="9"/>
      <c r="M1139" s="9"/>
      <c r="N1139" s="4"/>
    </row>
    <row r="1140" spans="9:14" x14ac:dyDescent="0.3">
      <c r="I1140" s="7"/>
      <c r="J1140" s="9"/>
      <c r="K1140" s="9"/>
      <c r="L1140" s="9"/>
      <c r="M1140" s="9"/>
      <c r="N1140" s="4"/>
    </row>
    <row r="1141" spans="9:14" x14ac:dyDescent="0.3">
      <c r="I1141" s="7"/>
      <c r="J1141" s="9"/>
      <c r="K1141" s="9"/>
      <c r="L1141" s="9"/>
      <c r="M1141" s="9"/>
      <c r="N1141" s="4"/>
    </row>
    <row r="1142" spans="9:14" x14ac:dyDescent="0.3">
      <c r="I1142" s="7"/>
      <c r="J1142" s="9"/>
      <c r="K1142" s="9"/>
      <c r="L1142" s="9"/>
      <c r="M1142" s="9"/>
      <c r="N1142" s="4"/>
    </row>
    <row r="1143" spans="9:14" x14ac:dyDescent="0.3">
      <c r="I1143" s="7"/>
      <c r="J1143" s="9"/>
      <c r="K1143" s="9"/>
      <c r="L1143" s="9"/>
      <c r="M1143" s="9"/>
      <c r="N1143" s="4"/>
    </row>
    <row r="1144" spans="9:14" x14ac:dyDescent="0.3">
      <c r="I1144" s="7"/>
      <c r="J1144" s="9"/>
      <c r="K1144" s="9"/>
      <c r="L1144" s="9"/>
      <c r="M1144" s="9"/>
      <c r="N1144" s="4"/>
    </row>
    <row r="1145" spans="9:14" x14ac:dyDescent="0.3">
      <c r="I1145" s="7"/>
      <c r="J1145" s="9"/>
      <c r="K1145" s="9"/>
      <c r="L1145" s="9"/>
      <c r="M1145" s="9"/>
      <c r="N1145" s="4"/>
    </row>
    <row r="1146" spans="9:14" x14ac:dyDescent="0.3">
      <c r="I1146" s="7"/>
      <c r="J1146" s="9"/>
      <c r="K1146" s="9"/>
      <c r="L1146" s="9"/>
      <c r="M1146" s="9"/>
      <c r="N1146" s="4"/>
    </row>
    <row r="1147" spans="9:14" x14ac:dyDescent="0.3">
      <c r="I1147" s="7"/>
      <c r="J1147" s="9"/>
      <c r="K1147" s="9"/>
      <c r="L1147" s="9"/>
      <c r="M1147" s="9"/>
      <c r="N1147" s="4"/>
    </row>
    <row r="1148" spans="9:14" x14ac:dyDescent="0.3">
      <c r="I1148" s="7"/>
      <c r="J1148" s="9"/>
      <c r="K1148" s="9"/>
      <c r="L1148" s="9"/>
      <c r="M1148" s="9"/>
      <c r="N1148" s="4"/>
    </row>
    <row r="1149" spans="9:14" x14ac:dyDescent="0.3">
      <c r="I1149" s="7"/>
      <c r="J1149" s="9"/>
      <c r="K1149" s="9"/>
      <c r="L1149" s="9"/>
      <c r="M1149" s="9"/>
      <c r="N1149" s="4"/>
    </row>
    <row r="1150" spans="9:14" x14ac:dyDescent="0.3">
      <c r="I1150" s="7"/>
      <c r="J1150" s="9"/>
      <c r="K1150" s="9"/>
      <c r="L1150" s="9"/>
      <c r="M1150" s="9"/>
      <c r="N1150" s="4"/>
    </row>
    <row r="1151" spans="9:14" x14ac:dyDescent="0.3">
      <c r="I1151" s="7"/>
      <c r="J1151" s="9"/>
      <c r="K1151" s="9"/>
      <c r="L1151" s="9"/>
      <c r="M1151" s="9"/>
      <c r="N1151" s="4"/>
    </row>
    <row r="1152" spans="9:14" x14ac:dyDescent="0.3">
      <c r="I1152" s="7"/>
      <c r="J1152" s="9"/>
      <c r="K1152" s="9"/>
      <c r="L1152" s="9"/>
      <c r="M1152" s="9"/>
      <c r="N1152" s="4"/>
    </row>
    <row r="1153" spans="9:14" x14ac:dyDescent="0.3">
      <c r="I1153" s="7"/>
      <c r="J1153" s="9"/>
      <c r="K1153" s="9"/>
      <c r="L1153" s="9"/>
      <c r="M1153" s="9"/>
      <c r="N1153" s="4"/>
    </row>
    <row r="1154" spans="9:14" x14ac:dyDescent="0.3">
      <c r="I1154" s="7"/>
      <c r="J1154" s="9"/>
      <c r="K1154" s="9"/>
      <c r="L1154" s="9"/>
      <c r="M1154" s="9"/>
      <c r="N1154" s="4"/>
    </row>
    <row r="1155" spans="9:14" x14ac:dyDescent="0.3">
      <c r="I1155" s="7"/>
      <c r="J1155" s="9"/>
      <c r="K1155" s="9"/>
      <c r="L1155" s="9"/>
      <c r="M1155" s="9"/>
      <c r="N1155" s="4"/>
    </row>
    <row r="1156" spans="9:14" x14ac:dyDescent="0.3">
      <c r="I1156" s="7"/>
      <c r="J1156" s="9"/>
      <c r="K1156" s="9"/>
      <c r="L1156" s="9"/>
      <c r="M1156" s="9"/>
      <c r="N1156" s="4"/>
    </row>
    <row r="1157" spans="9:14" x14ac:dyDescent="0.3">
      <c r="I1157" s="7"/>
      <c r="J1157" s="9"/>
      <c r="K1157" s="9"/>
      <c r="L1157" s="9"/>
      <c r="M1157" s="9"/>
      <c r="N1157" s="4"/>
    </row>
    <row r="1158" spans="9:14" x14ac:dyDescent="0.3">
      <c r="I1158" s="7"/>
      <c r="J1158" s="9"/>
      <c r="K1158" s="9"/>
      <c r="L1158" s="9"/>
      <c r="M1158" s="9"/>
      <c r="N1158" s="4"/>
    </row>
    <row r="1159" spans="9:14" x14ac:dyDescent="0.3">
      <c r="I1159" s="7"/>
      <c r="J1159" s="9"/>
      <c r="K1159" s="9"/>
      <c r="L1159" s="9"/>
      <c r="M1159" s="9"/>
      <c r="N1159" s="4"/>
    </row>
    <row r="1160" spans="9:14" x14ac:dyDescent="0.3">
      <c r="I1160" s="7"/>
      <c r="J1160" s="9"/>
      <c r="K1160" s="9"/>
      <c r="L1160" s="9"/>
      <c r="M1160" s="9"/>
      <c r="N1160" s="4"/>
    </row>
    <row r="1161" spans="9:14" x14ac:dyDescent="0.3">
      <c r="I1161" s="7"/>
      <c r="J1161" s="9"/>
      <c r="K1161" s="9"/>
      <c r="L1161" s="9"/>
      <c r="M1161" s="9"/>
      <c r="N1161" s="4"/>
    </row>
    <row r="1162" spans="9:14" x14ac:dyDescent="0.3">
      <c r="I1162" s="7"/>
      <c r="J1162" s="9"/>
      <c r="K1162" s="9"/>
      <c r="L1162" s="9"/>
      <c r="M1162" s="9"/>
      <c r="N1162" s="4"/>
    </row>
    <row r="1163" spans="9:14" x14ac:dyDescent="0.3">
      <c r="I1163" s="7"/>
      <c r="J1163" s="9"/>
      <c r="K1163" s="9"/>
      <c r="L1163" s="9"/>
      <c r="M1163" s="9"/>
      <c r="N1163" s="4"/>
    </row>
    <row r="1164" spans="9:14" x14ac:dyDescent="0.3">
      <c r="I1164" s="7"/>
      <c r="J1164" s="9"/>
      <c r="K1164" s="9"/>
      <c r="L1164" s="9"/>
      <c r="M1164" s="9"/>
      <c r="N1164" s="4"/>
    </row>
    <row r="1165" spans="9:14" x14ac:dyDescent="0.3">
      <c r="I1165" s="7"/>
      <c r="J1165" s="9"/>
      <c r="K1165" s="9"/>
      <c r="L1165" s="9"/>
      <c r="M1165" s="9"/>
      <c r="N1165" s="4"/>
    </row>
    <row r="1166" spans="9:14" x14ac:dyDescent="0.3">
      <c r="I1166" s="7"/>
      <c r="J1166" s="9"/>
      <c r="K1166" s="9"/>
      <c r="L1166" s="9"/>
      <c r="M1166" s="9"/>
      <c r="N1166" s="4"/>
    </row>
    <row r="1167" spans="9:14" x14ac:dyDescent="0.3">
      <c r="I1167" s="7"/>
      <c r="J1167" s="9"/>
      <c r="K1167" s="9"/>
      <c r="L1167" s="9"/>
      <c r="M1167" s="9"/>
      <c r="N1167" s="4"/>
    </row>
    <row r="1168" spans="9:14" x14ac:dyDescent="0.3">
      <c r="I1168" s="7"/>
      <c r="J1168" s="9"/>
      <c r="K1168" s="9"/>
      <c r="L1168" s="9"/>
      <c r="M1168" s="9"/>
      <c r="N1168" s="4"/>
    </row>
    <row r="1169" spans="9:14" x14ac:dyDescent="0.3">
      <c r="I1169" s="7"/>
      <c r="J1169" s="9"/>
      <c r="K1169" s="9"/>
      <c r="L1169" s="9"/>
      <c r="M1169" s="9"/>
      <c r="N1169" s="4"/>
    </row>
    <row r="1170" spans="9:14" x14ac:dyDescent="0.3">
      <c r="I1170" s="7"/>
      <c r="J1170" s="9"/>
      <c r="K1170" s="9"/>
      <c r="L1170" s="9"/>
      <c r="M1170" s="9"/>
      <c r="N1170" s="4"/>
    </row>
    <row r="1171" spans="9:14" x14ac:dyDescent="0.3">
      <c r="I1171" s="7"/>
      <c r="J1171" s="9"/>
      <c r="K1171" s="9"/>
      <c r="L1171" s="9"/>
      <c r="M1171" s="9"/>
      <c r="N1171" s="4"/>
    </row>
    <row r="1172" spans="9:14" x14ac:dyDescent="0.3">
      <c r="I1172" s="7"/>
      <c r="J1172" s="9"/>
      <c r="K1172" s="9"/>
      <c r="L1172" s="9"/>
      <c r="M1172" s="9"/>
      <c r="N1172" s="4"/>
    </row>
    <row r="1173" spans="9:14" x14ac:dyDescent="0.3">
      <c r="I1173" s="7"/>
      <c r="J1173" s="9"/>
      <c r="K1173" s="9"/>
      <c r="L1173" s="9"/>
      <c r="M1173" s="9"/>
      <c r="N1173" s="4"/>
    </row>
    <row r="1174" spans="9:14" x14ac:dyDescent="0.3">
      <c r="I1174" s="7"/>
      <c r="J1174" s="9"/>
      <c r="K1174" s="9"/>
      <c r="L1174" s="9"/>
      <c r="M1174" s="9"/>
      <c r="N1174" s="4"/>
    </row>
    <row r="1175" spans="9:14" x14ac:dyDescent="0.3">
      <c r="I1175" s="7"/>
      <c r="J1175" s="9"/>
      <c r="K1175" s="9"/>
      <c r="L1175" s="9"/>
      <c r="M1175" s="9"/>
      <c r="N1175" s="4"/>
    </row>
    <row r="1176" spans="9:14" x14ac:dyDescent="0.3">
      <c r="I1176" s="7"/>
      <c r="J1176" s="9"/>
      <c r="K1176" s="9"/>
      <c r="L1176" s="9"/>
      <c r="M1176" s="9"/>
      <c r="N1176" s="4"/>
    </row>
    <row r="1177" spans="9:14" x14ac:dyDescent="0.3">
      <c r="I1177" s="7"/>
      <c r="J1177" s="9"/>
      <c r="K1177" s="9"/>
      <c r="L1177" s="9"/>
      <c r="M1177" s="9"/>
      <c r="N1177" s="4"/>
    </row>
    <row r="1178" spans="9:14" x14ac:dyDescent="0.3">
      <c r="I1178" s="7"/>
      <c r="J1178" s="9"/>
      <c r="K1178" s="9"/>
      <c r="L1178" s="9"/>
      <c r="M1178" s="9"/>
      <c r="N1178" s="4"/>
    </row>
    <row r="1179" spans="9:14" x14ac:dyDescent="0.3">
      <c r="I1179" s="7"/>
      <c r="J1179" s="9"/>
      <c r="K1179" s="9"/>
      <c r="L1179" s="9"/>
      <c r="M1179" s="9"/>
      <c r="N1179" s="4"/>
    </row>
    <row r="1180" spans="9:14" x14ac:dyDescent="0.3">
      <c r="I1180" s="7"/>
      <c r="J1180" s="9"/>
      <c r="K1180" s="9"/>
      <c r="L1180" s="9"/>
      <c r="M1180" s="9"/>
      <c r="N1180" s="4"/>
    </row>
    <row r="1181" spans="9:14" x14ac:dyDescent="0.3">
      <c r="I1181" s="7"/>
      <c r="J1181" s="9"/>
      <c r="K1181" s="9"/>
      <c r="L1181" s="9"/>
      <c r="M1181" s="9"/>
      <c r="N1181" s="4"/>
    </row>
    <row r="1182" spans="9:14" x14ac:dyDescent="0.3">
      <c r="I1182" s="7"/>
      <c r="J1182" s="9"/>
      <c r="K1182" s="9"/>
      <c r="L1182" s="9"/>
      <c r="M1182" s="9"/>
      <c r="N1182" s="4"/>
    </row>
    <row r="1183" spans="9:14" x14ac:dyDescent="0.3">
      <c r="I1183" s="7"/>
      <c r="J1183" s="9"/>
      <c r="K1183" s="9"/>
      <c r="L1183" s="9"/>
      <c r="M1183" s="9"/>
      <c r="N1183" s="4"/>
    </row>
    <row r="1184" spans="9:14" x14ac:dyDescent="0.3">
      <c r="I1184" s="7"/>
      <c r="J1184" s="9"/>
      <c r="K1184" s="9"/>
      <c r="L1184" s="9"/>
      <c r="M1184" s="9"/>
      <c r="N1184" s="4"/>
    </row>
    <row r="1185" spans="9:14" x14ac:dyDescent="0.3">
      <c r="I1185" s="7"/>
      <c r="J1185" s="9"/>
      <c r="K1185" s="9"/>
      <c r="L1185" s="9"/>
      <c r="M1185" s="9"/>
      <c r="N1185" s="4"/>
    </row>
    <row r="1186" spans="9:14" x14ac:dyDescent="0.3">
      <c r="I1186" s="7"/>
      <c r="J1186" s="9"/>
      <c r="K1186" s="9"/>
      <c r="L1186" s="9"/>
      <c r="M1186" s="9"/>
      <c r="N1186" s="4"/>
    </row>
    <row r="1187" spans="9:14" x14ac:dyDescent="0.3">
      <c r="I1187" s="7"/>
      <c r="J1187" s="9"/>
      <c r="K1187" s="9"/>
      <c r="L1187" s="9"/>
      <c r="M1187" s="9"/>
      <c r="N1187" s="4"/>
    </row>
    <row r="1188" spans="9:14" x14ac:dyDescent="0.3">
      <c r="I1188" s="7"/>
      <c r="J1188" s="9"/>
      <c r="K1188" s="9"/>
      <c r="L1188" s="9"/>
      <c r="M1188" s="9"/>
      <c r="N1188" s="4"/>
    </row>
    <row r="1189" spans="9:14" x14ac:dyDescent="0.3">
      <c r="I1189" s="7"/>
      <c r="J1189" s="9"/>
      <c r="K1189" s="9"/>
      <c r="L1189" s="9"/>
      <c r="M1189" s="9"/>
      <c r="N1189" s="4"/>
    </row>
    <row r="1190" spans="9:14" x14ac:dyDescent="0.3">
      <c r="I1190" s="7"/>
      <c r="J1190" s="9"/>
      <c r="K1190" s="9"/>
      <c r="L1190" s="9"/>
      <c r="M1190" s="9"/>
      <c r="N1190" s="4"/>
    </row>
    <row r="1191" spans="9:14" x14ac:dyDescent="0.3">
      <c r="I1191" s="7"/>
      <c r="J1191" s="9"/>
      <c r="K1191" s="9"/>
      <c r="L1191" s="9"/>
      <c r="M1191" s="9"/>
      <c r="N1191" s="4"/>
    </row>
    <row r="1192" spans="9:14" x14ac:dyDescent="0.3">
      <c r="I1192" s="7"/>
      <c r="J1192" s="9"/>
      <c r="K1192" s="9"/>
      <c r="L1192" s="9"/>
      <c r="M1192" s="9"/>
      <c r="N1192" s="4"/>
    </row>
    <row r="1193" spans="9:14" x14ac:dyDescent="0.3">
      <c r="I1193" s="7"/>
      <c r="J1193" s="9"/>
      <c r="K1193" s="9"/>
      <c r="L1193" s="9"/>
      <c r="M1193" s="9"/>
      <c r="N1193" s="4"/>
    </row>
    <row r="1194" spans="9:14" x14ac:dyDescent="0.3">
      <c r="I1194" s="7"/>
      <c r="J1194" s="9"/>
      <c r="K1194" s="9"/>
      <c r="L1194" s="9"/>
      <c r="M1194" s="9"/>
      <c r="N1194" s="4"/>
    </row>
    <row r="1195" spans="9:14" x14ac:dyDescent="0.3">
      <c r="I1195" s="7"/>
      <c r="J1195" s="9"/>
      <c r="K1195" s="9"/>
      <c r="L1195" s="9"/>
      <c r="M1195" s="9"/>
      <c r="N1195" s="4"/>
    </row>
    <row r="1196" spans="9:14" x14ac:dyDescent="0.3">
      <c r="I1196" s="7"/>
      <c r="J1196" s="9"/>
      <c r="K1196" s="9"/>
      <c r="L1196" s="9"/>
      <c r="M1196" s="9"/>
      <c r="N1196" s="4"/>
    </row>
    <row r="1197" spans="9:14" x14ac:dyDescent="0.3">
      <c r="I1197" s="7"/>
      <c r="J1197" s="9"/>
      <c r="K1197" s="9"/>
      <c r="L1197" s="9"/>
      <c r="M1197" s="9"/>
      <c r="N1197" s="4"/>
    </row>
    <row r="1198" spans="9:14" x14ac:dyDescent="0.3">
      <c r="I1198" s="7"/>
      <c r="J1198" s="9"/>
      <c r="K1198" s="9"/>
      <c r="L1198" s="9"/>
      <c r="M1198" s="9"/>
      <c r="N1198" s="4"/>
    </row>
    <row r="1199" spans="9:14" x14ac:dyDescent="0.3">
      <c r="I1199" s="7"/>
      <c r="J1199" s="9"/>
      <c r="K1199" s="9"/>
      <c r="L1199" s="9"/>
      <c r="M1199" s="9"/>
      <c r="N1199" s="4"/>
    </row>
    <row r="1200" spans="9:14" x14ac:dyDescent="0.3">
      <c r="I1200" s="7"/>
      <c r="J1200" s="9"/>
      <c r="K1200" s="9"/>
      <c r="L1200" s="9"/>
      <c r="M1200" s="9"/>
      <c r="N1200" s="4"/>
    </row>
    <row r="1201" spans="9:14" x14ac:dyDescent="0.3">
      <c r="I1201" s="7"/>
      <c r="J1201" s="9"/>
      <c r="K1201" s="9"/>
      <c r="L1201" s="9"/>
      <c r="M1201" s="9"/>
      <c r="N1201" s="4"/>
    </row>
    <row r="1202" spans="9:14" x14ac:dyDescent="0.3">
      <c r="I1202" s="7"/>
      <c r="J1202" s="9"/>
      <c r="K1202" s="9"/>
      <c r="L1202" s="9"/>
      <c r="M1202" s="9"/>
      <c r="N1202" s="4"/>
    </row>
    <row r="1203" spans="9:14" x14ac:dyDescent="0.3">
      <c r="I1203" s="7"/>
      <c r="J1203" s="9"/>
      <c r="K1203" s="9"/>
      <c r="L1203" s="9"/>
      <c r="M1203" s="9"/>
      <c r="N1203" s="4"/>
    </row>
    <row r="1204" spans="9:14" x14ac:dyDescent="0.3">
      <c r="I1204" s="7"/>
      <c r="J1204" s="9"/>
      <c r="K1204" s="9"/>
      <c r="L1204" s="9"/>
      <c r="M1204" s="9"/>
      <c r="N1204" s="4"/>
    </row>
    <row r="1205" spans="9:14" x14ac:dyDescent="0.3">
      <c r="I1205" s="7"/>
      <c r="J1205" s="9"/>
      <c r="K1205" s="9"/>
      <c r="L1205" s="9"/>
      <c r="M1205" s="9"/>
      <c r="N1205" s="4"/>
    </row>
    <row r="1206" spans="9:14" x14ac:dyDescent="0.3">
      <c r="I1206" s="7"/>
      <c r="J1206" s="9"/>
      <c r="K1206" s="9"/>
      <c r="L1206" s="9"/>
      <c r="M1206" s="9"/>
      <c r="N1206" s="4"/>
    </row>
    <row r="1207" spans="9:14" x14ac:dyDescent="0.3">
      <c r="I1207" s="7"/>
      <c r="J1207" s="9"/>
      <c r="K1207" s="9"/>
      <c r="L1207" s="9"/>
      <c r="M1207" s="9"/>
      <c r="N1207" s="4"/>
    </row>
    <row r="1208" spans="9:14" x14ac:dyDescent="0.3">
      <c r="I1208" s="7"/>
      <c r="J1208" s="9"/>
      <c r="K1208" s="9"/>
      <c r="L1208" s="9"/>
      <c r="M1208" s="9"/>
      <c r="N1208" s="4"/>
    </row>
    <row r="1209" spans="9:14" x14ac:dyDescent="0.3">
      <c r="I1209" s="7"/>
      <c r="J1209" s="9"/>
      <c r="K1209" s="9"/>
      <c r="L1209" s="9"/>
      <c r="M1209" s="9"/>
      <c r="N1209" s="4"/>
    </row>
    <row r="1210" spans="9:14" x14ac:dyDescent="0.3">
      <c r="I1210" s="7"/>
      <c r="J1210" s="9"/>
      <c r="K1210" s="9"/>
      <c r="L1210" s="9"/>
      <c r="M1210" s="9"/>
      <c r="N1210" s="4"/>
    </row>
    <row r="1211" spans="9:14" x14ac:dyDescent="0.3">
      <c r="I1211" s="7"/>
      <c r="J1211" s="9"/>
      <c r="K1211" s="9"/>
      <c r="L1211" s="9"/>
      <c r="M1211" s="9"/>
      <c r="N1211" s="4"/>
    </row>
    <row r="1212" spans="9:14" x14ac:dyDescent="0.3">
      <c r="I1212" s="7"/>
      <c r="J1212" s="9"/>
      <c r="K1212" s="9"/>
      <c r="L1212" s="9"/>
      <c r="M1212" s="9"/>
      <c r="N1212" s="4"/>
    </row>
    <row r="1213" spans="9:14" x14ac:dyDescent="0.3">
      <c r="I1213" s="7"/>
      <c r="J1213" s="9"/>
      <c r="K1213" s="9"/>
      <c r="L1213" s="9"/>
      <c r="M1213" s="9"/>
      <c r="N1213" s="4"/>
    </row>
    <row r="1214" spans="9:14" x14ac:dyDescent="0.3">
      <c r="I1214" s="7"/>
      <c r="J1214" s="9"/>
      <c r="K1214" s="9"/>
      <c r="L1214" s="9"/>
      <c r="M1214" s="9"/>
      <c r="N1214" s="4"/>
    </row>
    <row r="1215" spans="9:14" x14ac:dyDescent="0.3">
      <c r="I1215" s="7"/>
      <c r="J1215" s="9"/>
      <c r="K1215" s="9"/>
      <c r="L1215" s="9"/>
      <c r="M1215" s="9"/>
      <c r="N1215" s="4"/>
    </row>
    <row r="1216" spans="9:14" x14ac:dyDescent="0.3">
      <c r="I1216" s="7"/>
      <c r="J1216" s="9"/>
      <c r="K1216" s="9"/>
      <c r="L1216" s="9"/>
      <c r="M1216" s="9"/>
      <c r="N1216" s="4"/>
    </row>
    <row r="1217" spans="9:14" x14ac:dyDescent="0.3">
      <c r="I1217" s="7"/>
      <c r="J1217" s="9"/>
      <c r="K1217" s="9"/>
      <c r="L1217" s="9"/>
      <c r="M1217" s="9"/>
      <c r="N1217" s="4"/>
    </row>
    <row r="1218" spans="9:14" x14ac:dyDescent="0.3">
      <c r="I1218" s="7"/>
      <c r="J1218" s="9"/>
      <c r="K1218" s="9"/>
      <c r="L1218" s="9"/>
      <c r="M1218" s="9"/>
      <c r="N1218" s="4"/>
    </row>
    <row r="1219" spans="9:14" x14ac:dyDescent="0.3">
      <c r="I1219" s="7"/>
      <c r="J1219" s="9"/>
      <c r="K1219" s="9"/>
      <c r="L1219" s="9"/>
      <c r="M1219" s="9"/>
      <c r="N1219" s="4"/>
    </row>
    <row r="1220" spans="9:14" x14ac:dyDescent="0.3">
      <c r="I1220" s="7"/>
      <c r="J1220" s="9"/>
      <c r="K1220" s="9"/>
      <c r="L1220" s="9"/>
      <c r="M1220" s="9"/>
      <c r="N1220" s="4"/>
    </row>
    <row r="1221" spans="9:14" x14ac:dyDescent="0.3">
      <c r="I1221" s="7"/>
      <c r="J1221" s="9"/>
      <c r="K1221" s="9"/>
      <c r="L1221" s="9"/>
      <c r="M1221" s="9"/>
      <c r="N1221" s="4"/>
    </row>
    <row r="1222" spans="9:14" x14ac:dyDescent="0.3">
      <c r="I1222" s="7"/>
      <c r="J1222" s="9"/>
      <c r="K1222" s="9"/>
      <c r="L1222" s="9"/>
      <c r="M1222" s="9"/>
      <c r="N1222" s="4"/>
    </row>
    <row r="1223" spans="9:14" x14ac:dyDescent="0.3">
      <c r="I1223" s="7"/>
      <c r="J1223" s="9"/>
      <c r="K1223" s="9"/>
      <c r="L1223" s="9"/>
      <c r="M1223" s="9"/>
      <c r="N1223" s="4"/>
    </row>
    <row r="1224" spans="9:14" x14ac:dyDescent="0.3">
      <c r="I1224" s="7"/>
      <c r="J1224" s="9"/>
      <c r="K1224" s="9"/>
      <c r="L1224" s="9"/>
      <c r="M1224" s="9"/>
      <c r="N1224" s="4"/>
    </row>
    <row r="1225" spans="9:14" x14ac:dyDescent="0.3">
      <c r="I1225" s="7"/>
      <c r="J1225" s="9"/>
      <c r="K1225" s="9"/>
      <c r="L1225" s="9"/>
      <c r="M1225" s="9"/>
      <c r="N1225" s="4"/>
    </row>
    <row r="1226" spans="9:14" x14ac:dyDescent="0.3">
      <c r="I1226" s="7"/>
      <c r="J1226" s="9"/>
      <c r="K1226" s="9"/>
      <c r="L1226" s="9"/>
      <c r="M1226" s="9"/>
      <c r="N1226" s="4"/>
    </row>
    <row r="1227" spans="9:14" x14ac:dyDescent="0.3">
      <c r="I1227" s="7"/>
      <c r="J1227" s="9"/>
      <c r="K1227" s="9"/>
      <c r="L1227" s="9"/>
      <c r="M1227" s="9"/>
      <c r="N1227" s="4"/>
    </row>
    <row r="1228" spans="9:14" x14ac:dyDescent="0.3">
      <c r="I1228" s="7"/>
      <c r="J1228" s="9"/>
      <c r="K1228" s="9"/>
      <c r="L1228" s="9"/>
      <c r="M1228" s="9"/>
      <c r="N1228" s="4"/>
    </row>
    <row r="1229" spans="9:14" x14ac:dyDescent="0.3">
      <c r="I1229" s="7"/>
      <c r="J1229" s="9"/>
      <c r="K1229" s="9"/>
      <c r="L1229" s="9"/>
      <c r="M1229" s="9"/>
      <c r="N1229" s="4"/>
    </row>
    <row r="1230" spans="9:14" x14ac:dyDescent="0.3">
      <c r="I1230" s="7"/>
      <c r="J1230" s="9"/>
      <c r="K1230" s="9"/>
      <c r="L1230" s="9"/>
      <c r="M1230" s="9"/>
      <c r="N1230" s="4"/>
    </row>
    <row r="1231" spans="9:14" x14ac:dyDescent="0.3">
      <c r="I1231" s="7"/>
      <c r="J1231" s="9"/>
      <c r="K1231" s="9"/>
      <c r="L1231" s="9"/>
      <c r="M1231" s="9"/>
      <c r="N1231" s="4"/>
    </row>
    <row r="1232" spans="9:14" x14ac:dyDescent="0.3">
      <c r="I1232" s="7"/>
      <c r="J1232" s="9"/>
      <c r="K1232" s="9"/>
      <c r="L1232" s="9"/>
      <c r="M1232" s="9"/>
      <c r="N1232" s="4"/>
    </row>
    <row r="1233" spans="9:14" x14ac:dyDescent="0.3">
      <c r="I1233" s="7"/>
      <c r="J1233" s="9"/>
      <c r="K1233" s="9"/>
      <c r="L1233" s="9"/>
      <c r="M1233" s="9"/>
      <c r="N1233" s="4"/>
    </row>
    <row r="1234" spans="9:14" x14ac:dyDescent="0.3">
      <c r="I1234" s="7"/>
      <c r="J1234" s="9"/>
      <c r="K1234" s="9"/>
      <c r="L1234" s="9"/>
      <c r="M1234" s="9"/>
      <c r="N1234" s="4"/>
    </row>
    <row r="1235" spans="9:14" x14ac:dyDescent="0.3">
      <c r="I1235" s="7"/>
      <c r="J1235" s="9"/>
      <c r="K1235" s="9"/>
      <c r="L1235" s="9"/>
      <c r="M1235" s="9"/>
      <c r="N1235" s="4"/>
    </row>
    <row r="1236" spans="9:14" x14ac:dyDescent="0.3">
      <c r="I1236" s="7"/>
      <c r="J1236" s="9"/>
      <c r="K1236" s="9"/>
      <c r="L1236" s="9"/>
      <c r="M1236" s="9"/>
      <c r="N1236" s="4"/>
    </row>
    <row r="1237" spans="9:14" x14ac:dyDescent="0.3">
      <c r="I1237" s="7"/>
      <c r="J1237" s="9"/>
      <c r="K1237" s="9"/>
      <c r="L1237" s="9"/>
      <c r="M1237" s="9"/>
      <c r="N1237" s="4"/>
    </row>
    <row r="1238" spans="9:14" x14ac:dyDescent="0.3">
      <c r="I1238" s="7"/>
      <c r="J1238" s="9"/>
      <c r="K1238" s="9"/>
      <c r="L1238" s="9"/>
      <c r="M1238" s="9"/>
      <c r="N1238" s="4"/>
    </row>
    <row r="1239" spans="9:14" x14ac:dyDescent="0.3">
      <c r="I1239" s="7"/>
      <c r="J1239" s="9"/>
      <c r="K1239" s="9"/>
      <c r="L1239" s="9"/>
      <c r="M1239" s="9"/>
      <c r="N1239" s="4"/>
    </row>
    <row r="1240" spans="9:14" x14ac:dyDescent="0.3">
      <c r="I1240" s="7"/>
      <c r="J1240" s="9"/>
      <c r="K1240" s="9"/>
      <c r="L1240" s="9"/>
      <c r="M1240" s="9"/>
      <c r="N1240" s="4"/>
    </row>
    <row r="1241" spans="9:14" x14ac:dyDescent="0.3">
      <c r="I1241" s="7"/>
      <c r="J1241" s="9"/>
      <c r="K1241" s="9"/>
      <c r="L1241" s="9"/>
      <c r="M1241" s="9"/>
      <c r="N1241" s="4"/>
    </row>
    <row r="1242" spans="9:14" x14ac:dyDescent="0.3">
      <c r="I1242" s="7"/>
      <c r="J1242" s="9"/>
      <c r="K1242" s="9"/>
      <c r="L1242" s="9"/>
      <c r="M1242" s="9"/>
      <c r="N1242" s="4"/>
    </row>
    <row r="1243" spans="9:14" x14ac:dyDescent="0.3">
      <c r="I1243" s="7"/>
      <c r="J1243" s="9"/>
      <c r="K1243" s="9"/>
      <c r="L1243" s="9"/>
      <c r="M1243" s="9"/>
      <c r="N1243" s="4"/>
    </row>
    <row r="1244" spans="9:14" x14ac:dyDescent="0.3">
      <c r="I1244" s="7"/>
      <c r="J1244" s="9"/>
      <c r="K1244" s="9"/>
      <c r="L1244" s="9"/>
      <c r="M1244" s="9"/>
      <c r="N1244" s="4"/>
    </row>
    <row r="1245" spans="9:14" x14ac:dyDescent="0.3">
      <c r="I1245" s="7"/>
      <c r="J1245" s="9"/>
      <c r="K1245" s="9"/>
      <c r="L1245" s="9"/>
      <c r="M1245" s="9"/>
      <c r="N1245" s="4"/>
    </row>
    <row r="1246" spans="9:14" x14ac:dyDescent="0.3">
      <c r="I1246" s="7"/>
      <c r="J1246" s="9"/>
      <c r="K1246" s="9"/>
      <c r="L1246" s="9"/>
      <c r="M1246" s="9"/>
      <c r="N1246" s="4"/>
    </row>
    <row r="1247" spans="9:14" x14ac:dyDescent="0.3">
      <c r="I1247" s="7"/>
      <c r="J1247" s="9"/>
      <c r="K1247" s="9"/>
      <c r="L1247" s="9"/>
      <c r="M1247" s="9"/>
      <c r="N1247" s="4"/>
    </row>
    <row r="1248" spans="9:14" x14ac:dyDescent="0.3">
      <c r="I1248" s="7"/>
      <c r="J1248" s="9"/>
      <c r="K1248" s="9"/>
      <c r="L1248" s="9"/>
      <c r="M1248" s="9"/>
      <c r="N1248" s="4"/>
    </row>
    <row r="1249" spans="9:14" x14ac:dyDescent="0.3">
      <c r="I1249" s="7"/>
      <c r="J1249" s="9"/>
      <c r="K1249" s="9"/>
      <c r="L1249" s="9"/>
      <c r="M1249" s="9"/>
      <c r="N1249" s="4"/>
    </row>
    <row r="1250" spans="9:14" x14ac:dyDescent="0.3">
      <c r="I1250" s="7"/>
      <c r="J1250" s="9"/>
      <c r="K1250" s="9"/>
      <c r="L1250" s="9"/>
      <c r="M1250" s="9"/>
      <c r="N1250" s="4"/>
    </row>
    <row r="1251" spans="9:14" x14ac:dyDescent="0.3">
      <c r="I1251" s="7"/>
      <c r="J1251" s="9"/>
      <c r="K1251" s="9"/>
      <c r="L1251" s="9"/>
      <c r="M1251" s="9"/>
      <c r="N1251" s="4"/>
    </row>
    <row r="1252" spans="9:14" x14ac:dyDescent="0.3">
      <c r="I1252" s="7"/>
      <c r="J1252" s="9"/>
      <c r="K1252" s="9"/>
      <c r="L1252" s="9"/>
      <c r="M1252" s="9"/>
      <c r="N1252" s="4"/>
    </row>
    <row r="1253" spans="9:14" x14ac:dyDescent="0.3">
      <c r="I1253" s="7"/>
      <c r="J1253" s="9"/>
      <c r="K1253" s="9"/>
      <c r="L1253" s="9"/>
      <c r="M1253" s="9"/>
      <c r="N1253" s="4"/>
    </row>
    <row r="1254" spans="9:14" x14ac:dyDescent="0.3">
      <c r="I1254" s="7"/>
      <c r="J1254" s="9"/>
      <c r="K1254" s="9"/>
      <c r="L1254" s="9"/>
      <c r="M1254" s="9"/>
      <c r="N1254" s="4"/>
    </row>
    <row r="1255" spans="9:14" x14ac:dyDescent="0.3">
      <c r="I1255" s="7"/>
      <c r="J1255" s="9"/>
      <c r="K1255" s="9"/>
      <c r="L1255" s="9"/>
      <c r="M1255" s="9"/>
      <c r="N1255" s="4"/>
    </row>
    <row r="1256" spans="9:14" x14ac:dyDescent="0.3">
      <c r="I1256" s="7"/>
      <c r="J1256" s="9"/>
      <c r="K1256" s="9"/>
      <c r="L1256" s="9"/>
      <c r="M1256" s="9"/>
      <c r="N1256" s="4"/>
    </row>
    <row r="1257" spans="9:14" x14ac:dyDescent="0.3">
      <c r="I1257" s="7"/>
      <c r="J1257" s="9"/>
      <c r="K1257" s="9"/>
      <c r="L1257" s="9"/>
      <c r="M1257" s="9"/>
      <c r="N1257" s="4"/>
    </row>
    <row r="1258" spans="9:14" x14ac:dyDescent="0.3">
      <c r="I1258" s="7"/>
      <c r="J1258" s="9"/>
      <c r="K1258" s="9"/>
      <c r="L1258" s="9"/>
      <c r="M1258" s="9"/>
      <c r="N1258" s="4"/>
    </row>
    <row r="1259" spans="9:14" x14ac:dyDescent="0.3">
      <c r="I1259" s="7"/>
      <c r="J1259" s="9"/>
      <c r="K1259" s="9"/>
      <c r="L1259" s="9"/>
      <c r="M1259" s="9"/>
      <c r="N1259" s="4"/>
    </row>
    <row r="1260" spans="9:14" x14ac:dyDescent="0.3">
      <c r="I1260" s="7"/>
      <c r="J1260" s="9"/>
      <c r="K1260" s="9"/>
      <c r="L1260" s="9"/>
      <c r="M1260" s="9"/>
      <c r="N1260" s="4"/>
    </row>
    <row r="1261" spans="9:14" x14ac:dyDescent="0.3">
      <c r="I1261" s="7"/>
      <c r="J1261" s="9"/>
      <c r="K1261" s="9"/>
      <c r="L1261" s="9"/>
      <c r="M1261" s="9"/>
      <c r="N1261" s="4"/>
    </row>
    <row r="1262" spans="9:14" x14ac:dyDescent="0.3">
      <c r="I1262" s="7"/>
      <c r="J1262" s="9"/>
      <c r="K1262" s="9"/>
      <c r="L1262" s="9"/>
      <c r="M1262" s="9"/>
      <c r="N1262" s="4"/>
    </row>
    <row r="1263" spans="9:14" x14ac:dyDescent="0.3">
      <c r="I1263" s="7"/>
      <c r="J1263" s="9"/>
      <c r="K1263" s="9"/>
      <c r="L1263" s="9"/>
      <c r="M1263" s="9"/>
      <c r="N1263" s="4"/>
    </row>
    <row r="1264" spans="9:14" x14ac:dyDescent="0.3">
      <c r="I1264" s="7"/>
      <c r="J1264" s="9"/>
      <c r="K1264" s="9"/>
      <c r="L1264" s="9"/>
      <c r="M1264" s="9"/>
      <c r="N1264" s="4"/>
    </row>
    <row r="1265" spans="9:14" x14ac:dyDescent="0.3">
      <c r="I1265" s="7"/>
      <c r="J1265" s="9"/>
      <c r="K1265" s="9"/>
      <c r="L1265" s="9"/>
      <c r="M1265" s="9"/>
      <c r="N1265" s="4"/>
    </row>
    <row r="1266" spans="9:14" x14ac:dyDescent="0.3">
      <c r="I1266" s="7"/>
      <c r="J1266" s="9"/>
      <c r="K1266" s="9"/>
      <c r="L1266" s="9"/>
      <c r="M1266" s="9"/>
      <c r="N1266" s="4"/>
    </row>
    <row r="1267" spans="9:14" x14ac:dyDescent="0.3">
      <c r="I1267" s="7"/>
      <c r="J1267" s="9"/>
      <c r="K1267" s="9"/>
      <c r="L1267" s="9"/>
      <c r="M1267" s="9"/>
      <c r="N1267" s="4"/>
    </row>
    <row r="1268" spans="9:14" x14ac:dyDescent="0.3">
      <c r="I1268" s="7"/>
      <c r="J1268" s="9"/>
      <c r="K1268" s="9"/>
      <c r="L1268" s="9"/>
      <c r="M1268" s="9"/>
      <c r="N1268" s="4"/>
    </row>
    <row r="1269" spans="9:14" x14ac:dyDescent="0.3">
      <c r="I1269" s="7"/>
      <c r="J1269" s="9"/>
      <c r="K1269" s="9"/>
      <c r="L1269" s="9"/>
      <c r="M1269" s="9"/>
      <c r="N1269" s="4"/>
    </row>
    <row r="1270" spans="9:14" x14ac:dyDescent="0.3">
      <c r="I1270" s="7"/>
      <c r="J1270" s="9"/>
      <c r="K1270" s="9"/>
      <c r="L1270" s="9"/>
      <c r="M1270" s="9"/>
      <c r="N1270" s="4"/>
    </row>
    <row r="1271" spans="9:14" x14ac:dyDescent="0.3">
      <c r="I1271" s="7"/>
      <c r="J1271" s="9"/>
      <c r="K1271" s="9"/>
      <c r="L1271" s="9"/>
      <c r="M1271" s="9"/>
      <c r="N1271" s="4"/>
    </row>
    <row r="1272" spans="9:14" x14ac:dyDescent="0.3">
      <c r="I1272" s="7"/>
      <c r="J1272" s="9"/>
      <c r="K1272" s="9"/>
      <c r="L1272" s="9"/>
      <c r="M1272" s="9"/>
      <c r="N1272" s="4"/>
    </row>
    <row r="1273" spans="9:14" x14ac:dyDescent="0.3">
      <c r="I1273" s="7"/>
      <c r="J1273" s="9"/>
      <c r="K1273" s="9"/>
      <c r="L1273" s="9"/>
      <c r="M1273" s="9"/>
      <c r="N1273" s="4"/>
    </row>
    <row r="1274" spans="9:14" x14ac:dyDescent="0.3">
      <c r="I1274" s="7"/>
      <c r="J1274" s="9"/>
      <c r="K1274" s="9"/>
      <c r="L1274" s="9"/>
      <c r="M1274" s="9"/>
      <c r="N1274" s="4"/>
    </row>
    <row r="1275" spans="9:14" x14ac:dyDescent="0.3">
      <c r="I1275" s="7"/>
      <c r="J1275" s="9"/>
      <c r="K1275" s="9"/>
      <c r="L1275" s="9"/>
      <c r="M1275" s="9"/>
      <c r="N1275" s="4"/>
    </row>
    <row r="1276" spans="9:14" x14ac:dyDescent="0.3">
      <c r="I1276" s="7"/>
      <c r="J1276" s="9"/>
      <c r="K1276" s="9"/>
      <c r="L1276" s="9"/>
      <c r="M1276" s="9"/>
      <c r="N1276" s="4"/>
    </row>
    <row r="1277" spans="9:14" x14ac:dyDescent="0.3">
      <c r="I1277" s="7"/>
      <c r="J1277" s="9"/>
      <c r="K1277" s="9"/>
      <c r="L1277" s="9"/>
      <c r="M1277" s="9"/>
      <c r="N1277" s="4"/>
    </row>
    <row r="1278" spans="9:14" x14ac:dyDescent="0.3">
      <c r="I1278" s="7"/>
      <c r="J1278" s="9"/>
      <c r="K1278" s="9"/>
      <c r="L1278" s="9"/>
      <c r="M1278" s="9"/>
      <c r="N1278" s="4"/>
    </row>
    <row r="1279" spans="9:14" x14ac:dyDescent="0.3">
      <c r="I1279" s="7"/>
      <c r="J1279" s="9"/>
      <c r="K1279" s="9"/>
      <c r="L1279" s="9"/>
      <c r="M1279" s="9"/>
      <c r="N1279" s="4"/>
    </row>
    <row r="1280" spans="9:14" x14ac:dyDescent="0.3">
      <c r="I1280" s="7"/>
      <c r="J1280" s="9"/>
      <c r="K1280" s="9"/>
      <c r="L1280" s="9"/>
      <c r="M1280" s="9"/>
      <c r="N1280" s="4"/>
    </row>
    <row r="1281" spans="9:14" x14ac:dyDescent="0.3">
      <c r="I1281" s="7"/>
      <c r="J1281" s="9"/>
      <c r="K1281" s="9"/>
      <c r="L1281" s="9"/>
      <c r="M1281" s="9"/>
      <c r="N1281" s="4"/>
    </row>
    <row r="1282" spans="9:14" x14ac:dyDescent="0.3">
      <c r="I1282" s="7"/>
      <c r="J1282" s="9"/>
      <c r="K1282" s="9"/>
      <c r="L1282" s="9"/>
      <c r="M1282" s="9"/>
      <c r="N1282" s="4"/>
    </row>
    <row r="1283" spans="9:14" x14ac:dyDescent="0.3">
      <c r="I1283" s="7"/>
      <c r="J1283" s="9"/>
      <c r="K1283" s="9"/>
      <c r="L1283" s="9"/>
      <c r="M1283" s="9"/>
      <c r="N1283" s="4"/>
    </row>
    <row r="1284" spans="9:14" x14ac:dyDescent="0.3">
      <c r="I1284" s="7"/>
      <c r="J1284" s="9"/>
      <c r="K1284" s="9"/>
      <c r="L1284" s="9"/>
      <c r="M1284" s="9"/>
      <c r="N1284" s="4"/>
    </row>
    <row r="1285" spans="9:14" x14ac:dyDescent="0.3">
      <c r="I1285" s="7"/>
      <c r="J1285" s="9"/>
      <c r="K1285" s="9"/>
      <c r="L1285" s="9"/>
      <c r="M1285" s="9"/>
      <c r="N1285" s="4"/>
    </row>
    <row r="1286" spans="9:14" x14ac:dyDescent="0.3">
      <c r="I1286" s="7"/>
      <c r="J1286" s="9"/>
      <c r="K1286" s="9"/>
      <c r="L1286" s="9"/>
      <c r="M1286" s="9"/>
      <c r="N1286" s="4"/>
    </row>
    <row r="1287" spans="9:14" x14ac:dyDescent="0.3">
      <c r="I1287" s="7"/>
      <c r="J1287" s="9"/>
      <c r="K1287" s="9"/>
      <c r="L1287" s="9"/>
      <c r="M1287" s="9"/>
      <c r="N1287" s="4"/>
    </row>
    <row r="1288" spans="9:14" x14ac:dyDescent="0.3">
      <c r="I1288" s="7"/>
      <c r="J1288" s="9"/>
      <c r="K1288" s="9"/>
      <c r="L1288" s="9"/>
      <c r="M1288" s="9"/>
      <c r="N1288" s="4"/>
    </row>
    <row r="1289" spans="9:14" x14ac:dyDescent="0.3">
      <c r="I1289" s="7"/>
      <c r="J1289" s="9"/>
      <c r="K1289" s="9"/>
      <c r="L1289" s="9"/>
      <c r="M1289" s="9"/>
      <c r="N1289" s="4"/>
    </row>
    <row r="1290" spans="9:14" x14ac:dyDescent="0.3">
      <c r="I1290" s="7"/>
      <c r="J1290" s="9"/>
      <c r="K1290" s="9"/>
      <c r="L1290" s="9"/>
      <c r="M1290" s="9"/>
      <c r="N1290" s="4"/>
    </row>
    <row r="1291" spans="9:14" x14ac:dyDescent="0.3">
      <c r="I1291" s="7"/>
      <c r="J1291" s="9"/>
      <c r="K1291" s="9"/>
      <c r="L1291" s="9"/>
      <c r="M1291" s="9"/>
      <c r="N1291" s="4"/>
    </row>
    <row r="1292" spans="9:14" x14ac:dyDescent="0.3">
      <c r="I1292" s="7"/>
      <c r="J1292" s="9"/>
      <c r="K1292" s="9"/>
      <c r="L1292" s="9"/>
      <c r="M1292" s="9"/>
      <c r="N1292" s="4"/>
    </row>
    <row r="1293" spans="9:14" x14ac:dyDescent="0.3">
      <c r="I1293" s="7"/>
      <c r="J1293" s="9"/>
      <c r="K1293" s="9"/>
      <c r="L1293" s="9"/>
      <c r="M1293" s="9"/>
      <c r="N1293" s="4"/>
    </row>
    <row r="1294" spans="9:14" x14ac:dyDescent="0.3">
      <c r="I1294" s="7"/>
      <c r="J1294" s="9"/>
      <c r="K1294" s="9"/>
      <c r="L1294" s="9"/>
      <c r="M1294" s="9"/>
      <c r="N1294" s="4"/>
    </row>
    <row r="1295" spans="9:14" x14ac:dyDescent="0.3">
      <c r="I1295" s="7"/>
      <c r="J1295" s="9"/>
      <c r="K1295" s="9"/>
      <c r="L1295" s="9"/>
      <c r="M1295" s="9"/>
      <c r="N1295" s="4"/>
    </row>
    <row r="1296" spans="9:14" x14ac:dyDescent="0.3">
      <c r="I1296" s="7"/>
      <c r="J1296" s="9"/>
      <c r="K1296" s="9"/>
      <c r="L1296" s="9"/>
      <c r="M1296" s="9"/>
      <c r="N1296" s="4"/>
    </row>
    <row r="1297" spans="9:14" x14ac:dyDescent="0.3">
      <c r="I1297" s="7"/>
      <c r="J1297" s="9"/>
      <c r="K1297" s="9"/>
      <c r="L1297" s="9"/>
      <c r="M1297" s="9"/>
      <c r="N1297" s="4"/>
    </row>
    <row r="1298" spans="9:14" x14ac:dyDescent="0.3">
      <c r="I1298" s="7"/>
      <c r="J1298" s="9"/>
      <c r="K1298" s="9"/>
      <c r="L1298" s="9"/>
      <c r="M1298" s="9"/>
      <c r="N1298" s="4"/>
    </row>
    <row r="1299" spans="9:14" x14ac:dyDescent="0.3">
      <c r="I1299" s="7"/>
      <c r="J1299" s="9"/>
      <c r="K1299" s="9"/>
      <c r="L1299" s="9"/>
      <c r="M1299" s="9"/>
      <c r="N1299" s="4"/>
    </row>
    <row r="1300" spans="9:14" x14ac:dyDescent="0.3">
      <c r="I1300" s="7"/>
      <c r="J1300" s="9"/>
      <c r="K1300" s="9"/>
      <c r="L1300" s="9"/>
      <c r="M1300" s="9"/>
      <c r="N1300" s="4"/>
    </row>
    <row r="1301" spans="9:14" x14ac:dyDescent="0.3">
      <c r="I1301" s="7"/>
      <c r="J1301" s="9"/>
      <c r="K1301" s="9"/>
      <c r="L1301" s="9"/>
      <c r="M1301" s="9"/>
      <c r="N1301" s="4"/>
    </row>
    <row r="1302" spans="9:14" x14ac:dyDescent="0.3">
      <c r="I1302" s="7"/>
      <c r="J1302" s="9"/>
      <c r="K1302" s="9"/>
      <c r="L1302" s="9"/>
      <c r="M1302" s="9"/>
      <c r="N1302" s="4"/>
    </row>
    <row r="1303" spans="9:14" x14ac:dyDescent="0.3">
      <c r="I1303" s="7"/>
      <c r="J1303" s="9"/>
      <c r="K1303" s="9"/>
      <c r="L1303" s="9"/>
      <c r="M1303" s="9"/>
      <c r="N1303" s="4"/>
    </row>
    <row r="1304" spans="9:14" x14ac:dyDescent="0.3">
      <c r="I1304" s="7"/>
      <c r="J1304" s="9"/>
      <c r="K1304" s="9"/>
      <c r="L1304" s="9"/>
      <c r="M1304" s="9"/>
      <c r="N1304" s="4"/>
    </row>
    <row r="1305" spans="9:14" x14ac:dyDescent="0.3">
      <c r="I1305" s="7"/>
      <c r="J1305" s="9"/>
      <c r="K1305" s="9"/>
      <c r="L1305" s="9"/>
      <c r="M1305" s="9"/>
      <c r="N1305" s="4"/>
    </row>
    <row r="1306" spans="9:14" x14ac:dyDescent="0.3">
      <c r="I1306" s="7"/>
      <c r="J1306" s="9"/>
      <c r="K1306" s="9"/>
      <c r="L1306" s="9"/>
      <c r="M1306" s="9"/>
      <c r="N1306" s="4"/>
    </row>
    <row r="1307" spans="9:14" x14ac:dyDescent="0.3">
      <c r="I1307" s="7"/>
      <c r="J1307" s="9"/>
      <c r="K1307" s="9"/>
      <c r="L1307" s="9"/>
      <c r="M1307" s="9"/>
      <c r="N1307" s="4"/>
    </row>
    <row r="1308" spans="9:14" x14ac:dyDescent="0.3">
      <c r="I1308" s="7"/>
      <c r="J1308" s="9"/>
      <c r="K1308" s="9"/>
      <c r="L1308" s="9"/>
      <c r="M1308" s="9"/>
      <c r="N1308" s="4"/>
    </row>
    <row r="1309" spans="9:14" x14ac:dyDescent="0.3">
      <c r="I1309" s="7"/>
      <c r="J1309" s="9"/>
      <c r="K1309" s="9"/>
      <c r="L1309" s="9"/>
      <c r="M1309" s="9"/>
      <c r="N1309" s="4"/>
    </row>
    <row r="1310" spans="9:14" x14ac:dyDescent="0.3">
      <c r="I1310" s="7"/>
      <c r="J1310" s="9"/>
      <c r="K1310" s="9"/>
      <c r="L1310" s="9"/>
      <c r="M1310" s="9"/>
      <c r="N1310" s="4"/>
    </row>
    <row r="1311" spans="9:14" x14ac:dyDescent="0.3">
      <c r="I1311" s="7"/>
      <c r="J1311" s="9"/>
      <c r="K1311" s="9"/>
      <c r="L1311" s="9"/>
      <c r="M1311" s="9"/>
      <c r="N1311" s="4"/>
    </row>
    <row r="1312" spans="9:14" x14ac:dyDescent="0.3">
      <c r="I1312" s="7"/>
      <c r="J1312" s="9"/>
      <c r="K1312" s="9"/>
      <c r="L1312" s="9"/>
      <c r="M1312" s="9"/>
      <c r="N1312" s="4"/>
    </row>
    <row r="1313" spans="9:14" x14ac:dyDescent="0.3">
      <c r="I1313" s="7"/>
      <c r="J1313" s="9"/>
      <c r="K1313" s="9"/>
      <c r="L1313" s="9"/>
      <c r="M1313" s="9"/>
      <c r="N1313" s="4"/>
    </row>
    <row r="1314" spans="9:14" x14ac:dyDescent="0.3">
      <c r="I1314" s="7"/>
      <c r="J1314" s="9"/>
      <c r="K1314" s="9"/>
      <c r="L1314" s="9"/>
      <c r="M1314" s="9"/>
      <c r="N1314" s="4"/>
    </row>
    <row r="1315" spans="9:14" x14ac:dyDescent="0.3">
      <c r="I1315" s="7"/>
      <c r="J1315" s="9"/>
      <c r="K1315" s="9"/>
      <c r="L1315" s="9"/>
      <c r="M1315" s="9"/>
      <c r="N1315" s="4"/>
    </row>
    <row r="1316" spans="9:14" x14ac:dyDescent="0.3">
      <c r="I1316" s="7"/>
      <c r="J1316" s="9"/>
      <c r="K1316" s="9"/>
      <c r="L1316" s="9"/>
      <c r="M1316" s="9"/>
      <c r="N1316" s="4"/>
    </row>
    <row r="1317" spans="9:14" x14ac:dyDescent="0.3">
      <c r="I1317" s="7"/>
      <c r="J1317" s="9"/>
      <c r="K1317" s="9"/>
      <c r="L1317" s="9"/>
      <c r="M1317" s="9"/>
      <c r="N1317" s="4"/>
    </row>
    <row r="1318" spans="9:14" x14ac:dyDescent="0.3">
      <c r="I1318" s="7"/>
      <c r="J1318" s="9"/>
      <c r="K1318" s="9"/>
      <c r="L1318" s="9"/>
      <c r="M1318" s="9"/>
      <c r="N1318" s="4"/>
    </row>
    <row r="1319" spans="9:14" x14ac:dyDescent="0.3">
      <c r="I1319" s="7"/>
      <c r="J1319" s="9"/>
      <c r="K1319" s="9"/>
      <c r="L1319" s="9"/>
      <c r="M1319" s="9"/>
      <c r="N1319" s="4"/>
    </row>
    <row r="1320" spans="9:14" x14ac:dyDescent="0.3">
      <c r="I1320" s="7"/>
      <c r="J1320" s="9"/>
      <c r="K1320" s="9"/>
      <c r="L1320" s="9"/>
      <c r="M1320" s="9"/>
      <c r="N1320" s="4"/>
    </row>
    <row r="1321" spans="9:14" x14ac:dyDescent="0.3">
      <c r="I1321" s="7"/>
      <c r="J1321" s="9"/>
      <c r="K1321" s="9"/>
      <c r="L1321" s="9"/>
      <c r="M1321" s="9"/>
      <c r="N1321" s="4"/>
    </row>
    <row r="1322" spans="9:14" x14ac:dyDescent="0.3">
      <c r="I1322" s="7"/>
      <c r="J1322" s="9"/>
      <c r="K1322" s="9"/>
      <c r="L1322" s="9"/>
      <c r="M1322" s="9"/>
      <c r="N1322" s="4"/>
    </row>
    <row r="1323" spans="9:14" x14ac:dyDescent="0.3">
      <c r="I1323" s="7"/>
      <c r="J1323" s="9"/>
      <c r="K1323" s="9"/>
      <c r="L1323" s="9"/>
      <c r="M1323" s="9"/>
      <c r="N1323" s="4"/>
    </row>
    <row r="1324" spans="9:14" x14ac:dyDescent="0.3">
      <c r="I1324" s="7"/>
      <c r="J1324" s="9"/>
      <c r="K1324" s="9"/>
      <c r="L1324" s="9"/>
      <c r="M1324" s="9"/>
      <c r="N1324" s="4"/>
    </row>
    <row r="1325" spans="9:14" x14ac:dyDescent="0.3">
      <c r="I1325" s="7"/>
      <c r="J1325" s="9"/>
      <c r="K1325" s="9"/>
      <c r="L1325" s="9"/>
      <c r="M1325" s="9"/>
      <c r="N1325" s="4"/>
    </row>
    <row r="1326" spans="9:14" x14ac:dyDescent="0.3">
      <c r="I1326" s="7"/>
      <c r="J1326" s="9"/>
      <c r="K1326" s="9"/>
      <c r="L1326" s="9"/>
      <c r="M1326" s="9"/>
      <c r="N1326" s="4"/>
    </row>
    <row r="1327" spans="9:14" x14ac:dyDescent="0.3">
      <c r="I1327" s="7"/>
      <c r="J1327" s="9"/>
      <c r="K1327" s="9"/>
      <c r="L1327" s="9"/>
      <c r="M1327" s="9"/>
      <c r="N1327" s="4"/>
    </row>
    <row r="1328" spans="9:14" x14ac:dyDescent="0.3">
      <c r="I1328" s="7"/>
      <c r="J1328" s="9"/>
      <c r="K1328" s="9"/>
      <c r="L1328" s="9"/>
      <c r="M1328" s="9"/>
      <c r="N1328" s="4"/>
    </row>
    <row r="1329" spans="9:14" x14ac:dyDescent="0.3">
      <c r="I1329" s="7"/>
      <c r="J1329" s="9"/>
      <c r="K1329" s="9"/>
      <c r="L1329" s="9"/>
      <c r="M1329" s="9"/>
      <c r="N1329" s="4"/>
    </row>
    <row r="1330" spans="9:14" x14ac:dyDescent="0.3">
      <c r="I1330" s="7"/>
      <c r="J1330" s="9"/>
      <c r="K1330" s="9"/>
      <c r="L1330" s="9"/>
      <c r="M1330" s="9"/>
      <c r="N1330" s="4"/>
    </row>
    <row r="1331" spans="9:14" x14ac:dyDescent="0.3">
      <c r="I1331" s="7"/>
      <c r="J1331" s="9"/>
      <c r="K1331" s="9"/>
      <c r="L1331" s="9"/>
      <c r="M1331" s="9"/>
      <c r="N1331" s="4"/>
    </row>
    <row r="1332" spans="9:14" x14ac:dyDescent="0.3">
      <c r="I1332" s="7"/>
      <c r="J1332" s="9"/>
      <c r="K1332" s="9"/>
      <c r="L1332" s="9"/>
      <c r="M1332" s="9"/>
      <c r="N1332" s="4"/>
    </row>
    <row r="1333" spans="9:14" x14ac:dyDescent="0.3">
      <c r="I1333" s="7"/>
      <c r="J1333" s="9"/>
      <c r="K1333" s="9"/>
      <c r="L1333" s="9"/>
      <c r="M1333" s="9"/>
      <c r="N1333" s="4"/>
    </row>
    <row r="1334" spans="9:14" x14ac:dyDescent="0.3">
      <c r="I1334" s="7"/>
      <c r="J1334" s="9"/>
      <c r="K1334" s="9"/>
      <c r="L1334" s="9"/>
      <c r="M1334" s="9"/>
      <c r="N1334" s="4"/>
    </row>
    <row r="1335" spans="9:14" x14ac:dyDescent="0.3">
      <c r="I1335" s="7"/>
      <c r="J1335" s="9"/>
      <c r="K1335" s="9"/>
      <c r="L1335" s="9"/>
      <c r="M1335" s="9"/>
      <c r="N1335" s="4"/>
    </row>
    <row r="1336" spans="9:14" x14ac:dyDescent="0.3">
      <c r="I1336" s="7"/>
      <c r="J1336" s="9"/>
      <c r="K1336" s="9"/>
      <c r="L1336" s="9"/>
      <c r="M1336" s="9"/>
      <c r="N1336" s="4"/>
    </row>
    <row r="1337" spans="9:14" x14ac:dyDescent="0.3">
      <c r="I1337" s="7"/>
      <c r="J1337" s="9"/>
      <c r="K1337" s="9"/>
      <c r="L1337" s="9"/>
      <c r="M1337" s="9"/>
      <c r="N1337" s="4"/>
    </row>
    <row r="1338" spans="9:14" x14ac:dyDescent="0.3">
      <c r="I1338" s="7"/>
      <c r="J1338" s="9"/>
      <c r="K1338" s="9"/>
      <c r="L1338" s="9"/>
      <c r="M1338" s="9"/>
      <c r="N1338" s="4"/>
    </row>
    <row r="1339" spans="9:14" x14ac:dyDescent="0.3">
      <c r="I1339" s="7"/>
      <c r="J1339" s="9"/>
      <c r="K1339" s="9"/>
      <c r="L1339" s="9"/>
      <c r="M1339" s="9"/>
      <c r="N1339" s="4"/>
    </row>
    <row r="1340" spans="9:14" x14ac:dyDescent="0.3">
      <c r="I1340" s="7"/>
      <c r="J1340" s="9"/>
      <c r="K1340" s="9"/>
      <c r="L1340" s="9"/>
      <c r="M1340" s="9"/>
      <c r="N1340" s="4"/>
    </row>
    <row r="1341" spans="9:14" x14ac:dyDescent="0.3">
      <c r="I1341" s="7"/>
      <c r="J1341" s="9"/>
      <c r="K1341" s="9"/>
      <c r="L1341" s="9"/>
      <c r="M1341" s="9"/>
      <c r="N1341" s="4"/>
    </row>
    <row r="1342" spans="9:14" x14ac:dyDescent="0.3">
      <c r="I1342" s="7"/>
      <c r="J1342" s="9"/>
      <c r="K1342" s="9"/>
      <c r="L1342" s="9"/>
      <c r="M1342" s="9"/>
      <c r="N1342" s="4"/>
    </row>
    <row r="1343" spans="9:14" x14ac:dyDescent="0.3">
      <c r="I1343" s="7"/>
      <c r="J1343" s="9"/>
      <c r="K1343" s="9"/>
      <c r="L1343" s="9"/>
      <c r="M1343" s="9"/>
      <c r="N1343" s="4"/>
    </row>
    <row r="1344" spans="9:14" x14ac:dyDescent="0.3">
      <c r="I1344" s="7"/>
      <c r="J1344" s="9"/>
      <c r="K1344" s="9"/>
      <c r="L1344" s="9"/>
      <c r="M1344" s="9"/>
      <c r="N1344" s="4"/>
    </row>
    <row r="1345" spans="9:14" x14ac:dyDescent="0.3">
      <c r="I1345" s="7"/>
      <c r="J1345" s="9"/>
      <c r="K1345" s="9"/>
      <c r="L1345" s="9"/>
      <c r="M1345" s="9"/>
      <c r="N1345" s="4"/>
    </row>
    <row r="1346" spans="9:14" x14ac:dyDescent="0.3">
      <c r="I1346" s="7"/>
      <c r="J1346" s="9"/>
      <c r="K1346" s="9"/>
      <c r="L1346" s="9"/>
      <c r="M1346" s="9"/>
      <c r="N1346" s="4"/>
    </row>
    <row r="1347" spans="9:14" x14ac:dyDescent="0.3">
      <c r="I1347" s="7"/>
      <c r="J1347" s="9"/>
      <c r="K1347" s="9"/>
      <c r="L1347" s="9"/>
      <c r="M1347" s="9"/>
      <c r="N1347" s="4"/>
    </row>
    <row r="1348" spans="9:14" x14ac:dyDescent="0.3">
      <c r="I1348" s="7"/>
      <c r="J1348" s="9"/>
      <c r="K1348" s="9"/>
      <c r="L1348" s="9"/>
      <c r="M1348" s="9"/>
      <c r="N1348" s="4"/>
    </row>
    <row r="1349" spans="9:14" x14ac:dyDescent="0.3">
      <c r="I1349" s="7"/>
      <c r="J1349" s="9"/>
      <c r="K1349" s="9"/>
      <c r="L1349" s="9"/>
      <c r="M1349" s="9"/>
      <c r="N1349" s="4"/>
    </row>
    <row r="1350" spans="9:14" x14ac:dyDescent="0.3">
      <c r="I1350" s="7"/>
      <c r="J1350" s="9"/>
      <c r="K1350" s="9"/>
      <c r="L1350" s="9"/>
      <c r="M1350" s="9"/>
      <c r="N1350" s="4"/>
    </row>
    <row r="1351" spans="9:14" x14ac:dyDescent="0.3">
      <c r="I1351" s="7"/>
      <c r="J1351" s="9"/>
      <c r="K1351" s="9"/>
      <c r="L1351" s="9"/>
      <c r="M1351" s="9"/>
      <c r="N1351" s="4"/>
    </row>
    <row r="1352" spans="9:14" x14ac:dyDescent="0.3">
      <c r="I1352" s="7"/>
      <c r="J1352" s="9"/>
      <c r="K1352" s="9"/>
      <c r="L1352" s="9"/>
      <c r="M1352" s="9"/>
      <c r="N1352" s="4"/>
    </row>
    <row r="1353" spans="9:14" x14ac:dyDescent="0.3">
      <c r="I1353" s="7"/>
      <c r="J1353" s="9"/>
      <c r="K1353" s="9"/>
      <c r="L1353" s="9"/>
      <c r="M1353" s="9"/>
      <c r="N1353" s="4"/>
    </row>
    <row r="1354" spans="9:14" x14ac:dyDescent="0.3">
      <c r="I1354" s="7"/>
      <c r="J1354" s="9"/>
      <c r="K1354" s="9"/>
      <c r="L1354" s="9"/>
      <c r="M1354" s="9"/>
      <c r="N1354" s="4"/>
    </row>
    <row r="1355" spans="9:14" x14ac:dyDescent="0.3">
      <c r="I1355" s="7"/>
      <c r="J1355" s="9"/>
      <c r="K1355" s="9"/>
      <c r="L1355" s="9"/>
      <c r="M1355" s="9"/>
      <c r="N1355" s="4"/>
    </row>
    <row r="1356" spans="9:14" x14ac:dyDescent="0.3">
      <c r="I1356" s="7"/>
      <c r="J1356" s="9"/>
      <c r="K1356" s="9"/>
      <c r="L1356" s="9"/>
      <c r="M1356" s="9"/>
      <c r="N1356" s="4"/>
    </row>
    <row r="1357" spans="9:14" x14ac:dyDescent="0.3">
      <c r="I1357" s="7"/>
      <c r="J1357" s="9"/>
      <c r="K1357" s="9"/>
      <c r="L1357" s="9"/>
      <c r="M1357" s="9"/>
      <c r="N1357" s="4"/>
    </row>
    <row r="1358" spans="9:14" x14ac:dyDescent="0.3">
      <c r="I1358" s="7"/>
      <c r="J1358" s="9"/>
      <c r="K1358" s="9"/>
      <c r="L1358" s="9"/>
      <c r="M1358" s="9"/>
      <c r="N1358" s="4"/>
    </row>
    <row r="1359" spans="9:14" x14ac:dyDescent="0.3">
      <c r="I1359" s="7"/>
      <c r="J1359" s="9"/>
      <c r="K1359" s="9"/>
      <c r="L1359" s="9"/>
      <c r="M1359" s="9"/>
      <c r="N1359" s="4"/>
    </row>
    <row r="1360" spans="9:14" x14ac:dyDescent="0.3">
      <c r="I1360" s="7"/>
      <c r="J1360" s="9"/>
      <c r="K1360" s="9"/>
      <c r="L1360" s="9"/>
      <c r="M1360" s="9"/>
      <c r="N1360" s="4"/>
    </row>
    <row r="1361" spans="9:14" x14ac:dyDescent="0.3">
      <c r="I1361" s="7"/>
      <c r="J1361" s="9"/>
      <c r="K1361" s="9"/>
      <c r="L1361" s="9"/>
      <c r="M1361" s="9"/>
      <c r="N1361" s="4"/>
    </row>
    <row r="1362" spans="9:14" x14ac:dyDescent="0.3">
      <c r="I1362" s="7"/>
      <c r="J1362" s="9"/>
      <c r="K1362" s="9"/>
      <c r="L1362" s="9"/>
      <c r="M1362" s="9"/>
      <c r="N1362" s="4"/>
    </row>
    <row r="1363" spans="9:14" x14ac:dyDescent="0.3">
      <c r="I1363" s="7"/>
      <c r="J1363" s="9"/>
      <c r="K1363" s="9"/>
      <c r="L1363" s="9"/>
      <c r="M1363" s="9"/>
      <c r="N1363" s="4"/>
    </row>
    <row r="1364" spans="9:14" x14ac:dyDescent="0.3">
      <c r="I1364" s="7"/>
      <c r="J1364" s="9"/>
      <c r="K1364" s="9"/>
      <c r="L1364" s="9"/>
      <c r="M1364" s="9"/>
      <c r="N1364" s="4"/>
    </row>
    <row r="1365" spans="9:14" x14ac:dyDescent="0.3">
      <c r="I1365" s="7"/>
      <c r="J1365" s="9"/>
      <c r="K1365" s="9"/>
      <c r="L1365" s="9"/>
      <c r="M1365" s="9"/>
      <c r="N1365" s="4"/>
    </row>
    <row r="1366" spans="9:14" x14ac:dyDescent="0.3">
      <c r="I1366" s="7"/>
      <c r="J1366" s="9"/>
      <c r="K1366" s="9"/>
      <c r="L1366" s="9"/>
      <c r="M1366" s="9"/>
      <c r="N1366" s="4"/>
    </row>
    <row r="1367" spans="9:14" x14ac:dyDescent="0.3">
      <c r="I1367" s="7"/>
      <c r="J1367" s="9"/>
      <c r="K1367" s="9"/>
      <c r="L1367" s="9"/>
      <c r="M1367" s="9"/>
      <c r="N1367" s="4"/>
    </row>
    <row r="1368" spans="9:14" x14ac:dyDescent="0.3">
      <c r="I1368" s="7"/>
      <c r="J1368" s="9"/>
      <c r="K1368" s="9"/>
      <c r="L1368" s="9"/>
      <c r="M1368" s="9"/>
      <c r="N1368" s="4"/>
    </row>
    <row r="1369" spans="9:14" x14ac:dyDescent="0.3">
      <c r="I1369" s="7"/>
      <c r="J1369" s="9"/>
      <c r="K1369" s="9"/>
      <c r="L1369" s="9"/>
      <c r="M1369" s="9"/>
      <c r="N1369" s="4"/>
    </row>
    <row r="1370" spans="9:14" x14ac:dyDescent="0.3">
      <c r="I1370" s="7"/>
      <c r="J1370" s="9"/>
      <c r="K1370" s="9"/>
      <c r="L1370" s="9"/>
      <c r="M1370" s="9"/>
      <c r="N1370" s="4"/>
    </row>
    <row r="1371" spans="9:14" x14ac:dyDescent="0.3">
      <c r="I1371" s="7"/>
      <c r="J1371" s="9"/>
      <c r="K1371" s="9"/>
      <c r="L1371" s="9"/>
      <c r="M1371" s="9"/>
      <c r="N1371" s="4"/>
    </row>
    <row r="1372" spans="9:14" x14ac:dyDescent="0.3">
      <c r="I1372" s="7"/>
      <c r="J1372" s="9"/>
      <c r="K1372" s="9"/>
      <c r="L1372" s="9"/>
      <c r="M1372" s="9"/>
      <c r="N1372" s="4"/>
    </row>
    <row r="1373" spans="9:14" x14ac:dyDescent="0.3">
      <c r="I1373" s="7"/>
      <c r="J1373" s="9"/>
      <c r="K1373" s="9"/>
      <c r="L1373" s="9"/>
      <c r="M1373" s="9"/>
      <c r="N1373" s="4"/>
    </row>
    <row r="1374" spans="9:14" x14ac:dyDescent="0.3">
      <c r="I1374" s="7"/>
      <c r="J1374" s="9"/>
      <c r="K1374" s="9"/>
      <c r="L1374" s="9"/>
      <c r="M1374" s="9"/>
      <c r="N1374" s="4"/>
    </row>
    <row r="1375" spans="9:14" x14ac:dyDescent="0.3">
      <c r="I1375" s="7"/>
      <c r="J1375" s="9"/>
      <c r="K1375" s="9"/>
      <c r="L1375" s="9"/>
      <c r="M1375" s="9"/>
      <c r="N1375" s="4"/>
    </row>
    <row r="1376" spans="9:14" x14ac:dyDescent="0.3">
      <c r="I1376" s="7"/>
      <c r="J1376" s="9"/>
      <c r="K1376" s="9"/>
      <c r="L1376" s="9"/>
      <c r="M1376" s="9"/>
      <c r="N1376" s="4"/>
    </row>
    <row r="1377" spans="9:14" x14ac:dyDescent="0.3">
      <c r="I1377" s="7"/>
      <c r="J1377" s="9"/>
      <c r="K1377" s="9"/>
      <c r="L1377" s="9"/>
      <c r="M1377" s="9"/>
      <c r="N1377" s="4"/>
    </row>
    <row r="1378" spans="9:14" x14ac:dyDescent="0.3">
      <c r="I1378" s="7"/>
      <c r="J1378" s="9"/>
      <c r="K1378" s="9"/>
      <c r="L1378" s="9"/>
      <c r="M1378" s="9"/>
      <c r="N1378" s="4"/>
    </row>
    <row r="1379" spans="9:14" x14ac:dyDescent="0.3">
      <c r="I1379" s="7"/>
      <c r="J1379" s="9"/>
      <c r="K1379" s="9"/>
      <c r="L1379" s="9"/>
      <c r="M1379" s="9"/>
      <c r="N1379" s="4"/>
    </row>
    <row r="1380" spans="9:14" x14ac:dyDescent="0.3">
      <c r="I1380" s="7"/>
      <c r="J1380" s="9"/>
      <c r="K1380" s="9"/>
      <c r="L1380" s="9"/>
      <c r="M1380" s="9"/>
      <c r="N1380" s="4"/>
    </row>
    <row r="1381" spans="9:14" x14ac:dyDescent="0.3">
      <c r="I1381" s="7"/>
      <c r="J1381" s="9"/>
      <c r="K1381" s="9"/>
      <c r="L1381" s="9"/>
      <c r="M1381" s="9"/>
      <c r="N1381" s="4"/>
    </row>
    <row r="1382" spans="9:14" x14ac:dyDescent="0.3">
      <c r="I1382" s="7"/>
      <c r="J1382" s="9"/>
      <c r="K1382" s="9"/>
      <c r="L1382" s="9"/>
      <c r="M1382" s="9"/>
      <c r="N1382" s="4"/>
    </row>
    <row r="1383" spans="9:14" x14ac:dyDescent="0.3">
      <c r="I1383" s="7"/>
      <c r="J1383" s="9"/>
      <c r="K1383" s="9"/>
      <c r="L1383" s="9"/>
      <c r="M1383" s="9"/>
      <c r="N1383" s="4"/>
    </row>
    <row r="1384" spans="9:14" x14ac:dyDescent="0.3">
      <c r="I1384" s="7"/>
      <c r="J1384" s="9"/>
      <c r="K1384" s="9"/>
      <c r="L1384" s="9"/>
      <c r="M1384" s="9"/>
      <c r="N1384" s="4"/>
    </row>
    <row r="1385" spans="9:14" x14ac:dyDescent="0.3">
      <c r="I1385" s="7"/>
      <c r="J1385" s="9"/>
      <c r="K1385" s="9"/>
      <c r="L1385" s="9"/>
      <c r="M1385" s="9"/>
      <c r="N1385" s="4"/>
    </row>
    <row r="1386" spans="9:14" x14ac:dyDescent="0.3">
      <c r="I1386" s="7"/>
      <c r="J1386" s="9"/>
      <c r="K1386" s="9"/>
      <c r="L1386" s="9"/>
      <c r="M1386" s="9"/>
      <c r="N1386" s="4"/>
    </row>
    <row r="1387" spans="9:14" x14ac:dyDescent="0.3">
      <c r="I1387" s="7"/>
      <c r="J1387" s="9"/>
      <c r="K1387" s="9"/>
      <c r="L1387" s="9"/>
      <c r="M1387" s="9"/>
      <c r="N1387" s="4"/>
    </row>
    <row r="1388" spans="9:14" x14ac:dyDescent="0.3">
      <c r="I1388" s="7"/>
      <c r="J1388" s="9"/>
      <c r="K1388" s="9"/>
      <c r="L1388" s="9"/>
      <c r="M1388" s="9"/>
      <c r="N1388" s="4"/>
    </row>
    <row r="1389" spans="9:14" x14ac:dyDescent="0.3">
      <c r="I1389" s="7"/>
      <c r="J1389" s="9"/>
      <c r="K1389" s="9"/>
      <c r="L1389" s="9"/>
      <c r="M1389" s="9"/>
      <c r="N1389" s="4"/>
    </row>
    <row r="1390" spans="9:14" x14ac:dyDescent="0.3">
      <c r="I1390" s="7"/>
      <c r="J1390" s="9"/>
      <c r="K1390" s="9"/>
      <c r="L1390" s="9"/>
      <c r="M1390" s="9"/>
      <c r="N1390" s="4"/>
    </row>
    <row r="1391" spans="9:14" x14ac:dyDescent="0.3">
      <c r="I1391" s="7"/>
      <c r="J1391" s="9"/>
      <c r="K1391" s="9"/>
      <c r="L1391" s="9"/>
      <c r="M1391" s="9"/>
      <c r="N1391" s="4"/>
    </row>
    <row r="1392" spans="9:14" x14ac:dyDescent="0.3">
      <c r="I1392" s="7"/>
      <c r="J1392" s="9"/>
      <c r="K1392" s="9"/>
      <c r="L1392" s="9"/>
      <c r="M1392" s="9"/>
      <c r="N1392" s="4"/>
    </row>
    <row r="1393" spans="9:14" x14ac:dyDescent="0.3">
      <c r="I1393" s="7"/>
      <c r="J1393" s="9"/>
      <c r="K1393" s="9"/>
      <c r="L1393" s="9"/>
      <c r="M1393" s="9"/>
      <c r="N1393" s="4"/>
    </row>
    <row r="1394" spans="9:14" x14ac:dyDescent="0.3">
      <c r="I1394" s="7"/>
      <c r="J1394" s="9"/>
      <c r="K1394" s="9"/>
      <c r="L1394" s="9"/>
      <c r="M1394" s="9"/>
      <c r="N1394" s="4"/>
    </row>
    <row r="1395" spans="9:14" x14ac:dyDescent="0.3">
      <c r="I1395" s="7"/>
      <c r="J1395" s="9"/>
      <c r="K1395" s="9"/>
      <c r="L1395" s="9"/>
      <c r="M1395" s="9"/>
      <c r="N1395" s="4"/>
    </row>
    <row r="1396" spans="9:14" x14ac:dyDescent="0.3">
      <c r="I1396" s="7"/>
      <c r="J1396" s="9"/>
      <c r="K1396" s="9"/>
      <c r="L1396" s="9"/>
      <c r="M1396" s="9"/>
      <c r="N1396" s="4"/>
    </row>
    <row r="1397" spans="9:14" x14ac:dyDescent="0.3">
      <c r="I1397" s="7"/>
      <c r="J1397" s="9"/>
      <c r="K1397" s="9"/>
      <c r="L1397" s="9"/>
      <c r="M1397" s="9"/>
      <c r="N1397" s="4"/>
    </row>
    <row r="1398" spans="9:14" x14ac:dyDescent="0.3">
      <c r="I1398" s="7"/>
      <c r="J1398" s="9"/>
      <c r="K1398" s="9"/>
      <c r="L1398" s="9"/>
      <c r="M1398" s="9"/>
      <c r="N1398" s="4"/>
    </row>
    <row r="1399" spans="9:14" x14ac:dyDescent="0.3">
      <c r="I1399" s="7"/>
      <c r="J1399" s="9"/>
      <c r="K1399" s="9"/>
      <c r="L1399" s="9"/>
      <c r="M1399" s="9"/>
      <c r="N1399" s="4"/>
    </row>
    <row r="1400" spans="9:14" x14ac:dyDescent="0.3">
      <c r="I1400" s="7"/>
      <c r="J1400" s="9"/>
      <c r="K1400" s="9"/>
      <c r="L1400" s="9"/>
      <c r="M1400" s="9"/>
      <c r="N1400" s="4"/>
    </row>
    <row r="1401" spans="9:14" x14ac:dyDescent="0.3">
      <c r="I1401" s="7"/>
      <c r="J1401" s="9"/>
      <c r="K1401" s="9"/>
      <c r="L1401" s="9"/>
      <c r="M1401" s="9"/>
      <c r="N1401" s="4"/>
    </row>
    <row r="1402" spans="9:14" x14ac:dyDescent="0.3">
      <c r="I1402" s="7"/>
      <c r="J1402" s="9"/>
      <c r="K1402" s="9"/>
      <c r="L1402" s="9"/>
      <c r="M1402" s="9"/>
      <c r="N1402" s="4"/>
    </row>
    <row r="1403" spans="9:14" x14ac:dyDescent="0.3">
      <c r="I1403" s="7"/>
      <c r="J1403" s="9"/>
      <c r="K1403" s="9"/>
      <c r="L1403" s="9"/>
      <c r="M1403" s="9"/>
      <c r="N1403" s="4"/>
    </row>
    <row r="1404" spans="9:14" x14ac:dyDescent="0.3">
      <c r="I1404" s="7"/>
      <c r="J1404" s="9"/>
      <c r="K1404" s="9"/>
      <c r="L1404" s="9"/>
      <c r="M1404" s="9"/>
      <c r="N1404" s="4"/>
    </row>
    <row r="1405" spans="9:14" x14ac:dyDescent="0.3">
      <c r="I1405" s="7"/>
      <c r="J1405" s="9"/>
      <c r="K1405" s="9"/>
      <c r="L1405" s="9"/>
      <c r="M1405" s="9"/>
      <c r="N1405" s="4"/>
    </row>
    <row r="1406" spans="9:14" x14ac:dyDescent="0.3">
      <c r="I1406" s="7"/>
      <c r="J1406" s="9"/>
      <c r="K1406" s="9"/>
      <c r="L1406" s="9"/>
      <c r="M1406" s="9"/>
      <c r="N1406" s="4"/>
    </row>
    <row r="1407" spans="9:14" x14ac:dyDescent="0.3">
      <c r="I1407" s="7"/>
      <c r="J1407" s="9"/>
      <c r="K1407" s="9"/>
      <c r="L1407" s="9"/>
      <c r="M1407" s="9"/>
      <c r="N1407" s="4"/>
    </row>
    <row r="1408" spans="9:14" x14ac:dyDescent="0.3">
      <c r="I1408" s="7"/>
      <c r="J1408" s="9"/>
      <c r="K1408" s="9"/>
      <c r="L1408" s="9"/>
      <c r="M1408" s="9"/>
      <c r="N1408" s="4"/>
    </row>
    <row r="1409" spans="9:14" x14ac:dyDescent="0.3">
      <c r="I1409" s="7"/>
      <c r="J1409" s="9"/>
      <c r="K1409" s="9"/>
      <c r="L1409" s="9"/>
      <c r="M1409" s="9"/>
      <c r="N1409" s="4"/>
    </row>
    <row r="1410" spans="9:14" x14ac:dyDescent="0.3">
      <c r="I1410" s="7"/>
      <c r="J1410" s="9"/>
      <c r="K1410" s="9"/>
      <c r="L1410" s="9"/>
      <c r="M1410" s="9"/>
      <c r="N1410" s="4"/>
    </row>
    <row r="1411" spans="9:14" x14ac:dyDescent="0.3">
      <c r="I1411" s="7"/>
      <c r="J1411" s="9"/>
      <c r="K1411" s="9"/>
      <c r="L1411" s="9"/>
      <c r="M1411" s="9"/>
      <c r="N1411" s="4"/>
    </row>
    <row r="1412" spans="9:14" x14ac:dyDescent="0.3">
      <c r="I1412" s="7"/>
      <c r="J1412" s="9"/>
      <c r="K1412" s="9"/>
      <c r="L1412" s="9"/>
      <c r="M1412" s="9"/>
      <c r="N1412" s="4"/>
    </row>
    <row r="1413" spans="9:14" x14ac:dyDescent="0.3">
      <c r="I1413" s="7"/>
      <c r="J1413" s="9"/>
      <c r="K1413" s="9"/>
      <c r="L1413" s="9"/>
      <c r="M1413" s="9"/>
      <c r="N1413" s="4"/>
    </row>
    <row r="1414" spans="9:14" x14ac:dyDescent="0.3">
      <c r="I1414" s="7"/>
      <c r="J1414" s="9"/>
      <c r="K1414" s="9"/>
      <c r="L1414" s="9"/>
      <c r="M1414" s="9"/>
      <c r="N1414" s="4"/>
    </row>
    <row r="1415" spans="9:14" x14ac:dyDescent="0.3">
      <c r="I1415" s="7"/>
      <c r="J1415" s="9"/>
      <c r="K1415" s="9"/>
      <c r="L1415" s="9"/>
      <c r="M1415" s="9"/>
      <c r="N1415" s="4"/>
    </row>
    <row r="1416" spans="9:14" x14ac:dyDescent="0.3">
      <c r="I1416" s="7"/>
      <c r="J1416" s="9"/>
      <c r="K1416" s="9"/>
      <c r="L1416" s="9"/>
      <c r="M1416" s="9"/>
      <c r="N1416" s="4"/>
    </row>
    <row r="1417" spans="9:14" x14ac:dyDescent="0.3">
      <c r="I1417" s="7"/>
      <c r="J1417" s="9"/>
      <c r="K1417" s="9"/>
      <c r="L1417" s="9"/>
      <c r="M1417" s="9"/>
      <c r="N1417" s="4"/>
    </row>
    <row r="1418" spans="9:14" x14ac:dyDescent="0.3">
      <c r="I1418" s="7"/>
      <c r="J1418" s="9"/>
      <c r="K1418" s="9"/>
      <c r="L1418" s="9"/>
      <c r="M1418" s="9"/>
      <c r="N1418" s="4"/>
    </row>
    <row r="1419" spans="9:14" x14ac:dyDescent="0.3">
      <c r="I1419" s="7"/>
      <c r="J1419" s="9"/>
      <c r="K1419" s="9"/>
      <c r="L1419" s="9"/>
      <c r="M1419" s="9"/>
      <c r="N1419" s="4"/>
    </row>
    <row r="1420" spans="9:14" x14ac:dyDescent="0.3">
      <c r="I1420" s="7"/>
      <c r="J1420" s="9"/>
      <c r="K1420" s="9"/>
      <c r="L1420" s="9"/>
      <c r="M1420" s="9"/>
      <c r="N1420" s="4"/>
    </row>
    <row r="1421" spans="9:14" x14ac:dyDescent="0.3">
      <c r="I1421" s="7"/>
      <c r="J1421" s="9"/>
      <c r="K1421" s="9"/>
      <c r="L1421" s="9"/>
      <c r="M1421" s="9"/>
      <c r="N1421" s="4"/>
    </row>
    <row r="1422" spans="9:14" x14ac:dyDescent="0.3">
      <c r="I1422" s="7"/>
      <c r="J1422" s="9"/>
      <c r="K1422" s="9"/>
      <c r="L1422" s="9"/>
      <c r="M1422" s="9"/>
      <c r="N1422" s="4"/>
    </row>
    <row r="1423" spans="9:14" x14ac:dyDescent="0.3">
      <c r="I1423" s="7"/>
      <c r="J1423" s="9"/>
      <c r="K1423" s="9"/>
      <c r="L1423" s="9"/>
      <c r="M1423" s="9"/>
      <c r="N1423" s="4"/>
    </row>
    <row r="1424" spans="9:14" x14ac:dyDescent="0.3">
      <c r="I1424" s="7"/>
      <c r="J1424" s="9"/>
      <c r="K1424" s="9"/>
      <c r="L1424" s="9"/>
      <c r="M1424" s="9"/>
      <c r="N1424" s="4"/>
    </row>
    <row r="1425" spans="9:14" x14ac:dyDescent="0.3">
      <c r="I1425" s="7"/>
      <c r="J1425" s="9"/>
      <c r="K1425" s="9"/>
      <c r="L1425" s="9"/>
      <c r="M1425" s="9"/>
      <c r="N1425" s="4"/>
    </row>
    <row r="1426" spans="9:14" x14ac:dyDescent="0.3">
      <c r="I1426" s="7"/>
      <c r="J1426" s="9"/>
      <c r="K1426" s="9"/>
      <c r="L1426" s="9"/>
      <c r="M1426" s="9"/>
      <c r="N1426" s="4"/>
    </row>
    <row r="1427" spans="9:14" x14ac:dyDescent="0.3">
      <c r="I1427" s="7"/>
      <c r="J1427" s="9"/>
      <c r="K1427" s="9"/>
      <c r="L1427" s="9"/>
      <c r="M1427" s="9"/>
      <c r="N1427" s="4"/>
    </row>
    <row r="1428" spans="9:14" x14ac:dyDescent="0.3">
      <c r="I1428" s="7"/>
      <c r="J1428" s="9"/>
      <c r="K1428" s="9"/>
      <c r="L1428" s="9"/>
      <c r="M1428" s="9"/>
      <c r="N1428" s="4"/>
    </row>
    <row r="1429" spans="9:14" x14ac:dyDescent="0.3">
      <c r="I1429" s="7"/>
      <c r="J1429" s="9"/>
      <c r="K1429" s="9"/>
      <c r="L1429" s="9"/>
      <c r="M1429" s="9"/>
      <c r="N1429" s="4"/>
    </row>
    <row r="1430" spans="9:14" x14ac:dyDescent="0.3">
      <c r="I1430" s="7"/>
      <c r="J1430" s="9"/>
      <c r="K1430" s="9"/>
      <c r="L1430" s="9"/>
      <c r="M1430" s="9"/>
      <c r="N1430" s="4"/>
    </row>
    <row r="1431" spans="9:14" x14ac:dyDescent="0.3">
      <c r="I1431" s="7"/>
      <c r="J1431" s="9"/>
      <c r="K1431" s="9"/>
      <c r="L1431" s="9"/>
      <c r="M1431" s="9"/>
      <c r="N1431" s="4"/>
    </row>
    <row r="1432" spans="9:14" x14ac:dyDescent="0.3">
      <c r="I1432" s="7"/>
      <c r="J1432" s="9"/>
      <c r="K1432" s="9"/>
      <c r="L1432" s="9"/>
      <c r="M1432" s="9"/>
      <c r="N1432" s="4"/>
    </row>
    <row r="1433" spans="9:14" x14ac:dyDescent="0.3">
      <c r="I1433" s="7"/>
      <c r="J1433" s="9"/>
      <c r="K1433" s="9"/>
      <c r="L1433" s="9"/>
      <c r="M1433" s="9"/>
      <c r="N1433" s="4"/>
    </row>
    <row r="1434" spans="9:14" x14ac:dyDescent="0.3">
      <c r="I1434" s="7"/>
      <c r="J1434" s="9"/>
      <c r="K1434" s="9"/>
      <c r="L1434" s="9"/>
      <c r="M1434" s="9"/>
      <c r="N1434" s="4"/>
    </row>
    <row r="1435" spans="9:14" x14ac:dyDescent="0.3">
      <c r="I1435" s="7"/>
      <c r="J1435" s="9"/>
      <c r="K1435" s="9"/>
      <c r="L1435" s="9"/>
      <c r="M1435" s="9"/>
      <c r="N1435" s="4"/>
    </row>
    <row r="1436" spans="9:14" x14ac:dyDescent="0.3">
      <c r="I1436" s="7"/>
      <c r="J1436" s="9"/>
      <c r="K1436" s="9"/>
      <c r="L1436" s="9"/>
      <c r="M1436" s="9"/>
      <c r="N1436" s="4"/>
    </row>
    <row r="1437" spans="9:14" x14ac:dyDescent="0.3">
      <c r="I1437" s="7"/>
      <c r="J1437" s="9"/>
      <c r="K1437" s="9"/>
      <c r="L1437" s="9"/>
      <c r="M1437" s="9"/>
      <c r="N1437" s="4"/>
    </row>
    <row r="1438" spans="9:14" x14ac:dyDescent="0.3">
      <c r="I1438" s="7"/>
      <c r="J1438" s="9"/>
      <c r="K1438" s="9"/>
      <c r="L1438" s="9"/>
      <c r="M1438" s="9"/>
      <c r="N1438" s="4"/>
    </row>
    <row r="1439" spans="9:14" x14ac:dyDescent="0.3">
      <c r="I1439" s="7"/>
      <c r="J1439" s="9"/>
      <c r="K1439" s="9"/>
      <c r="L1439" s="9"/>
      <c r="M1439" s="9"/>
      <c r="N1439" s="4"/>
    </row>
    <row r="1440" spans="9:14" x14ac:dyDescent="0.3">
      <c r="I1440" s="7"/>
      <c r="J1440" s="9"/>
      <c r="K1440" s="9"/>
      <c r="L1440" s="9"/>
      <c r="M1440" s="9"/>
      <c r="N1440" s="4"/>
    </row>
    <row r="1441" spans="9:14" x14ac:dyDescent="0.3">
      <c r="I1441" s="7"/>
      <c r="J1441" s="9"/>
      <c r="K1441" s="9"/>
      <c r="L1441" s="9"/>
      <c r="M1441" s="9"/>
      <c r="N1441" s="4"/>
    </row>
    <row r="1442" spans="9:14" x14ac:dyDescent="0.3">
      <c r="I1442" s="7"/>
      <c r="J1442" s="9"/>
      <c r="K1442" s="9"/>
      <c r="L1442" s="9"/>
      <c r="M1442" s="9"/>
      <c r="N1442" s="4"/>
    </row>
    <row r="1443" spans="9:14" x14ac:dyDescent="0.3">
      <c r="I1443" s="7"/>
      <c r="J1443" s="9"/>
      <c r="K1443" s="9"/>
      <c r="L1443" s="9"/>
      <c r="M1443" s="9"/>
      <c r="N1443" s="4"/>
    </row>
    <row r="1444" spans="9:14" x14ac:dyDescent="0.3">
      <c r="I1444" s="7"/>
      <c r="J1444" s="9"/>
      <c r="K1444" s="9"/>
      <c r="L1444" s="9"/>
      <c r="M1444" s="9"/>
      <c r="N1444" s="4"/>
    </row>
    <row r="1445" spans="9:14" x14ac:dyDescent="0.3">
      <c r="I1445" s="7"/>
      <c r="J1445" s="9"/>
      <c r="K1445" s="9"/>
      <c r="L1445" s="9"/>
      <c r="M1445" s="9"/>
      <c r="N1445" s="4"/>
    </row>
    <row r="1446" spans="9:14" x14ac:dyDescent="0.3">
      <c r="I1446" s="7"/>
      <c r="J1446" s="9"/>
      <c r="K1446" s="9"/>
      <c r="L1446" s="9"/>
      <c r="M1446" s="9"/>
      <c r="N1446" s="4"/>
    </row>
    <row r="1447" spans="9:14" x14ac:dyDescent="0.3">
      <c r="I1447" s="7"/>
      <c r="J1447" s="9"/>
      <c r="K1447" s="9"/>
      <c r="L1447" s="9"/>
      <c r="M1447" s="9"/>
      <c r="N1447" s="4"/>
    </row>
    <row r="1448" spans="9:14" x14ac:dyDescent="0.3">
      <c r="I1448" s="7"/>
      <c r="J1448" s="9"/>
      <c r="K1448" s="9"/>
      <c r="L1448" s="9"/>
      <c r="M1448" s="9"/>
      <c r="N1448" s="4"/>
    </row>
    <row r="1449" spans="9:14" x14ac:dyDescent="0.3">
      <c r="I1449" s="7"/>
      <c r="J1449" s="9"/>
      <c r="K1449" s="9"/>
      <c r="L1449" s="9"/>
      <c r="M1449" s="9"/>
      <c r="N1449" s="4"/>
    </row>
    <row r="1450" spans="9:14" x14ac:dyDescent="0.3">
      <c r="I1450" s="7"/>
      <c r="J1450" s="9"/>
      <c r="K1450" s="9"/>
      <c r="L1450" s="9"/>
      <c r="M1450" s="9"/>
      <c r="N1450" s="4"/>
    </row>
    <row r="1451" spans="9:14" x14ac:dyDescent="0.3">
      <c r="I1451" s="7"/>
      <c r="J1451" s="9"/>
      <c r="K1451" s="9"/>
      <c r="L1451" s="9"/>
      <c r="M1451" s="9"/>
      <c r="N1451" s="4"/>
    </row>
    <row r="1452" spans="9:14" x14ac:dyDescent="0.3">
      <c r="I1452" s="7"/>
      <c r="J1452" s="9"/>
      <c r="K1452" s="9"/>
      <c r="L1452" s="9"/>
      <c r="M1452" s="9"/>
      <c r="N1452" s="4"/>
    </row>
    <row r="1453" spans="9:14" x14ac:dyDescent="0.3">
      <c r="I1453" s="7"/>
      <c r="J1453" s="9"/>
      <c r="K1453" s="9"/>
      <c r="L1453" s="9"/>
      <c r="M1453" s="9"/>
      <c r="N1453" s="4"/>
    </row>
    <row r="1454" spans="9:14" x14ac:dyDescent="0.3">
      <c r="I1454" s="7"/>
      <c r="J1454" s="9"/>
      <c r="K1454" s="9"/>
      <c r="L1454" s="9"/>
      <c r="M1454" s="9"/>
      <c r="N1454" s="4"/>
    </row>
    <row r="1455" spans="9:14" x14ac:dyDescent="0.3">
      <c r="I1455" s="7"/>
      <c r="J1455" s="9"/>
      <c r="K1455" s="9"/>
      <c r="L1455" s="9"/>
      <c r="M1455" s="9"/>
      <c r="N1455" s="4"/>
    </row>
    <row r="1456" spans="9:14" x14ac:dyDescent="0.3">
      <c r="I1456" s="7"/>
      <c r="J1456" s="9"/>
      <c r="K1456" s="9"/>
      <c r="L1456" s="9"/>
      <c r="M1456" s="9"/>
      <c r="N1456" s="4"/>
    </row>
    <row r="1457" spans="9:14" x14ac:dyDescent="0.3">
      <c r="I1457" s="7"/>
      <c r="J1457" s="9"/>
      <c r="K1457" s="9"/>
      <c r="L1457" s="9"/>
      <c r="M1457" s="9"/>
      <c r="N1457" s="4"/>
    </row>
    <row r="1458" spans="9:14" x14ac:dyDescent="0.3">
      <c r="I1458" s="7"/>
      <c r="J1458" s="9"/>
      <c r="K1458" s="9"/>
      <c r="L1458" s="9"/>
      <c r="M1458" s="9"/>
      <c r="N1458" s="4"/>
    </row>
    <row r="1459" spans="9:14" x14ac:dyDescent="0.3">
      <c r="I1459" s="7"/>
      <c r="J1459" s="9"/>
      <c r="K1459" s="9"/>
      <c r="L1459" s="9"/>
      <c r="M1459" s="9"/>
      <c r="N1459" s="4"/>
    </row>
    <row r="1460" spans="9:14" x14ac:dyDescent="0.3">
      <c r="I1460" s="7"/>
      <c r="J1460" s="9"/>
      <c r="K1460" s="9"/>
      <c r="L1460" s="9"/>
      <c r="M1460" s="9"/>
      <c r="N1460" s="4"/>
    </row>
    <row r="1461" spans="9:14" x14ac:dyDescent="0.3">
      <c r="I1461" s="7"/>
      <c r="J1461" s="9"/>
      <c r="K1461" s="9"/>
      <c r="L1461" s="9"/>
      <c r="M1461" s="9"/>
      <c r="N1461" s="4"/>
    </row>
    <row r="1462" spans="9:14" x14ac:dyDescent="0.3">
      <c r="I1462" s="7"/>
      <c r="J1462" s="9"/>
      <c r="K1462" s="9"/>
      <c r="L1462" s="9"/>
      <c r="M1462" s="9"/>
      <c r="N1462" s="4"/>
    </row>
    <row r="1463" spans="9:14" x14ac:dyDescent="0.3">
      <c r="I1463" s="7"/>
      <c r="J1463" s="9"/>
      <c r="K1463" s="9"/>
      <c r="L1463" s="9"/>
      <c r="M1463" s="9"/>
      <c r="N1463" s="4"/>
    </row>
    <row r="1464" spans="9:14" x14ac:dyDescent="0.3">
      <c r="I1464" s="7"/>
      <c r="J1464" s="9"/>
      <c r="K1464" s="9"/>
      <c r="L1464" s="9"/>
      <c r="M1464" s="9"/>
      <c r="N1464" s="4"/>
    </row>
    <row r="1465" spans="9:14" x14ac:dyDescent="0.3">
      <c r="I1465" s="7"/>
      <c r="J1465" s="9"/>
      <c r="K1465" s="9"/>
      <c r="L1465" s="9"/>
      <c r="M1465" s="9"/>
      <c r="N1465" s="4"/>
    </row>
    <row r="1466" spans="9:14" x14ac:dyDescent="0.3">
      <c r="I1466" s="7"/>
      <c r="J1466" s="9"/>
      <c r="K1466" s="9"/>
      <c r="L1466" s="9"/>
      <c r="M1466" s="9"/>
      <c r="N1466" s="4"/>
    </row>
    <row r="1467" spans="9:14" x14ac:dyDescent="0.3">
      <c r="I1467" s="7"/>
      <c r="J1467" s="9"/>
      <c r="K1467" s="9"/>
      <c r="L1467" s="9"/>
      <c r="M1467" s="9"/>
      <c r="N1467" s="4"/>
    </row>
    <row r="1468" spans="9:14" x14ac:dyDescent="0.3">
      <c r="I1468" s="7"/>
      <c r="J1468" s="9"/>
      <c r="K1468" s="9"/>
      <c r="L1468" s="9"/>
      <c r="M1468" s="9"/>
      <c r="N1468" s="4"/>
    </row>
    <row r="1469" spans="9:14" x14ac:dyDescent="0.3">
      <c r="I1469" s="7"/>
      <c r="J1469" s="9"/>
      <c r="K1469" s="9"/>
      <c r="L1469" s="9"/>
      <c r="M1469" s="9"/>
      <c r="N1469" s="4"/>
    </row>
    <row r="1470" spans="9:14" x14ac:dyDescent="0.3">
      <c r="I1470" s="7"/>
      <c r="J1470" s="9"/>
      <c r="K1470" s="9"/>
      <c r="L1470" s="9"/>
      <c r="M1470" s="9"/>
      <c r="N1470" s="4"/>
    </row>
    <row r="1471" spans="9:14" x14ac:dyDescent="0.3">
      <c r="I1471" s="7"/>
      <c r="J1471" s="9"/>
      <c r="K1471" s="9"/>
      <c r="L1471" s="9"/>
      <c r="M1471" s="9"/>
      <c r="N1471" s="4"/>
    </row>
    <row r="1472" spans="9:14" x14ac:dyDescent="0.3">
      <c r="I1472" s="7"/>
      <c r="J1472" s="9"/>
      <c r="K1472" s="9"/>
      <c r="L1472" s="9"/>
      <c r="M1472" s="9"/>
      <c r="N1472" s="4"/>
    </row>
    <row r="1473" spans="9:14" x14ac:dyDescent="0.3">
      <c r="I1473" s="7"/>
      <c r="J1473" s="9"/>
      <c r="K1473" s="9"/>
      <c r="L1473" s="9"/>
      <c r="M1473" s="9"/>
      <c r="N1473" s="4"/>
    </row>
    <row r="1474" spans="9:14" x14ac:dyDescent="0.3">
      <c r="I1474" s="7"/>
      <c r="J1474" s="9"/>
      <c r="K1474" s="9"/>
      <c r="L1474" s="9"/>
      <c r="M1474" s="9"/>
      <c r="N1474" s="4"/>
    </row>
    <row r="1475" spans="9:14" x14ac:dyDescent="0.3">
      <c r="I1475" s="7"/>
      <c r="J1475" s="9"/>
      <c r="K1475" s="9"/>
      <c r="L1475" s="9"/>
      <c r="M1475" s="9"/>
      <c r="N1475" s="4"/>
    </row>
    <row r="1476" spans="9:14" x14ac:dyDescent="0.3">
      <c r="I1476" s="7"/>
      <c r="J1476" s="9"/>
      <c r="K1476" s="9"/>
      <c r="L1476" s="9"/>
      <c r="M1476" s="9"/>
      <c r="N1476" s="4"/>
    </row>
    <row r="1477" spans="9:14" x14ac:dyDescent="0.3">
      <c r="I1477" s="7"/>
      <c r="J1477" s="9"/>
      <c r="K1477" s="9"/>
      <c r="L1477" s="9"/>
      <c r="M1477" s="9"/>
      <c r="N1477" s="4"/>
    </row>
    <row r="1478" spans="9:14" x14ac:dyDescent="0.3">
      <c r="I1478" s="7"/>
      <c r="J1478" s="9"/>
      <c r="K1478" s="9"/>
      <c r="L1478" s="9"/>
      <c r="M1478" s="9"/>
      <c r="N1478" s="4"/>
    </row>
    <row r="1479" spans="9:14" x14ac:dyDescent="0.3">
      <c r="I1479" s="7"/>
      <c r="J1479" s="9"/>
      <c r="K1479" s="9"/>
      <c r="L1479" s="9"/>
      <c r="M1479" s="9"/>
      <c r="N1479" s="4"/>
    </row>
    <row r="1480" spans="9:14" x14ac:dyDescent="0.3">
      <c r="I1480" s="7"/>
      <c r="J1480" s="9"/>
      <c r="K1480" s="9"/>
      <c r="L1480" s="9"/>
      <c r="M1480" s="9"/>
      <c r="N1480" s="4"/>
    </row>
    <row r="1481" spans="9:14" x14ac:dyDescent="0.3">
      <c r="I1481" s="7"/>
      <c r="J1481" s="9"/>
      <c r="K1481" s="9"/>
      <c r="L1481" s="9"/>
      <c r="M1481" s="9"/>
      <c r="N1481" s="4"/>
    </row>
    <row r="1482" spans="9:14" x14ac:dyDescent="0.3">
      <c r="I1482" s="7"/>
      <c r="J1482" s="9"/>
      <c r="K1482" s="9"/>
      <c r="L1482" s="9"/>
      <c r="M1482" s="9"/>
      <c r="N1482" s="4"/>
    </row>
    <row r="1483" spans="9:14" x14ac:dyDescent="0.3">
      <c r="I1483" s="7"/>
      <c r="J1483" s="9"/>
      <c r="K1483" s="9"/>
      <c r="L1483" s="9"/>
      <c r="M1483" s="9"/>
      <c r="N1483" s="4"/>
    </row>
    <row r="1484" spans="9:14" x14ac:dyDescent="0.3">
      <c r="I1484" s="7"/>
      <c r="J1484" s="9"/>
      <c r="K1484" s="9"/>
      <c r="L1484" s="9"/>
      <c r="M1484" s="9"/>
      <c r="N1484" s="4"/>
    </row>
    <row r="1485" spans="9:14" x14ac:dyDescent="0.3">
      <c r="I1485" s="7"/>
      <c r="J1485" s="9"/>
      <c r="K1485" s="9"/>
      <c r="L1485" s="9"/>
      <c r="M1485" s="9"/>
      <c r="N1485" s="4"/>
    </row>
    <row r="1486" spans="9:14" x14ac:dyDescent="0.3">
      <c r="I1486" s="7"/>
      <c r="J1486" s="9"/>
      <c r="K1486" s="9"/>
      <c r="L1486" s="9"/>
      <c r="M1486" s="9"/>
      <c r="N1486" s="4"/>
    </row>
    <row r="1487" spans="9:14" x14ac:dyDescent="0.3">
      <c r="I1487" s="7"/>
      <c r="J1487" s="9"/>
      <c r="K1487" s="9"/>
      <c r="L1487" s="9"/>
      <c r="M1487" s="9"/>
      <c r="N1487" s="4"/>
    </row>
    <row r="1488" spans="9:14" x14ac:dyDescent="0.3">
      <c r="I1488" s="7"/>
      <c r="J1488" s="9"/>
      <c r="K1488" s="9"/>
      <c r="L1488" s="9"/>
      <c r="M1488" s="9"/>
      <c r="N1488" s="4"/>
    </row>
    <row r="1489" spans="9:14" x14ac:dyDescent="0.3">
      <c r="I1489" s="7"/>
      <c r="J1489" s="9"/>
      <c r="K1489" s="9"/>
      <c r="L1489" s="9"/>
      <c r="M1489" s="9"/>
      <c r="N1489" s="4"/>
    </row>
    <row r="1490" spans="9:14" x14ac:dyDescent="0.3">
      <c r="I1490" s="7"/>
      <c r="J1490" s="9"/>
      <c r="K1490" s="9"/>
      <c r="L1490" s="9"/>
      <c r="M1490" s="9"/>
      <c r="N1490" s="4"/>
    </row>
    <row r="1491" spans="9:14" x14ac:dyDescent="0.3">
      <c r="I1491" s="7"/>
      <c r="J1491" s="9"/>
      <c r="K1491" s="9"/>
      <c r="L1491" s="9"/>
      <c r="M1491" s="9"/>
      <c r="N1491" s="4"/>
    </row>
    <row r="1492" spans="9:14" x14ac:dyDescent="0.3">
      <c r="I1492" s="7"/>
      <c r="J1492" s="9"/>
      <c r="K1492" s="9"/>
      <c r="L1492" s="9"/>
      <c r="M1492" s="9"/>
      <c r="N1492" s="4"/>
    </row>
    <row r="1493" spans="9:14" x14ac:dyDescent="0.3">
      <c r="I1493" s="7"/>
      <c r="J1493" s="9"/>
      <c r="K1493" s="9"/>
      <c r="L1493" s="9"/>
      <c r="M1493" s="9"/>
      <c r="N1493" s="4"/>
    </row>
    <row r="1494" spans="9:14" x14ac:dyDescent="0.3">
      <c r="I1494" s="7"/>
      <c r="J1494" s="9"/>
      <c r="K1494" s="9"/>
      <c r="L1494" s="9"/>
      <c r="M1494" s="9"/>
      <c r="N1494" s="4"/>
    </row>
    <row r="1495" spans="9:14" x14ac:dyDescent="0.3">
      <c r="I1495" s="7"/>
      <c r="J1495" s="9"/>
      <c r="K1495" s="9"/>
      <c r="L1495" s="9"/>
      <c r="M1495" s="9"/>
      <c r="N1495" s="4"/>
    </row>
    <row r="1496" spans="9:14" x14ac:dyDescent="0.3">
      <c r="I1496" s="7"/>
      <c r="J1496" s="9"/>
      <c r="K1496" s="9"/>
      <c r="L1496" s="9"/>
      <c r="M1496" s="9"/>
      <c r="N1496" s="4"/>
    </row>
    <row r="1497" spans="9:14" x14ac:dyDescent="0.3">
      <c r="I1497" s="7"/>
      <c r="J1497" s="9"/>
      <c r="K1497" s="9"/>
      <c r="L1497" s="9"/>
      <c r="M1497" s="9"/>
      <c r="N1497" s="4"/>
    </row>
    <row r="1498" spans="9:14" x14ac:dyDescent="0.3">
      <c r="I1498" s="7"/>
      <c r="J1498" s="9"/>
      <c r="K1498" s="9"/>
      <c r="L1498" s="9"/>
      <c r="M1498" s="9"/>
      <c r="N1498" s="4"/>
    </row>
    <row r="1499" spans="9:14" x14ac:dyDescent="0.3">
      <c r="I1499" s="7"/>
      <c r="J1499" s="9"/>
      <c r="K1499" s="9"/>
      <c r="L1499" s="9"/>
      <c r="M1499" s="9"/>
      <c r="N1499" s="4"/>
    </row>
    <row r="1500" spans="9:14" x14ac:dyDescent="0.3">
      <c r="I1500" s="7"/>
      <c r="J1500" s="9"/>
      <c r="K1500" s="9"/>
      <c r="L1500" s="9"/>
      <c r="M1500" s="9"/>
      <c r="N1500" s="4"/>
    </row>
    <row r="1501" spans="9:14" x14ac:dyDescent="0.3">
      <c r="I1501" s="7"/>
      <c r="J1501" s="9"/>
      <c r="K1501" s="9"/>
      <c r="L1501" s="9"/>
      <c r="M1501" s="9"/>
      <c r="N1501" s="4"/>
    </row>
    <row r="1502" spans="9:14" x14ac:dyDescent="0.3">
      <c r="I1502" s="7"/>
      <c r="J1502" s="9"/>
      <c r="K1502" s="9"/>
      <c r="L1502" s="9"/>
      <c r="M1502" s="9"/>
      <c r="N1502" s="4"/>
    </row>
    <row r="1503" spans="9:14" x14ac:dyDescent="0.3">
      <c r="I1503" s="7"/>
      <c r="J1503" s="9"/>
      <c r="K1503" s="9"/>
      <c r="L1503" s="9"/>
      <c r="M1503" s="9"/>
      <c r="N1503" s="4"/>
    </row>
    <row r="1504" spans="9:14" x14ac:dyDescent="0.3">
      <c r="I1504" s="7"/>
      <c r="J1504" s="9"/>
      <c r="K1504" s="9"/>
      <c r="L1504" s="9"/>
      <c r="M1504" s="9"/>
      <c r="N1504" s="4"/>
    </row>
    <row r="1505" spans="9:14" x14ac:dyDescent="0.3">
      <c r="I1505" s="7"/>
      <c r="J1505" s="9"/>
      <c r="K1505" s="9"/>
      <c r="L1505" s="9"/>
      <c r="M1505" s="9"/>
      <c r="N1505" s="4"/>
    </row>
    <row r="1506" spans="9:14" x14ac:dyDescent="0.3">
      <c r="I1506" s="7"/>
      <c r="J1506" s="9"/>
      <c r="K1506" s="9"/>
      <c r="L1506" s="9"/>
      <c r="M1506" s="9"/>
      <c r="N1506" s="4"/>
    </row>
    <row r="1507" spans="9:14" x14ac:dyDescent="0.3">
      <c r="I1507" s="7"/>
      <c r="J1507" s="9"/>
      <c r="K1507" s="9"/>
      <c r="L1507" s="9"/>
      <c r="M1507" s="9"/>
      <c r="N1507" s="4"/>
    </row>
    <row r="1508" spans="9:14" x14ac:dyDescent="0.3">
      <c r="I1508" s="7"/>
      <c r="J1508" s="9"/>
      <c r="K1508" s="9"/>
      <c r="L1508" s="9"/>
      <c r="M1508" s="9"/>
      <c r="N1508" s="4"/>
    </row>
    <row r="1509" spans="9:14" x14ac:dyDescent="0.3">
      <c r="I1509" s="7"/>
      <c r="J1509" s="9"/>
      <c r="K1509" s="9"/>
      <c r="L1509" s="9"/>
      <c r="M1509" s="9"/>
      <c r="N1509" s="4"/>
    </row>
    <row r="1510" spans="9:14" x14ac:dyDescent="0.3">
      <c r="I1510" s="7"/>
      <c r="J1510" s="9"/>
      <c r="K1510" s="9"/>
      <c r="L1510" s="9"/>
      <c r="M1510" s="9"/>
      <c r="N1510" s="4"/>
    </row>
    <row r="1511" spans="9:14" x14ac:dyDescent="0.3">
      <c r="I1511" s="7"/>
      <c r="J1511" s="9"/>
      <c r="K1511" s="9"/>
      <c r="L1511" s="9"/>
      <c r="M1511" s="9"/>
      <c r="N1511" s="4"/>
    </row>
    <row r="1512" spans="9:14" x14ac:dyDescent="0.3">
      <c r="I1512" s="7"/>
      <c r="J1512" s="9"/>
      <c r="K1512" s="9"/>
      <c r="L1512" s="9"/>
      <c r="M1512" s="9"/>
      <c r="N1512" s="4"/>
    </row>
    <row r="1513" spans="9:14" x14ac:dyDescent="0.3">
      <c r="I1513" s="7"/>
      <c r="J1513" s="9"/>
      <c r="K1513" s="9"/>
      <c r="L1513" s="9"/>
      <c r="M1513" s="9"/>
      <c r="N1513" s="4"/>
    </row>
    <row r="1514" spans="9:14" x14ac:dyDescent="0.3">
      <c r="I1514" s="7"/>
      <c r="J1514" s="9"/>
      <c r="K1514" s="9"/>
      <c r="L1514" s="9"/>
      <c r="M1514" s="9"/>
      <c r="N1514" s="4"/>
    </row>
    <row r="1515" spans="9:14" x14ac:dyDescent="0.3">
      <c r="I1515" s="7"/>
      <c r="J1515" s="9"/>
      <c r="K1515" s="9"/>
      <c r="L1515" s="9"/>
      <c r="M1515" s="9"/>
      <c r="N1515" s="4"/>
    </row>
    <row r="1516" spans="9:14" x14ac:dyDescent="0.3">
      <c r="I1516" s="7"/>
      <c r="J1516" s="9"/>
      <c r="K1516" s="9"/>
      <c r="L1516" s="9"/>
      <c r="M1516" s="9"/>
      <c r="N1516" s="4"/>
    </row>
    <row r="1517" spans="9:14" x14ac:dyDescent="0.3">
      <c r="I1517" s="7"/>
      <c r="J1517" s="9"/>
      <c r="K1517" s="9"/>
      <c r="L1517" s="9"/>
      <c r="M1517" s="9"/>
      <c r="N1517" s="4"/>
    </row>
    <row r="1518" spans="9:14" x14ac:dyDescent="0.3">
      <c r="I1518" s="7"/>
      <c r="J1518" s="9"/>
      <c r="K1518" s="9"/>
      <c r="L1518" s="9"/>
      <c r="M1518" s="9"/>
      <c r="N1518" s="4"/>
    </row>
    <row r="1519" spans="9:14" x14ac:dyDescent="0.3">
      <c r="I1519" s="7"/>
      <c r="J1519" s="9"/>
      <c r="K1519" s="9"/>
      <c r="L1519" s="9"/>
      <c r="M1519" s="9"/>
      <c r="N1519" s="4"/>
    </row>
    <row r="1520" spans="9:14" x14ac:dyDescent="0.3">
      <c r="I1520" s="7"/>
      <c r="J1520" s="9"/>
      <c r="K1520" s="9"/>
      <c r="L1520" s="9"/>
      <c r="M1520" s="9"/>
      <c r="N1520" s="4"/>
    </row>
    <row r="1521" spans="9:14" x14ac:dyDescent="0.3">
      <c r="I1521" s="7"/>
      <c r="J1521" s="9"/>
      <c r="K1521" s="9"/>
      <c r="L1521" s="9"/>
      <c r="M1521" s="9"/>
      <c r="N1521" s="4"/>
    </row>
    <row r="1522" spans="9:14" x14ac:dyDescent="0.3">
      <c r="I1522" s="7"/>
      <c r="J1522" s="9"/>
      <c r="K1522" s="9"/>
      <c r="L1522" s="9"/>
      <c r="M1522" s="9"/>
      <c r="N1522" s="4"/>
    </row>
    <row r="1523" spans="9:14" x14ac:dyDescent="0.3">
      <c r="I1523" s="7"/>
      <c r="J1523" s="9"/>
      <c r="K1523" s="9"/>
      <c r="L1523" s="9"/>
      <c r="M1523" s="9"/>
      <c r="N1523" s="4"/>
    </row>
    <row r="1524" spans="9:14" x14ac:dyDescent="0.3">
      <c r="I1524" s="7"/>
      <c r="J1524" s="9"/>
      <c r="K1524" s="9"/>
      <c r="L1524" s="9"/>
      <c r="M1524" s="9"/>
      <c r="N1524" s="4"/>
    </row>
    <row r="1525" spans="9:14" x14ac:dyDescent="0.3">
      <c r="I1525" s="7"/>
      <c r="J1525" s="9"/>
      <c r="K1525" s="9"/>
      <c r="L1525" s="9"/>
      <c r="M1525" s="9"/>
      <c r="N1525" s="4"/>
    </row>
    <row r="1526" spans="9:14" x14ac:dyDescent="0.3">
      <c r="I1526" s="7"/>
      <c r="J1526" s="9"/>
      <c r="K1526" s="9"/>
      <c r="L1526" s="9"/>
      <c r="M1526" s="9"/>
      <c r="N1526" s="4"/>
    </row>
    <row r="1527" spans="9:14" x14ac:dyDescent="0.3">
      <c r="I1527" s="7"/>
      <c r="J1527" s="9"/>
      <c r="K1527" s="9"/>
      <c r="L1527" s="9"/>
      <c r="M1527" s="9"/>
      <c r="N1527" s="4"/>
    </row>
    <row r="1528" spans="9:14" x14ac:dyDescent="0.3">
      <c r="I1528" s="7"/>
      <c r="J1528" s="9"/>
      <c r="K1528" s="9"/>
      <c r="L1528" s="9"/>
      <c r="M1528" s="9"/>
      <c r="N1528" s="4"/>
    </row>
    <row r="1529" spans="9:14" x14ac:dyDescent="0.3">
      <c r="I1529" s="7"/>
      <c r="J1529" s="9"/>
      <c r="K1529" s="9"/>
      <c r="L1529" s="9"/>
      <c r="M1529" s="9"/>
      <c r="N1529" s="4"/>
    </row>
    <row r="1530" spans="9:14" x14ac:dyDescent="0.3">
      <c r="I1530" s="7"/>
      <c r="J1530" s="9"/>
      <c r="K1530" s="9"/>
      <c r="L1530" s="9"/>
      <c r="M1530" s="9"/>
      <c r="N1530" s="4"/>
    </row>
    <row r="1531" spans="9:14" x14ac:dyDescent="0.3">
      <c r="I1531" s="7"/>
      <c r="J1531" s="9"/>
      <c r="K1531" s="9"/>
      <c r="L1531" s="9"/>
      <c r="M1531" s="9"/>
      <c r="N1531" s="4"/>
    </row>
    <row r="1532" spans="9:14" x14ac:dyDescent="0.3">
      <c r="I1532" s="7"/>
      <c r="J1532" s="9"/>
      <c r="K1532" s="9"/>
      <c r="L1532" s="9"/>
      <c r="M1532" s="9"/>
      <c r="N1532" s="4"/>
    </row>
    <row r="1533" spans="9:14" x14ac:dyDescent="0.3">
      <c r="I1533" s="7"/>
      <c r="J1533" s="9"/>
      <c r="K1533" s="9"/>
      <c r="L1533" s="9"/>
      <c r="M1533" s="9"/>
      <c r="N1533" s="4"/>
    </row>
    <row r="1534" spans="9:14" x14ac:dyDescent="0.3">
      <c r="I1534" s="7"/>
      <c r="J1534" s="9"/>
      <c r="K1534" s="9"/>
      <c r="L1534" s="9"/>
      <c r="M1534" s="9"/>
      <c r="N1534" s="4"/>
    </row>
    <row r="1535" spans="9:14" x14ac:dyDescent="0.3">
      <c r="I1535" s="7"/>
      <c r="J1535" s="9"/>
      <c r="K1535" s="9"/>
      <c r="L1535" s="9"/>
      <c r="M1535" s="9"/>
      <c r="N1535" s="4"/>
    </row>
    <row r="1536" spans="9:14" x14ac:dyDescent="0.3">
      <c r="I1536" s="7"/>
      <c r="J1536" s="9"/>
      <c r="K1536" s="9"/>
      <c r="L1536" s="9"/>
      <c r="M1536" s="9"/>
      <c r="N1536" s="4"/>
    </row>
    <row r="1537" spans="9:14" x14ac:dyDescent="0.3">
      <c r="I1537" s="7"/>
      <c r="J1537" s="9"/>
      <c r="K1537" s="9"/>
      <c r="L1537" s="9"/>
      <c r="M1537" s="9"/>
      <c r="N1537" s="4"/>
    </row>
    <row r="1538" spans="9:14" x14ac:dyDescent="0.3">
      <c r="I1538" s="7"/>
      <c r="J1538" s="9"/>
      <c r="K1538" s="9"/>
      <c r="L1538" s="9"/>
      <c r="M1538" s="9"/>
      <c r="N1538" s="4"/>
    </row>
    <row r="1539" spans="9:14" x14ac:dyDescent="0.3">
      <c r="I1539" s="7"/>
      <c r="J1539" s="9"/>
      <c r="K1539" s="9"/>
      <c r="L1539" s="9"/>
      <c r="M1539" s="9"/>
      <c r="N1539" s="4"/>
    </row>
    <row r="1540" spans="9:14" x14ac:dyDescent="0.3">
      <c r="I1540" s="7"/>
      <c r="J1540" s="9"/>
      <c r="K1540" s="9"/>
      <c r="L1540" s="9"/>
      <c r="M1540" s="9"/>
      <c r="N1540" s="4"/>
    </row>
    <row r="1541" spans="9:14" x14ac:dyDescent="0.3">
      <c r="I1541" s="7"/>
      <c r="J1541" s="9"/>
      <c r="K1541" s="9"/>
      <c r="L1541" s="9"/>
      <c r="M1541" s="9"/>
      <c r="N1541" s="4"/>
    </row>
    <row r="1542" spans="9:14" x14ac:dyDescent="0.3">
      <c r="I1542" s="7"/>
      <c r="J1542" s="9"/>
      <c r="K1542" s="9"/>
      <c r="L1542" s="9"/>
      <c r="M1542" s="9"/>
      <c r="N1542" s="4"/>
    </row>
    <row r="1543" spans="9:14" x14ac:dyDescent="0.3">
      <c r="I1543" s="7"/>
      <c r="J1543" s="9"/>
      <c r="K1543" s="9"/>
      <c r="L1543" s="9"/>
      <c r="M1543" s="9"/>
      <c r="N1543" s="4"/>
    </row>
    <row r="1544" spans="9:14" x14ac:dyDescent="0.3">
      <c r="I1544" s="7"/>
      <c r="J1544" s="9"/>
      <c r="K1544" s="9"/>
      <c r="L1544" s="9"/>
      <c r="M1544" s="9"/>
      <c r="N1544" s="4"/>
    </row>
    <row r="1545" spans="9:14" x14ac:dyDescent="0.3">
      <c r="I1545" s="7"/>
      <c r="J1545" s="9"/>
      <c r="K1545" s="9"/>
      <c r="L1545" s="9"/>
      <c r="M1545" s="9"/>
      <c r="N1545" s="4"/>
    </row>
    <row r="1546" spans="9:14" x14ac:dyDescent="0.3">
      <c r="I1546" s="7"/>
      <c r="J1546" s="9"/>
      <c r="K1546" s="9"/>
      <c r="L1546" s="9"/>
      <c r="M1546" s="9"/>
      <c r="N1546" s="4"/>
    </row>
    <row r="1547" spans="9:14" x14ac:dyDescent="0.3">
      <c r="I1547" s="7"/>
      <c r="J1547" s="9"/>
      <c r="K1547" s="9"/>
      <c r="L1547" s="9"/>
      <c r="M1547" s="9"/>
      <c r="N1547" s="4"/>
    </row>
    <row r="1548" spans="9:14" x14ac:dyDescent="0.3">
      <c r="I1548" s="7"/>
      <c r="J1548" s="9"/>
      <c r="K1548" s="9"/>
      <c r="L1548" s="9"/>
      <c r="M1548" s="9"/>
      <c r="N1548" s="4"/>
    </row>
    <row r="1549" spans="9:14" x14ac:dyDescent="0.3">
      <c r="I1549" s="7"/>
      <c r="J1549" s="9"/>
      <c r="K1549" s="9"/>
      <c r="L1549" s="9"/>
      <c r="M1549" s="9"/>
      <c r="N1549" s="4"/>
    </row>
    <row r="1550" spans="9:14" x14ac:dyDescent="0.3">
      <c r="I1550" s="7"/>
      <c r="J1550" s="9"/>
      <c r="K1550" s="9"/>
      <c r="L1550" s="9"/>
      <c r="M1550" s="9"/>
      <c r="N1550" s="4"/>
    </row>
    <row r="1551" spans="9:14" x14ac:dyDescent="0.3">
      <c r="I1551" s="7"/>
      <c r="J1551" s="9"/>
      <c r="K1551" s="9"/>
      <c r="L1551" s="9"/>
      <c r="M1551" s="9"/>
      <c r="N1551" s="4"/>
    </row>
    <row r="1552" spans="9:14" x14ac:dyDescent="0.3">
      <c r="I1552" s="7"/>
      <c r="J1552" s="9"/>
      <c r="K1552" s="9"/>
      <c r="L1552" s="9"/>
      <c r="M1552" s="9"/>
      <c r="N1552" s="4"/>
    </row>
    <row r="1553" spans="9:14" x14ac:dyDescent="0.3">
      <c r="I1553" s="7"/>
      <c r="J1553" s="9"/>
      <c r="K1553" s="9"/>
      <c r="L1553" s="9"/>
      <c r="M1553" s="9"/>
      <c r="N1553" s="4"/>
    </row>
    <row r="1554" spans="9:14" x14ac:dyDescent="0.3">
      <c r="I1554" s="7"/>
      <c r="J1554" s="9"/>
      <c r="K1554" s="9"/>
      <c r="L1554" s="9"/>
      <c r="M1554" s="9"/>
      <c r="N1554" s="4"/>
    </row>
    <row r="1555" spans="9:14" x14ac:dyDescent="0.3">
      <c r="I1555" s="7"/>
      <c r="J1555" s="9"/>
      <c r="K1555" s="9"/>
      <c r="L1555" s="9"/>
      <c r="M1555" s="9"/>
      <c r="N1555" s="4"/>
    </row>
    <row r="1556" spans="9:14" x14ac:dyDescent="0.3">
      <c r="I1556" s="7"/>
      <c r="J1556" s="9"/>
      <c r="K1556" s="9"/>
      <c r="L1556" s="9"/>
      <c r="M1556" s="9"/>
      <c r="N1556" s="4"/>
    </row>
    <row r="1557" spans="9:14" x14ac:dyDescent="0.3">
      <c r="I1557" s="7"/>
      <c r="J1557" s="9"/>
      <c r="K1557" s="9"/>
      <c r="L1557" s="9"/>
      <c r="M1557" s="9"/>
      <c r="N1557" s="4"/>
    </row>
    <row r="1558" spans="9:14" x14ac:dyDescent="0.3">
      <c r="I1558" s="7"/>
      <c r="J1558" s="9"/>
      <c r="K1558" s="9"/>
      <c r="L1558" s="9"/>
      <c r="M1558" s="9"/>
      <c r="N1558" s="4"/>
    </row>
    <row r="1559" spans="9:14" x14ac:dyDescent="0.3">
      <c r="I1559" s="7"/>
      <c r="J1559" s="9"/>
      <c r="K1559" s="9"/>
      <c r="L1559" s="9"/>
      <c r="M1559" s="9"/>
      <c r="N1559" s="4"/>
    </row>
    <row r="1560" spans="9:14" x14ac:dyDescent="0.3">
      <c r="I1560" s="7"/>
      <c r="J1560" s="9"/>
      <c r="K1560" s="9"/>
      <c r="L1560" s="9"/>
      <c r="M1560" s="9"/>
      <c r="N1560" s="4"/>
    </row>
    <row r="1561" spans="9:14" x14ac:dyDescent="0.3">
      <c r="I1561" s="7"/>
      <c r="J1561" s="9"/>
      <c r="K1561" s="9"/>
      <c r="L1561" s="9"/>
      <c r="M1561" s="9"/>
      <c r="N1561" s="4"/>
    </row>
    <row r="1562" spans="9:14" x14ac:dyDescent="0.3">
      <c r="I1562" s="7"/>
      <c r="J1562" s="9"/>
      <c r="K1562" s="9"/>
      <c r="L1562" s="9"/>
      <c r="M1562" s="9"/>
      <c r="N1562" s="4"/>
    </row>
    <row r="1563" spans="9:14" x14ac:dyDescent="0.3">
      <c r="I1563" s="7"/>
      <c r="J1563" s="9"/>
      <c r="K1563" s="9"/>
      <c r="L1563" s="9"/>
      <c r="M1563" s="9"/>
      <c r="N1563" s="4"/>
    </row>
    <row r="1564" spans="9:14" x14ac:dyDescent="0.3">
      <c r="I1564" s="7"/>
      <c r="J1564" s="9"/>
      <c r="K1564" s="9"/>
      <c r="L1564" s="9"/>
      <c r="M1564" s="9"/>
      <c r="N1564" s="4"/>
    </row>
    <row r="1565" spans="9:14" x14ac:dyDescent="0.3">
      <c r="I1565" s="7"/>
      <c r="J1565" s="9"/>
      <c r="K1565" s="9"/>
      <c r="L1565" s="9"/>
      <c r="M1565" s="9"/>
      <c r="N1565" s="4"/>
    </row>
    <row r="1566" spans="9:14" x14ac:dyDescent="0.3">
      <c r="I1566" s="7"/>
      <c r="J1566" s="9"/>
      <c r="K1566" s="9"/>
      <c r="L1566" s="9"/>
      <c r="M1566" s="9"/>
      <c r="N1566" s="4"/>
    </row>
    <row r="1567" spans="9:14" x14ac:dyDescent="0.3">
      <c r="I1567" s="7"/>
      <c r="J1567" s="9"/>
      <c r="K1567" s="9"/>
      <c r="L1567" s="9"/>
      <c r="M1567" s="9"/>
      <c r="N1567" s="4"/>
    </row>
    <row r="1568" spans="9:14" x14ac:dyDescent="0.3">
      <c r="I1568" s="7"/>
      <c r="J1568" s="9"/>
      <c r="K1568" s="9"/>
      <c r="L1568" s="9"/>
      <c r="M1568" s="9"/>
      <c r="N1568" s="4"/>
    </row>
    <row r="1569" spans="9:14" x14ac:dyDescent="0.3">
      <c r="I1569" s="7"/>
      <c r="J1569" s="9"/>
      <c r="K1569" s="9"/>
      <c r="L1569" s="9"/>
      <c r="M1569" s="9"/>
      <c r="N1569" s="4"/>
    </row>
    <row r="1570" spans="9:14" x14ac:dyDescent="0.3">
      <c r="I1570" s="7"/>
      <c r="J1570" s="9"/>
      <c r="K1570" s="9"/>
      <c r="L1570" s="9"/>
      <c r="M1570" s="9"/>
      <c r="N1570" s="4"/>
    </row>
    <row r="1571" spans="9:14" x14ac:dyDescent="0.3">
      <c r="I1571" s="7"/>
      <c r="J1571" s="9"/>
      <c r="K1571" s="9"/>
      <c r="L1571" s="9"/>
      <c r="M1571" s="9"/>
      <c r="N1571" s="4"/>
    </row>
    <row r="1572" spans="9:14" x14ac:dyDescent="0.3">
      <c r="I1572" s="7"/>
      <c r="J1572" s="9"/>
      <c r="K1572" s="9"/>
      <c r="L1572" s="9"/>
      <c r="M1572" s="9"/>
      <c r="N1572" s="4"/>
    </row>
    <row r="1573" spans="9:14" x14ac:dyDescent="0.3">
      <c r="I1573" s="7"/>
      <c r="J1573" s="9"/>
      <c r="K1573" s="9"/>
      <c r="L1573" s="9"/>
      <c r="M1573" s="9"/>
      <c r="N1573" s="4"/>
    </row>
    <row r="1574" spans="9:14" x14ac:dyDescent="0.3">
      <c r="I1574" s="7"/>
      <c r="J1574" s="9"/>
      <c r="K1574" s="9"/>
      <c r="L1574" s="9"/>
      <c r="M1574" s="9"/>
      <c r="N1574" s="4"/>
    </row>
    <row r="1575" spans="9:14" x14ac:dyDescent="0.3">
      <c r="I1575" s="7"/>
      <c r="J1575" s="9"/>
      <c r="K1575" s="9"/>
      <c r="L1575" s="9"/>
      <c r="M1575" s="9"/>
      <c r="N1575" s="4"/>
    </row>
    <row r="1576" spans="9:14" x14ac:dyDescent="0.3">
      <c r="I1576" s="7"/>
      <c r="J1576" s="9"/>
      <c r="K1576" s="9"/>
      <c r="L1576" s="9"/>
      <c r="M1576" s="9"/>
      <c r="N1576" s="4"/>
    </row>
    <row r="1577" spans="9:14" x14ac:dyDescent="0.3">
      <c r="I1577" s="7"/>
      <c r="J1577" s="9"/>
      <c r="K1577" s="9"/>
      <c r="L1577" s="9"/>
      <c r="M1577" s="9"/>
      <c r="N1577" s="4"/>
    </row>
    <row r="1578" spans="9:14" x14ac:dyDescent="0.3">
      <c r="I1578" s="7"/>
      <c r="J1578" s="9"/>
      <c r="K1578" s="9"/>
      <c r="L1578" s="9"/>
      <c r="M1578" s="9"/>
      <c r="N1578" s="4"/>
    </row>
    <row r="1579" spans="9:14" x14ac:dyDescent="0.3">
      <c r="I1579" s="7"/>
      <c r="J1579" s="9"/>
      <c r="K1579" s="9"/>
      <c r="L1579" s="9"/>
      <c r="M1579" s="9"/>
      <c r="N1579" s="4"/>
    </row>
    <row r="1580" spans="9:14" x14ac:dyDescent="0.3">
      <c r="I1580" s="7"/>
      <c r="J1580" s="9"/>
      <c r="K1580" s="9"/>
      <c r="L1580" s="9"/>
      <c r="M1580" s="9"/>
      <c r="N1580" s="4"/>
    </row>
    <row r="1581" spans="9:14" x14ac:dyDescent="0.3">
      <c r="I1581" s="7"/>
      <c r="J1581" s="9"/>
      <c r="K1581" s="9"/>
      <c r="L1581" s="9"/>
      <c r="M1581" s="9"/>
      <c r="N1581" s="4"/>
    </row>
    <row r="1582" spans="9:14" x14ac:dyDescent="0.3">
      <c r="I1582" s="7"/>
      <c r="J1582" s="9"/>
      <c r="K1582" s="9"/>
      <c r="L1582" s="9"/>
      <c r="M1582" s="9"/>
      <c r="N1582" s="4"/>
    </row>
    <row r="1583" spans="9:14" x14ac:dyDescent="0.3">
      <c r="I1583" s="7"/>
      <c r="J1583" s="9"/>
      <c r="K1583" s="9"/>
      <c r="L1583" s="9"/>
      <c r="M1583" s="9"/>
      <c r="N1583" s="4"/>
    </row>
    <row r="1584" spans="9:14" x14ac:dyDescent="0.3">
      <c r="I1584" s="7"/>
      <c r="J1584" s="9"/>
      <c r="K1584" s="9"/>
      <c r="L1584" s="9"/>
      <c r="M1584" s="9"/>
      <c r="N1584" s="4"/>
    </row>
    <row r="1585" spans="9:14" x14ac:dyDescent="0.3">
      <c r="I1585" s="7"/>
      <c r="J1585" s="9"/>
      <c r="K1585" s="9"/>
      <c r="L1585" s="9"/>
      <c r="M1585" s="9"/>
      <c r="N1585" s="4"/>
    </row>
    <row r="1586" spans="9:14" x14ac:dyDescent="0.3">
      <c r="I1586" s="7"/>
      <c r="J1586" s="9"/>
      <c r="K1586" s="9"/>
      <c r="L1586" s="9"/>
      <c r="M1586" s="9"/>
      <c r="N1586" s="4"/>
    </row>
    <row r="1587" spans="9:14" x14ac:dyDescent="0.3">
      <c r="I1587" s="7"/>
      <c r="J1587" s="9"/>
      <c r="K1587" s="9"/>
      <c r="L1587" s="9"/>
      <c r="M1587" s="9"/>
      <c r="N1587" s="4"/>
    </row>
    <row r="1588" spans="9:14" x14ac:dyDescent="0.3">
      <c r="I1588" s="7"/>
      <c r="J1588" s="9"/>
      <c r="K1588" s="9"/>
      <c r="L1588" s="9"/>
      <c r="M1588" s="9"/>
      <c r="N1588" s="4"/>
    </row>
    <row r="1589" spans="9:14" x14ac:dyDescent="0.3">
      <c r="I1589" s="7"/>
      <c r="J1589" s="9"/>
      <c r="K1589" s="9"/>
      <c r="L1589" s="9"/>
      <c r="M1589" s="9"/>
      <c r="N1589" s="4"/>
    </row>
    <row r="1590" spans="9:14" x14ac:dyDescent="0.3">
      <c r="I1590" s="7"/>
      <c r="J1590" s="9"/>
      <c r="K1590" s="9"/>
      <c r="L1590" s="9"/>
      <c r="M1590" s="9"/>
      <c r="N1590" s="4"/>
    </row>
    <row r="1591" spans="9:14" x14ac:dyDescent="0.3">
      <c r="I1591" s="7"/>
      <c r="J1591" s="9"/>
      <c r="K1591" s="9"/>
      <c r="L1591" s="9"/>
      <c r="M1591" s="9"/>
      <c r="N1591" s="4"/>
    </row>
    <row r="1592" spans="9:14" x14ac:dyDescent="0.3">
      <c r="I1592" s="7"/>
      <c r="J1592" s="9"/>
      <c r="K1592" s="9"/>
      <c r="L1592" s="9"/>
      <c r="M1592" s="9"/>
      <c r="N1592" s="4"/>
    </row>
    <row r="1593" spans="9:14" x14ac:dyDescent="0.3">
      <c r="I1593" s="7"/>
      <c r="J1593" s="9"/>
      <c r="K1593" s="9"/>
      <c r="L1593" s="9"/>
      <c r="M1593" s="9"/>
      <c r="N1593" s="4"/>
    </row>
    <row r="1594" spans="9:14" x14ac:dyDescent="0.3">
      <c r="I1594" s="7"/>
      <c r="J1594" s="9"/>
      <c r="K1594" s="9"/>
      <c r="L1594" s="9"/>
      <c r="M1594" s="9"/>
      <c r="N1594" s="4"/>
    </row>
    <row r="1595" spans="9:14" x14ac:dyDescent="0.3">
      <c r="I1595" s="7"/>
      <c r="J1595" s="9"/>
      <c r="K1595" s="9"/>
      <c r="L1595" s="9"/>
      <c r="M1595" s="9"/>
      <c r="N1595" s="4"/>
    </row>
    <row r="1596" spans="9:14" x14ac:dyDescent="0.3">
      <c r="I1596" s="7"/>
      <c r="J1596" s="9"/>
      <c r="K1596" s="9"/>
      <c r="L1596" s="9"/>
      <c r="M1596" s="9"/>
      <c r="N1596" s="4"/>
    </row>
    <row r="1597" spans="9:14" x14ac:dyDescent="0.3">
      <c r="I1597" s="7"/>
      <c r="J1597" s="9"/>
      <c r="K1597" s="9"/>
      <c r="L1597" s="9"/>
      <c r="M1597" s="9"/>
      <c r="N1597" s="4"/>
    </row>
    <row r="1598" spans="9:14" x14ac:dyDescent="0.3">
      <c r="I1598" s="7"/>
      <c r="J1598" s="9"/>
      <c r="K1598" s="9"/>
      <c r="L1598" s="9"/>
      <c r="M1598" s="9"/>
      <c r="N1598" s="4"/>
    </row>
    <row r="1599" spans="9:14" x14ac:dyDescent="0.3">
      <c r="I1599" s="7"/>
      <c r="J1599" s="9"/>
      <c r="K1599" s="9"/>
      <c r="L1599" s="9"/>
      <c r="M1599" s="9"/>
      <c r="N1599" s="4"/>
    </row>
    <row r="1600" spans="9:14" x14ac:dyDescent="0.3">
      <c r="I1600" s="7"/>
      <c r="J1600" s="9"/>
      <c r="K1600" s="9"/>
      <c r="L1600" s="9"/>
      <c r="M1600" s="9"/>
      <c r="N1600" s="4"/>
    </row>
    <row r="1601" spans="9:14" x14ac:dyDescent="0.3">
      <c r="I1601" s="7"/>
      <c r="J1601" s="9"/>
      <c r="K1601" s="9"/>
      <c r="L1601" s="9"/>
      <c r="M1601" s="9"/>
      <c r="N1601" s="4"/>
    </row>
    <row r="1602" spans="9:14" x14ac:dyDescent="0.3">
      <c r="I1602" s="7"/>
      <c r="J1602" s="9"/>
      <c r="K1602" s="9"/>
      <c r="L1602" s="9"/>
      <c r="M1602" s="9"/>
      <c r="N1602" s="4"/>
    </row>
    <row r="1603" spans="9:14" x14ac:dyDescent="0.3">
      <c r="I1603" s="7"/>
      <c r="J1603" s="9"/>
      <c r="K1603" s="9"/>
      <c r="L1603" s="9"/>
      <c r="M1603" s="9"/>
      <c r="N1603" s="4"/>
    </row>
    <row r="1604" spans="9:14" x14ac:dyDescent="0.3">
      <c r="I1604" s="7"/>
      <c r="J1604" s="9"/>
      <c r="K1604" s="9"/>
      <c r="L1604" s="9"/>
      <c r="M1604" s="9"/>
      <c r="N1604" s="4"/>
    </row>
    <row r="1605" spans="9:14" x14ac:dyDescent="0.3">
      <c r="I1605" s="7"/>
      <c r="J1605" s="9"/>
      <c r="K1605" s="9"/>
      <c r="L1605" s="9"/>
      <c r="M1605" s="9"/>
      <c r="N1605" s="4"/>
    </row>
    <row r="1606" spans="9:14" x14ac:dyDescent="0.3">
      <c r="I1606" s="7"/>
      <c r="J1606" s="9"/>
      <c r="K1606" s="9"/>
      <c r="L1606" s="9"/>
      <c r="M1606" s="9"/>
      <c r="N1606" s="4"/>
    </row>
    <row r="1607" spans="9:14" x14ac:dyDescent="0.3">
      <c r="I1607" s="7"/>
      <c r="J1607" s="9"/>
      <c r="K1607" s="9"/>
      <c r="L1607" s="9"/>
      <c r="M1607" s="9"/>
      <c r="N1607" s="4"/>
    </row>
    <row r="1608" spans="9:14" x14ac:dyDescent="0.3">
      <c r="I1608" s="7"/>
      <c r="J1608" s="9"/>
      <c r="K1608" s="9"/>
      <c r="L1608" s="9"/>
      <c r="M1608" s="9"/>
      <c r="N1608" s="4"/>
    </row>
    <row r="1609" spans="9:14" x14ac:dyDescent="0.3">
      <c r="I1609" s="7"/>
      <c r="J1609" s="9"/>
      <c r="K1609" s="9"/>
      <c r="L1609" s="9"/>
      <c r="M1609" s="9"/>
      <c r="N1609" s="4"/>
    </row>
    <row r="1610" spans="9:14" x14ac:dyDescent="0.3">
      <c r="I1610" s="7"/>
      <c r="J1610" s="9"/>
      <c r="K1610" s="9"/>
      <c r="L1610" s="9"/>
      <c r="M1610" s="9"/>
      <c r="N1610" s="4"/>
    </row>
    <row r="1611" spans="9:14" x14ac:dyDescent="0.3">
      <c r="I1611" s="7"/>
      <c r="J1611" s="9"/>
      <c r="K1611" s="9"/>
      <c r="L1611" s="9"/>
      <c r="M1611" s="9"/>
      <c r="N1611" s="4"/>
    </row>
    <row r="1612" spans="9:14" x14ac:dyDescent="0.3">
      <c r="I1612" s="7"/>
      <c r="J1612" s="9"/>
      <c r="K1612" s="9"/>
      <c r="L1612" s="9"/>
      <c r="M1612" s="9"/>
      <c r="N1612" s="4"/>
    </row>
    <row r="1613" spans="9:14" x14ac:dyDescent="0.3">
      <c r="I1613" s="7"/>
      <c r="J1613" s="9"/>
      <c r="K1613" s="9"/>
      <c r="L1613" s="9"/>
      <c r="M1613" s="9"/>
      <c r="N1613" s="4"/>
    </row>
    <row r="1614" spans="9:14" x14ac:dyDescent="0.3">
      <c r="I1614" s="7"/>
      <c r="J1614" s="9"/>
      <c r="K1614" s="9"/>
      <c r="L1614" s="9"/>
      <c r="M1614" s="9"/>
      <c r="N1614" s="4"/>
    </row>
    <row r="1615" spans="9:14" x14ac:dyDescent="0.3">
      <c r="I1615" s="7"/>
      <c r="J1615" s="9"/>
      <c r="K1615" s="9"/>
      <c r="L1615" s="9"/>
      <c r="M1615" s="9"/>
      <c r="N1615" s="4"/>
    </row>
    <row r="1616" spans="9:14" x14ac:dyDescent="0.3">
      <c r="I1616" s="7"/>
      <c r="J1616" s="9"/>
      <c r="K1616" s="9"/>
      <c r="L1616" s="9"/>
      <c r="M1616" s="9"/>
      <c r="N1616" s="4"/>
    </row>
    <row r="1617" spans="9:14" x14ac:dyDescent="0.3">
      <c r="I1617" s="7"/>
      <c r="J1617" s="9"/>
      <c r="K1617" s="9"/>
      <c r="L1617" s="9"/>
      <c r="M1617" s="9"/>
      <c r="N1617" s="4"/>
    </row>
    <row r="1618" spans="9:14" x14ac:dyDescent="0.3">
      <c r="I1618" s="7"/>
      <c r="J1618" s="9"/>
      <c r="K1618" s="9"/>
      <c r="L1618" s="9"/>
      <c r="M1618" s="9"/>
      <c r="N1618" s="4"/>
    </row>
    <row r="1619" spans="9:14" x14ac:dyDescent="0.3">
      <c r="I1619" s="7"/>
      <c r="J1619" s="9"/>
      <c r="K1619" s="9"/>
      <c r="L1619" s="9"/>
      <c r="M1619" s="9"/>
      <c r="N1619" s="4"/>
    </row>
    <row r="1620" spans="9:14" x14ac:dyDescent="0.3">
      <c r="I1620" s="7"/>
      <c r="J1620" s="9"/>
      <c r="K1620" s="9"/>
      <c r="L1620" s="9"/>
      <c r="M1620" s="9"/>
      <c r="N1620" s="4"/>
    </row>
    <row r="1621" spans="9:14" x14ac:dyDescent="0.3">
      <c r="I1621" s="7"/>
      <c r="J1621" s="9"/>
      <c r="K1621" s="9"/>
      <c r="L1621" s="9"/>
      <c r="M1621" s="9"/>
      <c r="N1621" s="4"/>
    </row>
    <row r="1622" spans="9:14" x14ac:dyDescent="0.3">
      <c r="I1622" s="7"/>
      <c r="J1622" s="9"/>
      <c r="K1622" s="9"/>
      <c r="L1622" s="9"/>
      <c r="M1622" s="9"/>
      <c r="N1622" s="4"/>
    </row>
    <row r="1623" spans="9:14" x14ac:dyDescent="0.3">
      <c r="I1623" s="7"/>
      <c r="J1623" s="9"/>
      <c r="K1623" s="9"/>
      <c r="L1623" s="9"/>
      <c r="M1623" s="9"/>
      <c r="N1623" s="4"/>
    </row>
    <row r="1624" spans="9:14" x14ac:dyDescent="0.3">
      <c r="I1624" s="7"/>
      <c r="J1624" s="9"/>
      <c r="K1624" s="9"/>
      <c r="L1624" s="9"/>
      <c r="M1624" s="9"/>
      <c r="N1624" s="4"/>
    </row>
    <row r="1625" spans="9:14" x14ac:dyDescent="0.3">
      <c r="I1625" s="7"/>
      <c r="J1625" s="9"/>
      <c r="K1625" s="9"/>
      <c r="L1625" s="9"/>
      <c r="M1625" s="9"/>
      <c r="N1625" s="4"/>
    </row>
    <row r="1626" spans="9:14" x14ac:dyDescent="0.3">
      <c r="I1626" s="7"/>
      <c r="J1626" s="9"/>
      <c r="K1626" s="9"/>
      <c r="L1626" s="9"/>
      <c r="M1626" s="9"/>
      <c r="N1626" s="4"/>
    </row>
    <row r="1627" spans="9:14" x14ac:dyDescent="0.3">
      <c r="I1627" s="7"/>
      <c r="J1627" s="9"/>
      <c r="K1627" s="9"/>
      <c r="L1627" s="9"/>
      <c r="M1627" s="9"/>
      <c r="N1627" s="4"/>
    </row>
    <row r="1628" spans="9:14" x14ac:dyDescent="0.3">
      <c r="I1628" s="7"/>
      <c r="J1628" s="9"/>
      <c r="K1628" s="9"/>
      <c r="L1628" s="9"/>
      <c r="M1628" s="9"/>
      <c r="N1628" s="4"/>
    </row>
    <row r="1629" spans="9:14" x14ac:dyDescent="0.3">
      <c r="I1629" s="7"/>
      <c r="J1629" s="9"/>
      <c r="K1629" s="9"/>
      <c r="L1629" s="9"/>
      <c r="M1629" s="9"/>
      <c r="N1629" s="4"/>
    </row>
    <row r="1630" spans="9:14" x14ac:dyDescent="0.3">
      <c r="I1630" s="7"/>
      <c r="J1630" s="9"/>
      <c r="K1630" s="9"/>
      <c r="L1630" s="9"/>
      <c r="M1630" s="9"/>
      <c r="N1630" s="4"/>
    </row>
    <row r="1631" spans="9:14" x14ac:dyDescent="0.3">
      <c r="I1631" s="7"/>
      <c r="J1631" s="9"/>
      <c r="K1631" s="9"/>
      <c r="L1631" s="9"/>
      <c r="M1631" s="9"/>
      <c r="N1631" s="4"/>
    </row>
    <row r="1632" spans="9:14" x14ac:dyDescent="0.3">
      <c r="I1632" s="7"/>
      <c r="J1632" s="9"/>
      <c r="K1632" s="9"/>
      <c r="L1632" s="9"/>
      <c r="M1632" s="9"/>
      <c r="N1632" s="4"/>
    </row>
    <row r="1633" spans="9:14" x14ac:dyDescent="0.3">
      <c r="I1633" s="7"/>
      <c r="J1633" s="9"/>
      <c r="K1633" s="9"/>
      <c r="L1633" s="9"/>
      <c r="M1633" s="9"/>
      <c r="N1633" s="4"/>
    </row>
    <row r="1634" spans="9:14" x14ac:dyDescent="0.3">
      <c r="I1634" s="7"/>
      <c r="J1634" s="9"/>
      <c r="K1634" s="9"/>
      <c r="L1634" s="9"/>
      <c r="M1634" s="9"/>
      <c r="N1634" s="4"/>
    </row>
    <row r="1635" spans="9:14" x14ac:dyDescent="0.3">
      <c r="I1635" s="7"/>
      <c r="J1635" s="9"/>
      <c r="K1635" s="9"/>
      <c r="L1635" s="9"/>
      <c r="M1635" s="9"/>
      <c r="N1635" s="4"/>
    </row>
    <row r="1636" spans="9:14" x14ac:dyDescent="0.3">
      <c r="I1636" s="7"/>
      <c r="J1636" s="9"/>
      <c r="K1636" s="9"/>
      <c r="L1636" s="9"/>
      <c r="M1636" s="9"/>
      <c r="N1636" s="4"/>
    </row>
    <row r="1637" spans="9:14" x14ac:dyDescent="0.3">
      <c r="I1637" s="7"/>
      <c r="J1637" s="9"/>
      <c r="K1637" s="9"/>
      <c r="L1637" s="9"/>
      <c r="M1637" s="9"/>
      <c r="N1637" s="4"/>
    </row>
    <row r="1638" spans="9:14" x14ac:dyDescent="0.3">
      <c r="I1638" s="7"/>
      <c r="J1638" s="9"/>
      <c r="K1638" s="9"/>
      <c r="L1638" s="9"/>
      <c r="M1638" s="9"/>
      <c r="N1638" s="4"/>
    </row>
    <row r="1639" spans="9:14" x14ac:dyDescent="0.3">
      <c r="I1639" s="7"/>
      <c r="J1639" s="9"/>
      <c r="K1639" s="9"/>
      <c r="L1639" s="9"/>
      <c r="M1639" s="9"/>
      <c r="N1639" s="4"/>
    </row>
    <row r="1640" spans="9:14" x14ac:dyDescent="0.3">
      <c r="I1640" s="7"/>
      <c r="J1640" s="9"/>
      <c r="K1640" s="9"/>
      <c r="L1640" s="9"/>
      <c r="M1640" s="9"/>
      <c r="N1640" s="4"/>
    </row>
    <row r="1641" spans="9:14" x14ac:dyDescent="0.3">
      <c r="I1641" s="7"/>
      <c r="J1641" s="9"/>
      <c r="K1641" s="9"/>
      <c r="L1641" s="9"/>
      <c r="M1641" s="9"/>
      <c r="N1641" s="4"/>
    </row>
    <row r="1642" spans="9:14" x14ac:dyDescent="0.3">
      <c r="I1642" s="7"/>
      <c r="J1642" s="9"/>
      <c r="K1642" s="9"/>
      <c r="L1642" s="9"/>
      <c r="M1642" s="9"/>
      <c r="N1642" s="4"/>
    </row>
    <row r="1643" spans="9:14" x14ac:dyDescent="0.3">
      <c r="I1643" s="7"/>
      <c r="J1643" s="9"/>
      <c r="K1643" s="9"/>
      <c r="L1643" s="9"/>
      <c r="M1643" s="9"/>
      <c r="N1643" s="4"/>
    </row>
    <row r="1644" spans="9:14" x14ac:dyDescent="0.3">
      <c r="I1644" s="7"/>
      <c r="J1644" s="9"/>
      <c r="K1644" s="9"/>
      <c r="L1644" s="9"/>
      <c r="M1644" s="9"/>
      <c r="N1644" s="4"/>
    </row>
    <row r="1645" spans="9:14" x14ac:dyDescent="0.3">
      <c r="I1645" s="7"/>
      <c r="J1645" s="9"/>
      <c r="K1645" s="9"/>
      <c r="L1645" s="9"/>
      <c r="M1645" s="9"/>
      <c r="N1645" s="4"/>
    </row>
    <row r="1646" spans="9:14" x14ac:dyDescent="0.3">
      <c r="I1646" s="7"/>
      <c r="J1646" s="9"/>
      <c r="K1646" s="9"/>
      <c r="L1646" s="9"/>
      <c r="M1646" s="9"/>
      <c r="N1646" s="4"/>
    </row>
    <row r="1647" spans="9:14" x14ac:dyDescent="0.3">
      <c r="I1647" s="7"/>
      <c r="J1647" s="9"/>
      <c r="K1647" s="9"/>
      <c r="L1647" s="9"/>
      <c r="M1647" s="9"/>
      <c r="N1647" s="4"/>
    </row>
    <row r="1648" spans="9:14" x14ac:dyDescent="0.3">
      <c r="I1648" s="7"/>
      <c r="J1648" s="9"/>
      <c r="K1648" s="9"/>
      <c r="L1648" s="9"/>
      <c r="M1648" s="9"/>
      <c r="N1648" s="4"/>
    </row>
    <row r="1649" spans="9:14" x14ac:dyDescent="0.3">
      <c r="I1649" s="7"/>
      <c r="J1649" s="9"/>
      <c r="K1649" s="9"/>
      <c r="L1649" s="9"/>
      <c r="M1649" s="9"/>
      <c r="N1649" s="4"/>
    </row>
    <row r="1650" spans="9:14" x14ac:dyDescent="0.3">
      <c r="I1650" s="7"/>
      <c r="J1650" s="9"/>
      <c r="K1650" s="9"/>
      <c r="L1650" s="9"/>
      <c r="M1650" s="9"/>
      <c r="N1650" s="4"/>
    </row>
    <row r="1651" spans="9:14" x14ac:dyDescent="0.3">
      <c r="I1651" s="7"/>
      <c r="J1651" s="9"/>
      <c r="K1651" s="9"/>
      <c r="L1651" s="9"/>
      <c r="M1651" s="9"/>
      <c r="N1651" s="4"/>
    </row>
    <row r="1652" spans="9:14" x14ac:dyDescent="0.3">
      <c r="I1652" s="7"/>
      <c r="J1652" s="9"/>
      <c r="K1652" s="9"/>
      <c r="L1652" s="9"/>
      <c r="M1652" s="9"/>
      <c r="N1652" s="4"/>
    </row>
    <row r="1653" spans="9:14" x14ac:dyDescent="0.3">
      <c r="I1653" s="7"/>
      <c r="J1653" s="9"/>
      <c r="K1653" s="9"/>
      <c r="L1653" s="9"/>
      <c r="M1653" s="9"/>
      <c r="N1653" s="4"/>
    </row>
    <row r="1654" spans="9:14" x14ac:dyDescent="0.3">
      <c r="I1654" s="7"/>
      <c r="J1654" s="9"/>
      <c r="K1654" s="9"/>
      <c r="L1654" s="9"/>
      <c r="M1654" s="9"/>
      <c r="N1654" s="4"/>
    </row>
    <row r="1655" spans="9:14" x14ac:dyDescent="0.3">
      <c r="I1655" s="7"/>
      <c r="J1655" s="9"/>
      <c r="K1655" s="9"/>
      <c r="L1655" s="9"/>
      <c r="M1655" s="9"/>
      <c r="N1655" s="4"/>
    </row>
    <row r="1656" spans="9:14" x14ac:dyDescent="0.3">
      <c r="I1656" s="7"/>
      <c r="J1656" s="9"/>
      <c r="K1656" s="9"/>
      <c r="L1656" s="9"/>
      <c r="M1656" s="9"/>
      <c r="N1656" s="4"/>
    </row>
    <row r="1657" spans="9:14" x14ac:dyDescent="0.3">
      <c r="I1657" s="7"/>
      <c r="J1657" s="9"/>
      <c r="K1657" s="9"/>
      <c r="L1657" s="9"/>
      <c r="M1657" s="9"/>
      <c r="N1657" s="4"/>
    </row>
    <row r="1658" spans="9:14" x14ac:dyDescent="0.3">
      <c r="I1658" s="7"/>
      <c r="J1658" s="9"/>
      <c r="K1658" s="9"/>
      <c r="L1658" s="9"/>
      <c r="M1658" s="9"/>
      <c r="N1658" s="4"/>
    </row>
    <row r="1659" spans="9:14" x14ac:dyDescent="0.3">
      <c r="I1659" s="7"/>
      <c r="J1659" s="9"/>
      <c r="K1659" s="9"/>
      <c r="L1659" s="9"/>
      <c r="M1659" s="9"/>
      <c r="N1659" s="4"/>
    </row>
    <row r="1660" spans="9:14" x14ac:dyDescent="0.3">
      <c r="I1660" s="7"/>
      <c r="J1660" s="9"/>
      <c r="K1660" s="9"/>
      <c r="L1660" s="9"/>
      <c r="M1660" s="9"/>
      <c r="N1660" s="4"/>
    </row>
    <row r="1661" spans="9:14" x14ac:dyDescent="0.3">
      <c r="I1661" s="7"/>
      <c r="J1661" s="9"/>
      <c r="K1661" s="9"/>
      <c r="L1661" s="9"/>
      <c r="M1661" s="9"/>
      <c r="N1661" s="4"/>
    </row>
    <row r="1662" spans="9:14" x14ac:dyDescent="0.3">
      <c r="I1662" s="7"/>
      <c r="J1662" s="9"/>
      <c r="K1662" s="9"/>
      <c r="L1662" s="9"/>
      <c r="M1662" s="9"/>
      <c r="N1662" s="4"/>
    </row>
    <row r="1663" spans="9:14" x14ac:dyDescent="0.3">
      <c r="I1663" s="7"/>
      <c r="J1663" s="9"/>
      <c r="K1663" s="9"/>
      <c r="L1663" s="9"/>
      <c r="M1663" s="9"/>
      <c r="N1663" s="4"/>
    </row>
    <row r="1664" spans="9:14" x14ac:dyDescent="0.3">
      <c r="I1664" s="7"/>
      <c r="J1664" s="9"/>
      <c r="K1664" s="9"/>
      <c r="L1664" s="9"/>
      <c r="M1664" s="9"/>
      <c r="N1664" s="4"/>
    </row>
    <row r="1665" spans="9:14" x14ac:dyDescent="0.3">
      <c r="I1665" s="7"/>
      <c r="J1665" s="9"/>
      <c r="K1665" s="9"/>
      <c r="L1665" s="9"/>
      <c r="M1665" s="9"/>
      <c r="N1665" s="4"/>
    </row>
    <row r="1666" spans="9:14" x14ac:dyDescent="0.3">
      <c r="I1666" s="7"/>
      <c r="J1666" s="9"/>
      <c r="K1666" s="9"/>
      <c r="L1666" s="9"/>
      <c r="M1666" s="9"/>
      <c r="N1666" s="4"/>
    </row>
    <row r="1667" spans="9:14" x14ac:dyDescent="0.3">
      <c r="I1667" s="7"/>
      <c r="J1667" s="9"/>
      <c r="K1667" s="9"/>
      <c r="L1667" s="9"/>
      <c r="M1667" s="9"/>
      <c r="N1667" s="4"/>
    </row>
    <row r="1668" spans="9:14" x14ac:dyDescent="0.3">
      <c r="I1668" s="7"/>
      <c r="J1668" s="9"/>
      <c r="K1668" s="9"/>
      <c r="L1668" s="9"/>
      <c r="M1668" s="9"/>
      <c r="N1668" s="4"/>
    </row>
    <row r="1669" spans="9:14" x14ac:dyDescent="0.3">
      <c r="I1669" s="7"/>
      <c r="J1669" s="9"/>
      <c r="K1669" s="9"/>
      <c r="L1669" s="9"/>
      <c r="M1669" s="9"/>
      <c r="N1669" s="4"/>
    </row>
    <row r="1670" spans="9:14" x14ac:dyDescent="0.3">
      <c r="I1670" s="7"/>
      <c r="J1670" s="9"/>
      <c r="K1670" s="9"/>
      <c r="L1670" s="9"/>
      <c r="M1670" s="9"/>
      <c r="N1670" s="4"/>
    </row>
    <row r="1671" spans="9:14" x14ac:dyDescent="0.3">
      <c r="I1671" s="7"/>
      <c r="J1671" s="9"/>
      <c r="K1671" s="9"/>
      <c r="L1671" s="9"/>
      <c r="M1671" s="9"/>
      <c r="N1671" s="4"/>
    </row>
    <row r="1672" spans="9:14" x14ac:dyDescent="0.3">
      <c r="I1672" s="7"/>
      <c r="J1672" s="9"/>
      <c r="K1672" s="9"/>
      <c r="L1672" s="9"/>
      <c r="M1672" s="9"/>
      <c r="N1672" s="4"/>
    </row>
    <row r="1673" spans="9:14" x14ac:dyDescent="0.3">
      <c r="I1673" s="7"/>
      <c r="J1673" s="9"/>
      <c r="K1673" s="9"/>
      <c r="L1673" s="9"/>
      <c r="M1673" s="9"/>
      <c r="N1673" s="4"/>
    </row>
    <row r="1674" spans="9:14" x14ac:dyDescent="0.3">
      <c r="I1674" s="7"/>
      <c r="J1674" s="9"/>
      <c r="K1674" s="9"/>
      <c r="L1674" s="9"/>
      <c r="M1674" s="9"/>
      <c r="N1674" s="4"/>
    </row>
    <row r="1675" spans="9:14" x14ac:dyDescent="0.3">
      <c r="I1675" s="7"/>
      <c r="J1675" s="9"/>
      <c r="K1675" s="9"/>
      <c r="L1675" s="9"/>
      <c r="M1675" s="9"/>
      <c r="N1675" s="4"/>
    </row>
    <row r="1676" spans="9:14" x14ac:dyDescent="0.3">
      <c r="I1676" s="7"/>
      <c r="J1676" s="9"/>
      <c r="K1676" s="9"/>
      <c r="L1676" s="9"/>
      <c r="M1676" s="9"/>
      <c r="N1676" s="4"/>
    </row>
    <row r="1677" spans="9:14" x14ac:dyDescent="0.3">
      <c r="I1677" s="7"/>
      <c r="J1677" s="9"/>
      <c r="K1677" s="9"/>
      <c r="L1677" s="9"/>
      <c r="M1677" s="9"/>
      <c r="N1677" s="4"/>
    </row>
    <row r="1678" spans="9:14" x14ac:dyDescent="0.3">
      <c r="I1678" s="7"/>
      <c r="J1678" s="9"/>
      <c r="K1678" s="9"/>
      <c r="L1678" s="9"/>
      <c r="M1678" s="9"/>
      <c r="N1678" s="4"/>
    </row>
    <row r="1679" spans="9:14" x14ac:dyDescent="0.3">
      <c r="I1679" s="7"/>
      <c r="J1679" s="9"/>
      <c r="K1679" s="9"/>
      <c r="L1679" s="9"/>
      <c r="M1679" s="9"/>
      <c r="N1679" s="4"/>
    </row>
    <row r="1680" spans="9:14" x14ac:dyDescent="0.3">
      <c r="I1680" s="7"/>
      <c r="J1680" s="9"/>
      <c r="K1680" s="9"/>
      <c r="L1680" s="9"/>
      <c r="M1680" s="9"/>
      <c r="N1680" s="4"/>
    </row>
    <row r="1681" spans="9:14" x14ac:dyDescent="0.3">
      <c r="I1681" s="7"/>
      <c r="J1681" s="9"/>
      <c r="K1681" s="9"/>
      <c r="L1681" s="9"/>
      <c r="M1681" s="9"/>
      <c r="N1681" s="4"/>
    </row>
    <row r="1682" spans="9:14" x14ac:dyDescent="0.3">
      <c r="I1682" s="7"/>
      <c r="J1682" s="9"/>
      <c r="K1682" s="9"/>
      <c r="L1682" s="9"/>
      <c r="M1682" s="9"/>
      <c r="N1682" s="4"/>
    </row>
    <row r="1683" spans="9:14" x14ac:dyDescent="0.3">
      <c r="I1683" s="7"/>
      <c r="J1683" s="9"/>
      <c r="K1683" s="9"/>
      <c r="L1683" s="9"/>
      <c r="M1683" s="9"/>
      <c r="N1683" s="4"/>
    </row>
    <row r="1684" spans="9:14" x14ac:dyDescent="0.3">
      <c r="I1684" s="7"/>
      <c r="J1684" s="9"/>
      <c r="K1684" s="9"/>
      <c r="L1684" s="9"/>
      <c r="M1684" s="9"/>
      <c r="N1684" s="4"/>
    </row>
    <row r="1685" spans="9:14" x14ac:dyDescent="0.3">
      <c r="I1685" s="7"/>
      <c r="J1685" s="9"/>
      <c r="K1685" s="9"/>
      <c r="L1685" s="9"/>
      <c r="M1685" s="9"/>
      <c r="N1685" s="4"/>
    </row>
    <row r="1686" spans="9:14" x14ac:dyDescent="0.3">
      <c r="I1686" s="7"/>
      <c r="J1686" s="9"/>
      <c r="K1686" s="9"/>
      <c r="L1686" s="9"/>
      <c r="M1686" s="9"/>
      <c r="N1686" s="4"/>
    </row>
    <row r="1687" spans="9:14" x14ac:dyDescent="0.3">
      <c r="I1687" s="7"/>
      <c r="J1687" s="9"/>
      <c r="K1687" s="9"/>
      <c r="L1687" s="9"/>
      <c r="M1687" s="9"/>
      <c r="N1687" s="4"/>
    </row>
    <row r="1688" spans="9:14" x14ac:dyDescent="0.3">
      <c r="I1688" s="7"/>
      <c r="J1688" s="9"/>
      <c r="K1688" s="9"/>
      <c r="L1688" s="9"/>
      <c r="M1688" s="9"/>
      <c r="N1688" s="4"/>
    </row>
    <row r="1689" spans="9:14" x14ac:dyDescent="0.3">
      <c r="I1689" s="7"/>
      <c r="J1689" s="9"/>
      <c r="K1689" s="9"/>
      <c r="L1689" s="9"/>
      <c r="M1689" s="9"/>
      <c r="N1689" s="4"/>
    </row>
    <row r="1690" spans="9:14" x14ac:dyDescent="0.3">
      <c r="I1690" s="7"/>
      <c r="J1690" s="9"/>
      <c r="K1690" s="9"/>
      <c r="L1690" s="9"/>
      <c r="M1690" s="9"/>
      <c r="N1690" s="4"/>
    </row>
    <row r="1691" spans="9:14" x14ac:dyDescent="0.3">
      <c r="I1691" s="7"/>
      <c r="J1691" s="9"/>
      <c r="K1691" s="9"/>
      <c r="L1691" s="9"/>
      <c r="M1691" s="9"/>
      <c r="N1691" s="4"/>
    </row>
    <row r="1692" spans="9:14" x14ac:dyDescent="0.3">
      <c r="I1692" s="7"/>
      <c r="J1692" s="9"/>
      <c r="K1692" s="9"/>
      <c r="L1692" s="9"/>
      <c r="M1692" s="9"/>
      <c r="N1692" s="4"/>
    </row>
    <row r="1693" spans="9:14" x14ac:dyDescent="0.3">
      <c r="I1693" s="7"/>
      <c r="J1693" s="9"/>
      <c r="K1693" s="9"/>
      <c r="L1693" s="9"/>
      <c r="M1693" s="9"/>
      <c r="N1693" s="4"/>
    </row>
    <row r="1694" spans="9:14" x14ac:dyDescent="0.3">
      <c r="I1694" s="7"/>
      <c r="J1694" s="9"/>
      <c r="K1694" s="9"/>
      <c r="L1694" s="9"/>
      <c r="M1694" s="9"/>
      <c r="N1694" s="4"/>
    </row>
    <row r="1695" spans="9:14" x14ac:dyDescent="0.3">
      <c r="I1695" s="7"/>
      <c r="J1695" s="9"/>
      <c r="K1695" s="9"/>
      <c r="L1695" s="9"/>
      <c r="M1695" s="9"/>
      <c r="N1695" s="4"/>
    </row>
    <row r="1696" spans="9:14" x14ac:dyDescent="0.3">
      <c r="I1696" s="7"/>
      <c r="J1696" s="9"/>
      <c r="K1696" s="9"/>
      <c r="L1696" s="9"/>
      <c r="M1696" s="9"/>
      <c r="N1696" s="4"/>
    </row>
    <row r="1697" spans="9:14" x14ac:dyDescent="0.3">
      <c r="I1697" s="7"/>
      <c r="J1697" s="9"/>
      <c r="K1697" s="9"/>
      <c r="L1697" s="9"/>
      <c r="M1697" s="9"/>
      <c r="N1697" s="4"/>
    </row>
    <row r="1698" spans="9:14" x14ac:dyDescent="0.3">
      <c r="I1698" s="7"/>
      <c r="J1698" s="9"/>
      <c r="K1698" s="9"/>
      <c r="L1698" s="9"/>
      <c r="M1698" s="9"/>
      <c r="N1698" s="4"/>
    </row>
    <row r="1699" spans="9:14" x14ac:dyDescent="0.3">
      <c r="I1699" s="7"/>
      <c r="J1699" s="9"/>
      <c r="K1699" s="9"/>
      <c r="L1699" s="9"/>
      <c r="M1699" s="9"/>
      <c r="N1699" s="4"/>
    </row>
    <row r="1700" spans="9:14" x14ac:dyDescent="0.3">
      <c r="I1700" s="7"/>
      <c r="J1700" s="9"/>
      <c r="K1700" s="9"/>
      <c r="L1700" s="9"/>
      <c r="M1700" s="9"/>
      <c r="N1700" s="4"/>
    </row>
    <row r="1701" spans="9:14" x14ac:dyDescent="0.3">
      <c r="I1701" s="7"/>
      <c r="J1701" s="9"/>
      <c r="K1701" s="9"/>
      <c r="L1701" s="9"/>
      <c r="M1701" s="9"/>
      <c r="N1701" s="4"/>
    </row>
    <row r="1702" spans="9:14" x14ac:dyDescent="0.3">
      <c r="I1702" s="7"/>
      <c r="J1702" s="9"/>
      <c r="K1702" s="9"/>
      <c r="L1702" s="9"/>
      <c r="M1702" s="9"/>
      <c r="N1702" s="4"/>
    </row>
    <row r="1703" spans="9:14" x14ac:dyDescent="0.3">
      <c r="I1703" s="7"/>
      <c r="J1703" s="9"/>
      <c r="K1703" s="9"/>
      <c r="L1703" s="9"/>
      <c r="M1703" s="9"/>
      <c r="N1703" s="4"/>
    </row>
    <row r="1704" spans="9:14" x14ac:dyDescent="0.3">
      <c r="I1704" s="7"/>
      <c r="J1704" s="9"/>
      <c r="K1704" s="9"/>
      <c r="L1704" s="9"/>
      <c r="M1704" s="9"/>
      <c r="N1704" s="4"/>
    </row>
    <row r="1705" spans="9:14" x14ac:dyDescent="0.3">
      <c r="I1705" s="7"/>
      <c r="J1705" s="9"/>
      <c r="K1705" s="9"/>
      <c r="L1705" s="9"/>
      <c r="M1705" s="9"/>
      <c r="N1705" s="4"/>
    </row>
    <row r="1706" spans="9:14" x14ac:dyDescent="0.3">
      <c r="I1706" s="7"/>
      <c r="J1706" s="9"/>
      <c r="K1706" s="9"/>
      <c r="L1706" s="9"/>
      <c r="M1706" s="9"/>
      <c r="N1706" s="4"/>
    </row>
    <row r="1707" spans="9:14" x14ac:dyDescent="0.3">
      <c r="I1707" s="7"/>
      <c r="J1707" s="9"/>
      <c r="K1707" s="9"/>
      <c r="L1707" s="9"/>
      <c r="M1707" s="9"/>
      <c r="N1707" s="4"/>
    </row>
    <row r="1708" spans="9:14" x14ac:dyDescent="0.3">
      <c r="I1708" s="7"/>
      <c r="J1708" s="9"/>
      <c r="K1708" s="9"/>
      <c r="L1708" s="9"/>
      <c r="M1708" s="9"/>
      <c r="N1708" s="4"/>
    </row>
    <row r="1709" spans="9:14" x14ac:dyDescent="0.3">
      <c r="I1709" s="7"/>
      <c r="J1709" s="9"/>
      <c r="K1709" s="9"/>
      <c r="L1709" s="9"/>
      <c r="M1709" s="9"/>
      <c r="N1709" s="4"/>
    </row>
    <row r="1710" spans="9:14" x14ac:dyDescent="0.3">
      <c r="I1710" s="7"/>
      <c r="J1710" s="9"/>
      <c r="K1710" s="9"/>
      <c r="L1710" s="9"/>
      <c r="M1710" s="9"/>
      <c r="N1710" s="4"/>
    </row>
    <row r="1711" spans="9:14" x14ac:dyDescent="0.3">
      <c r="I1711" s="7"/>
      <c r="J1711" s="9"/>
      <c r="K1711" s="9"/>
      <c r="L1711" s="9"/>
      <c r="M1711" s="9"/>
      <c r="N1711" s="4"/>
    </row>
    <row r="1712" spans="9:14" x14ac:dyDescent="0.3">
      <c r="I1712" s="7"/>
      <c r="J1712" s="9"/>
      <c r="K1712" s="9"/>
      <c r="L1712" s="9"/>
      <c r="M1712" s="9"/>
      <c r="N1712" s="4"/>
    </row>
    <row r="1713" spans="9:14" x14ac:dyDescent="0.3">
      <c r="I1713" s="7"/>
      <c r="J1713" s="9"/>
      <c r="K1713" s="9"/>
      <c r="L1713" s="9"/>
      <c r="M1713" s="9"/>
      <c r="N1713" s="4"/>
    </row>
    <row r="1714" spans="9:14" x14ac:dyDescent="0.3">
      <c r="I1714" s="7"/>
      <c r="J1714" s="9"/>
      <c r="K1714" s="9"/>
      <c r="L1714" s="9"/>
      <c r="M1714" s="9"/>
      <c r="N1714" s="4"/>
    </row>
    <row r="1715" spans="9:14" x14ac:dyDescent="0.3">
      <c r="I1715" s="7"/>
      <c r="J1715" s="9"/>
      <c r="K1715" s="9"/>
      <c r="L1715" s="9"/>
      <c r="M1715" s="9"/>
      <c r="N1715" s="4"/>
    </row>
    <row r="1716" spans="9:14" x14ac:dyDescent="0.3">
      <c r="I1716" s="7"/>
      <c r="J1716" s="9"/>
      <c r="K1716" s="9"/>
      <c r="L1716" s="9"/>
      <c r="M1716" s="9"/>
      <c r="N1716" s="4"/>
    </row>
    <row r="1717" spans="9:14" x14ac:dyDescent="0.3">
      <c r="I1717" s="7"/>
      <c r="J1717" s="9"/>
      <c r="K1717" s="9"/>
      <c r="L1717" s="9"/>
      <c r="M1717" s="9"/>
      <c r="N1717" s="4"/>
    </row>
    <row r="1718" spans="9:14" x14ac:dyDescent="0.3">
      <c r="I1718" s="7"/>
      <c r="J1718" s="9"/>
      <c r="K1718" s="9"/>
      <c r="L1718" s="9"/>
      <c r="M1718" s="9"/>
      <c r="N1718" s="4"/>
    </row>
    <row r="1719" spans="9:14" x14ac:dyDescent="0.3">
      <c r="I1719" s="7"/>
      <c r="J1719" s="9"/>
      <c r="K1719" s="9"/>
      <c r="L1719" s="9"/>
      <c r="M1719" s="9"/>
      <c r="N1719" s="4"/>
    </row>
    <row r="1720" spans="9:14" x14ac:dyDescent="0.3">
      <c r="I1720" s="7"/>
      <c r="J1720" s="9"/>
      <c r="K1720" s="9"/>
      <c r="L1720" s="9"/>
      <c r="M1720" s="9"/>
      <c r="N1720" s="4"/>
    </row>
    <row r="1721" spans="9:14" x14ac:dyDescent="0.3">
      <c r="I1721" s="7"/>
      <c r="J1721" s="9"/>
      <c r="K1721" s="9"/>
      <c r="L1721" s="9"/>
      <c r="M1721" s="9"/>
      <c r="N1721" s="4"/>
    </row>
    <row r="1722" spans="9:14" x14ac:dyDescent="0.3">
      <c r="I1722" s="7"/>
      <c r="J1722" s="9"/>
      <c r="K1722" s="9"/>
      <c r="L1722" s="9"/>
      <c r="M1722" s="9"/>
      <c r="N1722" s="4"/>
    </row>
    <row r="1723" spans="9:14" x14ac:dyDescent="0.3">
      <c r="I1723" s="7"/>
      <c r="J1723" s="9"/>
      <c r="K1723" s="9"/>
      <c r="L1723" s="9"/>
      <c r="M1723" s="9"/>
      <c r="N1723" s="4"/>
    </row>
    <row r="1724" spans="9:14" x14ac:dyDescent="0.3">
      <c r="I1724" s="7"/>
      <c r="J1724" s="9"/>
      <c r="K1724" s="9"/>
      <c r="L1724" s="9"/>
      <c r="M1724" s="9"/>
      <c r="N1724" s="4"/>
    </row>
    <row r="1725" spans="9:14" x14ac:dyDescent="0.3">
      <c r="I1725" s="7"/>
      <c r="J1725" s="9"/>
      <c r="K1725" s="9"/>
      <c r="L1725" s="9"/>
      <c r="M1725" s="9"/>
      <c r="N1725" s="4"/>
    </row>
    <row r="1726" spans="9:14" x14ac:dyDescent="0.3">
      <c r="I1726" s="7"/>
      <c r="J1726" s="9"/>
      <c r="K1726" s="9"/>
      <c r="L1726" s="9"/>
      <c r="M1726" s="9"/>
      <c r="N1726" s="4"/>
    </row>
    <row r="1727" spans="9:14" x14ac:dyDescent="0.3">
      <c r="I1727" s="7"/>
      <c r="J1727" s="9"/>
      <c r="K1727" s="9"/>
      <c r="L1727" s="9"/>
      <c r="M1727" s="9"/>
      <c r="N1727" s="4"/>
    </row>
    <row r="1728" spans="9:14" x14ac:dyDescent="0.3">
      <c r="I1728" s="7"/>
      <c r="J1728" s="9"/>
      <c r="K1728" s="9"/>
      <c r="L1728" s="9"/>
      <c r="M1728" s="9"/>
      <c r="N1728" s="4"/>
    </row>
    <row r="1729" spans="9:14" x14ac:dyDescent="0.3">
      <c r="I1729" s="7"/>
      <c r="J1729" s="9"/>
      <c r="K1729" s="9"/>
      <c r="L1729" s="9"/>
      <c r="M1729" s="9"/>
      <c r="N1729" s="4"/>
    </row>
    <row r="1730" spans="9:14" x14ac:dyDescent="0.3">
      <c r="I1730" s="7"/>
      <c r="J1730" s="9"/>
      <c r="K1730" s="9"/>
      <c r="L1730" s="9"/>
      <c r="M1730" s="9"/>
      <c r="N1730" s="4"/>
    </row>
    <row r="1731" spans="9:14" x14ac:dyDescent="0.3">
      <c r="I1731" s="7"/>
      <c r="J1731" s="9"/>
      <c r="K1731" s="9"/>
      <c r="L1731" s="9"/>
      <c r="M1731" s="9"/>
      <c r="N1731" s="4"/>
    </row>
    <row r="1732" spans="9:14" x14ac:dyDescent="0.3">
      <c r="I1732" s="7"/>
      <c r="J1732" s="9"/>
      <c r="K1732" s="9"/>
      <c r="L1732" s="9"/>
      <c r="M1732" s="9"/>
      <c r="N1732" s="4"/>
    </row>
    <row r="1733" spans="9:14" x14ac:dyDescent="0.3">
      <c r="I1733" s="7"/>
      <c r="J1733" s="9"/>
      <c r="K1733" s="9"/>
      <c r="L1733" s="9"/>
      <c r="M1733" s="9"/>
      <c r="N1733" s="4"/>
    </row>
    <row r="1734" spans="9:14" x14ac:dyDescent="0.3">
      <c r="I1734" s="7"/>
      <c r="J1734" s="9"/>
      <c r="K1734" s="9"/>
      <c r="L1734" s="9"/>
      <c r="M1734" s="9"/>
      <c r="N1734" s="4"/>
    </row>
    <row r="1735" spans="9:14" x14ac:dyDescent="0.3">
      <c r="I1735" s="7"/>
      <c r="J1735" s="9"/>
      <c r="K1735" s="9"/>
      <c r="L1735" s="9"/>
      <c r="M1735" s="9"/>
      <c r="N1735" s="4"/>
    </row>
    <row r="1736" spans="9:14" x14ac:dyDescent="0.3">
      <c r="I1736" s="7"/>
      <c r="J1736" s="9"/>
      <c r="K1736" s="9"/>
      <c r="L1736" s="9"/>
      <c r="M1736" s="9"/>
      <c r="N1736" s="4"/>
    </row>
    <row r="1737" spans="9:14" x14ac:dyDescent="0.3">
      <c r="I1737" s="7"/>
      <c r="J1737" s="9"/>
      <c r="K1737" s="9"/>
      <c r="L1737" s="9"/>
      <c r="M1737" s="9"/>
      <c r="N1737" s="4"/>
    </row>
    <row r="1738" spans="9:14" x14ac:dyDescent="0.3">
      <c r="I1738" s="7"/>
      <c r="J1738" s="9"/>
      <c r="K1738" s="9"/>
      <c r="L1738" s="9"/>
      <c r="M1738" s="9"/>
      <c r="N1738" s="4"/>
    </row>
    <row r="1739" spans="9:14" x14ac:dyDescent="0.3">
      <c r="I1739" s="7"/>
      <c r="J1739" s="9"/>
      <c r="K1739" s="9"/>
      <c r="L1739" s="9"/>
      <c r="M1739" s="9"/>
      <c r="N1739" s="4"/>
    </row>
    <row r="1740" spans="9:14" x14ac:dyDescent="0.3">
      <c r="I1740" s="7"/>
      <c r="J1740" s="9"/>
      <c r="K1740" s="9"/>
      <c r="L1740" s="9"/>
      <c r="M1740" s="9"/>
      <c r="N1740" s="4"/>
    </row>
    <row r="1741" spans="9:14" x14ac:dyDescent="0.3">
      <c r="I1741" s="7"/>
      <c r="J1741" s="9"/>
      <c r="K1741" s="9"/>
      <c r="L1741" s="9"/>
      <c r="M1741" s="9"/>
      <c r="N1741" s="4"/>
    </row>
    <row r="1742" spans="9:14" x14ac:dyDescent="0.3">
      <c r="I1742" s="7"/>
      <c r="J1742" s="9"/>
      <c r="K1742" s="9"/>
      <c r="L1742" s="9"/>
      <c r="M1742" s="9"/>
      <c r="N1742" s="4"/>
    </row>
    <row r="1743" spans="9:14" x14ac:dyDescent="0.3">
      <c r="I1743" s="7"/>
      <c r="J1743" s="9"/>
      <c r="K1743" s="9"/>
      <c r="L1743" s="9"/>
      <c r="M1743" s="9"/>
      <c r="N1743" s="4"/>
    </row>
    <row r="1744" spans="9:14" x14ac:dyDescent="0.3">
      <c r="I1744" s="7"/>
      <c r="J1744" s="9"/>
      <c r="K1744" s="9"/>
      <c r="L1744" s="9"/>
      <c r="M1744" s="9"/>
      <c r="N1744" s="4"/>
    </row>
    <row r="1745" spans="9:14" x14ac:dyDescent="0.3">
      <c r="I1745" s="7"/>
      <c r="J1745" s="9"/>
      <c r="K1745" s="9"/>
      <c r="L1745" s="9"/>
      <c r="M1745" s="9"/>
      <c r="N1745" s="4"/>
    </row>
    <row r="1746" spans="9:14" x14ac:dyDescent="0.3">
      <c r="I1746" s="7"/>
      <c r="J1746" s="9"/>
      <c r="K1746" s="9"/>
      <c r="L1746" s="9"/>
      <c r="M1746" s="9"/>
      <c r="N1746" s="4"/>
    </row>
    <row r="1747" spans="9:14" x14ac:dyDescent="0.3">
      <c r="I1747" s="7"/>
      <c r="J1747" s="9"/>
      <c r="K1747" s="9"/>
      <c r="L1747" s="9"/>
      <c r="M1747" s="9"/>
      <c r="N1747" s="4"/>
    </row>
    <row r="1748" spans="9:14" x14ac:dyDescent="0.3">
      <c r="I1748" s="7"/>
      <c r="J1748" s="9"/>
      <c r="K1748" s="9"/>
      <c r="L1748" s="9"/>
      <c r="M1748" s="9"/>
      <c r="N1748" s="4"/>
    </row>
    <row r="1749" spans="9:14" x14ac:dyDescent="0.3">
      <c r="I1749" s="7"/>
      <c r="J1749" s="9"/>
      <c r="K1749" s="9"/>
      <c r="L1749" s="9"/>
      <c r="M1749" s="9"/>
      <c r="N1749" s="4"/>
    </row>
    <row r="1750" spans="9:14" x14ac:dyDescent="0.3">
      <c r="I1750" s="7"/>
      <c r="J1750" s="9"/>
      <c r="K1750" s="9"/>
      <c r="L1750" s="9"/>
      <c r="M1750" s="9"/>
      <c r="N1750" s="4"/>
    </row>
    <row r="1751" spans="9:14" x14ac:dyDescent="0.3">
      <c r="I1751" s="7"/>
      <c r="J1751" s="9"/>
      <c r="K1751" s="9"/>
      <c r="L1751" s="9"/>
      <c r="M1751" s="9"/>
      <c r="N1751" s="4"/>
    </row>
    <row r="1752" spans="9:14" x14ac:dyDescent="0.3">
      <c r="I1752" s="7"/>
      <c r="J1752" s="9"/>
      <c r="K1752" s="9"/>
      <c r="L1752" s="9"/>
      <c r="M1752" s="9"/>
      <c r="N1752" s="4"/>
    </row>
    <row r="1753" spans="9:14" x14ac:dyDescent="0.3">
      <c r="I1753" s="7"/>
      <c r="J1753" s="9"/>
      <c r="K1753" s="9"/>
      <c r="L1753" s="9"/>
      <c r="M1753" s="9"/>
      <c r="N1753" s="4"/>
    </row>
    <row r="1754" spans="9:14" x14ac:dyDescent="0.3">
      <c r="I1754" s="7"/>
      <c r="J1754" s="9"/>
      <c r="K1754" s="9"/>
      <c r="L1754" s="9"/>
      <c r="M1754" s="9"/>
      <c r="N1754" s="4"/>
    </row>
    <row r="1755" spans="9:14" x14ac:dyDescent="0.3">
      <c r="I1755" s="7"/>
      <c r="J1755" s="9"/>
      <c r="K1755" s="9"/>
      <c r="L1755" s="9"/>
      <c r="M1755" s="9"/>
      <c r="N1755" s="4"/>
    </row>
    <row r="1756" spans="9:14" x14ac:dyDescent="0.3">
      <c r="I1756" s="7"/>
      <c r="J1756" s="9"/>
      <c r="K1756" s="9"/>
      <c r="L1756" s="9"/>
      <c r="M1756" s="9"/>
      <c r="N1756" s="4"/>
    </row>
    <row r="1757" spans="9:14" x14ac:dyDescent="0.3">
      <c r="I1757" s="7"/>
      <c r="J1757" s="9"/>
      <c r="K1757" s="9"/>
      <c r="L1757" s="9"/>
      <c r="M1757" s="9"/>
      <c r="N1757" s="4"/>
    </row>
    <row r="1758" spans="9:14" x14ac:dyDescent="0.3">
      <c r="I1758" s="7"/>
      <c r="J1758" s="9"/>
      <c r="K1758" s="9"/>
      <c r="L1758" s="9"/>
      <c r="M1758" s="9"/>
      <c r="N1758" s="4"/>
    </row>
    <row r="1759" spans="9:14" x14ac:dyDescent="0.3">
      <c r="I1759" s="7"/>
      <c r="J1759" s="9"/>
      <c r="K1759" s="9"/>
      <c r="L1759" s="9"/>
      <c r="M1759" s="9"/>
      <c r="N1759" s="4"/>
    </row>
    <row r="1760" spans="9:14" x14ac:dyDescent="0.3">
      <c r="I1760" s="7"/>
      <c r="J1760" s="9"/>
      <c r="K1760" s="9"/>
      <c r="L1760" s="9"/>
      <c r="M1760" s="9"/>
      <c r="N1760" s="4"/>
    </row>
    <row r="1761" spans="9:14" x14ac:dyDescent="0.3">
      <c r="I1761" s="7"/>
      <c r="J1761" s="9"/>
      <c r="K1761" s="9"/>
      <c r="L1761" s="9"/>
      <c r="M1761" s="9"/>
      <c r="N1761" s="4"/>
    </row>
    <row r="1762" spans="9:14" x14ac:dyDescent="0.3">
      <c r="I1762" s="7"/>
      <c r="J1762" s="9"/>
      <c r="K1762" s="9"/>
      <c r="L1762" s="9"/>
      <c r="M1762" s="9"/>
      <c r="N1762" s="4"/>
    </row>
    <row r="1763" spans="9:14" x14ac:dyDescent="0.3">
      <c r="I1763" s="7"/>
      <c r="J1763" s="9"/>
      <c r="K1763" s="9"/>
      <c r="L1763" s="9"/>
      <c r="M1763" s="9"/>
      <c r="N1763" s="4"/>
    </row>
    <row r="1764" spans="9:14" x14ac:dyDescent="0.3">
      <c r="I1764" s="7"/>
      <c r="J1764" s="9"/>
      <c r="K1764" s="9"/>
      <c r="L1764" s="9"/>
      <c r="M1764" s="9"/>
      <c r="N1764" s="4"/>
    </row>
    <row r="1765" spans="9:14" x14ac:dyDescent="0.3">
      <c r="I1765" s="7"/>
      <c r="J1765" s="9"/>
      <c r="K1765" s="9"/>
      <c r="L1765" s="9"/>
      <c r="M1765" s="9"/>
      <c r="N1765" s="4"/>
    </row>
    <row r="1766" spans="9:14" x14ac:dyDescent="0.3">
      <c r="I1766" s="7"/>
      <c r="J1766" s="9"/>
      <c r="K1766" s="9"/>
      <c r="L1766" s="9"/>
      <c r="M1766" s="9"/>
      <c r="N1766" s="4"/>
    </row>
    <row r="1767" spans="9:14" x14ac:dyDescent="0.3">
      <c r="I1767" s="7"/>
      <c r="J1767" s="9"/>
      <c r="K1767" s="9"/>
      <c r="L1767" s="9"/>
      <c r="M1767" s="9"/>
      <c r="N1767" s="4"/>
    </row>
    <row r="1768" spans="9:14" x14ac:dyDescent="0.3">
      <c r="I1768" s="7"/>
      <c r="J1768" s="9"/>
      <c r="K1768" s="9"/>
      <c r="L1768" s="9"/>
      <c r="M1768" s="9"/>
      <c r="N1768" s="4"/>
    </row>
    <row r="1769" spans="9:14" x14ac:dyDescent="0.3">
      <c r="I1769" s="7"/>
      <c r="J1769" s="9"/>
      <c r="K1769" s="9"/>
      <c r="L1769" s="9"/>
      <c r="M1769" s="9"/>
      <c r="N1769" s="4"/>
    </row>
    <row r="1770" spans="9:14" x14ac:dyDescent="0.3">
      <c r="I1770" s="7"/>
      <c r="J1770" s="9"/>
      <c r="K1770" s="9"/>
      <c r="L1770" s="9"/>
      <c r="M1770" s="9"/>
      <c r="N1770" s="4"/>
    </row>
    <row r="1771" spans="9:14" x14ac:dyDescent="0.3">
      <c r="I1771" s="7"/>
      <c r="J1771" s="9"/>
      <c r="K1771" s="9"/>
      <c r="L1771" s="9"/>
      <c r="M1771" s="9"/>
      <c r="N1771" s="4"/>
    </row>
    <row r="1772" spans="9:14" x14ac:dyDescent="0.3">
      <c r="I1772" s="7"/>
      <c r="J1772" s="9"/>
      <c r="K1772" s="9"/>
      <c r="L1772" s="9"/>
      <c r="M1772" s="9"/>
      <c r="N1772" s="4"/>
    </row>
    <row r="1773" spans="9:14" x14ac:dyDescent="0.3">
      <c r="I1773" s="7"/>
      <c r="J1773" s="9"/>
      <c r="K1773" s="9"/>
      <c r="L1773" s="9"/>
      <c r="M1773" s="9"/>
      <c r="N1773" s="4"/>
    </row>
    <row r="1774" spans="9:14" x14ac:dyDescent="0.3">
      <c r="I1774" s="7"/>
      <c r="J1774" s="9"/>
      <c r="K1774" s="9"/>
      <c r="L1774" s="9"/>
      <c r="M1774" s="9"/>
      <c r="N1774" s="4"/>
    </row>
    <row r="1775" spans="9:14" x14ac:dyDescent="0.3">
      <c r="I1775" s="7"/>
      <c r="J1775" s="9"/>
      <c r="K1775" s="9"/>
      <c r="L1775" s="9"/>
      <c r="M1775" s="9"/>
      <c r="N1775" s="4"/>
    </row>
    <row r="1776" spans="9:14" x14ac:dyDescent="0.3">
      <c r="I1776" s="7"/>
      <c r="J1776" s="9"/>
      <c r="K1776" s="9"/>
      <c r="L1776" s="9"/>
      <c r="M1776" s="9"/>
      <c r="N1776" s="4"/>
    </row>
    <row r="1777" spans="9:14" x14ac:dyDescent="0.3">
      <c r="I1777" s="7"/>
      <c r="J1777" s="9"/>
      <c r="K1777" s="9"/>
      <c r="L1777" s="9"/>
      <c r="M1777" s="9"/>
      <c r="N1777" s="4"/>
    </row>
    <row r="1778" spans="9:14" x14ac:dyDescent="0.3">
      <c r="I1778" s="7"/>
      <c r="J1778" s="9"/>
      <c r="K1778" s="9"/>
      <c r="L1778" s="9"/>
      <c r="M1778" s="9"/>
      <c r="N1778" s="4"/>
    </row>
    <row r="1779" spans="9:14" x14ac:dyDescent="0.3">
      <c r="I1779" s="7"/>
      <c r="J1779" s="9"/>
      <c r="K1779" s="9"/>
      <c r="L1779" s="9"/>
      <c r="M1779" s="9"/>
      <c r="N1779" s="4"/>
    </row>
    <row r="1780" spans="9:14" x14ac:dyDescent="0.3">
      <c r="I1780" s="7"/>
      <c r="J1780" s="9"/>
      <c r="K1780" s="9"/>
      <c r="L1780" s="9"/>
      <c r="M1780" s="9"/>
      <c r="N1780" s="4"/>
    </row>
    <row r="1781" spans="9:14" x14ac:dyDescent="0.3">
      <c r="I1781" s="7"/>
      <c r="J1781" s="9"/>
      <c r="K1781" s="9"/>
      <c r="L1781" s="9"/>
      <c r="M1781" s="9"/>
      <c r="N1781" s="4"/>
    </row>
    <row r="1782" spans="9:14" x14ac:dyDescent="0.3">
      <c r="I1782" s="7"/>
      <c r="J1782" s="9"/>
      <c r="K1782" s="9"/>
      <c r="L1782" s="9"/>
      <c r="M1782" s="9"/>
      <c r="N1782" s="4"/>
    </row>
    <row r="1783" spans="9:14" x14ac:dyDescent="0.3">
      <c r="I1783" s="7"/>
      <c r="J1783" s="9"/>
      <c r="K1783" s="9"/>
      <c r="L1783" s="9"/>
      <c r="M1783" s="9"/>
      <c r="N1783" s="4"/>
    </row>
    <row r="1784" spans="9:14" x14ac:dyDescent="0.3">
      <c r="I1784" s="7"/>
      <c r="J1784" s="9"/>
      <c r="K1784" s="9"/>
      <c r="L1784" s="9"/>
      <c r="M1784" s="9"/>
      <c r="N1784" s="4"/>
    </row>
    <row r="1785" spans="9:14" x14ac:dyDescent="0.3">
      <c r="I1785" s="7"/>
      <c r="J1785" s="9"/>
      <c r="K1785" s="9"/>
      <c r="L1785" s="9"/>
      <c r="M1785" s="9"/>
      <c r="N1785" s="4"/>
    </row>
    <row r="1786" spans="9:14" x14ac:dyDescent="0.3">
      <c r="I1786" s="7"/>
      <c r="J1786" s="9"/>
      <c r="K1786" s="9"/>
      <c r="L1786" s="9"/>
      <c r="M1786" s="9"/>
      <c r="N1786" s="4"/>
    </row>
    <row r="1787" spans="9:14" x14ac:dyDescent="0.3">
      <c r="I1787" s="7"/>
      <c r="J1787" s="9"/>
      <c r="K1787" s="9"/>
      <c r="L1787" s="9"/>
      <c r="M1787" s="9"/>
      <c r="N1787" s="4"/>
    </row>
    <row r="1788" spans="9:14" x14ac:dyDescent="0.3">
      <c r="I1788" s="7"/>
      <c r="J1788" s="9"/>
      <c r="K1788" s="9"/>
      <c r="L1788" s="9"/>
      <c r="M1788" s="9"/>
      <c r="N1788" s="4"/>
    </row>
    <row r="1789" spans="9:14" x14ac:dyDescent="0.3">
      <c r="I1789" s="7"/>
      <c r="J1789" s="9"/>
      <c r="K1789" s="9"/>
      <c r="L1789" s="9"/>
      <c r="M1789" s="9"/>
      <c r="N1789" s="4"/>
    </row>
    <row r="1790" spans="9:14" x14ac:dyDescent="0.3">
      <c r="I1790" s="7"/>
      <c r="J1790" s="9"/>
      <c r="K1790" s="9"/>
      <c r="L1790" s="9"/>
      <c r="M1790" s="9"/>
      <c r="N1790" s="4"/>
    </row>
    <row r="1791" spans="9:14" x14ac:dyDescent="0.3">
      <c r="I1791" s="7"/>
      <c r="J1791" s="9"/>
      <c r="K1791" s="9"/>
      <c r="L1791" s="9"/>
      <c r="M1791" s="9"/>
      <c r="N1791" s="4"/>
    </row>
    <row r="1792" spans="9:14" x14ac:dyDescent="0.3">
      <c r="I1792" s="7"/>
      <c r="J1792" s="9"/>
      <c r="K1792" s="9"/>
      <c r="L1792" s="9"/>
      <c r="M1792" s="9"/>
      <c r="N1792" s="4"/>
    </row>
    <row r="1793" spans="9:14" x14ac:dyDescent="0.3">
      <c r="I1793" s="7"/>
      <c r="J1793" s="9"/>
      <c r="K1793" s="9"/>
      <c r="L1793" s="9"/>
      <c r="M1793" s="9"/>
      <c r="N1793" s="4"/>
    </row>
    <row r="1794" spans="9:14" x14ac:dyDescent="0.3">
      <c r="I1794" s="7"/>
      <c r="J1794" s="9"/>
      <c r="K1794" s="9"/>
      <c r="L1794" s="9"/>
      <c r="M1794" s="9"/>
      <c r="N1794" s="4"/>
    </row>
    <row r="1795" spans="9:14" x14ac:dyDescent="0.3">
      <c r="I1795" s="7"/>
      <c r="J1795" s="9"/>
      <c r="K1795" s="9"/>
      <c r="L1795" s="9"/>
      <c r="M1795" s="9"/>
      <c r="N1795" s="4"/>
    </row>
    <row r="1796" spans="9:14" x14ac:dyDescent="0.3">
      <c r="I1796" s="7"/>
      <c r="J1796" s="9"/>
      <c r="K1796" s="9"/>
      <c r="L1796" s="9"/>
      <c r="M1796" s="9"/>
      <c r="N1796" s="4"/>
    </row>
    <row r="1797" spans="9:14" x14ac:dyDescent="0.3">
      <c r="I1797" s="7"/>
      <c r="J1797" s="9"/>
      <c r="K1797" s="9"/>
      <c r="L1797" s="9"/>
      <c r="M1797" s="9"/>
      <c r="N1797" s="4"/>
    </row>
    <row r="1798" spans="9:14" x14ac:dyDescent="0.3">
      <c r="I1798" s="7"/>
      <c r="J1798" s="9"/>
      <c r="K1798" s="9"/>
      <c r="L1798" s="9"/>
      <c r="M1798" s="9"/>
      <c r="N1798" s="4"/>
    </row>
    <row r="1799" spans="9:14" x14ac:dyDescent="0.3">
      <c r="I1799" s="7"/>
      <c r="J1799" s="9"/>
      <c r="K1799" s="9"/>
      <c r="L1799" s="9"/>
      <c r="M1799" s="9"/>
      <c r="N1799" s="4"/>
    </row>
    <row r="1800" spans="9:14" x14ac:dyDescent="0.3">
      <c r="I1800" s="7"/>
      <c r="J1800" s="9"/>
      <c r="K1800" s="9"/>
      <c r="L1800" s="9"/>
      <c r="M1800" s="9"/>
      <c r="N1800" s="4"/>
    </row>
    <row r="1801" spans="9:14" x14ac:dyDescent="0.3">
      <c r="I1801" s="7"/>
      <c r="J1801" s="9"/>
      <c r="K1801" s="9"/>
      <c r="L1801" s="9"/>
      <c r="M1801" s="9"/>
      <c r="N1801" s="4"/>
    </row>
    <row r="1802" spans="9:14" x14ac:dyDescent="0.3">
      <c r="I1802" s="7"/>
      <c r="J1802" s="9"/>
      <c r="K1802" s="9"/>
      <c r="L1802" s="9"/>
      <c r="M1802" s="9"/>
      <c r="N1802" s="4"/>
    </row>
    <row r="1803" spans="9:14" x14ac:dyDescent="0.3">
      <c r="I1803" s="7"/>
      <c r="J1803" s="9"/>
      <c r="K1803" s="9"/>
      <c r="L1803" s="9"/>
      <c r="M1803" s="9"/>
      <c r="N1803" s="4"/>
    </row>
    <row r="1804" spans="9:14" x14ac:dyDescent="0.3">
      <c r="I1804" s="7"/>
      <c r="J1804" s="9"/>
      <c r="K1804" s="9"/>
      <c r="L1804" s="9"/>
      <c r="M1804" s="9"/>
      <c r="N1804" s="4"/>
    </row>
    <row r="1805" spans="9:14" x14ac:dyDescent="0.3">
      <c r="I1805" s="7"/>
      <c r="J1805" s="9"/>
      <c r="K1805" s="9"/>
      <c r="L1805" s="9"/>
      <c r="M1805" s="9"/>
      <c r="N1805" s="4"/>
    </row>
    <row r="1806" spans="9:14" x14ac:dyDescent="0.3">
      <c r="I1806" s="7"/>
      <c r="J1806" s="9"/>
      <c r="K1806" s="9"/>
      <c r="L1806" s="9"/>
      <c r="M1806" s="9"/>
      <c r="N1806" s="4"/>
    </row>
    <row r="1807" spans="9:14" x14ac:dyDescent="0.3">
      <c r="I1807" s="7"/>
      <c r="J1807" s="9"/>
      <c r="K1807" s="9"/>
      <c r="L1807" s="9"/>
      <c r="M1807" s="9"/>
      <c r="N1807" s="4"/>
    </row>
    <row r="1808" spans="9:14" x14ac:dyDescent="0.3">
      <c r="I1808" s="7"/>
      <c r="J1808" s="9"/>
      <c r="K1808" s="9"/>
      <c r="L1808" s="9"/>
      <c r="M1808" s="9"/>
      <c r="N1808" s="4"/>
    </row>
    <row r="1809" spans="9:14" x14ac:dyDescent="0.3">
      <c r="I1809" s="7"/>
      <c r="J1809" s="9"/>
      <c r="K1809" s="9"/>
      <c r="L1809" s="9"/>
      <c r="M1809" s="9"/>
      <c r="N1809" s="4"/>
    </row>
    <row r="1810" spans="9:14" x14ac:dyDescent="0.3">
      <c r="I1810" s="7"/>
      <c r="J1810" s="9"/>
      <c r="K1810" s="9"/>
      <c r="L1810" s="9"/>
      <c r="M1810" s="9"/>
      <c r="N1810" s="4"/>
    </row>
    <row r="1811" spans="9:14" x14ac:dyDescent="0.3">
      <c r="I1811" s="7"/>
      <c r="J1811" s="9"/>
      <c r="K1811" s="9"/>
      <c r="L1811" s="9"/>
      <c r="M1811" s="9"/>
      <c r="N1811" s="4"/>
    </row>
    <row r="1812" spans="9:14" x14ac:dyDescent="0.3">
      <c r="I1812" s="7"/>
      <c r="J1812" s="9"/>
      <c r="K1812" s="9"/>
      <c r="L1812" s="9"/>
      <c r="M1812" s="9"/>
      <c r="N1812" s="4"/>
    </row>
    <row r="1813" spans="9:14" x14ac:dyDescent="0.3">
      <c r="I1813" s="7"/>
      <c r="J1813" s="9"/>
      <c r="K1813" s="9"/>
      <c r="L1813" s="9"/>
      <c r="M1813" s="9"/>
      <c r="N1813" s="4"/>
    </row>
    <row r="1814" spans="9:14" x14ac:dyDescent="0.3">
      <c r="I1814" s="7"/>
      <c r="J1814" s="9"/>
      <c r="K1814" s="9"/>
      <c r="L1814" s="9"/>
      <c r="M1814" s="9"/>
      <c r="N1814" s="4"/>
    </row>
    <row r="1815" spans="9:14" x14ac:dyDescent="0.3">
      <c r="I1815" s="7"/>
      <c r="J1815" s="9"/>
      <c r="K1815" s="9"/>
      <c r="L1815" s="9"/>
      <c r="M1815" s="9"/>
      <c r="N1815" s="4"/>
    </row>
    <row r="1816" spans="9:14" x14ac:dyDescent="0.3">
      <c r="I1816" s="7"/>
      <c r="J1816" s="9"/>
      <c r="K1816" s="9"/>
      <c r="L1816" s="9"/>
      <c r="M1816" s="9"/>
      <c r="N1816" s="4"/>
    </row>
    <row r="1817" spans="9:14" x14ac:dyDescent="0.3">
      <c r="I1817" s="7"/>
      <c r="J1817" s="9"/>
      <c r="K1817" s="9"/>
      <c r="L1817" s="9"/>
      <c r="M1817" s="9"/>
      <c r="N1817" s="4"/>
    </row>
    <row r="1818" spans="9:14" x14ac:dyDescent="0.3">
      <c r="I1818" s="7"/>
      <c r="J1818" s="9"/>
      <c r="K1818" s="9"/>
      <c r="L1818" s="9"/>
      <c r="M1818" s="9"/>
      <c r="N1818" s="4"/>
    </row>
    <row r="1819" spans="9:14" x14ac:dyDescent="0.3">
      <c r="I1819" s="7"/>
      <c r="J1819" s="9"/>
      <c r="K1819" s="9"/>
      <c r="L1819" s="9"/>
      <c r="M1819" s="9"/>
      <c r="N1819" s="4"/>
    </row>
    <row r="1820" spans="9:14" x14ac:dyDescent="0.3">
      <c r="I1820" s="7"/>
      <c r="J1820" s="9"/>
      <c r="K1820" s="9"/>
      <c r="L1820" s="9"/>
      <c r="M1820" s="9"/>
      <c r="N1820" s="4"/>
    </row>
    <row r="1821" spans="9:14" x14ac:dyDescent="0.3">
      <c r="I1821" s="7"/>
      <c r="J1821" s="9"/>
      <c r="K1821" s="9"/>
      <c r="L1821" s="9"/>
      <c r="M1821" s="9"/>
      <c r="N1821" s="4"/>
    </row>
    <row r="1822" spans="9:14" x14ac:dyDescent="0.3">
      <c r="I1822" s="7"/>
      <c r="J1822" s="9"/>
      <c r="K1822" s="9"/>
      <c r="L1822" s="9"/>
      <c r="M1822" s="9"/>
      <c r="N1822" s="4"/>
    </row>
    <row r="1823" spans="9:14" x14ac:dyDescent="0.3">
      <c r="I1823" s="7"/>
      <c r="J1823" s="9"/>
      <c r="K1823" s="9"/>
      <c r="L1823" s="9"/>
      <c r="M1823" s="9"/>
      <c r="N1823" s="4"/>
    </row>
    <row r="1824" spans="9:14" x14ac:dyDescent="0.3">
      <c r="I1824" s="7"/>
      <c r="J1824" s="9"/>
      <c r="K1824" s="9"/>
      <c r="L1824" s="9"/>
      <c r="M1824" s="9"/>
      <c r="N1824" s="4"/>
    </row>
    <row r="1825" spans="9:14" x14ac:dyDescent="0.3">
      <c r="I1825" s="7"/>
      <c r="J1825" s="9"/>
      <c r="K1825" s="9"/>
      <c r="L1825" s="9"/>
      <c r="M1825" s="9"/>
      <c r="N1825" s="4"/>
    </row>
    <row r="1826" spans="9:14" x14ac:dyDescent="0.3">
      <c r="I1826" s="7"/>
      <c r="J1826" s="9"/>
      <c r="K1826" s="9"/>
      <c r="L1826" s="9"/>
      <c r="M1826" s="9"/>
      <c r="N1826" s="4"/>
    </row>
    <row r="1827" spans="9:14" x14ac:dyDescent="0.3">
      <c r="I1827" s="7"/>
      <c r="J1827" s="9"/>
      <c r="K1827" s="9"/>
      <c r="L1827" s="9"/>
      <c r="M1827" s="9"/>
      <c r="N1827" s="4"/>
    </row>
    <row r="1828" spans="9:14" x14ac:dyDescent="0.3">
      <c r="I1828" s="7"/>
      <c r="J1828" s="9"/>
      <c r="K1828" s="9"/>
      <c r="L1828" s="9"/>
      <c r="M1828" s="9"/>
      <c r="N1828" s="4"/>
    </row>
    <row r="1829" spans="9:14" x14ac:dyDescent="0.3">
      <c r="I1829" s="7"/>
      <c r="J1829" s="9"/>
      <c r="K1829" s="9"/>
      <c r="L1829" s="9"/>
      <c r="M1829" s="9"/>
      <c r="N1829" s="4"/>
    </row>
    <row r="1830" spans="9:14" x14ac:dyDescent="0.3">
      <c r="I1830" s="7"/>
      <c r="J1830" s="9"/>
      <c r="K1830" s="9"/>
      <c r="L1830" s="9"/>
      <c r="M1830" s="9"/>
      <c r="N1830" s="4"/>
    </row>
    <row r="1831" spans="9:14" x14ac:dyDescent="0.3">
      <c r="I1831" s="7"/>
      <c r="J1831" s="9"/>
      <c r="K1831" s="9"/>
      <c r="L1831" s="9"/>
      <c r="M1831" s="9"/>
      <c r="N1831" s="4"/>
    </row>
    <row r="1832" spans="9:14" x14ac:dyDescent="0.3">
      <c r="I1832" s="7"/>
      <c r="J1832" s="9"/>
      <c r="K1832" s="9"/>
      <c r="L1832" s="9"/>
      <c r="M1832" s="9"/>
      <c r="N1832" s="4"/>
    </row>
    <row r="1833" spans="9:14" x14ac:dyDescent="0.3">
      <c r="I1833" s="7"/>
      <c r="J1833" s="9"/>
      <c r="K1833" s="9"/>
      <c r="L1833" s="9"/>
      <c r="M1833" s="9"/>
      <c r="N1833" s="4"/>
    </row>
    <row r="1834" spans="9:14" x14ac:dyDescent="0.3">
      <c r="I1834" s="7"/>
      <c r="J1834" s="9"/>
      <c r="K1834" s="9"/>
      <c r="L1834" s="9"/>
      <c r="M1834" s="9"/>
      <c r="N1834" s="4"/>
    </row>
    <row r="1835" spans="9:14" x14ac:dyDescent="0.3">
      <c r="I1835" s="7"/>
      <c r="J1835" s="9"/>
      <c r="K1835" s="9"/>
      <c r="L1835" s="9"/>
      <c r="M1835" s="9"/>
      <c r="N1835" s="4"/>
    </row>
    <row r="1836" spans="9:14" x14ac:dyDescent="0.3">
      <c r="I1836" s="7"/>
      <c r="J1836" s="9"/>
      <c r="K1836" s="9"/>
      <c r="L1836" s="9"/>
      <c r="M1836" s="9"/>
      <c r="N1836" s="4"/>
    </row>
    <row r="1837" spans="9:14" x14ac:dyDescent="0.3">
      <c r="I1837" s="7"/>
      <c r="J1837" s="9"/>
      <c r="K1837" s="9"/>
      <c r="L1837" s="9"/>
      <c r="M1837" s="9"/>
      <c r="N1837" s="4"/>
    </row>
    <row r="1838" spans="9:14" x14ac:dyDescent="0.3">
      <c r="I1838" s="7"/>
      <c r="J1838" s="9"/>
      <c r="K1838" s="9"/>
      <c r="L1838" s="9"/>
      <c r="M1838" s="9"/>
      <c r="N1838" s="4"/>
    </row>
    <row r="1839" spans="9:14" x14ac:dyDescent="0.3">
      <c r="I1839" s="7"/>
      <c r="J1839" s="9"/>
      <c r="K1839" s="9"/>
      <c r="L1839" s="9"/>
      <c r="M1839" s="9"/>
      <c r="N1839" s="4"/>
    </row>
    <row r="1840" spans="9:14" x14ac:dyDescent="0.3">
      <c r="I1840" s="7"/>
      <c r="J1840" s="9"/>
      <c r="K1840" s="9"/>
      <c r="L1840" s="9"/>
      <c r="M1840" s="9"/>
      <c r="N1840" s="4"/>
    </row>
    <row r="1841" spans="9:14" x14ac:dyDescent="0.3">
      <c r="I1841" s="7"/>
      <c r="J1841" s="9"/>
      <c r="K1841" s="9"/>
      <c r="L1841" s="9"/>
      <c r="M1841" s="9"/>
      <c r="N1841" s="4"/>
    </row>
    <row r="1842" spans="9:14" x14ac:dyDescent="0.3">
      <c r="I1842" s="7"/>
      <c r="J1842" s="9"/>
      <c r="K1842" s="9"/>
      <c r="L1842" s="9"/>
      <c r="M1842" s="9"/>
      <c r="N1842" s="4"/>
    </row>
    <row r="1843" spans="9:14" x14ac:dyDescent="0.3">
      <c r="I1843" s="7"/>
      <c r="J1843" s="9"/>
      <c r="K1843" s="9"/>
      <c r="L1843" s="9"/>
      <c r="M1843" s="9"/>
      <c r="N1843" s="4"/>
    </row>
    <row r="1844" spans="9:14" x14ac:dyDescent="0.3">
      <c r="I1844" s="7"/>
      <c r="J1844" s="9"/>
      <c r="K1844" s="9"/>
      <c r="L1844" s="9"/>
      <c r="M1844" s="9"/>
      <c r="N1844" s="4"/>
    </row>
    <row r="1845" spans="9:14" x14ac:dyDescent="0.3">
      <c r="I1845" s="7"/>
      <c r="J1845" s="9"/>
      <c r="K1845" s="9"/>
      <c r="L1845" s="9"/>
      <c r="M1845" s="9"/>
      <c r="N1845" s="4"/>
    </row>
    <row r="1846" spans="9:14" x14ac:dyDescent="0.3">
      <c r="I1846" s="7"/>
      <c r="J1846" s="9"/>
      <c r="K1846" s="9"/>
      <c r="L1846" s="9"/>
      <c r="M1846" s="9"/>
      <c r="N1846" s="4"/>
    </row>
    <row r="1847" spans="9:14" x14ac:dyDescent="0.3">
      <c r="I1847" s="7"/>
      <c r="J1847" s="9"/>
      <c r="K1847" s="9"/>
      <c r="L1847" s="9"/>
      <c r="M1847" s="9"/>
      <c r="N1847" s="4"/>
    </row>
    <row r="1848" spans="9:14" x14ac:dyDescent="0.3">
      <c r="I1848" s="7"/>
      <c r="J1848" s="9"/>
      <c r="K1848" s="9"/>
      <c r="L1848" s="9"/>
      <c r="M1848" s="9"/>
      <c r="N1848" s="4"/>
    </row>
    <row r="1849" spans="9:14" x14ac:dyDescent="0.3">
      <c r="I1849" s="7"/>
      <c r="J1849" s="9"/>
      <c r="K1849" s="9"/>
      <c r="L1849" s="9"/>
      <c r="M1849" s="9"/>
      <c r="N1849" s="4"/>
    </row>
    <row r="1850" spans="9:14" x14ac:dyDescent="0.3">
      <c r="I1850" s="7"/>
      <c r="J1850" s="9"/>
      <c r="K1850" s="9"/>
      <c r="L1850" s="9"/>
      <c r="M1850" s="9"/>
      <c r="N1850" s="4"/>
    </row>
    <row r="1851" spans="9:14" x14ac:dyDescent="0.3">
      <c r="I1851" s="7"/>
      <c r="J1851" s="9"/>
      <c r="K1851" s="9"/>
      <c r="L1851" s="9"/>
      <c r="M1851" s="9"/>
      <c r="N1851" s="4"/>
    </row>
    <row r="1852" spans="9:14" x14ac:dyDescent="0.3">
      <c r="I1852" s="7"/>
      <c r="J1852" s="9"/>
      <c r="K1852" s="9"/>
      <c r="L1852" s="9"/>
      <c r="M1852" s="9"/>
      <c r="N1852" s="4"/>
    </row>
    <row r="1853" spans="9:14" x14ac:dyDescent="0.3">
      <c r="I1853" s="7"/>
      <c r="J1853" s="9"/>
      <c r="K1853" s="9"/>
      <c r="L1853" s="9"/>
      <c r="M1853" s="9"/>
      <c r="N1853" s="4"/>
    </row>
    <row r="1854" spans="9:14" x14ac:dyDescent="0.3">
      <c r="I1854" s="7"/>
      <c r="J1854" s="9"/>
      <c r="K1854" s="9"/>
      <c r="L1854" s="9"/>
      <c r="M1854" s="9"/>
      <c r="N1854" s="4"/>
    </row>
    <row r="1855" spans="9:14" x14ac:dyDescent="0.3">
      <c r="I1855" s="7"/>
      <c r="J1855" s="9"/>
      <c r="K1855" s="9"/>
      <c r="L1855" s="9"/>
      <c r="M1855" s="9"/>
      <c r="N1855" s="4"/>
    </row>
    <row r="1856" spans="9:14" x14ac:dyDescent="0.3">
      <c r="I1856" s="7"/>
      <c r="J1856" s="9"/>
      <c r="K1856" s="9"/>
      <c r="L1856" s="9"/>
      <c r="M1856" s="9"/>
      <c r="N1856" s="4"/>
    </row>
    <row r="1857" spans="9:14" x14ac:dyDescent="0.3">
      <c r="I1857" s="7"/>
      <c r="J1857" s="9"/>
      <c r="K1857" s="9"/>
      <c r="L1857" s="9"/>
      <c r="M1857" s="9"/>
      <c r="N1857" s="4"/>
    </row>
    <row r="1858" spans="9:14" x14ac:dyDescent="0.3">
      <c r="I1858" s="7"/>
      <c r="J1858" s="9"/>
      <c r="K1858" s="9"/>
      <c r="L1858" s="9"/>
      <c r="M1858" s="9"/>
      <c r="N1858" s="4"/>
    </row>
    <row r="1859" spans="9:14" x14ac:dyDescent="0.3">
      <c r="I1859" s="7"/>
      <c r="J1859" s="9"/>
      <c r="K1859" s="9"/>
      <c r="L1859" s="9"/>
      <c r="M1859" s="9"/>
      <c r="N1859" s="4"/>
    </row>
    <row r="1860" spans="9:14" x14ac:dyDescent="0.3">
      <c r="I1860" s="7"/>
      <c r="J1860" s="9"/>
      <c r="K1860" s="9"/>
      <c r="L1860" s="9"/>
      <c r="M1860" s="9"/>
      <c r="N1860" s="4"/>
    </row>
    <row r="1861" spans="9:14" x14ac:dyDescent="0.3">
      <c r="I1861" s="7"/>
      <c r="J1861" s="9"/>
      <c r="K1861" s="9"/>
      <c r="L1861" s="9"/>
      <c r="M1861" s="9"/>
      <c r="N1861" s="4"/>
    </row>
    <row r="1862" spans="9:14" x14ac:dyDescent="0.3">
      <c r="I1862" s="7"/>
      <c r="J1862" s="9"/>
      <c r="K1862" s="9"/>
      <c r="L1862" s="9"/>
      <c r="M1862" s="9"/>
      <c r="N1862" s="4"/>
    </row>
    <row r="1863" spans="9:14" x14ac:dyDescent="0.3">
      <c r="I1863" s="7"/>
      <c r="J1863" s="9"/>
      <c r="K1863" s="9"/>
      <c r="L1863" s="9"/>
      <c r="M1863" s="9"/>
      <c r="N1863" s="4"/>
    </row>
    <row r="1864" spans="9:14" x14ac:dyDescent="0.3">
      <c r="I1864" s="7"/>
      <c r="J1864" s="9"/>
      <c r="K1864" s="9"/>
      <c r="L1864" s="9"/>
      <c r="M1864" s="9"/>
      <c r="N1864" s="4"/>
    </row>
    <row r="1865" spans="9:14" x14ac:dyDescent="0.3">
      <c r="I1865" s="7"/>
      <c r="J1865" s="9"/>
      <c r="K1865" s="9"/>
      <c r="L1865" s="9"/>
      <c r="M1865" s="9"/>
      <c r="N1865" s="4"/>
    </row>
    <row r="1866" spans="9:14" x14ac:dyDescent="0.3">
      <c r="I1866" s="7"/>
      <c r="J1866" s="9"/>
      <c r="K1866" s="9"/>
      <c r="L1866" s="9"/>
      <c r="M1866" s="9"/>
      <c r="N1866" s="4"/>
    </row>
    <row r="1867" spans="9:14" x14ac:dyDescent="0.3">
      <c r="I1867" s="7"/>
      <c r="J1867" s="9"/>
      <c r="K1867" s="9"/>
      <c r="L1867" s="9"/>
      <c r="M1867" s="9"/>
      <c r="N1867" s="4"/>
    </row>
    <row r="1868" spans="9:14" x14ac:dyDescent="0.3">
      <c r="I1868" s="7"/>
      <c r="J1868" s="9"/>
      <c r="K1868" s="9"/>
      <c r="L1868" s="9"/>
      <c r="M1868" s="9"/>
      <c r="N1868" s="4"/>
    </row>
    <row r="1869" spans="9:14" x14ac:dyDescent="0.3">
      <c r="I1869" s="7"/>
      <c r="J1869" s="9"/>
      <c r="K1869" s="9"/>
      <c r="L1869" s="9"/>
      <c r="M1869" s="9"/>
      <c r="N1869" s="4"/>
    </row>
    <row r="1870" spans="9:14" x14ac:dyDescent="0.3">
      <c r="I1870" s="7"/>
      <c r="J1870" s="9"/>
      <c r="K1870" s="9"/>
      <c r="L1870" s="9"/>
      <c r="M1870" s="9"/>
      <c r="N1870" s="4"/>
    </row>
    <row r="1871" spans="9:14" x14ac:dyDescent="0.3">
      <c r="I1871" s="7"/>
      <c r="J1871" s="9"/>
      <c r="K1871" s="9"/>
      <c r="L1871" s="9"/>
      <c r="M1871" s="9"/>
      <c r="N1871" s="4"/>
    </row>
    <row r="1872" spans="9:14" x14ac:dyDescent="0.3">
      <c r="I1872" s="7"/>
      <c r="J1872" s="9"/>
      <c r="K1872" s="9"/>
      <c r="L1872" s="9"/>
      <c r="M1872" s="9"/>
      <c r="N1872" s="4"/>
    </row>
    <row r="1873" spans="9:14" x14ac:dyDescent="0.3">
      <c r="I1873" s="7"/>
      <c r="J1873" s="9"/>
      <c r="K1873" s="9"/>
      <c r="L1873" s="9"/>
      <c r="M1873" s="9"/>
      <c r="N1873" s="4"/>
    </row>
    <row r="1874" spans="9:14" x14ac:dyDescent="0.3">
      <c r="I1874" s="7"/>
      <c r="J1874" s="9"/>
      <c r="K1874" s="9"/>
      <c r="L1874" s="9"/>
      <c r="M1874" s="9"/>
      <c r="N1874" s="4"/>
    </row>
    <row r="1875" spans="9:14" x14ac:dyDescent="0.3">
      <c r="I1875" s="7"/>
      <c r="J1875" s="9"/>
      <c r="K1875" s="9"/>
      <c r="L1875" s="9"/>
      <c r="M1875" s="9"/>
      <c r="N1875" s="4"/>
    </row>
    <row r="1876" spans="9:14" x14ac:dyDescent="0.3">
      <c r="I1876" s="7"/>
      <c r="J1876" s="9"/>
      <c r="K1876" s="9"/>
      <c r="L1876" s="9"/>
      <c r="M1876" s="9"/>
      <c r="N1876" s="4"/>
    </row>
    <row r="1877" spans="9:14" x14ac:dyDescent="0.3">
      <c r="I1877" s="7"/>
      <c r="J1877" s="9"/>
      <c r="K1877" s="9"/>
      <c r="L1877" s="9"/>
      <c r="M1877" s="9"/>
      <c r="N1877" s="4"/>
    </row>
    <row r="1878" spans="9:14" x14ac:dyDescent="0.3">
      <c r="I1878" s="7"/>
      <c r="J1878" s="9"/>
      <c r="K1878" s="9"/>
      <c r="L1878" s="9"/>
      <c r="M1878" s="9"/>
      <c r="N1878" s="4"/>
    </row>
    <row r="1879" spans="9:14" x14ac:dyDescent="0.3">
      <c r="I1879" s="7"/>
      <c r="J1879" s="9"/>
      <c r="K1879" s="9"/>
      <c r="L1879" s="9"/>
      <c r="M1879" s="9"/>
      <c r="N1879" s="4"/>
    </row>
    <row r="1880" spans="9:14" x14ac:dyDescent="0.3">
      <c r="I1880" s="7"/>
      <c r="J1880" s="9"/>
      <c r="K1880" s="9"/>
      <c r="L1880" s="9"/>
      <c r="M1880" s="9"/>
      <c r="N1880" s="4"/>
    </row>
    <row r="1881" spans="9:14" x14ac:dyDescent="0.3">
      <c r="I1881" s="7"/>
      <c r="J1881" s="9"/>
      <c r="K1881" s="9"/>
      <c r="L1881" s="9"/>
      <c r="M1881" s="9"/>
      <c r="N1881" s="4"/>
    </row>
    <row r="1882" spans="9:14" x14ac:dyDescent="0.3">
      <c r="I1882" s="7"/>
      <c r="J1882" s="9"/>
      <c r="K1882" s="9"/>
      <c r="L1882" s="9"/>
      <c r="M1882" s="9"/>
      <c r="N1882" s="4"/>
    </row>
    <row r="1883" spans="9:14" x14ac:dyDescent="0.3">
      <c r="I1883" s="7"/>
      <c r="J1883" s="9"/>
      <c r="K1883" s="9"/>
      <c r="L1883" s="9"/>
      <c r="M1883" s="9"/>
      <c r="N1883" s="4"/>
    </row>
    <row r="1884" spans="9:14" x14ac:dyDescent="0.3">
      <c r="I1884" s="7"/>
      <c r="J1884" s="9"/>
      <c r="K1884" s="9"/>
      <c r="L1884" s="9"/>
      <c r="M1884" s="9"/>
      <c r="N1884" s="4"/>
    </row>
    <row r="1885" spans="9:14" x14ac:dyDescent="0.3">
      <c r="I1885" s="7"/>
      <c r="J1885" s="9"/>
      <c r="K1885" s="9"/>
      <c r="L1885" s="9"/>
      <c r="M1885" s="9"/>
      <c r="N1885" s="4"/>
    </row>
    <row r="1886" spans="9:14" x14ac:dyDescent="0.3">
      <c r="I1886" s="7"/>
      <c r="J1886" s="9"/>
      <c r="K1886" s="9"/>
      <c r="L1886" s="9"/>
      <c r="M1886" s="9"/>
      <c r="N1886" s="4"/>
    </row>
    <row r="1887" spans="9:14" x14ac:dyDescent="0.3">
      <c r="I1887" s="7"/>
      <c r="J1887" s="9"/>
      <c r="K1887" s="9"/>
      <c r="L1887" s="9"/>
      <c r="M1887" s="9"/>
      <c r="N1887" s="4"/>
    </row>
    <row r="1888" spans="9:14" x14ac:dyDescent="0.3">
      <c r="I1888" s="7"/>
      <c r="J1888" s="9"/>
      <c r="K1888" s="9"/>
      <c r="L1888" s="9"/>
      <c r="M1888" s="9"/>
      <c r="N1888" s="4"/>
    </row>
    <row r="1889" spans="9:14" x14ac:dyDescent="0.3">
      <c r="I1889" s="7"/>
      <c r="J1889" s="9"/>
      <c r="K1889" s="9"/>
      <c r="L1889" s="9"/>
      <c r="M1889" s="9"/>
      <c r="N1889" s="4"/>
    </row>
    <row r="1890" spans="9:14" x14ac:dyDescent="0.3">
      <c r="I1890" s="7"/>
      <c r="J1890" s="9"/>
      <c r="K1890" s="9"/>
      <c r="L1890" s="9"/>
      <c r="M1890" s="9"/>
      <c r="N1890" s="4"/>
    </row>
    <row r="1891" spans="9:14" x14ac:dyDescent="0.3">
      <c r="I1891" s="7"/>
      <c r="J1891" s="9"/>
      <c r="K1891" s="9"/>
      <c r="L1891" s="9"/>
      <c r="M1891" s="9"/>
      <c r="N1891" s="4"/>
    </row>
    <row r="1892" spans="9:14" x14ac:dyDescent="0.3">
      <c r="I1892" s="7"/>
      <c r="J1892" s="9"/>
      <c r="K1892" s="9"/>
      <c r="L1892" s="9"/>
      <c r="M1892" s="9"/>
      <c r="N1892" s="4"/>
    </row>
    <row r="1893" spans="9:14" x14ac:dyDescent="0.3">
      <c r="I1893" s="7"/>
      <c r="J1893" s="9"/>
      <c r="K1893" s="9"/>
      <c r="L1893" s="9"/>
      <c r="M1893" s="9"/>
      <c r="N1893" s="4"/>
    </row>
    <row r="1894" spans="9:14" x14ac:dyDescent="0.3">
      <c r="I1894" s="7"/>
      <c r="J1894" s="9"/>
      <c r="K1894" s="9"/>
      <c r="L1894" s="9"/>
      <c r="M1894" s="9"/>
      <c r="N1894" s="4"/>
    </row>
    <row r="1895" spans="9:14" x14ac:dyDescent="0.3">
      <c r="I1895" s="7"/>
      <c r="J1895" s="9"/>
      <c r="K1895" s="9"/>
      <c r="L1895" s="9"/>
      <c r="M1895" s="9"/>
      <c r="N1895" s="4"/>
    </row>
    <row r="1896" spans="9:14" x14ac:dyDescent="0.3">
      <c r="I1896" s="7"/>
      <c r="J1896" s="9"/>
      <c r="K1896" s="9"/>
      <c r="L1896" s="9"/>
      <c r="M1896" s="9"/>
      <c r="N1896" s="4"/>
    </row>
    <row r="1897" spans="9:14" x14ac:dyDescent="0.3">
      <c r="I1897" s="7"/>
      <c r="J1897" s="9"/>
      <c r="K1897" s="9"/>
      <c r="L1897" s="9"/>
      <c r="M1897" s="9"/>
      <c r="N1897" s="4"/>
    </row>
    <row r="1898" spans="9:14" x14ac:dyDescent="0.3">
      <c r="I1898" s="7"/>
      <c r="J1898" s="9"/>
      <c r="K1898" s="9"/>
      <c r="L1898" s="9"/>
      <c r="M1898" s="9"/>
      <c r="N1898" s="4"/>
    </row>
    <row r="1899" spans="9:14" x14ac:dyDescent="0.3">
      <c r="I1899" s="7"/>
      <c r="J1899" s="9"/>
      <c r="K1899" s="9"/>
      <c r="L1899" s="9"/>
      <c r="M1899" s="9"/>
      <c r="N1899" s="4"/>
    </row>
    <row r="1900" spans="9:14" x14ac:dyDescent="0.3">
      <c r="I1900" s="7"/>
      <c r="J1900" s="9"/>
      <c r="K1900" s="9"/>
      <c r="L1900" s="9"/>
      <c r="M1900" s="9"/>
      <c r="N1900" s="4"/>
    </row>
    <row r="1901" spans="9:14" x14ac:dyDescent="0.3">
      <c r="I1901" s="7"/>
      <c r="J1901" s="9"/>
      <c r="K1901" s="9"/>
      <c r="L1901" s="9"/>
      <c r="M1901" s="9"/>
      <c r="N1901" s="4"/>
    </row>
    <row r="1902" spans="9:14" x14ac:dyDescent="0.3">
      <c r="I1902" s="7"/>
      <c r="J1902" s="9"/>
      <c r="K1902" s="9"/>
      <c r="L1902" s="9"/>
      <c r="M1902" s="9"/>
      <c r="N1902" s="4"/>
    </row>
    <row r="1903" spans="9:14" x14ac:dyDescent="0.3">
      <c r="I1903" s="7"/>
      <c r="J1903" s="9"/>
      <c r="K1903" s="9"/>
      <c r="L1903" s="9"/>
      <c r="M1903" s="9"/>
      <c r="N1903" s="4"/>
    </row>
    <row r="1904" spans="9:14" x14ac:dyDescent="0.3">
      <c r="I1904" s="7"/>
      <c r="J1904" s="9"/>
      <c r="K1904" s="9"/>
      <c r="L1904" s="9"/>
      <c r="M1904" s="9"/>
      <c r="N1904" s="4"/>
    </row>
    <row r="1905" spans="9:14" x14ac:dyDescent="0.3">
      <c r="I1905" s="7"/>
      <c r="J1905" s="9"/>
      <c r="K1905" s="9"/>
      <c r="L1905" s="9"/>
      <c r="M1905" s="9"/>
      <c r="N1905" s="4"/>
    </row>
    <row r="1906" spans="9:14" x14ac:dyDescent="0.3">
      <c r="I1906" s="7"/>
      <c r="J1906" s="9"/>
      <c r="K1906" s="9"/>
      <c r="L1906" s="9"/>
      <c r="M1906" s="9"/>
      <c r="N1906" s="4"/>
    </row>
    <row r="1907" spans="9:14" x14ac:dyDescent="0.3">
      <c r="I1907" s="7"/>
      <c r="J1907" s="9"/>
      <c r="K1907" s="9"/>
      <c r="L1907" s="9"/>
      <c r="M1907" s="9"/>
      <c r="N1907" s="4"/>
    </row>
    <row r="1908" spans="9:14" x14ac:dyDescent="0.3">
      <c r="I1908" s="7"/>
      <c r="J1908" s="9"/>
      <c r="K1908" s="9"/>
      <c r="L1908" s="9"/>
      <c r="M1908" s="9"/>
      <c r="N1908" s="4"/>
    </row>
    <row r="1909" spans="9:14" x14ac:dyDescent="0.3">
      <c r="I1909" s="7"/>
      <c r="J1909" s="9"/>
      <c r="K1909" s="9"/>
      <c r="L1909" s="9"/>
      <c r="M1909" s="9"/>
      <c r="N1909" s="4"/>
    </row>
    <row r="1910" spans="9:14" x14ac:dyDescent="0.3">
      <c r="I1910" s="7"/>
      <c r="J1910" s="9"/>
      <c r="K1910" s="9"/>
      <c r="L1910" s="9"/>
      <c r="M1910" s="9"/>
      <c r="N1910" s="4"/>
    </row>
    <row r="1911" spans="9:14" x14ac:dyDescent="0.3">
      <c r="I1911" s="7"/>
      <c r="J1911" s="9"/>
      <c r="K1911" s="9"/>
      <c r="L1911" s="9"/>
      <c r="M1911" s="9"/>
      <c r="N1911" s="4"/>
    </row>
    <row r="1912" spans="9:14" x14ac:dyDescent="0.3">
      <c r="I1912" s="7"/>
      <c r="J1912" s="9"/>
      <c r="K1912" s="9"/>
      <c r="L1912" s="9"/>
      <c r="M1912" s="9"/>
      <c r="N1912" s="4"/>
    </row>
    <row r="1913" spans="9:14" x14ac:dyDescent="0.3">
      <c r="I1913" s="7"/>
      <c r="J1913" s="9"/>
      <c r="K1913" s="9"/>
      <c r="L1913" s="9"/>
      <c r="M1913" s="9"/>
      <c r="N1913" s="4"/>
    </row>
    <row r="1914" spans="9:14" x14ac:dyDescent="0.3">
      <c r="I1914" s="7"/>
      <c r="J1914" s="9"/>
      <c r="K1914" s="9"/>
      <c r="L1914" s="9"/>
      <c r="M1914" s="9"/>
      <c r="N1914" s="4"/>
    </row>
    <row r="1915" spans="9:14" x14ac:dyDescent="0.3">
      <c r="I1915" s="7"/>
      <c r="J1915" s="9"/>
      <c r="K1915" s="9"/>
      <c r="L1915" s="9"/>
      <c r="M1915" s="9"/>
      <c r="N1915" s="4"/>
    </row>
    <row r="1916" spans="9:14" x14ac:dyDescent="0.3">
      <c r="I1916" s="7"/>
      <c r="J1916" s="9"/>
      <c r="K1916" s="9"/>
      <c r="L1916" s="9"/>
      <c r="M1916" s="9"/>
      <c r="N1916" s="4"/>
    </row>
    <row r="1917" spans="9:14" x14ac:dyDescent="0.3">
      <c r="I1917" s="7"/>
      <c r="J1917" s="9"/>
      <c r="K1917" s="9"/>
      <c r="L1917" s="9"/>
      <c r="M1917" s="9"/>
      <c r="N1917" s="4"/>
    </row>
    <row r="1918" spans="9:14" x14ac:dyDescent="0.3">
      <c r="I1918" s="7"/>
      <c r="J1918" s="9"/>
      <c r="K1918" s="9"/>
      <c r="L1918" s="9"/>
      <c r="M1918" s="9"/>
      <c r="N1918" s="4"/>
    </row>
    <row r="1919" spans="9:14" x14ac:dyDescent="0.3">
      <c r="I1919" s="7"/>
      <c r="J1919" s="9"/>
      <c r="K1919" s="9"/>
      <c r="L1919" s="9"/>
      <c r="M1919" s="9"/>
      <c r="N1919" s="4"/>
    </row>
    <row r="1920" spans="9:14" x14ac:dyDescent="0.3">
      <c r="I1920" s="7"/>
      <c r="J1920" s="9"/>
      <c r="K1920" s="9"/>
      <c r="L1920" s="9"/>
      <c r="M1920" s="9"/>
      <c r="N1920" s="4"/>
    </row>
    <row r="1921" spans="9:14" x14ac:dyDescent="0.3">
      <c r="I1921" s="7"/>
      <c r="J1921" s="9"/>
      <c r="K1921" s="9"/>
      <c r="L1921" s="9"/>
      <c r="M1921" s="9"/>
      <c r="N1921" s="4"/>
    </row>
    <row r="1922" spans="9:14" x14ac:dyDescent="0.3">
      <c r="I1922" s="7"/>
      <c r="J1922" s="9"/>
      <c r="K1922" s="9"/>
      <c r="L1922" s="9"/>
      <c r="M1922" s="9"/>
      <c r="N1922" s="4"/>
    </row>
    <row r="1923" spans="9:14" x14ac:dyDescent="0.3">
      <c r="I1923" s="7"/>
      <c r="J1923" s="9"/>
      <c r="K1923" s="9"/>
      <c r="L1923" s="9"/>
      <c r="M1923" s="9"/>
      <c r="N1923" s="4"/>
    </row>
    <row r="1924" spans="9:14" x14ac:dyDescent="0.3">
      <c r="I1924" s="7"/>
      <c r="J1924" s="9"/>
      <c r="K1924" s="9"/>
      <c r="L1924" s="9"/>
      <c r="M1924" s="9"/>
      <c r="N1924" s="4"/>
    </row>
    <row r="1925" spans="9:14" x14ac:dyDescent="0.3">
      <c r="I1925" s="7"/>
      <c r="J1925" s="9"/>
      <c r="K1925" s="9"/>
      <c r="L1925" s="9"/>
      <c r="M1925" s="9"/>
      <c r="N1925" s="4"/>
    </row>
    <row r="1926" spans="9:14" x14ac:dyDescent="0.3">
      <c r="I1926" s="7"/>
      <c r="J1926" s="9"/>
      <c r="K1926" s="9"/>
      <c r="L1926" s="9"/>
      <c r="M1926" s="9"/>
      <c r="N1926" s="4"/>
    </row>
    <row r="1927" spans="9:14" x14ac:dyDescent="0.3">
      <c r="I1927" s="7"/>
      <c r="J1927" s="9"/>
      <c r="K1927" s="9"/>
      <c r="L1927" s="9"/>
      <c r="M1927" s="9"/>
      <c r="N1927" s="4"/>
    </row>
    <row r="1928" spans="9:14" x14ac:dyDescent="0.3">
      <c r="I1928" s="7"/>
      <c r="J1928" s="9"/>
      <c r="K1928" s="9"/>
      <c r="L1928" s="9"/>
      <c r="M1928" s="9"/>
      <c r="N1928" s="4"/>
    </row>
    <row r="1929" spans="9:14" x14ac:dyDescent="0.3">
      <c r="I1929" s="7"/>
      <c r="J1929" s="9"/>
      <c r="K1929" s="9"/>
      <c r="L1929" s="9"/>
      <c r="M1929" s="9"/>
      <c r="N1929" s="4"/>
    </row>
    <row r="1930" spans="9:14" x14ac:dyDescent="0.3">
      <c r="I1930" s="7"/>
      <c r="J1930" s="9"/>
      <c r="K1930" s="9"/>
      <c r="L1930" s="9"/>
      <c r="M1930" s="9"/>
      <c r="N1930" s="4"/>
    </row>
    <row r="1931" spans="9:14" x14ac:dyDescent="0.3">
      <c r="I1931" s="7"/>
      <c r="J1931" s="9"/>
      <c r="K1931" s="9"/>
      <c r="L1931" s="9"/>
      <c r="M1931" s="9"/>
      <c r="N1931" s="4"/>
    </row>
    <row r="1932" spans="9:14" x14ac:dyDescent="0.3">
      <c r="I1932" s="7"/>
      <c r="J1932" s="9"/>
      <c r="K1932" s="9"/>
      <c r="L1932" s="9"/>
      <c r="M1932" s="9"/>
      <c r="N1932" s="4"/>
    </row>
    <row r="1933" spans="9:14" x14ac:dyDescent="0.3">
      <c r="I1933" s="7"/>
      <c r="J1933" s="9"/>
      <c r="K1933" s="9"/>
      <c r="L1933" s="9"/>
      <c r="M1933" s="9"/>
      <c r="N1933" s="4"/>
    </row>
    <row r="1934" spans="9:14" x14ac:dyDescent="0.3">
      <c r="I1934" s="7"/>
      <c r="J1934" s="9"/>
      <c r="K1934" s="9"/>
      <c r="L1934" s="9"/>
      <c r="M1934" s="9"/>
      <c r="N1934" s="4"/>
    </row>
    <row r="1935" spans="9:14" x14ac:dyDescent="0.3">
      <c r="I1935" s="7"/>
      <c r="J1935" s="9"/>
      <c r="K1935" s="9"/>
      <c r="L1935" s="9"/>
      <c r="M1935" s="9"/>
      <c r="N1935" s="4"/>
    </row>
    <row r="1936" spans="9:14" x14ac:dyDescent="0.3">
      <c r="I1936" s="7"/>
      <c r="J1936" s="9"/>
      <c r="K1936" s="9"/>
      <c r="L1936" s="9"/>
      <c r="M1936" s="9"/>
      <c r="N1936" s="4"/>
    </row>
    <row r="1937" spans="9:14" x14ac:dyDescent="0.3">
      <c r="I1937" s="7"/>
      <c r="J1937" s="9"/>
      <c r="K1937" s="9"/>
      <c r="L1937" s="9"/>
      <c r="M1937" s="9"/>
      <c r="N1937" s="4"/>
    </row>
    <row r="1938" spans="9:14" x14ac:dyDescent="0.3">
      <c r="I1938" s="7"/>
      <c r="J1938" s="9"/>
      <c r="K1938" s="9"/>
      <c r="L1938" s="9"/>
      <c r="M1938" s="9"/>
      <c r="N1938" s="4"/>
    </row>
    <row r="1939" spans="9:14" x14ac:dyDescent="0.3">
      <c r="I1939" s="7"/>
      <c r="J1939" s="9"/>
      <c r="K1939" s="9"/>
      <c r="L1939" s="9"/>
      <c r="M1939" s="9"/>
      <c r="N1939" s="4"/>
    </row>
    <row r="1940" spans="9:14" x14ac:dyDescent="0.3">
      <c r="I1940" s="7"/>
      <c r="J1940" s="9"/>
      <c r="K1940" s="9"/>
      <c r="L1940" s="9"/>
      <c r="M1940" s="9"/>
      <c r="N1940" s="4"/>
    </row>
    <row r="1941" spans="9:14" x14ac:dyDescent="0.3">
      <c r="I1941" s="7"/>
      <c r="J1941" s="9"/>
      <c r="K1941" s="9"/>
      <c r="L1941" s="9"/>
      <c r="M1941" s="9"/>
      <c r="N1941" s="4"/>
    </row>
    <row r="1942" spans="9:14" x14ac:dyDescent="0.3">
      <c r="I1942" s="7"/>
      <c r="J1942" s="9"/>
      <c r="K1942" s="9"/>
      <c r="L1942" s="9"/>
      <c r="M1942" s="9"/>
      <c r="N1942" s="4"/>
    </row>
    <row r="1943" spans="9:14" x14ac:dyDescent="0.3">
      <c r="I1943" s="7"/>
      <c r="J1943" s="9"/>
      <c r="K1943" s="9"/>
      <c r="L1943" s="9"/>
      <c r="M1943" s="9"/>
      <c r="N1943" s="4"/>
    </row>
    <row r="1944" spans="9:14" x14ac:dyDescent="0.3">
      <c r="I1944" s="7"/>
      <c r="J1944" s="9"/>
      <c r="K1944" s="9"/>
      <c r="L1944" s="9"/>
      <c r="M1944" s="9"/>
      <c r="N1944" s="4"/>
    </row>
    <row r="1945" spans="9:14" x14ac:dyDescent="0.3">
      <c r="I1945" s="7"/>
      <c r="J1945" s="9"/>
      <c r="K1945" s="9"/>
      <c r="L1945" s="9"/>
      <c r="M1945" s="9"/>
      <c r="N1945" s="4"/>
    </row>
    <row r="1946" spans="9:14" x14ac:dyDescent="0.3">
      <c r="I1946" s="7"/>
      <c r="J1946" s="9"/>
      <c r="K1946" s="9"/>
      <c r="L1946" s="9"/>
      <c r="M1946" s="9"/>
      <c r="N1946" s="4"/>
    </row>
    <row r="1947" spans="9:14" x14ac:dyDescent="0.3">
      <c r="I1947" s="7"/>
      <c r="J1947" s="9"/>
      <c r="K1947" s="9"/>
      <c r="L1947" s="9"/>
      <c r="M1947" s="9"/>
      <c r="N1947" s="4"/>
    </row>
    <row r="1948" spans="9:14" x14ac:dyDescent="0.3">
      <c r="I1948" s="7"/>
      <c r="J1948" s="9"/>
      <c r="K1948" s="9"/>
      <c r="L1948" s="9"/>
      <c r="M1948" s="9"/>
      <c r="N1948" s="4"/>
    </row>
    <row r="1949" spans="9:14" x14ac:dyDescent="0.3">
      <c r="I1949" s="7"/>
      <c r="J1949" s="9"/>
      <c r="K1949" s="9"/>
      <c r="L1949" s="9"/>
      <c r="M1949" s="9"/>
      <c r="N1949" s="4"/>
    </row>
    <row r="1950" spans="9:14" x14ac:dyDescent="0.3">
      <c r="I1950" s="7"/>
      <c r="J1950" s="9"/>
      <c r="K1950" s="9"/>
      <c r="L1950" s="9"/>
      <c r="M1950" s="9"/>
      <c r="N1950" s="4"/>
    </row>
    <row r="1951" spans="9:14" x14ac:dyDescent="0.3">
      <c r="I1951" s="7"/>
      <c r="J1951" s="9"/>
      <c r="K1951" s="9"/>
      <c r="L1951" s="9"/>
      <c r="M1951" s="9"/>
      <c r="N1951" s="4"/>
    </row>
    <row r="1952" spans="9:14" x14ac:dyDescent="0.3">
      <c r="I1952" s="7"/>
      <c r="J1952" s="9"/>
      <c r="K1952" s="9"/>
      <c r="L1952" s="9"/>
      <c r="M1952" s="9"/>
      <c r="N1952" s="4"/>
    </row>
    <row r="1953" spans="9:14" x14ac:dyDescent="0.3">
      <c r="I1953" s="7"/>
      <c r="J1953" s="9"/>
      <c r="K1953" s="9"/>
      <c r="L1953" s="9"/>
      <c r="M1953" s="9"/>
      <c r="N1953" s="4"/>
    </row>
    <row r="1954" spans="9:14" x14ac:dyDescent="0.3">
      <c r="I1954" s="7"/>
      <c r="J1954" s="9"/>
      <c r="K1954" s="9"/>
      <c r="L1954" s="9"/>
      <c r="M1954" s="9"/>
      <c r="N1954" s="4"/>
    </row>
    <row r="1955" spans="9:14" x14ac:dyDescent="0.3">
      <c r="I1955" s="7"/>
      <c r="J1955" s="9"/>
      <c r="K1955" s="9"/>
      <c r="L1955" s="9"/>
      <c r="M1955" s="9"/>
      <c r="N1955" s="4"/>
    </row>
    <row r="1956" spans="9:14" x14ac:dyDescent="0.3">
      <c r="I1956" s="7"/>
      <c r="J1956" s="9"/>
      <c r="K1956" s="9"/>
      <c r="L1956" s="9"/>
      <c r="M1956" s="9"/>
      <c r="N1956" s="4"/>
    </row>
    <row r="1957" spans="9:14" x14ac:dyDescent="0.3">
      <c r="I1957" s="7"/>
      <c r="J1957" s="9"/>
      <c r="K1957" s="9"/>
      <c r="L1957" s="9"/>
      <c r="M1957" s="9"/>
      <c r="N1957" s="4"/>
    </row>
    <row r="1958" spans="9:14" x14ac:dyDescent="0.3">
      <c r="I1958" s="7"/>
      <c r="J1958" s="9"/>
      <c r="K1958" s="9"/>
      <c r="L1958" s="9"/>
      <c r="M1958" s="9"/>
      <c r="N1958" s="4"/>
    </row>
    <row r="1959" spans="9:14" x14ac:dyDescent="0.3">
      <c r="I1959" s="7"/>
      <c r="J1959" s="9"/>
      <c r="K1959" s="9"/>
      <c r="L1959" s="9"/>
      <c r="M1959" s="9"/>
      <c r="N1959" s="4"/>
    </row>
    <row r="1960" spans="9:14" x14ac:dyDescent="0.3">
      <c r="I1960" s="7"/>
      <c r="J1960" s="9"/>
      <c r="K1960" s="9"/>
      <c r="L1960" s="9"/>
      <c r="M1960" s="9"/>
      <c r="N1960" s="4"/>
    </row>
    <row r="1961" spans="9:14" x14ac:dyDescent="0.3">
      <c r="I1961" s="7"/>
      <c r="J1961" s="9"/>
      <c r="K1961" s="9"/>
      <c r="L1961" s="9"/>
      <c r="M1961" s="9"/>
      <c r="N1961" s="4"/>
    </row>
    <row r="1962" spans="9:14" x14ac:dyDescent="0.3">
      <c r="I1962" s="7"/>
      <c r="J1962" s="9"/>
      <c r="K1962" s="9"/>
      <c r="L1962" s="9"/>
      <c r="M1962" s="9"/>
      <c r="N1962" s="4"/>
    </row>
    <row r="1963" spans="9:14" x14ac:dyDescent="0.3">
      <c r="I1963" s="7"/>
      <c r="J1963" s="9"/>
      <c r="K1963" s="9"/>
      <c r="L1963" s="9"/>
      <c r="M1963" s="9"/>
      <c r="N1963" s="4"/>
    </row>
    <row r="1964" spans="9:14" x14ac:dyDescent="0.3">
      <c r="I1964" s="7"/>
      <c r="J1964" s="9"/>
      <c r="K1964" s="9"/>
      <c r="L1964" s="9"/>
      <c r="M1964" s="9"/>
      <c r="N1964" s="4"/>
    </row>
    <row r="1965" spans="9:14" x14ac:dyDescent="0.3">
      <c r="I1965" s="7"/>
      <c r="J1965" s="9"/>
      <c r="K1965" s="9"/>
      <c r="L1965" s="9"/>
      <c r="M1965" s="9"/>
      <c r="N1965" s="4"/>
    </row>
    <row r="1966" spans="9:14" x14ac:dyDescent="0.3">
      <c r="I1966" s="7"/>
      <c r="J1966" s="9"/>
      <c r="K1966" s="9"/>
      <c r="L1966" s="9"/>
      <c r="M1966" s="9"/>
      <c r="N1966" s="4"/>
    </row>
    <row r="1967" spans="9:14" x14ac:dyDescent="0.3">
      <c r="I1967" s="7"/>
      <c r="J1967" s="9"/>
      <c r="K1967" s="9"/>
      <c r="L1967" s="9"/>
      <c r="M1967" s="9"/>
      <c r="N1967" s="4"/>
    </row>
    <row r="1968" spans="9:14" x14ac:dyDescent="0.3">
      <c r="I1968" s="7"/>
      <c r="J1968" s="9"/>
      <c r="K1968" s="9"/>
      <c r="L1968" s="9"/>
      <c r="M1968" s="9"/>
      <c r="N1968" s="4"/>
    </row>
    <row r="1969" spans="9:14" x14ac:dyDescent="0.3">
      <c r="I1969" s="7"/>
      <c r="J1969" s="9"/>
      <c r="K1969" s="9"/>
      <c r="L1969" s="9"/>
      <c r="M1969" s="9"/>
      <c r="N1969" s="4"/>
    </row>
    <row r="1970" spans="9:14" x14ac:dyDescent="0.3">
      <c r="I1970" s="7"/>
      <c r="J1970" s="9"/>
      <c r="K1970" s="9"/>
      <c r="L1970" s="9"/>
      <c r="M1970" s="9"/>
      <c r="N1970" s="4"/>
    </row>
    <row r="1971" spans="9:14" x14ac:dyDescent="0.3">
      <c r="I1971" s="7"/>
      <c r="J1971" s="9"/>
      <c r="K1971" s="9"/>
      <c r="L1971" s="9"/>
      <c r="M1971" s="9"/>
      <c r="N1971" s="4"/>
    </row>
    <row r="1972" spans="9:14" x14ac:dyDescent="0.3">
      <c r="I1972" s="7"/>
      <c r="J1972" s="9"/>
      <c r="K1972" s="9"/>
      <c r="L1972" s="9"/>
      <c r="M1972" s="9"/>
      <c r="N1972" s="4"/>
    </row>
    <row r="1973" spans="9:14" x14ac:dyDescent="0.3">
      <c r="I1973" s="7"/>
      <c r="J1973" s="9"/>
      <c r="K1973" s="9"/>
      <c r="L1973" s="9"/>
      <c r="M1973" s="9"/>
      <c r="N1973" s="4"/>
    </row>
    <row r="1974" spans="9:14" x14ac:dyDescent="0.3">
      <c r="I1974" s="7"/>
      <c r="J1974" s="9"/>
      <c r="K1974" s="9"/>
      <c r="L1974" s="9"/>
      <c r="M1974" s="9"/>
      <c r="N1974" s="4"/>
    </row>
    <row r="1975" spans="9:14" x14ac:dyDescent="0.3">
      <c r="I1975" s="7"/>
      <c r="J1975" s="9"/>
      <c r="K1975" s="9"/>
      <c r="L1975" s="9"/>
      <c r="M1975" s="9"/>
      <c r="N1975" s="4"/>
    </row>
    <row r="1976" spans="9:14" x14ac:dyDescent="0.3">
      <c r="I1976" s="7"/>
      <c r="J1976" s="9"/>
      <c r="K1976" s="9"/>
      <c r="L1976" s="9"/>
      <c r="M1976" s="9"/>
      <c r="N1976" s="4"/>
    </row>
    <row r="1977" spans="9:14" x14ac:dyDescent="0.3">
      <c r="I1977" s="7"/>
      <c r="J1977" s="9"/>
      <c r="K1977" s="9"/>
      <c r="L1977" s="9"/>
      <c r="M1977" s="9"/>
      <c r="N1977" s="4"/>
    </row>
    <row r="1978" spans="9:14" x14ac:dyDescent="0.3">
      <c r="I1978" s="7"/>
      <c r="J1978" s="9"/>
      <c r="K1978" s="9"/>
      <c r="L1978" s="9"/>
      <c r="M1978" s="9"/>
      <c r="N1978" s="4"/>
    </row>
    <row r="1979" spans="9:14" x14ac:dyDescent="0.3">
      <c r="I1979" s="7"/>
      <c r="J1979" s="9"/>
      <c r="K1979" s="9"/>
      <c r="L1979" s="9"/>
      <c r="M1979" s="9"/>
      <c r="N1979" s="4"/>
    </row>
    <row r="1980" spans="9:14" x14ac:dyDescent="0.3">
      <c r="I1980" s="7"/>
      <c r="J1980" s="9"/>
      <c r="K1980" s="9"/>
      <c r="L1980" s="9"/>
      <c r="M1980" s="9"/>
      <c r="N1980" s="4"/>
    </row>
    <row r="1981" spans="9:14" x14ac:dyDescent="0.3">
      <c r="I1981" s="7"/>
      <c r="J1981" s="9"/>
      <c r="K1981" s="9"/>
      <c r="L1981" s="9"/>
      <c r="M1981" s="9"/>
      <c r="N1981" s="4"/>
    </row>
    <row r="1982" spans="9:14" x14ac:dyDescent="0.3">
      <c r="I1982" s="7"/>
      <c r="J1982" s="9"/>
      <c r="K1982" s="9"/>
      <c r="L1982" s="9"/>
      <c r="M1982" s="9"/>
      <c r="N1982" s="4"/>
    </row>
    <row r="1983" spans="9:14" x14ac:dyDescent="0.3">
      <c r="I1983" s="7"/>
      <c r="J1983" s="9"/>
      <c r="K1983" s="9"/>
      <c r="L1983" s="9"/>
      <c r="M1983" s="9"/>
      <c r="N1983" s="4"/>
    </row>
    <row r="1984" spans="9:14" x14ac:dyDescent="0.3">
      <c r="I1984" s="7"/>
      <c r="J1984" s="9"/>
      <c r="K1984" s="9"/>
      <c r="L1984" s="9"/>
      <c r="M1984" s="9"/>
      <c r="N1984" s="4"/>
    </row>
    <row r="1985" spans="9:14" x14ac:dyDescent="0.3">
      <c r="I1985" s="7"/>
      <c r="J1985" s="9"/>
      <c r="K1985" s="9"/>
      <c r="L1985" s="9"/>
      <c r="M1985" s="9"/>
      <c r="N1985" s="4"/>
    </row>
    <row r="1986" spans="9:14" x14ac:dyDescent="0.3">
      <c r="I1986" s="7"/>
      <c r="J1986" s="9"/>
      <c r="K1986" s="9"/>
      <c r="L1986" s="9"/>
      <c r="M1986" s="9"/>
      <c r="N1986" s="4"/>
    </row>
    <row r="1987" spans="9:14" x14ac:dyDescent="0.3">
      <c r="I1987" s="7"/>
      <c r="J1987" s="9"/>
      <c r="K1987" s="9"/>
      <c r="L1987" s="9"/>
      <c r="M1987" s="9"/>
      <c r="N1987" s="4"/>
    </row>
    <row r="1988" spans="9:14" x14ac:dyDescent="0.3">
      <c r="I1988" s="7"/>
      <c r="J1988" s="9"/>
      <c r="K1988" s="9"/>
      <c r="L1988" s="9"/>
      <c r="M1988" s="9"/>
      <c r="N1988" s="4"/>
    </row>
    <row r="1989" spans="9:14" x14ac:dyDescent="0.3">
      <c r="I1989" s="7"/>
      <c r="J1989" s="9"/>
      <c r="K1989" s="9"/>
      <c r="L1989" s="9"/>
      <c r="M1989" s="9"/>
      <c r="N1989" s="4"/>
    </row>
    <row r="1990" spans="9:14" x14ac:dyDescent="0.3">
      <c r="I1990" s="7"/>
      <c r="J1990" s="9"/>
      <c r="K1990" s="9"/>
      <c r="L1990" s="9"/>
      <c r="M1990" s="9"/>
      <c r="N1990" s="4"/>
    </row>
    <row r="1991" spans="9:14" x14ac:dyDescent="0.3">
      <c r="I1991" s="7"/>
      <c r="J1991" s="9"/>
      <c r="K1991" s="9"/>
      <c r="L1991" s="9"/>
      <c r="M1991" s="9"/>
      <c r="N1991" s="4"/>
    </row>
    <row r="1992" spans="9:14" x14ac:dyDescent="0.3">
      <c r="I1992" s="7"/>
      <c r="J1992" s="9"/>
      <c r="K1992" s="9"/>
      <c r="L1992" s="9"/>
      <c r="M1992" s="9"/>
      <c r="N1992" s="4"/>
    </row>
    <row r="1993" spans="9:14" x14ac:dyDescent="0.3">
      <c r="I1993" s="7"/>
      <c r="J1993" s="9"/>
      <c r="K1993" s="9"/>
      <c r="L1993" s="9"/>
      <c r="M1993" s="9"/>
      <c r="N1993" s="4"/>
    </row>
    <row r="1994" spans="9:14" x14ac:dyDescent="0.3">
      <c r="I1994" s="7"/>
      <c r="J1994" s="9"/>
      <c r="K1994" s="9"/>
      <c r="L1994" s="9"/>
      <c r="M1994" s="9"/>
      <c r="N1994" s="4"/>
    </row>
    <row r="1995" spans="9:14" x14ac:dyDescent="0.3">
      <c r="I1995" s="7"/>
      <c r="J1995" s="9"/>
      <c r="K1995" s="9"/>
      <c r="L1995" s="9"/>
      <c r="M1995" s="9"/>
      <c r="N1995" s="4"/>
    </row>
    <row r="1996" spans="9:14" x14ac:dyDescent="0.3">
      <c r="I1996" s="7"/>
      <c r="J1996" s="9"/>
      <c r="K1996" s="9"/>
      <c r="L1996" s="9"/>
      <c r="M1996" s="9"/>
      <c r="N1996" s="4"/>
    </row>
    <row r="1997" spans="9:14" x14ac:dyDescent="0.3">
      <c r="I1997" s="7"/>
      <c r="J1997" s="9"/>
      <c r="K1997" s="9"/>
      <c r="L1997" s="9"/>
      <c r="M1997" s="9"/>
      <c r="N1997" s="4"/>
    </row>
    <row r="1998" spans="9:14" x14ac:dyDescent="0.3">
      <c r="I1998" s="7"/>
      <c r="J1998" s="9"/>
      <c r="K1998" s="9"/>
      <c r="L1998" s="9"/>
      <c r="M1998" s="9"/>
      <c r="N1998" s="4"/>
    </row>
    <row r="1999" spans="9:14" x14ac:dyDescent="0.3">
      <c r="I1999" s="7"/>
      <c r="J1999" s="9"/>
      <c r="K1999" s="9"/>
      <c r="L1999" s="9"/>
      <c r="M1999" s="9"/>
      <c r="N1999" s="4"/>
    </row>
    <row r="2000" spans="9:14" x14ac:dyDescent="0.3">
      <c r="I2000" s="7"/>
      <c r="J2000" s="9"/>
      <c r="K2000" s="9"/>
      <c r="L2000" s="9"/>
      <c r="M2000" s="9"/>
      <c r="N2000" s="4"/>
    </row>
    <row r="2001" spans="9:14" x14ac:dyDescent="0.3">
      <c r="I2001" s="7"/>
      <c r="J2001" s="9"/>
      <c r="K2001" s="9"/>
      <c r="L2001" s="9"/>
      <c r="M2001" s="9"/>
      <c r="N2001" s="4"/>
    </row>
    <row r="2002" spans="9:14" x14ac:dyDescent="0.3">
      <c r="I2002" s="7"/>
      <c r="J2002" s="9"/>
      <c r="K2002" s="9"/>
      <c r="L2002" s="9"/>
      <c r="M2002" s="9"/>
      <c r="N2002" s="4"/>
    </row>
    <row r="2003" spans="9:14" x14ac:dyDescent="0.3">
      <c r="I2003" s="7"/>
      <c r="J2003" s="9"/>
      <c r="K2003" s="9"/>
      <c r="L2003" s="9"/>
      <c r="M2003" s="9"/>
      <c r="N2003" s="4"/>
    </row>
    <row r="2004" spans="9:14" x14ac:dyDescent="0.3">
      <c r="I2004" s="7"/>
      <c r="J2004" s="9"/>
      <c r="K2004" s="9"/>
      <c r="L2004" s="9"/>
      <c r="M2004" s="9"/>
      <c r="N2004" s="4"/>
    </row>
    <row r="2005" spans="9:14" x14ac:dyDescent="0.3">
      <c r="I2005" s="7"/>
      <c r="J2005" s="9"/>
      <c r="K2005" s="9"/>
      <c r="L2005" s="9"/>
      <c r="M2005" s="9"/>
      <c r="N2005" s="4"/>
    </row>
    <row r="2006" spans="9:14" x14ac:dyDescent="0.3">
      <c r="I2006" s="7"/>
      <c r="J2006" s="9"/>
      <c r="K2006" s="9"/>
      <c r="L2006" s="9"/>
      <c r="M2006" s="9"/>
      <c r="N2006" s="4"/>
    </row>
    <row r="2007" spans="9:14" x14ac:dyDescent="0.3">
      <c r="I2007" s="7"/>
      <c r="J2007" s="9"/>
      <c r="K2007" s="9"/>
      <c r="L2007" s="9"/>
      <c r="M2007" s="9"/>
      <c r="N2007" s="4"/>
    </row>
    <row r="2008" spans="9:14" x14ac:dyDescent="0.3">
      <c r="I2008" s="7"/>
      <c r="J2008" s="9"/>
      <c r="K2008" s="9"/>
      <c r="L2008" s="9"/>
      <c r="M2008" s="9"/>
      <c r="N2008" s="4"/>
    </row>
    <row r="2009" spans="9:14" x14ac:dyDescent="0.3">
      <c r="I2009" s="7"/>
      <c r="J2009" s="9"/>
      <c r="K2009" s="9"/>
      <c r="L2009" s="9"/>
      <c r="M2009" s="9"/>
      <c r="N2009" s="4"/>
    </row>
    <row r="2010" spans="9:14" x14ac:dyDescent="0.3">
      <c r="I2010" s="7"/>
      <c r="J2010" s="9"/>
      <c r="K2010" s="9"/>
      <c r="L2010" s="9"/>
      <c r="M2010" s="9"/>
      <c r="N2010" s="4"/>
    </row>
    <row r="2011" spans="9:14" x14ac:dyDescent="0.3">
      <c r="I2011" s="7"/>
      <c r="J2011" s="9"/>
      <c r="K2011" s="9"/>
      <c r="L2011" s="9"/>
      <c r="M2011" s="9"/>
      <c r="N2011" s="4"/>
    </row>
    <row r="2012" spans="9:14" x14ac:dyDescent="0.3">
      <c r="I2012" s="7"/>
      <c r="J2012" s="9"/>
      <c r="K2012" s="9"/>
      <c r="L2012" s="9"/>
      <c r="M2012" s="9"/>
      <c r="N2012" s="4"/>
    </row>
    <row r="2013" spans="9:14" x14ac:dyDescent="0.3">
      <c r="I2013" s="7"/>
      <c r="J2013" s="9"/>
      <c r="K2013" s="9"/>
      <c r="L2013" s="9"/>
      <c r="M2013" s="9"/>
      <c r="N2013" s="4"/>
    </row>
    <row r="2014" spans="9:14" x14ac:dyDescent="0.3">
      <c r="I2014" s="7"/>
      <c r="J2014" s="9"/>
      <c r="K2014" s="9"/>
      <c r="L2014" s="9"/>
      <c r="M2014" s="9"/>
      <c r="N2014" s="4"/>
    </row>
    <row r="2015" spans="9:14" x14ac:dyDescent="0.3">
      <c r="I2015" s="7"/>
      <c r="J2015" s="9"/>
      <c r="K2015" s="9"/>
      <c r="L2015" s="9"/>
      <c r="M2015" s="9"/>
      <c r="N2015" s="4"/>
    </row>
    <row r="2016" spans="9:14" x14ac:dyDescent="0.3">
      <c r="I2016" s="7"/>
      <c r="J2016" s="9"/>
      <c r="K2016" s="9"/>
      <c r="L2016" s="9"/>
      <c r="M2016" s="9"/>
      <c r="N2016" s="4"/>
    </row>
    <row r="2017" spans="9:14" x14ac:dyDescent="0.3">
      <c r="I2017" s="7"/>
      <c r="J2017" s="9"/>
      <c r="K2017" s="9"/>
      <c r="L2017" s="9"/>
      <c r="M2017" s="9"/>
      <c r="N2017" s="4"/>
    </row>
    <row r="2018" spans="9:14" x14ac:dyDescent="0.3">
      <c r="I2018" s="7"/>
      <c r="J2018" s="9"/>
      <c r="K2018" s="9"/>
      <c r="L2018" s="9"/>
      <c r="M2018" s="9"/>
      <c r="N2018" s="4"/>
    </row>
    <row r="2019" spans="9:14" x14ac:dyDescent="0.3">
      <c r="I2019" s="7"/>
      <c r="J2019" s="9"/>
      <c r="K2019" s="9"/>
      <c r="L2019" s="9"/>
      <c r="M2019" s="9"/>
      <c r="N2019" s="4"/>
    </row>
    <row r="2020" spans="9:14" x14ac:dyDescent="0.3">
      <c r="I2020" s="7"/>
      <c r="J2020" s="9"/>
      <c r="K2020" s="9"/>
      <c r="L2020" s="9"/>
      <c r="M2020" s="9"/>
      <c r="N2020" s="4"/>
    </row>
    <row r="2021" spans="9:14" x14ac:dyDescent="0.3">
      <c r="I2021" s="7"/>
      <c r="J2021" s="9"/>
      <c r="K2021" s="9"/>
      <c r="L2021" s="9"/>
      <c r="M2021" s="9"/>
      <c r="N2021" s="4"/>
    </row>
    <row r="2022" spans="9:14" x14ac:dyDescent="0.3">
      <c r="I2022" s="7"/>
      <c r="J2022" s="9"/>
      <c r="K2022" s="9"/>
      <c r="L2022" s="9"/>
      <c r="M2022" s="9"/>
      <c r="N2022" s="4"/>
    </row>
    <row r="2023" spans="9:14" x14ac:dyDescent="0.3">
      <c r="I2023" s="7"/>
      <c r="J2023" s="9"/>
      <c r="K2023" s="9"/>
      <c r="L2023" s="9"/>
      <c r="M2023" s="9"/>
      <c r="N2023" s="4"/>
    </row>
    <row r="2024" spans="9:14" x14ac:dyDescent="0.3">
      <c r="I2024" s="7"/>
      <c r="J2024" s="9"/>
      <c r="K2024" s="9"/>
      <c r="L2024" s="9"/>
      <c r="M2024" s="9"/>
      <c r="N2024" s="4"/>
    </row>
    <row r="2025" spans="9:14" x14ac:dyDescent="0.3">
      <c r="I2025" s="7"/>
      <c r="J2025" s="9"/>
      <c r="K2025" s="9"/>
      <c r="L2025" s="9"/>
      <c r="M2025" s="9"/>
      <c r="N2025" s="4"/>
    </row>
    <row r="2026" spans="9:14" x14ac:dyDescent="0.3">
      <c r="I2026" s="7"/>
      <c r="J2026" s="9"/>
      <c r="K2026" s="9"/>
      <c r="L2026" s="9"/>
      <c r="M2026" s="9"/>
      <c r="N2026" s="4"/>
    </row>
    <row r="2027" spans="9:14" x14ac:dyDescent="0.3">
      <c r="I2027" s="7"/>
      <c r="J2027" s="9"/>
      <c r="K2027" s="9"/>
      <c r="L2027" s="9"/>
      <c r="M2027" s="9"/>
      <c r="N2027" s="4"/>
    </row>
    <row r="2028" spans="9:14" x14ac:dyDescent="0.3">
      <c r="I2028" s="7"/>
      <c r="J2028" s="9"/>
      <c r="K2028" s="9"/>
      <c r="L2028" s="9"/>
      <c r="M2028" s="9"/>
      <c r="N2028" s="4"/>
    </row>
    <row r="2029" spans="9:14" x14ac:dyDescent="0.3">
      <c r="I2029" s="7"/>
      <c r="J2029" s="9"/>
      <c r="K2029" s="9"/>
      <c r="L2029" s="9"/>
      <c r="M2029" s="9"/>
      <c r="N2029" s="4"/>
    </row>
    <row r="2030" spans="9:14" x14ac:dyDescent="0.3">
      <c r="I2030" s="7"/>
      <c r="J2030" s="9"/>
      <c r="K2030" s="9"/>
      <c r="L2030" s="9"/>
      <c r="M2030" s="9"/>
      <c r="N2030" s="4"/>
    </row>
    <row r="2031" spans="9:14" x14ac:dyDescent="0.3">
      <c r="I2031" s="7"/>
      <c r="J2031" s="9"/>
      <c r="K2031" s="9"/>
      <c r="L2031" s="9"/>
      <c r="M2031" s="9"/>
      <c r="N2031" s="4"/>
    </row>
    <row r="2032" spans="9:14" x14ac:dyDescent="0.3">
      <c r="I2032" s="7"/>
      <c r="J2032" s="9"/>
      <c r="K2032" s="9"/>
      <c r="L2032" s="9"/>
      <c r="M2032" s="9"/>
      <c r="N2032" s="4"/>
    </row>
    <row r="2033" spans="9:14" x14ac:dyDescent="0.3">
      <c r="I2033" s="7"/>
      <c r="J2033" s="9"/>
      <c r="K2033" s="9"/>
      <c r="L2033" s="9"/>
      <c r="M2033" s="9"/>
      <c r="N2033" s="4"/>
    </row>
    <row r="2034" spans="9:14" x14ac:dyDescent="0.3">
      <c r="I2034" s="7"/>
      <c r="J2034" s="9"/>
      <c r="K2034" s="9"/>
      <c r="L2034" s="9"/>
      <c r="M2034" s="9"/>
      <c r="N2034" s="4"/>
    </row>
    <row r="2035" spans="9:14" x14ac:dyDescent="0.3">
      <c r="I2035" s="7"/>
      <c r="J2035" s="9"/>
      <c r="K2035" s="9"/>
      <c r="L2035" s="9"/>
      <c r="M2035" s="9"/>
      <c r="N2035" s="4"/>
    </row>
    <row r="2036" spans="9:14" x14ac:dyDescent="0.3">
      <c r="I2036" s="7"/>
      <c r="J2036" s="9"/>
      <c r="K2036" s="9"/>
      <c r="L2036" s="9"/>
      <c r="M2036" s="9"/>
      <c r="N2036" s="4"/>
    </row>
    <row r="2037" spans="9:14" x14ac:dyDescent="0.3">
      <c r="I2037" s="7"/>
      <c r="J2037" s="9"/>
      <c r="K2037" s="9"/>
      <c r="L2037" s="9"/>
      <c r="M2037" s="9"/>
      <c r="N2037" s="4"/>
    </row>
    <row r="2038" spans="9:14" x14ac:dyDescent="0.3">
      <c r="I2038" s="7"/>
      <c r="J2038" s="9"/>
      <c r="K2038" s="9"/>
      <c r="L2038" s="9"/>
      <c r="M2038" s="9"/>
      <c r="N2038" s="4"/>
    </row>
    <row r="2039" spans="9:14" x14ac:dyDescent="0.3">
      <c r="I2039" s="7"/>
      <c r="J2039" s="9"/>
      <c r="K2039" s="9"/>
      <c r="L2039" s="9"/>
      <c r="M2039" s="9"/>
      <c r="N2039" s="4"/>
    </row>
    <row r="2040" spans="9:14" x14ac:dyDescent="0.3">
      <c r="I2040" s="7"/>
      <c r="J2040" s="9"/>
      <c r="K2040" s="9"/>
      <c r="L2040" s="9"/>
      <c r="M2040" s="9"/>
      <c r="N2040" s="4"/>
    </row>
    <row r="2041" spans="9:14" x14ac:dyDescent="0.3">
      <c r="I2041" s="7"/>
      <c r="J2041" s="9"/>
      <c r="K2041" s="9"/>
      <c r="L2041" s="9"/>
      <c r="M2041" s="9"/>
      <c r="N2041" s="4"/>
    </row>
    <row r="2042" spans="9:14" x14ac:dyDescent="0.3">
      <c r="I2042" s="7"/>
      <c r="J2042" s="9"/>
      <c r="K2042" s="9"/>
      <c r="L2042" s="9"/>
      <c r="M2042" s="9"/>
      <c r="N2042" s="4"/>
    </row>
    <row r="2043" spans="9:14" x14ac:dyDescent="0.3">
      <c r="I2043" s="7"/>
      <c r="J2043" s="9"/>
      <c r="K2043" s="9"/>
      <c r="L2043" s="9"/>
      <c r="M2043" s="9"/>
      <c r="N2043" s="4"/>
    </row>
    <row r="2044" spans="9:14" x14ac:dyDescent="0.3">
      <c r="I2044" s="7"/>
      <c r="J2044" s="9"/>
      <c r="K2044" s="9"/>
      <c r="L2044" s="9"/>
      <c r="M2044" s="9"/>
      <c r="N2044" s="4"/>
    </row>
    <row r="2045" spans="9:14" x14ac:dyDescent="0.3">
      <c r="I2045" s="7"/>
      <c r="J2045" s="9"/>
      <c r="K2045" s="9"/>
      <c r="L2045" s="9"/>
      <c r="M2045" s="9"/>
      <c r="N2045" s="4"/>
    </row>
    <row r="2046" spans="9:14" x14ac:dyDescent="0.3">
      <c r="I2046" s="7"/>
      <c r="J2046" s="9"/>
      <c r="K2046" s="9"/>
      <c r="L2046" s="9"/>
      <c r="M2046" s="9"/>
      <c r="N2046" s="4"/>
    </row>
    <row r="2047" spans="9:14" x14ac:dyDescent="0.3">
      <c r="I2047" s="7"/>
      <c r="J2047" s="9"/>
      <c r="K2047" s="9"/>
      <c r="L2047" s="9"/>
      <c r="M2047" s="9"/>
      <c r="N2047" s="4"/>
    </row>
    <row r="2048" spans="9:14" x14ac:dyDescent="0.3">
      <c r="I2048" s="7"/>
      <c r="J2048" s="9"/>
      <c r="K2048" s="9"/>
      <c r="L2048" s="9"/>
      <c r="M2048" s="9"/>
      <c r="N2048" s="4"/>
    </row>
    <row r="2049" spans="9:14" x14ac:dyDescent="0.3">
      <c r="I2049" s="7"/>
      <c r="J2049" s="9"/>
      <c r="K2049" s="9"/>
      <c r="L2049" s="9"/>
      <c r="M2049" s="9"/>
      <c r="N2049" s="4"/>
    </row>
    <row r="2050" spans="9:14" x14ac:dyDescent="0.3">
      <c r="I2050" s="7"/>
      <c r="J2050" s="9"/>
      <c r="K2050" s="9"/>
      <c r="L2050" s="9"/>
      <c r="M2050" s="9"/>
      <c r="N2050" s="4"/>
    </row>
    <row r="2051" spans="9:14" x14ac:dyDescent="0.3">
      <c r="I2051" s="7"/>
      <c r="J2051" s="9"/>
      <c r="K2051" s="9"/>
      <c r="L2051" s="9"/>
      <c r="M2051" s="9"/>
      <c r="N2051" s="4"/>
    </row>
    <row r="2052" spans="9:14" x14ac:dyDescent="0.3">
      <c r="I2052" s="7"/>
      <c r="J2052" s="9"/>
      <c r="K2052" s="9"/>
      <c r="L2052" s="9"/>
      <c r="M2052" s="9"/>
      <c r="N2052" s="4"/>
    </row>
    <row r="2053" spans="9:14" x14ac:dyDescent="0.3">
      <c r="I2053" s="7"/>
      <c r="J2053" s="9"/>
      <c r="K2053" s="9"/>
      <c r="L2053" s="9"/>
      <c r="M2053" s="9"/>
      <c r="N2053" s="4"/>
    </row>
    <row r="2054" spans="9:14" x14ac:dyDescent="0.3">
      <c r="I2054" s="7"/>
      <c r="J2054" s="9"/>
      <c r="K2054" s="9"/>
      <c r="L2054" s="9"/>
      <c r="M2054" s="9"/>
      <c r="N2054" s="4"/>
    </row>
    <row r="2055" spans="9:14" x14ac:dyDescent="0.3">
      <c r="I2055" s="7"/>
      <c r="J2055" s="9"/>
      <c r="K2055" s="9"/>
      <c r="L2055" s="9"/>
      <c r="M2055" s="9"/>
      <c r="N2055" s="4"/>
    </row>
    <row r="2056" spans="9:14" x14ac:dyDescent="0.3">
      <c r="I2056" s="7"/>
      <c r="J2056" s="9"/>
      <c r="K2056" s="9"/>
      <c r="L2056" s="9"/>
      <c r="M2056" s="9"/>
      <c r="N2056" s="4"/>
    </row>
    <row r="2057" spans="9:14" x14ac:dyDescent="0.3">
      <c r="I2057" s="7"/>
      <c r="J2057" s="9"/>
      <c r="K2057" s="9"/>
      <c r="L2057" s="9"/>
      <c r="M2057" s="9"/>
      <c r="N2057" s="4"/>
    </row>
    <row r="2058" spans="9:14" x14ac:dyDescent="0.3">
      <c r="I2058" s="7"/>
      <c r="J2058" s="9"/>
      <c r="K2058" s="9"/>
      <c r="L2058" s="9"/>
      <c r="M2058" s="9"/>
      <c r="N2058" s="4"/>
    </row>
    <row r="2059" spans="9:14" x14ac:dyDescent="0.3">
      <c r="I2059" s="7"/>
      <c r="J2059" s="9"/>
      <c r="K2059" s="9"/>
      <c r="L2059" s="9"/>
      <c r="M2059" s="9"/>
      <c r="N2059" s="4"/>
    </row>
    <row r="2060" spans="9:14" x14ac:dyDescent="0.3">
      <c r="I2060" s="7"/>
      <c r="J2060" s="9"/>
      <c r="K2060" s="9"/>
      <c r="L2060" s="9"/>
      <c r="M2060" s="9"/>
      <c r="N2060" s="4"/>
    </row>
    <row r="2061" spans="9:14" x14ac:dyDescent="0.3">
      <c r="I2061" s="7"/>
      <c r="J2061" s="9"/>
      <c r="K2061" s="9"/>
      <c r="L2061" s="9"/>
      <c r="M2061" s="9"/>
      <c r="N2061" s="4"/>
    </row>
    <row r="2062" spans="9:14" x14ac:dyDescent="0.3">
      <c r="I2062" s="7"/>
      <c r="J2062" s="9"/>
      <c r="K2062" s="9"/>
      <c r="L2062" s="9"/>
      <c r="M2062" s="9"/>
      <c r="N2062" s="4"/>
    </row>
    <row r="2063" spans="9:14" x14ac:dyDescent="0.3">
      <c r="I2063" s="7"/>
      <c r="J2063" s="9"/>
      <c r="K2063" s="9"/>
      <c r="L2063" s="9"/>
      <c r="M2063" s="9"/>
      <c r="N2063" s="4"/>
    </row>
    <row r="2064" spans="9:14" x14ac:dyDescent="0.3">
      <c r="I2064" s="7"/>
      <c r="J2064" s="9"/>
      <c r="K2064" s="9"/>
      <c r="L2064" s="9"/>
      <c r="M2064" s="9"/>
      <c r="N2064" s="4"/>
    </row>
    <row r="2065" spans="9:14" x14ac:dyDescent="0.3">
      <c r="I2065" s="7"/>
      <c r="J2065" s="9"/>
      <c r="K2065" s="9"/>
      <c r="L2065" s="9"/>
      <c r="M2065" s="9"/>
      <c r="N2065" s="4"/>
    </row>
    <row r="2066" spans="9:14" x14ac:dyDescent="0.3">
      <c r="I2066" s="7"/>
      <c r="J2066" s="9"/>
      <c r="K2066" s="9"/>
      <c r="L2066" s="9"/>
      <c r="M2066" s="9"/>
      <c r="N2066" s="4"/>
    </row>
    <row r="2067" spans="9:14" x14ac:dyDescent="0.3">
      <c r="I2067" s="7"/>
      <c r="J2067" s="9"/>
      <c r="K2067" s="9"/>
      <c r="L2067" s="9"/>
      <c r="M2067" s="9"/>
      <c r="N2067" s="4"/>
    </row>
    <row r="2068" spans="9:14" x14ac:dyDescent="0.3">
      <c r="I2068" s="7"/>
      <c r="J2068" s="9"/>
      <c r="K2068" s="9"/>
      <c r="L2068" s="9"/>
      <c r="M2068" s="9"/>
      <c r="N2068" s="4"/>
    </row>
    <row r="2069" spans="9:14" x14ac:dyDescent="0.3">
      <c r="I2069" s="7"/>
      <c r="J2069" s="9"/>
      <c r="K2069" s="9"/>
      <c r="L2069" s="9"/>
      <c r="M2069" s="9"/>
      <c r="N2069" s="4"/>
    </row>
    <row r="2070" spans="9:14" x14ac:dyDescent="0.3">
      <c r="I2070" s="7"/>
      <c r="J2070" s="9"/>
      <c r="K2070" s="9"/>
      <c r="L2070" s="9"/>
      <c r="M2070" s="9"/>
      <c r="N2070" s="4"/>
    </row>
    <row r="2071" spans="9:14" x14ac:dyDescent="0.3">
      <c r="I2071" s="7"/>
      <c r="J2071" s="9"/>
      <c r="K2071" s="9"/>
      <c r="L2071" s="9"/>
      <c r="M2071" s="9"/>
      <c r="N2071" s="4"/>
    </row>
    <row r="2072" spans="9:14" x14ac:dyDescent="0.3">
      <c r="I2072" s="7"/>
      <c r="J2072" s="9"/>
      <c r="K2072" s="9"/>
      <c r="L2072" s="9"/>
      <c r="M2072" s="9"/>
      <c r="N2072" s="4"/>
    </row>
    <row r="2073" spans="9:14" x14ac:dyDescent="0.3">
      <c r="I2073" s="7"/>
      <c r="J2073" s="9"/>
      <c r="K2073" s="9"/>
      <c r="L2073" s="9"/>
      <c r="M2073" s="9"/>
      <c r="N2073" s="4"/>
    </row>
    <row r="2074" spans="9:14" x14ac:dyDescent="0.3">
      <c r="I2074" s="7"/>
      <c r="J2074" s="9"/>
      <c r="K2074" s="9"/>
      <c r="L2074" s="9"/>
      <c r="M2074" s="9"/>
      <c r="N2074" s="4"/>
    </row>
    <row r="2075" spans="9:14" x14ac:dyDescent="0.3">
      <c r="I2075" s="7"/>
      <c r="J2075" s="9"/>
      <c r="K2075" s="9"/>
      <c r="L2075" s="9"/>
      <c r="M2075" s="9"/>
      <c r="N2075" s="4"/>
    </row>
    <row r="2076" spans="9:14" x14ac:dyDescent="0.3">
      <c r="I2076" s="7"/>
      <c r="J2076" s="9"/>
      <c r="K2076" s="9"/>
      <c r="L2076" s="9"/>
      <c r="M2076" s="9"/>
      <c r="N2076" s="4"/>
    </row>
    <row r="2077" spans="9:14" x14ac:dyDescent="0.3">
      <c r="I2077" s="7"/>
      <c r="J2077" s="9"/>
      <c r="K2077" s="9"/>
      <c r="L2077" s="9"/>
      <c r="M2077" s="9"/>
      <c r="N2077" s="4"/>
    </row>
    <row r="2078" spans="9:14" x14ac:dyDescent="0.3">
      <c r="I2078" s="7"/>
      <c r="J2078" s="9"/>
      <c r="K2078" s="9"/>
      <c r="L2078" s="9"/>
      <c r="M2078" s="9"/>
      <c r="N2078" s="4"/>
    </row>
    <row r="2079" spans="9:14" x14ac:dyDescent="0.3">
      <c r="I2079" s="7"/>
      <c r="J2079" s="9"/>
      <c r="K2079" s="9"/>
      <c r="L2079" s="9"/>
      <c r="M2079" s="9"/>
      <c r="N2079" s="4"/>
    </row>
    <row r="2080" spans="9:14" x14ac:dyDescent="0.3">
      <c r="I2080" s="7"/>
      <c r="J2080" s="9"/>
      <c r="K2080" s="9"/>
      <c r="L2080" s="9"/>
      <c r="M2080" s="9"/>
      <c r="N2080" s="4"/>
    </row>
    <row r="2081" spans="9:14" x14ac:dyDescent="0.3">
      <c r="I2081" s="7"/>
      <c r="J2081" s="9"/>
      <c r="K2081" s="9"/>
      <c r="L2081" s="9"/>
      <c r="M2081" s="9"/>
      <c r="N2081" s="4"/>
    </row>
    <row r="2082" spans="9:14" x14ac:dyDescent="0.3">
      <c r="I2082" s="7"/>
      <c r="J2082" s="9"/>
      <c r="K2082" s="9"/>
      <c r="L2082" s="9"/>
      <c r="M2082" s="9"/>
      <c r="N2082" s="4"/>
    </row>
    <row r="2083" spans="9:14" x14ac:dyDescent="0.3">
      <c r="I2083" s="7"/>
      <c r="J2083" s="9"/>
      <c r="K2083" s="9"/>
      <c r="L2083" s="9"/>
      <c r="M2083" s="9"/>
      <c r="N2083" s="4"/>
    </row>
    <row r="2084" spans="9:14" x14ac:dyDescent="0.3">
      <c r="I2084" s="7"/>
      <c r="J2084" s="9"/>
      <c r="K2084" s="9"/>
      <c r="L2084" s="9"/>
      <c r="M2084" s="9"/>
      <c r="N2084" s="4"/>
    </row>
    <row r="2085" spans="9:14" x14ac:dyDescent="0.3">
      <c r="I2085" s="7"/>
      <c r="J2085" s="9"/>
      <c r="K2085" s="9"/>
      <c r="L2085" s="9"/>
      <c r="M2085" s="9"/>
      <c r="N2085" s="4"/>
    </row>
    <row r="2086" spans="9:14" x14ac:dyDescent="0.3">
      <c r="I2086" s="7"/>
      <c r="J2086" s="9"/>
      <c r="K2086" s="9"/>
      <c r="L2086" s="9"/>
      <c r="M2086" s="9"/>
      <c r="N2086" s="4"/>
    </row>
    <row r="2087" spans="9:14" x14ac:dyDescent="0.3">
      <c r="I2087" s="7"/>
      <c r="J2087" s="9"/>
      <c r="K2087" s="9"/>
      <c r="L2087" s="9"/>
      <c r="M2087" s="9"/>
      <c r="N2087" s="4"/>
    </row>
    <row r="2088" spans="9:14" x14ac:dyDescent="0.3">
      <c r="I2088" s="7"/>
      <c r="J2088" s="9"/>
      <c r="K2088" s="9"/>
      <c r="L2088" s="9"/>
      <c r="M2088" s="9"/>
      <c r="N2088" s="4"/>
    </row>
    <row r="2089" spans="9:14" x14ac:dyDescent="0.3">
      <c r="I2089" s="7"/>
      <c r="J2089" s="9"/>
      <c r="K2089" s="9"/>
      <c r="L2089" s="9"/>
      <c r="M2089" s="9"/>
      <c r="N2089" s="4"/>
    </row>
    <row r="2090" spans="9:14" x14ac:dyDescent="0.3">
      <c r="I2090" s="7"/>
      <c r="J2090" s="9"/>
      <c r="K2090" s="9"/>
      <c r="L2090" s="9"/>
      <c r="M2090" s="9"/>
      <c r="N2090" s="4"/>
    </row>
    <row r="2091" spans="9:14" x14ac:dyDescent="0.3">
      <c r="I2091" s="7"/>
      <c r="J2091" s="9"/>
      <c r="K2091" s="9"/>
      <c r="L2091" s="9"/>
      <c r="M2091" s="9"/>
      <c r="N2091" s="4"/>
    </row>
    <row r="2092" spans="9:14" x14ac:dyDescent="0.3">
      <c r="I2092" s="7"/>
      <c r="J2092" s="9"/>
      <c r="K2092" s="9"/>
      <c r="L2092" s="9"/>
      <c r="M2092" s="9"/>
      <c r="N2092" s="4"/>
    </row>
    <row r="2093" spans="9:14" x14ac:dyDescent="0.3">
      <c r="I2093" s="7"/>
      <c r="J2093" s="9"/>
      <c r="K2093" s="9"/>
      <c r="L2093" s="9"/>
      <c r="M2093" s="9"/>
      <c r="N2093" s="4"/>
    </row>
    <row r="2094" spans="9:14" x14ac:dyDescent="0.3">
      <c r="I2094" s="7"/>
      <c r="J2094" s="9"/>
      <c r="K2094" s="9"/>
      <c r="L2094" s="9"/>
      <c r="M2094" s="9"/>
      <c r="N2094" s="4"/>
    </row>
    <row r="2095" spans="9:14" x14ac:dyDescent="0.3">
      <c r="I2095" s="7"/>
      <c r="J2095" s="9"/>
      <c r="K2095" s="9"/>
      <c r="L2095" s="9"/>
      <c r="M2095" s="9"/>
      <c r="N2095" s="4"/>
    </row>
    <row r="2096" spans="9:14" x14ac:dyDescent="0.3">
      <c r="I2096" s="7"/>
      <c r="J2096" s="9"/>
      <c r="K2096" s="9"/>
      <c r="L2096" s="9"/>
      <c r="M2096" s="9"/>
      <c r="N2096" s="4"/>
    </row>
    <row r="2097" spans="9:14" x14ac:dyDescent="0.3">
      <c r="I2097" s="7"/>
      <c r="J2097" s="9"/>
      <c r="K2097" s="9"/>
      <c r="L2097" s="9"/>
      <c r="M2097" s="9"/>
      <c r="N2097" s="4"/>
    </row>
    <row r="2098" spans="9:14" x14ac:dyDescent="0.3">
      <c r="I2098" s="7"/>
      <c r="J2098" s="9"/>
      <c r="K2098" s="9"/>
      <c r="L2098" s="9"/>
      <c r="M2098" s="9"/>
      <c r="N2098" s="4"/>
    </row>
    <row r="2099" spans="9:14" x14ac:dyDescent="0.3">
      <c r="I2099" s="7"/>
      <c r="J2099" s="9"/>
      <c r="K2099" s="9"/>
      <c r="L2099" s="9"/>
      <c r="M2099" s="9"/>
      <c r="N2099" s="4"/>
    </row>
    <row r="2100" spans="9:14" x14ac:dyDescent="0.3">
      <c r="I2100" s="7"/>
      <c r="J2100" s="9"/>
      <c r="K2100" s="9"/>
      <c r="L2100" s="9"/>
      <c r="M2100" s="9"/>
      <c r="N2100" s="4"/>
    </row>
    <row r="2101" spans="9:14" x14ac:dyDescent="0.3">
      <c r="I2101" s="7"/>
      <c r="J2101" s="9"/>
      <c r="K2101" s="9"/>
      <c r="L2101" s="9"/>
      <c r="M2101" s="9"/>
      <c r="N2101" s="4"/>
    </row>
    <row r="2102" spans="9:14" x14ac:dyDescent="0.3">
      <c r="I2102" s="7"/>
      <c r="J2102" s="9"/>
      <c r="K2102" s="9"/>
      <c r="L2102" s="9"/>
      <c r="M2102" s="9"/>
      <c r="N2102" s="4"/>
    </row>
    <row r="2103" spans="9:14" x14ac:dyDescent="0.3">
      <c r="I2103" s="7"/>
      <c r="J2103" s="9"/>
      <c r="K2103" s="9"/>
      <c r="L2103" s="9"/>
      <c r="M2103" s="9"/>
      <c r="N2103" s="4"/>
    </row>
    <row r="2104" spans="9:14" x14ac:dyDescent="0.3">
      <c r="I2104" s="7"/>
      <c r="J2104" s="9"/>
      <c r="K2104" s="9"/>
      <c r="L2104" s="9"/>
      <c r="M2104" s="9"/>
      <c r="N2104" s="4"/>
    </row>
    <row r="2105" spans="9:14" x14ac:dyDescent="0.3">
      <c r="I2105" s="7"/>
      <c r="J2105" s="9"/>
      <c r="K2105" s="9"/>
      <c r="L2105" s="9"/>
      <c r="M2105" s="9"/>
      <c r="N2105" s="4"/>
    </row>
    <row r="2106" spans="9:14" x14ac:dyDescent="0.3">
      <c r="I2106" s="7"/>
      <c r="J2106" s="9"/>
      <c r="K2106" s="9"/>
      <c r="L2106" s="9"/>
      <c r="M2106" s="9"/>
      <c r="N2106" s="4"/>
    </row>
    <row r="2107" spans="9:14" x14ac:dyDescent="0.3">
      <c r="I2107" s="7"/>
      <c r="J2107" s="9"/>
      <c r="K2107" s="9"/>
      <c r="L2107" s="9"/>
      <c r="M2107" s="9"/>
      <c r="N2107" s="4"/>
    </row>
    <row r="2108" spans="9:14" x14ac:dyDescent="0.3">
      <c r="I2108" s="7"/>
      <c r="J2108" s="9"/>
      <c r="K2108" s="9"/>
      <c r="L2108" s="9"/>
      <c r="M2108" s="9"/>
      <c r="N2108" s="4"/>
    </row>
    <row r="2109" spans="9:14" x14ac:dyDescent="0.3">
      <c r="I2109" s="7"/>
      <c r="J2109" s="9"/>
      <c r="K2109" s="9"/>
      <c r="L2109" s="9"/>
      <c r="M2109" s="9"/>
      <c r="N2109" s="4"/>
    </row>
    <row r="2110" spans="9:14" x14ac:dyDescent="0.3">
      <c r="I2110" s="7"/>
      <c r="J2110" s="9"/>
      <c r="K2110" s="9"/>
      <c r="L2110" s="9"/>
      <c r="M2110" s="9"/>
      <c r="N2110" s="4"/>
    </row>
    <row r="2111" spans="9:14" x14ac:dyDescent="0.3">
      <c r="I2111" s="7"/>
      <c r="J2111" s="9"/>
      <c r="K2111" s="9"/>
      <c r="L2111" s="9"/>
      <c r="M2111" s="9"/>
      <c r="N2111" s="4"/>
    </row>
    <row r="2112" spans="9:14" x14ac:dyDescent="0.3">
      <c r="I2112" s="7"/>
      <c r="J2112" s="9"/>
      <c r="K2112" s="9"/>
      <c r="L2112" s="9"/>
      <c r="M2112" s="9"/>
      <c r="N2112" s="4"/>
    </row>
    <row r="2113" spans="9:14" x14ac:dyDescent="0.3">
      <c r="I2113" s="7"/>
      <c r="J2113" s="9"/>
      <c r="K2113" s="9"/>
      <c r="L2113" s="9"/>
      <c r="M2113" s="9"/>
      <c r="N2113" s="4"/>
    </row>
    <row r="2114" spans="9:14" x14ac:dyDescent="0.3">
      <c r="I2114" s="7"/>
      <c r="J2114" s="9"/>
      <c r="K2114" s="9"/>
      <c r="L2114" s="9"/>
      <c r="M2114" s="9"/>
      <c r="N2114" s="4"/>
    </row>
    <row r="2115" spans="9:14" x14ac:dyDescent="0.3">
      <c r="I2115" s="7"/>
      <c r="J2115" s="9"/>
      <c r="K2115" s="9"/>
      <c r="L2115" s="9"/>
      <c r="M2115" s="9"/>
      <c r="N2115" s="4"/>
    </row>
    <row r="2116" spans="9:14" x14ac:dyDescent="0.3">
      <c r="I2116" s="7"/>
      <c r="J2116" s="9"/>
      <c r="K2116" s="9"/>
      <c r="L2116" s="9"/>
      <c r="M2116" s="9"/>
      <c r="N2116" s="4"/>
    </row>
    <row r="2117" spans="9:14" x14ac:dyDescent="0.3">
      <c r="I2117" s="7"/>
      <c r="J2117" s="9"/>
      <c r="K2117" s="9"/>
      <c r="L2117" s="9"/>
      <c r="M2117" s="9"/>
      <c r="N2117" s="4"/>
    </row>
    <row r="2118" spans="9:14" x14ac:dyDescent="0.3">
      <c r="I2118" s="7"/>
      <c r="J2118" s="9"/>
      <c r="K2118" s="9"/>
      <c r="L2118" s="9"/>
      <c r="M2118" s="9"/>
      <c r="N2118" s="4"/>
    </row>
    <row r="2119" spans="9:14" x14ac:dyDescent="0.3">
      <c r="I2119" s="7"/>
      <c r="J2119" s="9"/>
      <c r="K2119" s="9"/>
      <c r="L2119" s="9"/>
      <c r="M2119" s="9"/>
      <c r="N2119" s="4"/>
    </row>
    <row r="2120" spans="9:14" x14ac:dyDescent="0.3">
      <c r="I2120" s="7"/>
      <c r="J2120" s="9"/>
      <c r="K2120" s="9"/>
      <c r="L2120" s="9"/>
      <c r="M2120" s="9"/>
      <c r="N2120" s="4"/>
    </row>
    <row r="2121" spans="9:14" x14ac:dyDescent="0.3">
      <c r="I2121" s="7"/>
      <c r="J2121" s="9"/>
      <c r="K2121" s="9"/>
      <c r="L2121" s="9"/>
      <c r="M2121" s="9"/>
      <c r="N2121" s="4"/>
    </row>
    <row r="2122" spans="9:14" x14ac:dyDescent="0.3">
      <c r="I2122" s="7"/>
      <c r="J2122" s="9"/>
      <c r="K2122" s="9"/>
      <c r="L2122" s="9"/>
      <c r="M2122" s="9"/>
      <c r="N2122" s="4"/>
    </row>
    <row r="2123" spans="9:14" x14ac:dyDescent="0.3">
      <c r="I2123" s="7"/>
      <c r="J2123" s="9"/>
      <c r="K2123" s="9"/>
      <c r="L2123" s="9"/>
      <c r="M2123" s="9"/>
      <c r="N2123" s="4"/>
    </row>
    <row r="2124" spans="9:14" x14ac:dyDescent="0.3">
      <c r="I2124" s="7"/>
      <c r="J2124" s="9"/>
      <c r="K2124" s="9"/>
      <c r="L2124" s="9"/>
      <c r="M2124" s="9"/>
      <c r="N2124" s="4"/>
    </row>
    <row r="2125" spans="9:14" x14ac:dyDescent="0.3">
      <c r="I2125" s="7"/>
      <c r="J2125" s="9"/>
      <c r="K2125" s="9"/>
      <c r="L2125" s="9"/>
      <c r="M2125" s="9"/>
      <c r="N2125" s="4"/>
    </row>
    <row r="2126" spans="9:14" x14ac:dyDescent="0.3">
      <c r="I2126" s="7"/>
      <c r="J2126" s="9"/>
      <c r="K2126" s="9"/>
      <c r="L2126" s="9"/>
      <c r="M2126" s="9"/>
      <c r="N2126" s="4"/>
    </row>
    <row r="2127" spans="9:14" x14ac:dyDescent="0.3">
      <c r="I2127" s="7"/>
      <c r="J2127" s="9"/>
      <c r="K2127" s="9"/>
      <c r="L2127" s="9"/>
      <c r="M2127" s="9"/>
    </row>
    <row r="2128" spans="9:14" x14ac:dyDescent="0.3">
      <c r="I2128" s="7"/>
      <c r="J2128" s="9"/>
      <c r="K2128" s="9"/>
      <c r="L2128" s="9"/>
      <c r="M2128" s="9"/>
    </row>
    <row r="2129" spans="9:13" x14ac:dyDescent="0.3">
      <c r="I2129" s="7"/>
      <c r="J2129" s="9"/>
      <c r="K2129" s="9"/>
      <c r="L2129" s="9"/>
      <c r="M2129" s="9"/>
    </row>
    <row r="2130" spans="9:13" x14ac:dyDescent="0.3">
      <c r="I2130" s="7"/>
      <c r="J2130" s="9"/>
      <c r="K2130" s="9"/>
      <c r="L2130" s="9"/>
      <c r="M2130" s="9"/>
    </row>
    <row r="2131" spans="9:13" x14ac:dyDescent="0.3">
      <c r="I2131" s="7"/>
      <c r="J2131" s="9"/>
      <c r="K2131" s="9"/>
      <c r="L2131" s="9"/>
      <c r="M2131" s="9"/>
    </row>
    <row r="2132" spans="9:13" x14ac:dyDescent="0.3">
      <c r="I2132" s="7"/>
      <c r="J2132" s="9"/>
      <c r="K2132" s="9"/>
      <c r="L2132" s="9"/>
      <c r="M2132" s="9"/>
    </row>
    <row r="2133" spans="9:13" x14ac:dyDescent="0.3">
      <c r="I2133" s="7"/>
      <c r="J2133" s="9"/>
      <c r="K2133" s="9"/>
      <c r="L2133" s="9"/>
      <c r="M2133" s="9"/>
    </row>
    <row r="2134" spans="9:13" x14ac:dyDescent="0.3">
      <c r="I2134" s="7"/>
      <c r="J2134" s="9"/>
      <c r="K2134" s="9"/>
      <c r="L2134" s="9"/>
      <c r="M2134" s="9"/>
    </row>
    <row r="2135" spans="9:13" x14ac:dyDescent="0.3">
      <c r="I2135" s="7"/>
      <c r="J2135" s="9"/>
      <c r="K2135" s="9"/>
      <c r="L2135" s="9"/>
      <c r="M2135" s="9"/>
    </row>
    <row r="2136" spans="9:13" x14ac:dyDescent="0.3">
      <c r="I2136" s="7"/>
      <c r="J2136" s="9"/>
      <c r="K2136" s="9"/>
      <c r="L2136" s="9"/>
      <c r="M2136" s="9"/>
    </row>
    <row r="2137" spans="9:13" x14ac:dyDescent="0.3">
      <c r="I2137" s="7"/>
      <c r="J2137" s="9"/>
      <c r="K2137" s="9"/>
      <c r="L2137" s="9"/>
      <c r="M2137" s="9"/>
    </row>
    <row r="2138" spans="9:13" x14ac:dyDescent="0.3">
      <c r="I2138" s="7"/>
      <c r="J2138" s="9"/>
      <c r="K2138" s="9"/>
      <c r="L2138" s="9"/>
      <c r="M2138" s="9"/>
    </row>
    <row r="2139" spans="9:13" x14ac:dyDescent="0.3">
      <c r="I2139" s="7"/>
      <c r="J2139" s="9"/>
      <c r="K2139" s="9"/>
      <c r="L2139" s="9"/>
      <c r="M2139" s="9"/>
    </row>
    <row r="2140" spans="9:13" x14ac:dyDescent="0.3">
      <c r="I2140" s="7"/>
      <c r="J2140" s="9"/>
      <c r="K2140" s="9"/>
      <c r="L2140" s="9"/>
      <c r="M2140" s="9"/>
    </row>
    <row r="2141" spans="9:13" x14ac:dyDescent="0.3">
      <c r="I2141" s="7"/>
      <c r="J2141" s="9"/>
      <c r="K2141" s="9"/>
      <c r="L2141" s="9"/>
      <c r="M2141" s="9"/>
    </row>
    <row r="2142" spans="9:13" x14ac:dyDescent="0.3">
      <c r="I2142" s="7"/>
      <c r="J2142" s="9"/>
      <c r="K2142" s="9"/>
      <c r="L2142" s="9"/>
      <c r="M2142" s="9"/>
    </row>
    <row r="2143" spans="9:13" x14ac:dyDescent="0.3">
      <c r="I2143" s="7"/>
      <c r="J2143" s="9"/>
      <c r="K2143" s="9"/>
      <c r="L2143" s="9"/>
      <c r="M2143" s="9"/>
    </row>
    <row r="2144" spans="9:13" x14ac:dyDescent="0.3">
      <c r="I2144" s="7"/>
      <c r="J2144" s="9"/>
      <c r="K2144" s="9"/>
      <c r="L2144" s="9"/>
      <c r="M2144" s="9"/>
    </row>
    <row r="2145" spans="9:13" x14ac:dyDescent="0.3">
      <c r="I2145" s="7"/>
      <c r="J2145" s="9"/>
      <c r="K2145" s="9"/>
      <c r="L2145" s="9"/>
      <c r="M2145" s="9"/>
    </row>
    <row r="2146" spans="9:13" x14ac:dyDescent="0.3">
      <c r="I2146" s="7"/>
      <c r="J2146" s="9"/>
      <c r="K2146" s="9"/>
      <c r="L2146" s="9"/>
      <c r="M2146" s="9"/>
    </row>
    <row r="2147" spans="9:13" x14ac:dyDescent="0.3">
      <c r="I2147" s="7"/>
      <c r="J2147" s="9"/>
      <c r="K2147" s="9"/>
      <c r="L2147" s="9"/>
      <c r="M2147" s="9"/>
    </row>
    <row r="2148" spans="9:13" x14ac:dyDescent="0.3">
      <c r="I2148" s="7"/>
      <c r="J2148" s="9"/>
      <c r="K2148" s="9"/>
      <c r="L2148" s="9"/>
      <c r="M2148" s="9"/>
    </row>
    <row r="2149" spans="9:13" x14ac:dyDescent="0.3">
      <c r="I2149" s="7"/>
      <c r="J2149" s="9"/>
      <c r="K2149" s="9"/>
      <c r="L2149" s="9"/>
      <c r="M2149" s="9"/>
    </row>
    <row r="2150" spans="9:13" x14ac:dyDescent="0.3">
      <c r="I2150" s="7"/>
      <c r="J2150" s="9"/>
      <c r="K2150" s="9"/>
      <c r="L2150" s="9"/>
      <c r="M2150" s="9"/>
    </row>
    <row r="2151" spans="9:13" x14ac:dyDescent="0.3">
      <c r="I2151" s="7"/>
      <c r="J2151" s="9"/>
      <c r="K2151" s="9"/>
      <c r="L2151" s="9"/>
      <c r="M2151" s="9"/>
    </row>
    <row r="2152" spans="9:13" x14ac:dyDescent="0.3">
      <c r="I2152" s="7"/>
      <c r="J2152" s="9"/>
      <c r="K2152" s="9"/>
      <c r="L2152" s="9"/>
      <c r="M2152" s="9"/>
    </row>
    <row r="2153" spans="9:13" x14ac:dyDescent="0.3">
      <c r="I2153" s="7"/>
      <c r="J2153" s="9"/>
      <c r="K2153" s="9"/>
      <c r="L2153" s="9"/>
      <c r="M2153" s="9"/>
    </row>
    <row r="2154" spans="9:13" x14ac:dyDescent="0.3">
      <c r="I2154" s="7"/>
      <c r="J2154" s="9"/>
      <c r="K2154" s="9"/>
      <c r="L2154" s="9"/>
      <c r="M2154" s="9"/>
    </row>
    <row r="2155" spans="9:13" x14ac:dyDescent="0.3">
      <c r="I2155" s="7"/>
      <c r="J2155" s="9"/>
      <c r="K2155" s="9"/>
      <c r="L2155" s="9"/>
      <c r="M2155" s="9"/>
    </row>
    <row r="2156" spans="9:13" x14ac:dyDescent="0.3">
      <c r="I2156" s="7"/>
      <c r="J2156" s="9"/>
      <c r="K2156" s="9"/>
      <c r="L2156" s="9"/>
      <c r="M2156" s="9"/>
    </row>
    <row r="2157" spans="9:13" x14ac:dyDescent="0.3">
      <c r="I2157" s="7"/>
      <c r="J2157" s="9"/>
      <c r="K2157" s="9"/>
      <c r="L2157" s="9"/>
      <c r="M2157" s="9"/>
    </row>
    <row r="2158" spans="9:13" x14ac:dyDescent="0.3">
      <c r="I2158" s="7"/>
      <c r="J2158" s="9"/>
      <c r="K2158" s="9"/>
      <c r="L2158" s="9"/>
      <c r="M2158" s="9"/>
    </row>
    <row r="2159" spans="9:13" x14ac:dyDescent="0.3">
      <c r="I2159" s="7"/>
      <c r="J2159" s="9"/>
      <c r="K2159" s="9"/>
      <c r="L2159" s="9"/>
      <c r="M2159" s="9"/>
    </row>
    <row r="2160" spans="9:13" x14ac:dyDescent="0.3">
      <c r="I2160" s="7"/>
      <c r="J2160" s="9"/>
      <c r="K2160" s="9"/>
      <c r="L2160" s="9"/>
      <c r="M2160" s="9"/>
    </row>
    <row r="2161" spans="9:13" x14ac:dyDescent="0.3">
      <c r="I2161" s="7"/>
      <c r="J2161" s="9"/>
      <c r="K2161" s="9"/>
      <c r="L2161" s="9"/>
      <c r="M2161" s="9"/>
    </row>
    <row r="2162" spans="9:13" x14ac:dyDescent="0.3">
      <c r="I2162" s="7"/>
      <c r="J2162" s="9"/>
      <c r="K2162" s="9"/>
      <c r="L2162" s="9"/>
      <c r="M2162" s="9"/>
    </row>
    <row r="2163" spans="9:13" x14ac:dyDescent="0.3">
      <c r="I2163" s="7"/>
      <c r="J2163" s="9"/>
      <c r="K2163" s="9"/>
      <c r="L2163" s="9"/>
      <c r="M2163" s="9"/>
    </row>
    <row r="2164" spans="9:13" x14ac:dyDescent="0.3">
      <c r="I2164" s="7"/>
      <c r="J2164" s="9"/>
      <c r="K2164" s="9"/>
      <c r="L2164" s="9"/>
      <c r="M2164" s="9"/>
    </row>
    <row r="2165" spans="9:13" x14ac:dyDescent="0.3">
      <c r="I2165" s="7"/>
      <c r="J2165" s="9"/>
      <c r="K2165" s="9"/>
      <c r="L2165" s="9"/>
      <c r="M2165" s="9"/>
    </row>
    <row r="2166" spans="9:13" x14ac:dyDescent="0.3">
      <c r="I2166" s="7"/>
      <c r="J2166" s="9"/>
      <c r="K2166" s="9"/>
      <c r="L2166" s="9"/>
      <c r="M2166" s="9"/>
    </row>
    <row r="2167" spans="9:13" x14ac:dyDescent="0.3">
      <c r="I2167" s="7"/>
      <c r="J2167" s="9"/>
      <c r="K2167" s="9"/>
      <c r="L2167" s="9"/>
      <c r="M2167" s="9"/>
    </row>
    <row r="2168" spans="9:13" x14ac:dyDescent="0.3">
      <c r="I2168" s="7"/>
      <c r="J2168" s="9"/>
      <c r="K2168" s="9"/>
      <c r="L2168" s="9"/>
      <c r="M2168" s="9"/>
    </row>
    <row r="2169" spans="9:13" x14ac:dyDescent="0.3">
      <c r="I2169" s="7"/>
      <c r="J2169" s="9"/>
      <c r="K2169" s="9"/>
      <c r="L2169" s="9"/>
      <c r="M2169" s="9"/>
    </row>
    <row r="2170" spans="9:13" x14ac:dyDescent="0.3">
      <c r="I2170" s="7"/>
      <c r="J2170" s="9"/>
      <c r="K2170" s="9"/>
      <c r="L2170" s="9"/>
      <c r="M2170" s="9"/>
    </row>
    <row r="2171" spans="9:13" x14ac:dyDescent="0.3">
      <c r="I2171" s="7"/>
      <c r="J2171" s="9"/>
      <c r="K2171" s="9"/>
      <c r="L2171" s="9"/>
      <c r="M2171" s="9"/>
    </row>
    <row r="2172" spans="9:13" x14ac:dyDescent="0.3">
      <c r="I2172" s="7"/>
      <c r="J2172" s="9"/>
      <c r="K2172" s="9"/>
      <c r="L2172" s="9"/>
      <c r="M2172" s="9"/>
    </row>
    <row r="2173" spans="9:13" x14ac:dyDescent="0.3">
      <c r="I2173" s="7"/>
      <c r="J2173" s="9"/>
      <c r="K2173" s="9"/>
      <c r="L2173" s="9"/>
      <c r="M2173" s="9"/>
    </row>
    <row r="2174" spans="9:13" x14ac:dyDescent="0.3">
      <c r="I2174" s="7"/>
      <c r="J2174" s="9"/>
      <c r="K2174" s="9"/>
      <c r="L2174" s="9"/>
      <c r="M2174" s="9"/>
    </row>
    <row r="2175" spans="9:13" x14ac:dyDescent="0.3">
      <c r="I2175" s="7"/>
      <c r="J2175" s="9"/>
      <c r="K2175" s="9"/>
      <c r="L2175" s="9"/>
      <c r="M2175" s="9"/>
    </row>
    <row r="2176" spans="9:13" x14ac:dyDescent="0.3">
      <c r="I2176" s="7"/>
      <c r="J2176" s="9"/>
      <c r="K2176" s="9"/>
      <c r="L2176" s="9"/>
      <c r="M2176" s="9"/>
    </row>
    <row r="2177" spans="9:13" x14ac:dyDescent="0.3">
      <c r="I2177" s="7"/>
      <c r="J2177" s="9"/>
      <c r="K2177" s="9"/>
      <c r="L2177" s="9"/>
      <c r="M2177" s="9"/>
    </row>
    <row r="2178" spans="9:13" x14ac:dyDescent="0.3">
      <c r="I2178" s="7"/>
      <c r="J2178" s="9"/>
      <c r="K2178" s="9"/>
      <c r="L2178" s="9"/>
      <c r="M2178" s="9"/>
    </row>
    <row r="2179" spans="9:13" x14ac:dyDescent="0.3">
      <c r="I2179" s="7"/>
      <c r="J2179" s="9"/>
      <c r="K2179" s="9"/>
      <c r="L2179" s="9"/>
      <c r="M2179" s="9"/>
    </row>
    <row r="2180" spans="9:13" x14ac:dyDescent="0.3">
      <c r="I2180" s="7"/>
      <c r="J2180" s="9"/>
      <c r="K2180" s="9"/>
      <c r="L2180" s="9"/>
      <c r="M2180" s="9"/>
    </row>
    <row r="2181" spans="9:13" x14ac:dyDescent="0.3">
      <c r="I2181" s="7"/>
      <c r="J2181" s="9"/>
      <c r="K2181" s="9"/>
      <c r="L2181" s="9"/>
      <c r="M2181" s="9"/>
    </row>
    <row r="2182" spans="9:13" x14ac:dyDescent="0.3">
      <c r="I2182" s="7"/>
      <c r="J2182" s="9"/>
      <c r="K2182" s="9"/>
      <c r="L2182" s="9"/>
      <c r="M2182" s="9"/>
    </row>
    <row r="2183" spans="9:13" x14ac:dyDescent="0.3">
      <c r="I2183" s="7"/>
      <c r="J2183" s="9"/>
      <c r="K2183" s="9"/>
      <c r="L2183" s="9"/>
      <c r="M2183" s="9"/>
    </row>
    <row r="2184" spans="9:13" x14ac:dyDescent="0.3">
      <c r="I2184" s="7"/>
      <c r="J2184" s="9"/>
      <c r="K2184" s="9"/>
      <c r="L2184" s="9"/>
      <c r="M2184" s="9"/>
    </row>
    <row r="2185" spans="9:13" x14ac:dyDescent="0.3">
      <c r="I2185" s="7"/>
      <c r="J2185" s="9"/>
      <c r="K2185" s="9"/>
      <c r="L2185" s="9"/>
      <c r="M2185" s="9"/>
    </row>
    <row r="2186" spans="9:13" x14ac:dyDescent="0.3">
      <c r="I2186" s="7"/>
      <c r="J2186" s="9"/>
      <c r="K2186" s="9"/>
      <c r="L2186" s="9"/>
      <c r="M2186" s="9"/>
    </row>
    <row r="2187" spans="9:13" x14ac:dyDescent="0.3">
      <c r="I2187" s="7"/>
      <c r="J2187" s="9"/>
      <c r="K2187" s="9"/>
      <c r="L2187" s="9"/>
      <c r="M2187" s="9"/>
    </row>
    <row r="2188" spans="9:13" x14ac:dyDescent="0.3">
      <c r="I2188" s="7"/>
      <c r="J2188" s="9"/>
      <c r="K2188" s="9"/>
      <c r="L2188" s="9"/>
      <c r="M2188" s="9"/>
    </row>
    <row r="2189" spans="9:13" x14ac:dyDescent="0.3">
      <c r="I2189" s="7"/>
      <c r="J2189" s="9"/>
      <c r="K2189" s="9"/>
      <c r="L2189" s="9"/>
      <c r="M2189" s="9"/>
    </row>
    <row r="2190" spans="9:13" x14ac:dyDescent="0.3">
      <c r="I2190" s="7"/>
      <c r="J2190" s="9"/>
      <c r="K2190" s="9"/>
      <c r="L2190" s="9"/>
      <c r="M2190" s="9"/>
    </row>
    <row r="2191" spans="9:13" x14ac:dyDescent="0.3">
      <c r="I2191" s="7"/>
      <c r="J2191" s="9"/>
      <c r="K2191" s="9"/>
      <c r="L2191" s="9"/>
      <c r="M2191" s="9"/>
    </row>
    <row r="2192" spans="9:13" x14ac:dyDescent="0.3">
      <c r="I2192" s="7"/>
      <c r="J2192" s="9"/>
      <c r="K2192" s="9"/>
      <c r="L2192" s="9"/>
      <c r="M2192" s="9"/>
    </row>
    <row r="2193" spans="9:13" x14ac:dyDescent="0.3">
      <c r="I2193" s="7"/>
      <c r="J2193" s="9"/>
      <c r="K2193" s="9"/>
      <c r="L2193" s="9"/>
      <c r="M2193" s="9"/>
    </row>
    <row r="2194" spans="9:13" x14ac:dyDescent="0.3">
      <c r="I2194" s="7"/>
      <c r="J2194" s="9"/>
      <c r="K2194" s="9"/>
      <c r="L2194" s="9"/>
      <c r="M2194" s="9"/>
    </row>
    <row r="2195" spans="9:13" x14ac:dyDescent="0.3">
      <c r="I2195" s="7"/>
      <c r="J2195" s="9"/>
      <c r="K2195" s="9"/>
      <c r="L2195" s="9"/>
      <c r="M2195" s="9"/>
    </row>
    <row r="2196" spans="9:13" x14ac:dyDescent="0.3">
      <c r="I2196" s="7"/>
      <c r="J2196" s="9"/>
      <c r="K2196" s="9"/>
      <c r="L2196" s="9"/>
      <c r="M2196" s="9"/>
    </row>
    <row r="2197" spans="9:13" x14ac:dyDescent="0.3">
      <c r="I2197" s="7"/>
      <c r="J2197" s="9"/>
      <c r="K2197" s="9"/>
      <c r="L2197" s="9"/>
      <c r="M2197" s="9"/>
    </row>
    <row r="2198" spans="9:13" x14ac:dyDescent="0.3">
      <c r="I2198" s="7"/>
      <c r="J2198" s="9"/>
      <c r="K2198" s="9"/>
      <c r="L2198" s="9"/>
      <c r="M2198" s="9"/>
    </row>
    <row r="2199" spans="9:13" x14ac:dyDescent="0.3">
      <c r="I2199" s="7"/>
      <c r="J2199" s="9"/>
      <c r="K2199" s="9"/>
      <c r="L2199" s="9"/>
      <c r="M2199" s="9"/>
    </row>
    <row r="2200" spans="9:13" x14ac:dyDescent="0.3">
      <c r="I2200" s="7"/>
      <c r="J2200" s="9"/>
      <c r="K2200" s="9"/>
      <c r="L2200" s="9"/>
      <c r="M2200" s="9"/>
    </row>
    <row r="2201" spans="9:13" x14ac:dyDescent="0.3">
      <c r="I2201" s="7"/>
      <c r="J2201" s="9"/>
      <c r="K2201" s="9"/>
      <c r="L2201" s="9"/>
      <c r="M2201" s="9"/>
    </row>
    <row r="2202" spans="9:13" x14ac:dyDescent="0.3">
      <c r="I2202" s="7"/>
      <c r="J2202" s="9"/>
      <c r="K2202" s="9"/>
      <c r="L2202" s="9"/>
      <c r="M2202" s="9"/>
    </row>
    <row r="2203" spans="9:13" x14ac:dyDescent="0.3">
      <c r="I2203" s="7"/>
      <c r="J2203" s="9"/>
      <c r="K2203" s="9"/>
      <c r="L2203" s="9"/>
      <c r="M2203" s="9"/>
    </row>
    <row r="2204" spans="9:13" x14ac:dyDescent="0.3">
      <c r="I2204" s="7"/>
      <c r="J2204" s="9"/>
      <c r="K2204" s="9"/>
      <c r="L2204" s="9"/>
      <c r="M2204" s="9"/>
    </row>
    <row r="2205" spans="9:13" x14ac:dyDescent="0.3">
      <c r="I2205" s="7"/>
      <c r="J2205" s="9"/>
      <c r="K2205" s="9"/>
      <c r="L2205" s="9"/>
      <c r="M2205" s="9"/>
    </row>
    <row r="2206" spans="9:13" x14ac:dyDescent="0.3">
      <c r="I2206" s="7"/>
      <c r="J2206" s="9"/>
      <c r="K2206" s="9"/>
      <c r="L2206" s="9"/>
      <c r="M2206" s="9"/>
    </row>
    <row r="2207" spans="9:13" x14ac:dyDescent="0.3">
      <c r="I2207" s="7"/>
      <c r="J2207" s="9"/>
      <c r="K2207" s="9"/>
      <c r="L2207" s="9"/>
      <c r="M2207" s="9"/>
    </row>
    <row r="2208" spans="9:13" x14ac:dyDescent="0.3">
      <c r="I2208" s="7"/>
      <c r="J2208" s="9"/>
      <c r="K2208" s="9"/>
      <c r="L2208" s="9"/>
      <c r="M2208" s="9"/>
    </row>
    <row r="2209" spans="9:13" x14ac:dyDescent="0.3">
      <c r="I2209" s="7"/>
      <c r="J2209" s="9"/>
      <c r="K2209" s="9"/>
      <c r="L2209" s="9"/>
      <c r="M2209" s="9"/>
    </row>
    <row r="2210" spans="9:13" x14ac:dyDescent="0.3">
      <c r="I2210" s="7"/>
      <c r="J2210" s="9"/>
      <c r="K2210" s="9"/>
      <c r="L2210" s="9"/>
      <c r="M2210" s="9"/>
    </row>
    <row r="2211" spans="9:13" x14ac:dyDescent="0.3">
      <c r="I2211" s="7"/>
      <c r="J2211" s="9"/>
      <c r="K2211" s="9"/>
      <c r="L2211" s="9"/>
      <c r="M2211" s="9"/>
    </row>
    <row r="2212" spans="9:13" x14ac:dyDescent="0.3">
      <c r="I2212" s="7"/>
      <c r="J2212" s="9"/>
      <c r="K2212" s="9"/>
      <c r="L2212" s="9"/>
      <c r="M2212" s="9"/>
    </row>
    <row r="2213" spans="9:13" x14ac:dyDescent="0.3">
      <c r="I2213" s="7"/>
      <c r="J2213" s="9"/>
      <c r="K2213" s="9"/>
      <c r="L2213" s="9"/>
      <c r="M2213" s="9"/>
    </row>
    <row r="2214" spans="9:13" x14ac:dyDescent="0.3">
      <c r="I2214" s="7"/>
      <c r="J2214" s="9"/>
      <c r="K2214" s="9"/>
      <c r="L2214" s="9"/>
      <c r="M2214" s="9"/>
    </row>
    <row r="2215" spans="9:13" x14ac:dyDescent="0.3">
      <c r="I2215" s="7"/>
      <c r="J2215" s="9"/>
      <c r="K2215" s="9"/>
      <c r="L2215" s="9"/>
      <c r="M2215" s="9"/>
    </row>
    <row r="2216" spans="9:13" x14ac:dyDescent="0.3">
      <c r="I2216" s="7"/>
      <c r="J2216" s="9"/>
      <c r="K2216" s="9"/>
      <c r="L2216" s="9"/>
      <c r="M2216" s="9"/>
    </row>
    <row r="2217" spans="9:13" x14ac:dyDescent="0.3">
      <c r="I2217" s="7"/>
      <c r="J2217" s="9"/>
      <c r="K2217" s="9"/>
      <c r="L2217" s="9"/>
      <c r="M2217" s="9"/>
    </row>
    <row r="2218" spans="9:13" x14ac:dyDescent="0.3">
      <c r="I2218" s="7"/>
      <c r="J2218" s="9"/>
      <c r="K2218" s="9"/>
      <c r="L2218" s="9"/>
      <c r="M2218" s="9"/>
    </row>
    <row r="2219" spans="9:13" x14ac:dyDescent="0.3">
      <c r="I2219" s="7"/>
      <c r="J2219" s="9"/>
      <c r="K2219" s="9"/>
      <c r="L2219" s="9"/>
      <c r="M2219" s="9"/>
    </row>
    <row r="2220" spans="9:13" x14ac:dyDescent="0.3">
      <c r="I2220" s="7"/>
      <c r="J2220" s="9"/>
      <c r="K2220" s="9"/>
      <c r="L2220" s="9"/>
      <c r="M2220" s="9"/>
    </row>
    <row r="2221" spans="9:13" x14ac:dyDescent="0.3">
      <c r="I2221" s="7"/>
      <c r="J2221" s="9"/>
      <c r="K2221" s="9"/>
      <c r="L2221" s="9"/>
      <c r="M2221" s="9"/>
    </row>
    <row r="2222" spans="9:13" x14ac:dyDescent="0.3">
      <c r="I2222" s="7"/>
      <c r="J2222" s="9"/>
      <c r="K2222" s="9"/>
      <c r="L2222" s="9"/>
      <c r="M2222" s="9"/>
    </row>
    <row r="2223" spans="9:13" x14ac:dyDescent="0.3">
      <c r="I2223" s="7"/>
      <c r="J2223" s="9"/>
      <c r="K2223" s="9"/>
      <c r="L2223" s="9"/>
      <c r="M2223" s="9"/>
    </row>
    <row r="2224" spans="9:13" x14ac:dyDescent="0.3">
      <c r="I2224" s="7"/>
      <c r="J2224" s="9"/>
      <c r="K2224" s="9"/>
      <c r="L2224" s="9"/>
      <c r="M2224" s="9"/>
    </row>
    <row r="2225" spans="9:13" x14ac:dyDescent="0.3">
      <c r="I2225" s="7"/>
      <c r="J2225" s="9"/>
      <c r="K2225" s="9"/>
      <c r="L2225" s="9"/>
      <c r="M2225" s="9"/>
    </row>
    <row r="2226" spans="9:13" x14ac:dyDescent="0.3">
      <c r="I2226" s="7"/>
      <c r="J2226" s="9"/>
      <c r="K2226" s="9"/>
      <c r="L2226" s="9"/>
      <c r="M2226" s="9"/>
    </row>
    <row r="2227" spans="9:13" x14ac:dyDescent="0.3">
      <c r="I2227" s="7"/>
      <c r="J2227" s="9"/>
      <c r="K2227" s="9"/>
      <c r="L2227" s="9"/>
      <c r="M2227" s="9"/>
    </row>
    <row r="2228" spans="9:13" x14ac:dyDescent="0.3">
      <c r="I2228" s="7"/>
      <c r="J2228" s="9"/>
      <c r="K2228" s="9"/>
      <c r="L2228" s="9"/>
      <c r="M2228" s="9"/>
    </row>
    <row r="2229" spans="9:13" x14ac:dyDescent="0.3">
      <c r="I2229" s="7"/>
      <c r="J2229" s="9"/>
      <c r="K2229" s="9"/>
      <c r="L2229" s="9"/>
      <c r="M2229" s="9"/>
    </row>
    <row r="2230" spans="9:13" x14ac:dyDescent="0.3">
      <c r="I2230" s="7"/>
      <c r="J2230" s="9"/>
      <c r="K2230" s="9"/>
      <c r="L2230" s="9"/>
      <c r="M2230" s="9"/>
    </row>
    <row r="2231" spans="9:13" x14ac:dyDescent="0.3">
      <c r="I2231" s="7"/>
      <c r="J2231" s="9"/>
      <c r="K2231" s="9"/>
      <c r="L2231" s="9"/>
      <c r="M2231" s="9"/>
    </row>
    <row r="2232" spans="9:13" x14ac:dyDescent="0.3">
      <c r="I2232" s="7"/>
      <c r="J2232" s="9"/>
      <c r="K2232" s="9"/>
      <c r="L2232" s="9"/>
      <c r="M2232" s="9"/>
    </row>
    <row r="2233" spans="9:13" x14ac:dyDescent="0.3">
      <c r="I2233" s="7"/>
      <c r="J2233" s="9"/>
      <c r="K2233" s="9"/>
      <c r="L2233" s="9"/>
      <c r="M2233" s="9"/>
    </row>
    <row r="2234" spans="9:13" x14ac:dyDescent="0.3">
      <c r="I2234" s="7"/>
      <c r="J2234" s="9"/>
      <c r="K2234" s="9"/>
      <c r="L2234" s="9"/>
      <c r="M2234" s="9"/>
    </row>
    <row r="2235" spans="9:13" x14ac:dyDescent="0.3">
      <c r="I2235" s="7"/>
      <c r="J2235" s="9"/>
      <c r="K2235" s="9"/>
      <c r="L2235" s="9"/>
      <c r="M2235" s="9"/>
    </row>
    <row r="2236" spans="9:13" x14ac:dyDescent="0.3">
      <c r="I2236" s="7"/>
      <c r="J2236" s="9"/>
      <c r="K2236" s="9"/>
      <c r="L2236" s="9"/>
      <c r="M2236" s="9"/>
    </row>
    <row r="2237" spans="9:13" x14ac:dyDescent="0.3">
      <c r="I2237" s="7"/>
      <c r="J2237" s="9"/>
      <c r="K2237" s="9"/>
      <c r="L2237" s="9"/>
      <c r="M2237" s="9"/>
    </row>
    <row r="2238" spans="9:13" x14ac:dyDescent="0.3">
      <c r="I2238" s="7"/>
      <c r="J2238" s="9"/>
      <c r="K2238" s="9"/>
      <c r="L2238" s="9"/>
      <c r="M2238" s="9"/>
    </row>
    <row r="2239" spans="9:13" x14ac:dyDescent="0.3">
      <c r="I2239" s="7"/>
      <c r="J2239" s="9"/>
      <c r="K2239" s="9"/>
      <c r="L2239" s="9"/>
      <c r="M2239" s="9"/>
    </row>
    <row r="2240" spans="9:13" x14ac:dyDescent="0.3">
      <c r="I2240" s="7"/>
      <c r="J2240" s="9"/>
      <c r="K2240" s="9"/>
      <c r="L2240" s="9"/>
      <c r="M2240" s="9"/>
    </row>
    <row r="2241" spans="9:13" x14ac:dyDescent="0.3">
      <c r="I2241" s="7"/>
      <c r="J2241" s="9"/>
      <c r="K2241" s="9"/>
      <c r="L2241" s="9"/>
      <c r="M2241" s="9"/>
    </row>
    <row r="2242" spans="9:13" x14ac:dyDescent="0.3">
      <c r="I2242" s="7"/>
      <c r="J2242" s="9"/>
      <c r="K2242" s="9"/>
      <c r="L2242" s="9"/>
      <c r="M2242" s="9"/>
    </row>
    <row r="2243" spans="9:13" x14ac:dyDescent="0.3">
      <c r="I2243" s="7"/>
      <c r="J2243" s="9"/>
      <c r="K2243" s="9"/>
      <c r="L2243" s="9"/>
      <c r="M2243" s="9"/>
    </row>
    <row r="2244" spans="9:13" x14ac:dyDescent="0.3">
      <c r="I2244" s="7"/>
      <c r="J2244" s="9"/>
      <c r="K2244" s="9"/>
      <c r="L2244" s="9"/>
      <c r="M2244" s="9"/>
    </row>
    <row r="2245" spans="9:13" x14ac:dyDescent="0.3">
      <c r="I2245" s="7"/>
      <c r="J2245" s="9"/>
      <c r="K2245" s="9"/>
      <c r="L2245" s="9"/>
      <c r="M2245" s="9"/>
    </row>
    <row r="2246" spans="9:13" x14ac:dyDescent="0.3">
      <c r="I2246" s="7"/>
      <c r="J2246" s="9"/>
      <c r="K2246" s="9"/>
      <c r="L2246" s="9"/>
      <c r="M2246" s="9"/>
    </row>
    <row r="2247" spans="9:13" x14ac:dyDescent="0.3">
      <c r="I2247" s="7"/>
      <c r="J2247" s="9"/>
      <c r="K2247" s="9"/>
      <c r="L2247" s="9"/>
      <c r="M2247" s="9"/>
    </row>
    <row r="2248" spans="9:13" x14ac:dyDescent="0.3">
      <c r="I2248" s="7"/>
      <c r="J2248" s="9"/>
      <c r="K2248" s="9"/>
      <c r="L2248" s="9"/>
      <c r="M2248" s="9"/>
    </row>
    <row r="2249" spans="9:13" x14ac:dyDescent="0.3">
      <c r="I2249" s="7"/>
      <c r="J2249" s="9"/>
      <c r="K2249" s="9"/>
      <c r="L2249" s="9"/>
      <c r="M2249" s="9"/>
    </row>
    <row r="2250" spans="9:13" x14ac:dyDescent="0.3">
      <c r="I2250" s="7"/>
      <c r="J2250" s="9"/>
      <c r="K2250" s="9"/>
      <c r="L2250" s="9"/>
      <c r="M2250" s="9"/>
    </row>
    <row r="2251" spans="9:13" x14ac:dyDescent="0.3">
      <c r="I2251" s="7"/>
      <c r="J2251" s="9"/>
      <c r="K2251" s="9"/>
      <c r="L2251" s="9"/>
      <c r="M2251" s="9"/>
    </row>
    <row r="2252" spans="9:13" x14ac:dyDescent="0.3">
      <c r="I2252" s="7"/>
      <c r="J2252" s="9"/>
      <c r="K2252" s="9"/>
      <c r="L2252" s="9"/>
      <c r="M2252" s="9"/>
    </row>
    <row r="2253" spans="9:13" x14ac:dyDescent="0.3">
      <c r="I2253" s="7"/>
      <c r="J2253" s="9"/>
      <c r="K2253" s="9"/>
      <c r="L2253" s="9"/>
      <c r="M2253" s="9"/>
    </row>
    <row r="2254" spans="9:13" x14ac:dyDescent="0.3">
      <c r="I2254" s="7"/>
      <c r="J2254" s="9"/>
      <c r="K2254" s="9"/>
      <c r="L2254" s="9"/>
      <c r="M2254" s="9"/>
    </row>
    <row r="2255" spans="9:13" x14ac:dyDescent="0.3">
      <c r="I2255" s="7"/>
      <c r="J2255" s="9"/>
      <c r="K2255" s="9"/>
      <c r="L2255" s="9"/>
      <c r="M2255" s="9"/>
    </row>
    <row r="2256" spans="9:13" x14ac:dyDescent="0.3">
      <c r="I2256" s="7"/>
      <c r="J2256" s="9"/>
      <c r="K2256" s="9"/>
      <c r="L2256" s="9"/>
      <c r="M2256" s="9"/>
    </row>
    <row r="2257" spans="9:13" x14ac:dyDescent="0.3">
      <c r="I2257" s="7"/>
      <c r="J2257" s="9"/>
      <c r="K2257" s="9"/>
      <c r="L2257" s="9"/>
      <c r="M2257" s="9"/>
    </row>
    <row r="2258" spans="9:13" x14ac:dyDescent="0.3">
      <c r="I2258" s="7"/>
      <c r="J2258" s="9"/>
      <c r="K2258" s="9"/>
      <c r="L2258" s="9"/>
      <c r="M2258" s="9"/>
    </row>
    <row r="2259" spans="9:13" x14ac:dyDescent="0.3">
      <c r="I2259" s="7"/>
      <c r="J2259" s="9"/>
      <c r="K2259" s="9"/>
      <c r="L2259" s="9"/>
      <c r="M2259" s="9"/>
    </row>
    <row r="2260" spans="9:13" x14ac:dyDescent="0.3">
      <c r="I2260" s="7"/>
      <c r="J2260" s="9"/>
      <c r="K2260" s="9"/>
      <c r="L2260" s="9"/>
      <c r="M2260" s="9"/>
    </row>
    <row r="2261" spans="9:13" x14ac:dyDescent="0.3">
      <c r="I2261" s="7"/>
      <c r="J2261" s="9"/>
      <c r="K2261" s="9"/>
      <c r="L2261" s="9"/>
      <c r="M2261" s="9"/>
    </row>
    <row r="2262" spans="9:13" x14ac:dyDescent="0.3">
      <c r="I2262" s="7"/>
      <c r="J2262" s="9"/>
      <c r="K2262" s="9"/>
      <c r="L2262" s="9"/>
      <c r="M2262" s="9"/>
    </row>
    <row r="2263" spans="9:13" x14ac:dyDescent="0.3">
      <c r="I2263" s="7"/>
      <c r="J2263" s="9"/>
      <c r="K2263" s="9"/>
      <c r="L2263" s="9"/>
      <c r="M2263" s="9"/>
    </row>
    <row r="2264" spans="9:13" x14ac:dyDescent="0.3">
      <c r="I2264" s="7"/>
      <c r="J2264" s="9"/>
      <c r="K2264" s="9"/>
      <c r="L2264" s="9"/>
      <c r="M2264" s="9"/>
    </row>
    <row r="2265" spans="9:13" x14ac:dyDescent="0.3">
      <c r="I2265" s="7"/>
      <c r="J2265" s="9"/>
      <c r="K2265" s="9"/>
      <c r="L2265" s="9"/>
      <c r="M2265" s="9"/>
    </row>
    <row r="2266" spans="9:13" x14ac:dyDescent="0.3">
      <c r="I2266" s="7"/>
      <c r="J2266" s="9"/>
      <c r="K2266" s="9"/>
      <c r="L2266" s="9"/>
      <c r="M2266" s="9"/>
    </row>
    <row r="2267" spans="9:13" x14ac:dyDescent="0.3">
      <c r="I2267" s="7"/>
      <c r="J2267" s="9"/>
      <c r="K2267" s="9"/>
      <c r="L2267" s="9"/>
      <c r="M2267" s="9"/>
    </row>
    <row r="2268" spans="9:13" x14ac:dyDescent="0.3">
      <c r="I2268" s="7"/>
      <c r="J2268" s="9"/>
      <c r="K2268" s="9"/>
      <c r="L2268" s="9"/>
      <c r="M2268" s="9"/>
    </row>
    <row r="2269" spans="9:13" x14ac:dyDescent="0.3">
      <c r="I2269" s="7"/>
      <c r="J2269" s="9"/>
      <c r="K2269" s="9"/>
      <c r="L2269" s="9"/>
      <c r="M2269" s="9"/>
    </row>
    <row r="2270" spans="9:13" x14ac:dyDescent="0.3">
      <c r="I2270" s="7"/>
      <c r="J2270" s="9"/>
      <c r="K2270" s="9"/>
      <c r="L2270" s="9"/>
      <c r="M2270" s="9"/>
    </row>
    <row r="2271" spans="9:13" x14ac:dyDescent="0.3">
      <c r="I2271" s="7"/>
      <c r="J2271" s="9"/>
      <c r="K2271" s="9"/>
      <c r="L2271" s="9"/>
      <c r="M2271" s="9"/>
    </row>
    <row r="2272" spans="9:13" x14ac:dyDescent="0.3">
      <c r="I2272" s="7"/>
      <c r="J2272" s="9"/>
      <c r="K2272" s="9"/>
      <c r="L2272" s="9"/>
      <c r="M2272" s="9"/>
    </row>
    <row r="2273" spans="9:13" x14ac:dyDescent="0.3">
      <c r="I2273" s="7"/>
      <c r="J2273" s="9"/>
      <c r="K2273" s="9"/>
      <c r="L2273" s="9"/>
      <c r="M2273" s="9"/>
    </row>
    <row r="2274" spans="9:13" x14ac:dyDescent="0.3">
      <c r="I2274" s="7"/>
      <c r="J2274" s="9"/>
      <c r="K2274" s="9"/>
      <c r="L2274" s="9"/>
      <c r="M2274" s="9"/>
    </row>
    <row r="2275" spans="9:13" x14ac:dyDescent="0.3">
      <c r="I2275" s="7"/>
      <c r="J2275" s="9"/>
      <c r="K2275" s="9"/>
      <c r="L2275" s="9"/>
      <c r="M2275" s="9"/>
    </row>
    <row r="2276" spans="9:13" x14ac:dyDescent="0.3">
      <c r="I2276" s="7"/>
      <c r="J2276" s="9"/>
      <c r="K2276" s="9"/>
      <c r="L2276" s="9"/>
      <c r="M2276" s="9"/>
    </row>
    <row r="2277" spans="9:13" x14ac:dyDescent="0.3">
      <c r="I2277" s="7"/>
      <c r="J2277" s="9"/>
      <c r="K2277" s="9"/>
      <c r="L2277" s="9"/>
      <c r="M2277" s="9"/>
    </row>
    <row r="2278" spans="9:13" x14ac:dyDescent="0.3">
      <c r="I2278" s="7"/>
      <c r="J2278" s="9"/>
      <c r="K2278" s="9"/>
      <c r="L2278" s="9"/>
      <c r="M2278" s="9"/>
    </row>
    <row r="2279" spans="9:13" x14ac:dyDescent="0.3">
      <c r="I2279" s="7"/>
      <c r="J2279" s="9"/>
      <c r="K2279" s="9"/>
      <c r="L2279" s="9"/>
      <c r="M2279" s="9"/>
    </row>
    <row r="2280" spans="9:13" x14ac:dyDescent="0.3">
      <c r="I2280" s="7"/>
      <c r="J2280" s="9"/>
      <c r="K2280" s="9"/>
      <c r="L2280" s="9"/>
      <c r="M2280" s="9"/>
    </row>
    <row r="2281" spans="9:13" x14ac:dyDescent="0.3">
      <c r="I2281" s="7"/>
      <c r="J2281" s="9"/>
      <c r="K2281" s="9"/>
      <c r="L2281" s="9"/>
      <c r="M2281" s="9"/>
    </row>
    <row r="2282" spans="9:13" x14ac:dyDescent="0.3">
      <c r="I2282" s="7"/>
      <c r="J2282" s="9"/>
      <c r="K2282" s="9"/>
      <c r="L2282" s="9"/>
      <c r="M2282" s="9"/>
    </row>
    <row r="2283" spans="9:13" x14ac:dyDescent="0.3">
      <c r="I2283" s="7"/>
      <c r="J2283" s="9"/>
      <c r="K2283" s="9"/>
      <c r="L2283" s="9"/>
      <c r="M2283" s="9"/>
    </row>
    <row r="2284" spans="9:13" x14ac:dyDescent="0.3">
      <c r="I2284" s="7"/>
      <c r="J2284" s="9"/>
      <c r="K2284" s="9"/>
      <c r="L2284" s="9"/>
      <c r="M2284" s="9"/>
    </row>
    <row r="2285" spans="9:13" x14ac:dyDescent="0.3">
      <c r="I2285" s="7"/>
      <c r="J2285" s="9"/>
      <c r="K2285" s="9"/>
      <c r="L2285" s="9"/>
      <c r="M2285" s="9"/>
    </row>
    <row r="2286" spans="9:13" x14ac:dyDescent="0.3">
      <c r="I2286" s="7"/>
      <c r="J2286" s="9"/>
      <c r="K2286" s="9"/>
      <c r="L2286" s="9"/>
      <c r="M2286" s="9"/>
    </row>
    <row r="2287" spans="9:13" x14ac:dyDescent="0.3">
      <c r="I2287" s="7"/>
      <c r="J2287" s="9"/>
      <c r="K2287" s="9"/>
      <c r="L2287" s="9"/>
      <c r="M2287" s="9"/>
    </row>
    <row r="2288" spans="9:13" x14ac:dyDescent="0.3">
      <c r="I2288" s="7"/>
      <c r="J2288" s="9"/>
      <c r="K2288" s="9"/>
      <c r="L2288" s="9"/>
      <c r="M2288" s="9"/>
    </row>
    <row r="2289" spans="9:13" x14ac:dyDescent="0.3">
      <c r="I2289" s="7"/>
      <c r="J2289" s="9"/>
      <c r="K2289" s="9"/>
      <c r="L2289" s="9"/>
      <c r="M2289" s="9"/>
    </row>
    <row r="2290" spans="9:13" x14ac:dyDescent="0.3">
      <c r="I2290" s="7"/>
      <c r="J2290" s="9"/>
      <c r="K2290" s="9"/>
      <c r="L2290" s="9"/>
      <c r="M2290" s="9"/>
    </row>
    <row r="2291" spans="9:13" x14ac:dyDescent="0.3">
      <c r="I2291" s="7"/>
      <c r="J2291" s="9"/>
      <c r="K2291" s="9"/>
      <c r="L2291" s="9"/>
      <c r="M2291" s="9"/>
    </row>
    <row r="2292" spans="9:13" x14ac:dyDescent="0.3">
      <c r="I2292" s="7"/>
      <c r="J2292" s="9"/>
      <c r="K2292" s="9"/>
      <c r="L2292" s="9"/>
      <c r="M2292" s="9"/>
    </row>
    <row r="2293" spans="9:13" x14ac:dyDescent="0.3">
      <c r="I2293" s="7"/>
      <c r="J2293" s="9"/>
      <c r="K2293" s="9"/>
      <c r="L2293" s="9"/>
      <c r="M2293" s="9"/>
    </row>
    <row r="2294" spans="9:13" x14ac:dyDescent="0.3">
      <c r="I2294" s="7"/>
      <c r="J2294" s="9"/>
      <c r="K2294" s="9"/>
      <c r="L2294" s="9"/>
      <c r="M2294" s="9"/>
    </row>
    <row r="2295" spans="9:13" x14ac:dyDescent="0.3">
      <c r="I2295" s="7"/>
      <c r="J2295" s="9"/>
      <c r="K2295" s="9"/>
      <c r="L2295" s="9"/>
      <c r="M2295" s="9"/>
    </row>
    <row r="2296" spans="9:13" x14ac:dyDescent="0.3">
      <c r="I2296" s="7"/>
      <c r="J2296" s="9"/>
      <c r="K2296" s="9"/>
      <c r="L2296" s="9"/>
      <c r="M2296" s="9"/>
    </row>
    <row r="2297" spans="9:13" x14ac:dyDescent="0.3">
      <c r="I2297" s="7"/>
      <c r="J2297" s="9"/>
      <c r="K2297" s="9"/>
      <c r="L2297" s="9"/>
      <c r="M2297" s="9"/>
    </row>
    <row r="2298" spans="9:13" x14ac:dyDescent="0.3">
      <c r="I2298" s="7"/>
      <c r="J2298" s="9"/>
      <c r="K2298" s="9"/>
      <c r="L2298" s="9"/>
      <c r="M2298" s="9"/>
    </row>
    <row r="2299" spans="9:13" x14ac:dyDescent="0.3">
      <c r="I2299" s="7"/>
      <c r="J2299" s="9"/>
      <c r="K2299" s="9"/>
      <c r="L2299" s="9"/>
      <c r="M2299" s="9"/>
    </row>
    <row r="2300" spans="9:13" x14ac:dyDescent="0.3">
      <c r="I2300" s="7"/>
      <c r="J2300" s="9"/>
      <c r="K2300" s="9"/>
      <c r="L2300" s="9"/>
      <c r="M2300" s="9"/>
    </row>
    <row r="2301" spans="9:13" x14ac:dyDescent="0.3">
      <c r="I2301" s="7"/>
      <c r="J2301" s="9"/>
      <c r="K2301" s="9"/>
      <c r="L2301" s="9"/>
      <c r="M2301" s="9"/>
    </row>
    <row r="2302" spans="9:13" x14ac:dyDescent="0.3">
      <c r="I2302" s="7"/>
      <c r="J2302" s="9"/>
      <c r="K2302" s="9"/>
      <c r="L2302" s="9"/>
      <c r="M2302" s="9"/>
    </row>
    <row r="2303" spans="9:13" x14ac:dyDescent="0.3">
      <c r="I2303" s="7"/>
      <c r="J2303" s="9"/>
      <c r="K2303" s="9"/>
      <c r="L2303" s="9"/>
      <c r="M2303" s="9"/>
    </row>
    <row r="2304" spans="9:13" x14ac:dyDescent="0.3">
      <c r="I2304" s="7"/>
      <c r="J2304" s="9"/>
      <c r="K2304" s="9"/>
      <c r="L2304" s="9"/>
      <c r="M2304" s="9"/>
    </row>
    <row r="2305" spans="9:13" x14ac:dyDescent="0.3">
      <c r="I2305" s="7"/>
      <c r="J2305" s="9"/>
      <c r="K2305" s="9"/>
      <c r="L2305" s="9"/>
      <c r="M2305" s="9"/>
    </row>
    <row r="2306" spans="9:13" x14ac:dyDescent="0.3">
      <c r="I2306" s="7"/>
      <c r="J2306" s="9"/>
      <c r="K2306" s="9"/>
      <c r="L2306" s="9"/>
      <c r="M2306" s="9"/>
    </row>
    <row r="2307" spans="9:13" x14ac:dyDescent="0.3">
      <c r="I2307" s="7"/>
      <c r="J2307" s="9"/>
      <c r="K2307" s="9"/>
      <c r="L2307" s="9"/>
      <c r="M2307" s="9"/>
    </row>
    <row r="2308" spans="9:13" x14ac:dyDescent="0.3">
      <c r="I2308" s="7"/>
      <c r="J2308" s="9"/>
      <c r="K2308" s="9"/>
      <c r="L2308" s="9"/>
      <c r="M2308" s="9"/>
    </row>
    <row r="2309" spans="9:13" x14ac:dyDescent="0.3">
      <c r="I2309" s="7"/>
      <c r="J2309" s="9"/>
      <c r="K2309" s="9"/>
      <c r="L2309" s="9"/>
      <c r="M2309" s="9"/>
    </row>
    <row r="2310" spans="9:13" x14ac:dyDescent="0.3">
      <c r="I2310" s="7"/>
      <c r="J2310" s="9"/>
      <c r="K2310" s="9"/>
      <c r="L2310" s="9"/>
      <c r="M2310" s="9"/>
    </row>
    <row r="2311" spans="9:13" x14ac:dyDescent="0.3">
      <c r="I2311" s="7"/>
      <c r="J2311" s="9"/>
      <c r="K2311" s="9"/>
      <c r="L2311" s="9"/>
      <c r="M2311" s="9"/>
    </row>
    <row r="2312" spans="9:13" x14ac:dyDescent="0.3">
      <c r="I2312" s="7"/>
      <c r="J2312" s="9"/>
      <c r="K2312" s="9"/>
      <c r="L2312" s="9"/>
      <c r="M2312" s="9"/>
    </row>
    <row r="2313" spans="9:13" x14ac:dyDescent="0.3">
      <c r="I2313" s="7"/>
      <c r="J2313" s="9"/>
      <c r="K2313" s="9"/>
      <c r="L2313" s="9"/>
      <c r="M2313" s="9"/>
    </row>
    <row r="2314" spans="9:13" x14ac:dyDescent="0.3">
      <c r="I2314" s="7"/>
      <c r="J2314" s="9"/>
      <c r="K2314" s="9"/>
      <c r="L2314" s="9"/>
      <c r="M2314" s="9"/>
    </row>
    <row r="2315" spans="9:13" x14ac:dyDescent="0.3">
      <c r="I2315" s="7"/>
      <c r="J2315" s="9"/>
      <c r="K2315" s="9"/>
      <c r="L2315" s="9"/>
      <c r="M2315" s="9"/>
    </row>
    <row r="2316" spans="9:13" x14ac:dyDescent="0.3">
      <c r="I2316" s="7"/>
      <c r="J2316" s="9"/>
      <c r="K2316" s="9"/>
      <c r="L2316" s="9"/>
      <c r="M2316" s="9"/>
    </row>
    <row r="2317" spans="9:13" x14ac:dyDescent="0.3">
      <c r="I2317" s="7"/>
      <c r="J2317" s="9"/>
      <c r="K2317" s="9"/>
      <c r="L2317" s="9"/>
      <c r="M2317" s="9"/>
    </row>
    <row r="2318" spans="9:13" x14ac:dyDescent="0.3">
      <c r="I2318" s="7"/>
      <c r="J2318" s="9"/>
      <c r="K2318" s="9"/>
      <c r="L2318" s="9"/>
      <c r="M2318" s="9"/>
    </row>
    <row r="2319" spans="9:13" x14ac:dyDescent="0.3">
      <c r="I2319" s="7"/>
      <c r="J2319" s="9"/>
      <c r="K2319" s="9"/>
      <c r="L2319" s="9"/>
      <c r="M2319" s="9"/>
    </row>
    <row r="2320" spans="9:13" x14ac:dyDescent="0.3">
      <c r="I2320" s="7"/>
      <c r="J2320" s="9"/>
      <c r="K2320" s="9"/>
      <c r="L2320" s="9"/>
      <c r="M2320" s="9"/>
    </row>
    <row r="2321" spans="9:13" x14ac:dyDescent="0.3">
      <c r="I2321" s="7"/>
      <c r="J2321" s="9"/>
      <c r="K2321" s="9"/>
      <c r="L2321" s="9"/>
      <c r="M2321" s="9"/>
    </row>
    <row r="2322" spans="9:13" x14ac:dyDescent="0.3">
      <c r="I2322" s="7"/>
      <c r="J2322" s="9"/>
      <c r="K2322" s="9"/>
      <c r="L2322" s="9"/>
      <c r="M2322" s="9"/>
    </row>
    <row r="2323" spans="9:13" x14ac:dyDescent="0.3">
      <c r="I2323" s="7"/>
      <c r="J2323" s="9"/>
      <c r="K2323" s="9"/>
      <c r="L2323" s="9"/>
      <c r="M2323" s="9"/>
    </row>
    <row r="2324" spans="9:13" x14ac:dyDescent="0.3">
      <c r="I2324" s="7"/>
      <c r="J2324" s="9"/>
      <c r="K2324" s="9"/>
      <c r="L2324" s="9"/>
      <c r="M2324" s="9"/>
    </row>
    <row r="2325" spans="9:13" x14ac:dyDescent="0.3">
      <c r="I2325" s="7"/>
      <c r="J2325" s="9"/>
      <c r="K2325" s="9"/>
      <c r="L2325" s="9"/>
      <c r="M2325" s="9"/>
    </row>
    <row r="2326" spans="9:13" x14ac:dyDescent="0.3">
      <c r="I2326" s="7"/>
      <c r="J2326" s="9"/>
      <c r="K2326" s="9"/>
      <c r="L2326" s="9"/>
      <c r="M2326" s="9"/>
    </row>
    <row r="2327" spans="9:13" x14ac:dyDescent="0.3">
      <c r="I2327" s="7"/>
      <c r="J2327" s="9"/>
      <c r="K2327" s="9"/>
      <c r="L2327" s="9"/>
      <c r="M2327" s="9"/>
    </row>
    <row r="2328" spans="9:13" x14ac:dyDescent="0.3">
      <c r="I2328" s="7"/>
      <c r="J2328" s="9"/>
      <c r="K2328" s="9"/>
      <c r="L2328" s="9"/>
      <c r="M2328" s="9"/>
    </row>
    <row r="2329" spans="9:13" x14ac:dyDescent="0.3">
      <c r="I2329" s="7"/>
      <c r="J2329" s="9"/>
      <c r="K2329" s="9"/>
      <c r="L2329" s="9"/>
      <c r="M2329" s="9"/>
    </row>
    <row r="2330" spans="9:13" x14ac:dyDescent="0.3">
      <c r="I2330" s="7"/>
      <c r="J2330" s="9"/>
      <c r="K2330" s="9"/>
      <c r="L2330" s="9"/>
      <c r="M2330" s="9"/>
    </row>
    <row r="2331" spans="9:13" x14ac:dyDescent="0.3">
      <c r="I2331" s="7"/>
      <c r="J2331" s="9"/>
      <c r="K2331" s="9"/>
      <c r="L2331" s="9"/>
      <c r="M2331" s="9"/>
    </row>
    <row r="2332" spans="9:13" x14ac:dyDescent="0.3">
      <c r="I2332" s="7"/>
      <c r="J2332" s="9"/>
      <c r="K2332" s="9"/>
      <c r="L2332" s="9"/>
      <c r="M2332" s="9"/>
    </row>
    <row r="2333" spans="9:13" x14ac:dyDescent="0.3">
      <c r="I2333" s="7"/>
      <c r="J2333" s="9"/>
      <c r="K2333" s="9"/>
      <c r="L2333" s="9"/>
      <c r="M2333" s="9"/>
    </row>
    <row r="2334" spans="9:13" x14ac:dyDescent="0.3">
      <c r="I2334" s="7"/>
      <c r="J2334" s="9"/>
      <c r="K2334" s="9"/>
      <c r="L2334" s="9"/>
      <c r="M2334" s="9"/>
    </row>
    <row r="2335" spans="9:13" x14ac:dyDescent="0.3">
      <c r="I2335" s="7"/>
      <c r="J2335" s="9"/>
      <c r="K2335" s="9"/>
      <c r="L2335" s="9"/>
      <c r="M2335" s="9"/>
    </row>
    <row r="2336" spans="9:13" x14ac:dyDescent="0.3">
      <c r="I2336" s="7"/>
      <c r="J2336" s="9"/>
      <c r="K2336" s="9"/>
      <c r="L2336" s="9"/>
      <c r="M2336" s="9"/>
    </row>
    <row r="2337" spans="9:13" x14ac:dyDescent="0.3">
      <c r="I2337" s="7"/>
      <c r="J2337" s="9"/>
      <c r="K2337" s="9"/>
      <c r="L2337" s="9"/>
      <c r="M2337" s="9"/>
    </row>
    <row r="2338" spans="9:13" x14ac:dyDescent="0.3">
      <c r="I2338" s="7"/>
      <c r="J2338" s="9"/>
      <c r="K2338" s="9"/>
      <c r="L2338" s="9"/>
      <c r="M2338" s="9"/>
    </row>
    <row r="2339" spans="9:13" x14ac:dyDescent="0.3">
      <c r="I2339" s="7"/>
      <c r="J2339" s="9"/>
      <c r="K2339" s="9"/>
      <c r="L2339" s="9"/>
      <c r="M2339" s="9"/>
    </row>
    <row r="2340" spans="9:13" x14ac:dyDescent="0.3">
      <c r="I2340" s="7"/>
      <c r="J2340" s="9"/>
      <c r="K2340" s="9"/>
      <c r="L2340" s="9"/>
      <c r="M2340" s="9"/>
    </row>
    <row r="2341" spans="9:13" x14ac:dyDescent="0.3">
      <c r="I2341" s="7"/>
      <c r="J2341" s="9"/>
      <c r="K2341" s="9"/>
      <c r="L2341" s="9"/>
      <c r="M2341" s="9"/>
    </row>
    <row r="2342" spans="9:13" x14ac:dyDescent="0.3">
      <c r="I2342" s="7"/>
      <c r="J2342" s="9"/>
      <c r="K2342" s="9"/>
      <c r="L2342" s="9"/>
      <c r="M2342" s="9"/>
    </row>
    <row r="2343" spans="9:13" x14ac:dyDescent="0.3">
      <c r="I2343" s="7"/>
      <c r="J2343" s="9"/>
      <c r="K2343" s="9"/>
      <c r="L2343" s="9"/>
      <c r="M2343" s="9"/>
    </row>
    <row r="2344" spans="9:13" x14ac:dyDescent="0.3">
      <c r="I2344" s="7"/>
      <c r="J2344" s="9"/>
      <c r="K2344" s="9"/>
      <c r="L2344" s="9"/>
      <c r="M2344" s="9"/>
    </row>
    <row r="2345" spans="9:13" x14ac:dyDescent="0.3">
      <c r="I2345" s="7"/>
      <c r="J2345" s="9"/>
      <c r="K2345" s="9"/>
      <c r="L2345" s="9"/>
      <c r="M2345" s="9"/>
    </row>
    <row r="2346" spans="9:13" x14ac:dyDescent="0.3">
      <c r="I2346" s="7"/>
      <c r="J2346" s="9"/>
      <c r="K2346" s="9"/>
      <c r="L2346" s="9"/>
      <c r="M2346" s="9"/>
    </row>
    <row r="2347" spans="9:13" x14ac:dyDescent="0.3">
      <c r="I2347" s="7"/>
      <c r="J2347" s="9"/>
      <c r="K2347" s="9"/>
      <c r="L2347" s="9"/>
      <c r="M2347" s="9"/>
    </row>
    <row r="2348" spans="9:13" x14ac:dyDescent="0.3">
      <c r="I2348" s="7"/>
      <c r="J2348" s="9"/>
      <c r="K2348" s="9"/>
      <c r="L2348" s="9"/>
      <c r="M2348" s="9"/>
    </row>
    <row r="2349" spans="9:13" x14ac:dyDescent="0.3">
      <c r="I2349" s="7"/>
      <c r="J2349" s="9"/>
      <c r="K2349" s="9"/>
      <c r="L2349" s="9"/>
      <c r="M2349" s="9"/>
    </row>
    <row r="2350" spans="9:13" x14ac:dyDescent="0.3">
      <c r="I2350" s="7"/>
      <c r="J2350" s="9"/>
      <c r="K2350" s="9"/>
      <c r="L2350" s="9"/>
      <c r="M2350" s="9"/>
    </row>
    <row r="2351" spans="9:13" x14ac:dyDescent="0.3">
      <c r="I2351" s="7"/>
      <c r="J2351" s="9"/>
      <c r="K2351" s="9"/>
      <c r="L2351" s="9"/>
      <c r="M2351" s="9"/>
    </row>
    <row r="2352" spans="9:13" x14ac:dyDescent="0.3">
      <c r="I2352" s="7"/>
      <c r="J2352" s="9"/>
      <c r="K2352" s="9"/>
      <c r="L2352" s="9"/>
      <c r="M2352" s="9"/>
    </row>
    <row r="2353" spans="9:13" x14ac:dyDescent="0.3">
      <c r="I2353" s="7"/>
      <c r="J2353" s="9"/>
      <c r="K2353" s="9"/>
      <c r="L2353" s="9"/>
      <c r="M2353" s="9"/>
    </row>
    <row r="2354" spans="9:13" x14ac:dyDescent="0.3">
      <c r="I2354" s="7"/>
      <c r="J2354" s="9"/>
      <c r="K2354" s="9"/>
      <c r="L2354" s="9"/>
      <c r="M2354" s="9"/>
    </row>
    <row r="2355" spans="9:13" x14ac:dyDescent="0.3">
      <c r="I2355" s="7"/>
      <c r="J2355" s="9"/>
      <c r="K2355" s="9"/>
      <c r="L2355" s="9"/>
      <c r="M2355" s="9"/>
    </row>
    <row r="2356" spans="9:13" x14ac:dyDescent="0.3">
      <c r="I2356" s="7"/>
      <c r="J2356" s="9"/>
      <c r="K2356" s="9"/>
      <c r="L2356" s="9"/>
      <c r="M2356" s="9"/>
    </row>
    <row r="2357" spans="9:13" x14ac:dyDescent="0.3">
      <c r="I2357" s="7"/>
      <c r="J2357" s="9"/>
      <c r="K2357" s="9"/>
      <c r="L2357" s="9"/>
      <c r="M2357" s="9"/>
    </row>
    <row r="2358" spans="9:13" x14ac:dyDescent="0.3">
      <c r="I2358" s="7"/>
      <c r="J2358" s="9"/>
      <c r="K2358" s="9"/>
      <c r="L2358" s="9"/>
      <c r="M2358" s="9"/>
    </row>
    <row r="2359" spans="9:13" x14ac:dyDescent="0.3">
      <c r="I2359" s="7"/>
      <c r="J2359" s="9"/>
      <c r="K2359" s="9"/>
      <c r="L2359" s="9"/>
      <c r="M2359" s="9"/>
    </row>
    <row r="2360" spans="9:13" x14ac:dyDescent="0.3">
      <c r="I2360" s="7"/>
      <c r="J2360" s="9"/>
      <c r="K2360" s="9"/>
      <c r="L2360" s="9"/>
      <c r="M2360" s="9"/>
    </row>
    <row r="2361" spans="9:13" x14ac:dyDescent="0.3">
      <c r="I2361" s="7"/>
      <c r="J2361" s="9"/>
      <c r="K2361" s="9"/>
      <c r="L2361" s="9"/>
      <c r="M2361" s="9"/>
    </row>
    <row r="2362" spans="9:13" x14ac:dyDescent="0.3">
      <c r="I2362" s="7"/>
      <c r="J2362" s="9"/>
      <c r="K2362" s="9"/>
      <c r="L2362" s="9"/>
      <c r="M2362" s="9"/>
    </row>
    <row r="2363" spans="9:13" x14ac:dyDescent="0.3">
      <c r="I2363" s="7"/>
      <c r="J2363" s="9"/>
      <c r="K2363" s="9"/>
      <c r="L2363" s="9"/>
      <c r="M2363" s="9"/>
    </row>
    <row r="2364" spans="9:13" x14ac:dyDescent="0.3">
      <c r="I2364" s="7"/>
      <c r="J2364" s="9"/>
      <c r="K2364" s="9"/>
      <c r="L2364" s="9"/>
      <c r="M2364" s="9"/>
    </row>
    <row r="2365" spans="9:13" x14ac:dyDescent="0.3">
      <c r="I2365" s="7"/>
      <c r="J2365" s="9"/>
      <c r="K2365" s="9"/>
      <c r="L2365" s="9"/>
      <c r="M2365" s="9"/>
    </row>
    <row r="2366" spans="9:13" x14ac:dyDescent="0.3">
      <c r="I2366" s="7"/>
      <c r="J2366" s="9"/>
      <c r="K2366" s="9"/>
      <c r="L2366" s="9"/>
      <c r="M2366" s="9"/>
    </row>
    <row r="2367" spans="9:13" x14ac:dyDescent="0.3">
      <c r="I2367" s="7"/>
      <c r="J2367" s="9"/>
      <c r="K2367" s="9"/>
      <c r="L2367" s="9"/>
      <c r="M2367" s="9"/>
    </row>
    <row r="2368" spans="9:13" x14ac:dyDescent="0.3">
      <c r="I2368" s="7"/>
      <c r="J2368" s="9"/>
      <c r="K2368" s="9"/>
      <c r="L2368" s="9"/>
      <c r="M2368" s="9"/>
    </row>
    <row r="2369" spans="9:13" x14ac:dyDescent="0.3">
      <c r="I2369" s="7"/>
      <c r="J2369" s="9"/>
      <c r="K2369" s="9"/>
      <c r="L2369" s="9"/>
      <c r="M2369" s="9"/>
    </row>
    <row r="2370" spans="9:13" x14ac:dyDescent="0.3">
      <c r="I2370" s="7"/>
      <c r="J2370" s="9"/>
      <c r="K2370" s="9"/>
      <c r="L2370" s="9"/>
      <c r="M2370" s="9"/>
    </row>
    <row r="2371" spans="9:13" x14ac:dyDescent="0.3">
      <c r="I2371" s="7"/>
      <c r="J2371" s="9"/>
      <c r="K2371" s="9"/>
      <c r="L2371" s="9"/>
      <c r="M2371" s="9"/>
    </row>
    <row r="2372" spans="9:13" x14ac:dyDescent="0.3">
      <c r="I2372" s="7"/>
      <c r="J2372" s="9"/>
      <c r="K2372" s="9"/>
      <c r="L2372" s="9"/>
      <c r="M2372" s="9"/>
    </row>
    <row r="2373" spans="9:13" x14ac:dyDescent="0.3">
      <c r="I2373" s="7"/>
      <c r="J2373" s="9"/>
      <c r="K2373" s="9"/>
      <c r="L2373" s="9"/>
      <c r="M2373" s="9"/>
    </row>
    <row r="2374" spans="9:13" x14ac:dyDescent="0.3">
      <c r="I2374" s="7"/>
      <c r="J2374" s="9"/>
      <c r="K2374" s="9"/>
      <c r="L2374" s="9"/>
      <c r="M2374" s="9"/>
    </row>
    <row r="2375" spans="9:13" x14ac:dyDescent="0.3">
      <c r="I2375" s="7"/>
      <c r="J2375" s="9"/>
      <c r="K2375" s="9"/>
      <c r="L2375" s="9"/>
      <c r="M2375" s="9"/>
    </row>
    <row r="2376" spans="9:13" x14ac:dyDescent="0.3">
      <c r="I2376" s="7"/>
      <c r="J2376" s="9"/>
      <c r="K2376" s="9"/>
      <c r="L2376" s="9"/>
      <c r="M2376" s="9"/>
    </row>
    <row r="2377" spans="9:13" x14ac:dyDescent="0.3">
      <c r="I2377" s="7"/>
      <c r="J2377" s="9"/>
      <c r="K2377" s="9"/>
      <c r="L2377" s="9"/>
      <c r="M2377" s="9"/>
    </row>
    <row r="2378" spans="9:13" x14ac:dyDescent="0.3">
      <c r="I2378" s="7"/>
      <c r="J2378" s="9"/>
      <c r="K2378" s="9"/>
      <c r="L2378" s="9"/>
      <c r="M2378" s="9"/>
    </row>
    <row r="2379" spans="9:13" x14ac:dyDescent="0.3">
      <c r="I2379" s="7"/>
      <c r="J2379" s="9"/>
      <c r="K2379" s="9"/>
      <c r="L2379" s="9"/>
      <c r="M2379" s="9"/>
    </row>
    <row r="2380" spans="9:13" x14ac:dyDescent="0.3">
      <c r="I2380" s="7"/>
      <c r="J2380" s="9"/>
      <c r="K2380" s="9"/>
      <c r="L2380" s="9"/>
      <c r="M2380" s="9"/>
    </row>
    <row r="2381" spans="9:13" x14ac:dyDescent="0.3">
      <c r="I2381" s="7"/>
      <c r="J2381" s="9"/>
      <c r="K2381" s="9"/>
      <c r="L2381" s="9"/>
      <c r="M2381" s="9"/>
    </row>
    <row r="2382" spans="9:13" x14ac:dyDescent="0.3">
      <c r="I2382" s="7"/>
      <c r="J2382" s="9"/>
      <c r="K2382" s="9"/>
      <c r="L2382" s="9"/>
      <c r="M2382" s="9"/>
    </row>
    <row r="2383" spans="9:13" x14ac:dyDescent="0.3">
      <c r="I2383" s="7"/>
      <c r="J2383" s="9"/>
      <c r="K2383" s="9"/>
      <c r="L2383" s="9"/>
      <c r="M2383" s="9"/>
    </row>
    <row r="2384" spans="9:13" x14ac:dyDescent="0.3">
      <c r="I2384" s="7"/>
      <c r="J2384" s="9"/>
      <c r="K2384" s="9"/>
      <c r="L2384" s="9"/>
      <c r="M2384" s="9"/>
    </row>
    <row r="2385" spans="9:13" x14ac:dyDescent="0.3">
      <c r="I2385" s="7"/>
      <c r="J2385" s="9"/>
      <c r="K2385" s="9"/>
      <c r="L2385" s="9"/>
      <c r="M2385" s="9"/>
    </row>
    <row r="2386" spans="9:13" x14ac:dyDescent="0.3">
      <c r="I2386" s="7"/>
      <c r="J2386" s="9"/>
      <c r="K2386" s="9"/>
      <c r="L2386" s="9"/>
      <c r="M2386" s="9"/>
    </row>
    <row r="2387" spans="9:13" x14ac:dyDescent="0.3">
      <c r="I2387" s="7"/>
      <c r="J2387" s="9"/>
      <c r="K2387" s="9"/>
      <c r="L2387" s="9"/>
      <c r="M2387" s="9"/>
    </row>
    <row r="2388" spans="9:13" x14ac:dyDescent="0.3">
      <c r="I2388" s="7"/>
      <c r="J2388" s="9"/>
      <c r="K2388" s="9"/>
      <c r="L2388" s="9"/>
      <c r="M2388" s="9"/>
    </row>
    <row r="2389" spans="9:13" x14ac:dyDescent="0.3">
      <c r="I2389" s="7"/>
      <c r="J2389" s="9"/>
      <c r="K2389" s="9"/>
      <c r="L2389" s="9"/>
      <c r="M2389" s="9"/>
    </row>
    <row r="2390" spans="9:13" x14ac:dyDescent="0.3">
      <c r="I2390" s="7"/>
      <c r="J2390" s="9"/>
      <c r="K2390" s="9"/>
      <c r="L2390" s="9"/>
      <c r="M2390" s="9"/>
    </row>
    <row r="2391" spans="9:13" x14ac:dyDescent="0.3">
      <c r="I2391" s="7"/>
      <c r="J2391" s="9"/>
      <c r="K2391" s="9"/>
      <c r="L2391" s="9"/>
      <c r="M2391" s="9"/>
    </row>
    <row r="2392" spans="9:13" x14ac:dyDescent="0.3">
      <c r="I2392" s="7"/>
      <c r="J2392" s="9"/>
      <c r="K2392" s="9"/>
      <c r="L2392" s="9"/>
      <c r="M2392" s="9"/>
    </row>
    <row r="2393" spans="9:13" x14ac:dyDescent="0.3">
      <c r="I2393" s="7"/>
      <c r="J2393" s="9"/>
      <c r="K2393" s="9"/>
      <c r="L2393" s="9"/>
      <c r="M2393" s="9"/>
    </row>
    <row r="2394" spans="9:13" x14ac:dyDescent="0.3">
      <c r="I2394" s="7"/>
      <c r="J2394" s="9"/>
      <c r="K2394" s="9"/>
      <c r="L2394" s="9"/>
      <c r="M2394" s="9"/>
    </row>
    <row r="2395" spans="9:13" x14ac:dyDescent="0.3">
      <c r="I2395" s="7"/>
      <c r="J2395" s="9"/>
      <c r="K2395" s="9"/>
      <c r="L2395" s="9"/>
      <c r="M2395" s="9"/>
    </row>
    <row r="2396" spans="9:13" x14ac:dyDescent="0.3">
      <c r="I2396" s="7"/>
      <c r="J2396" s="9"/>
      <c r="K2396" s="9"/>
      <c r="L2396" s="9"/>
      <c r="M2396" s="9"/>
    </row>
    <row r="2397" spans="9:13" x14ac:dyDescent="0.3">
      <c r="I2397" s="7"/>
      <c r="J2397" s="9"/>
      <c r="K2397" s="9"/>
      <c r="L2397" s="9"/>
      <c r="M2397" s="9"/>
    </row>
    <row r="2398" spans="9:13" x14ac:dyDescent="0.3">
      <c r="I2398" s="7"/>
      <c r="J2398" s="9"/>
      <c r="K2398" s="9"/>
      <c r="L2398" s="9"/>
      <c r="M2398" s="9"/>
    </row>
    <row r="2399" spans="9:13" x14ac:dyDescent="0.3">
      <c r="I2399" s="7"/>
      <c r="J2399" s="9"/>
      <c r="K2399" s="9"/>
      <c r="L2399" s="9"/>
      <c r="M2399" s="9"/>
    </row>
    <row r="2400" spans="9:13" x14ac:dyDescent="0.3">
      <c r="I2400" s="7"/>
      <c r="J2400" s="9"/>
      <c r="K2400" s="9"/>
      <c r="L2400" s="9"/>
      <c r="M2400" s="9"/>
    </row>
    <row r="2401" spans="9:13" x14ac:dyDescent="0.3">
      <c r="I2401" s="7"/>
      <c r="J2401" s="9"/>
      <c r="K2401" s="9"/>
      <c r="L2401" s="9"/>
      <c r="M2401" s="9"/>
    </row>
    <row r="2402" spans="9:13" x14ac:dyDescent="0.3">
      <c r="I2402" s="7"/>
      <c r="J2402" s="9"/>
      <c r="K2402" s="9"/>
      <c r="L2402" s="9"/>
      <c r="M2402" s="9"/>
    </row>
    <row r="2403" spans="9:13" x14ac:dyDescent="0.3">
      <c r="I2403" s="7"/>
      <c r="J2403" s="9"/>
      <c r="K2403" s="9"/>
      <c r="L2403" s="9"/>
      <c r="M2403" s="9"/>
    </row>
    <row r="2404" spans="9:13" x14ac:dyDescent="0.3">
      <c r="I2404" s="7"/>
      <c r="J2404" s="9"/>
      <c r="K2404" s="9"/>
      <c r="L2404" s="9"/>
      <c r="M2404" s="9"/>
    </row>
    <row r="2405" spans="9:13" x14ac:dyDescent="0.3">
      <c r="I2405" s="7"/>
      <c r="J2405" s="9"/>
      <c r="K2405" s="9"/>
      <c r="L2405" s="9"/>
      <c r="M2405" s="9"/>
    </row>
    <row r="2406" spans="9:13" x14ac:dyDescent="0.3">
      <c r="I2406" s="7"/>
      <c r="J2406" s="9"/>
      <c r="K2406" s="9"/>
      <c r="L2406" s="9"/>
      <c r="M2406" s="9"/>
    </row>
    <row r="2407" spans="9:13" x14ac:dyDescent="0.3">
      <c r="I2407" s="7"/>
      <c r="J2407" s="9"/>
      <c r="K2407" s="9"/>
      <c r="L2407" s="9"/>
      <c r="M2407" s="9"/>
    </row>
    <row r="2408" spans="9:13" x14ac:dyDescent="0.3">
      <c r="I2408" s="7"/>
      <c r="J2408" s="9"/>
      <c r="K2408" s="9"/>
      <c r="L2408" s="9"/>
      <c r="M2408" s="9"/>
    </row>
    <row r="2409" spans="9:13" x14ac:dyDescent="0.3">
      <c r="I2409" s="7"/>
      <c r="J2409" s="9"/>
      <c r="K2409" s="9"/>
      <c r="L2409" s="9"/>
      <c r="M2409" s="9"/>
    </row>
    <row r="2410" spans="9:13" x14ac:dyDescent="0.3">
      <c r="I2410" s="7"/>
      <c r="J2410" s="9"/>
      <c r="K2410" s="9"/>
      <c r="L2410" s="9"/>
      <c r="M2410" s="9"/>
    </row>
    <row r="2411" spans="9:13" x14ac:dyDescent="0.3">
      <c r="I2411" s="7"/>
      <c r="J2411" s="9"/>
      <c r="K2411" s="9"/>
      <c r="L2411" s="9"/>
      <c r="M2411" s="9"/>
    </row>
    <row r="2412" spans="9:13" x14ac:dyDescent="0.3">
      <c r="I2412" s="7"/>
      <c r="J2412" s="9"/>
      <c r="K2412" s="9"/>
      <c r="L2412" s="9"/>
      <c r="M2412" s="9"/>
    </row>
    <row r="2413" spans="9:13" x14ac:dyDescent="0.3">
      <c r="I2413" s="7"/>
      <c r="J2413" s="9"/>
      <c r="K2413" s="9"/>
      <c r="L2413" s="9"/>
      <c r="M2413" s="9"/>
    </row>
    <row r="2414" spans="9:13" x14ac:dyDescent="0.3">
      <c r="I2414" s="7"/>
      <c r="J2414" s="9"/>
      <c r="K2414" s="9"/>
      <c r="L2414" s="9"/>
      <c r="M2414" s="9"/>
    </row>
    <row r="2415" spans="9:13" x14ac:dyDescent="0.3">
      <c r="I2415" s="7"/>
      <c r="J2415" s="9"/>
      <c r="K2415" s="9"/>
      <c r="L2415" s="9"/>
      <c r="M2415" s="9"/>
    </row>
    <row r="2416" spans="9:13" x14ac:dyDescent="0.3">
      <c r="I2416" s="7"/>
      <c r="J2416" s="9"/>
      <c r="K2416" s="9"/>
      <c r="L2416" s="9"/>
      <c r="M2416" s="9"/>
    </row>
    <row r="2417" spans="9:13" x14ac:dyDescent="0.3">
      <c r="I2417" s="7"/>
      <c r="J2417" s="9"/>
      <c r="K2417" s="9"/>
      <c r="L2417" s="9"/>
      <c r="M2417" s="9"/>
    </row>
    <row r="2418" spans="9:13" x14ac:dyDescent="0.3">
      <c r="I2418" s="7"/>
      <c r="J2418" s="9"/>
      <c r="K2418" s="9"/>
      <c r="L2418" s="9"/>
      <c r="M2418" s="9"/>
    </row>
    <row r="2419" spans="9:13" x14ac:dyDescent="0.3">
      <c r="I2419" s="7"/>
      <c r="J2419" s="9"/>
      <c r="K2419" s="9"/>
      <c r="L2419" s="9"/>
      <c r="M2419" s="9"/>
    </row>
    <row r="2420" spans="9:13" x14ac:dyDescent="0.3">
      <c r="I2420" s="7"/>
      <c r="J2420" s="9"/>
      <c r="K2420" s="9"/>
      <c r="L2420" s="9"/>
      <c r="M2420" s="9"/>
    </row>
    <row r="2421" spans="9:13" x14ac:dyDescent="0.3">
      <c r="I2421" s="7"/>
      <c r="J2421" s="9"/>
      <c r="K2421" s="9"/>
      <c r="L2421" s="9"/>
      <c r="M2421" s="9"/>
    </row>
    <row r="2422" spans="9:13" x14ac:dyDescent="0.3">
      <c r="I2422" s="7"/>
      <c r="J2422" s="9"/>
      <c r="K2422" s="9"/>
      <c r="L2422" s="9"/>
      <c r="M2422" s="9"/>
    </row>
    <row r="2423" spans="9:13" x14ac:dyDescent="0.3">
      <c r="I2423" s="7"/>
      <c r="J2423" s="9"/>
      <c r="K2423" s="9"/>
      <c r="L2423" s="9"/>
      <c r="M2423" s="9"/>
    </row>
    <row r="2424" spans="9:13" x14ac:dyDescent="0.3">
      <c r="I2424" s="7"/>
      <c r="J2424" s="9"/>
      <c r="K2424" s="9"/>
      <c r="L2424" s="9"/>
      <c r="M2424" s="9"/>
    </row>
    <row r="2425" spans="9:13" x14ac:dyDescent="0.3">
      <c r="I2425" s="7"/>
      <c r="J2425" s="9"/>
      <c r="K2425" s="9"/>
      <c r="L2425" s="9"/>
      <c r="M2425" s="9"/>
    </row>
    <row r="2426" spans="9:13" x14ac:dyDescent="0.3">
      <c r="I2426" s="7"/>
      <c r="J2426" s="9"/>
      <c r="K2426" s="9"/>
      <c r="L2426" s="9"/>
      <c r="M2426" s="9"/>
    </row>
    <row r="2427" spans="9:13" x14ac:dyDescent="0.3">
      <c r="I2427" s="7"/>
      <c r="J2427" s="9"/>
      <c r="K2427" s="9"/>
      <c r="L2427" s="9"/>
      <c r="M2427" s="9"/>
    </row>
    <row r="2428" spans="9:13" x14ac:dyDescent="0.3">
      <c r="I2428" s="7"/>
      <c r="J2428" s="9"/>
      <c r="K2428" s="9"/>
      <c r="L2428" s="9"/>
      <c r="M2428" s="9"/>
    </row>
    <row r="2429" spans="9:13" x14ac:dyDescent="0.3">
      <c r="I2429" s="7"/>
      <c r="J2429" s="9"/>
      <c r="K2429" s="9"/>
      <c r="L2429" s="9"/>
      <c r="M2429" s="9"/>
    </row>
    <row r="2430" spans="9:13" x14ac:dyDescent="0.3">
      <c r="I2430" s="7"/>
      <c r="J2430" s="9"/>
      <c r="K2430" s="9"/>
      <c r="L2430" s="9"/>
      <c r="M2430" s="9"/>
    </row>
    <row r="2431" spans="9:13" x14ac:dyDescent="0.3">
      <c r="I2431" s="7"/>
      <c r="J2431" s="9"/>
      <c r="K2431" s="9"/>
      <c r="L2431" s="9"/>
      <c r="M2431" s="9"/>
    </row>
    <row r="2432" spans="9:13" x14ac:dyDescent="0.3">
      <c r="I2432" s="7"/>
      <c r="J2432" s="9"/>
      <c r="K2432" s="9"/>
      <c r="L2432" s="9"/>
      <c r="M2432" s="9"/>
    </row>
    <row r="2433" spans="9:13" x14ac:dyDescent="0.3">
      <c r="I2433" s="7"/>
      <c r="J2433" s="9"/>
      <c r="K2433" s="9"/>
      <c r="L2433" s="9"/>
      <c r="M2433" s="9"/>
    </row>
    <row r="2434" spans="9:13" x14ac:dyDescent="0.3">
      <c r="I2434" s="7"/>
      <c r="J2434" s="9"/>
      <c r="K2434" s="9"/>
      <c r="L2434" s="9"/>
      <c r="M2434" s="9"/>
    </row>
    <row r="2435" spans="9:13" x14ac:dyDescent="0.3">
      <c r="I2435" s="7"/>
      <c r="J2435" s="9"/>
      <c r="K2435" s="9"/>
      <c r="L2435" s="9"/>
      <c r="M2435" s="9"/>
    </row>
    <row r="2436" spans="9:13" x14ac:dyDescent="0.3">
      <c r="I2436" s="7"/>
      <c r="J2436" s="9"/>
      <c r="K2436" s="9"/>
      <c r="L2436" s="9"/>
      <c r="M2436" s="9"/>
    </row>
    <row r="2437" spans="9:13" x14ac:dyDescent="0.3">
      <c r="I2437" s="7"/>
      <c r="J2437" s="9"/>
      <c r="K2437" s="9"/>
      <c r="L2437" s="9"/>
      <c r="M2437" s="9"/>
    </row>
    <row r="2438" spans="9:13" x14ac:dyDescent="0.3">
      <c r="I2438" s="7"/>
      <c r="J2438" s="9"/>
      <c r="K2438" s="9"/>
      <c r="L2438" s="9"/>
      <c r="M2438" s="9"/>
    </row>
    <row r="2439" spans="9:13" x14ac:dyDescent="0.3">
      <c r="I2439" s="7"/>
      <c r="J2439" s="9"/>
      <c r="K2439" s="9"/>
      <c r="L2439" s="9"/>
      <c r="M2439" s="9"/>
    </row>
    <row r="2440" spans="9:13" x14ac:dyDescent="0.3">
      <c r="I2440" s="7"/>
      <c r="J2440" s="9"/>
      <c r="K2440" s="9"/>
      <c r="L2440" s="9"/>
      <c r="M2440" s="9"/>
    </row>
    <row r="2441" spans="9:13" x14ac:dyDescent="0.3">
      <c r="I2441" s="7"/>
      <c r="J2441" s="9"/>
      <c r="K2441" s="9"/>
      <c r="L2441" s="9"/>
      <c r="M2441" s="9"/>
    </row>
    <row r="2442" spans="9:13" x14ac:dyDescent="0.3">
      <c r="I2442" s="7"/>
      <c r="J2442" s="9"/>
      <c r="K2442" s="9"/>
      <c r="L2442" s="9"/>
      <c r="M2442" s="9"/>
    </row>
    <row r="2443" spans="9:13" x14ac:dyDescent="0.3">
      <c r="I2443" s="7"/>
      <c r="J2443" s="9"/>
      <c r="K2443" s="9"/>
      <c r="L2443" s="9"/>
      <c r="M2443" s="9"/>
    </row>
    <row r="2444" spans="9:13" x14ac:dyDescent="0.3">
      <c r="I2444" s="7"/>
      <c r="J2444" s="9"/>
      <c r="K2444" s="9"/>
      <c r="L2444" s="9"/>
      <c r="M2444" s="9"/>
    </row>
    <row r="2445" spans="9:13" x14ac:dyDescent="0.3">
      <c r="I2445" s="7"/>
      <c r="J2445" s="9"/>
      <c r="K2445" s="9"/>
      <c r="L2445" s="9"/>
      <c r="M2445" s="9"/>
    </row>
    <row r="2446" spans="9:13" x14ac:dyDescent="0.3">
      <c r="I2446" s="7"/>
      <c r="J2446" s="9"/>
      <c r="K2446" s="9"/>
      <c r="L2446" s="9"/>
      <c r="M2446" s="9"/>
    </row>
    <row r="2447" spans="9:13" x14ac:dyDescent="0.3">
      <c r="I2447" s="7"/>
      <c r="J2447" s="9"/>
      <c r="K2447" s="9"/>
      <c r="L2447" s="9"/>
      <c r="M2447" s="9"/>
    </row>
    <row r="2448" spans="9:13" x14ac:dyDescent="0.3">
      <c r="I2448" s="7"/>
      <c r="J2448" s="9"/>
      <c r="K2448" s="9"/>
      <c r="L2448" s="9"/>
      <c r="M2448" s="9"/>
    </row>
    <row r="2449" spans="9:13" x14ac:dyDescent="0.3">
      <c r="I2449" s="7"/>
      <c r="J2449" s="9"/>
      <c r="K2449" s="9"/>
      <c r="L2449" s="9"/>
      <c r="M2449" s="9"/>
    </row>
    <row r="2450" spans="9:13" x14ac:dyDescent="0.3">
      <c r="I2450" s="7"/>
      <c r="J2450" s="9"/>
      <c r="K2450" s="9"/>
      <c r="L2450" s="9"/>
      <c r="M2450" s="9"/>
    </row>
    <row r="2451" spans="9:13" x14ac:dyDescent="0.3">
      <c r="I2451" s="7"/>
      <c r="J2451" s="9"/>
      <c r="K2451" s="9"/>
      <c r="L2451" s="9"/>
      <c r="M2451" s="9"/>
    </row>
    <row r="2452" spans="9:13" x14ac:dyDescent="0.3">
      <c r="I2452" s="7"/>
      <c r="J2452" s="9"/>
      <c r="K2452" s="9"/>
      <c r="L2452" s="9"/>
      <c r="M2452" s="9"/>
    </row>
    <row r="2453" spans="9:13" x14ac:dyDescent="0.3">
      <c r="I2453" s="7"/>
      <c r="J2453" s="9"/>
      <c r="K2453" s="9"/>
      <c r="L2453" s="9"/>
      <c r="M2453" s="9"/>
    </row>
    <row r="2454" spans="9:13" x14ac:dyDescent="0.3">
      <c r="I2454" s="7"/>
      <c r="J2454" s="9"/>
      <c r="K2454" s="9"/>
      <c r="L2454" s="9"/>
      <c r="M2454" s="9"/>
    </row>
    <row r="2455" spans="9:13" x14ac:dyDescent="0.3">
      <c r="I2455" s="7"/>
      <c r="J2455" s="9"/>
      <c r="K2455" s="9"/>
      <c r="L2455" s="9"/>
      <c r="M2455" s="9"/>
    </row>
    <row r="2456" spans="9:13" x14ac:dyDescent="0.3">
      <c r="I2456" s="7"/>
      <c r="J2456" s="9"/>
      <c r="K2456" s="9"/>
      <c r="L2456" s="9"/>
      <c r="M2456" s="9"/>
    </row>
    <row r="2457" spans="9:13" x14ac:dyDescent="0.3">
      <c r="I2457" s="7"/>
      <c r="J2457" s="9"/>
      <c r="K2457" s="9"/>
      <c r="L2457" s="9"/>
      <c r="M2457" s="9"/>
    </row>
    <row r="2458" spans="9:13" x14ac:dyDescent="0.3">
      <c r="I2458" s="7"/>
      <c r="J2458" s="9"/>
      <c r="K2458" s="9"/>
      <c r="L2458" s="9"/>
      <c r="M2458" s="9"/>
    </row>
    <row r="2459" spans="9:13" x14ac:dyDescent="0.3">
      <c r="I2459" s="7"/>
      <c r="J2459" s="9"/>
      <c r="K2459" s="9"/>
      <c r="L2459" s="9"/>
      <c r="M2459" s="9"/>
    </row>
    <row r="2460" spans="9:13" x14ac:dyDescent="0.3">
      <c r="I2460" s="7"/>
      <c r="J2460" s="9"/>
      <c r="K2460" s="9"/>
      <c r="L2460" s="9"/>
      <c r="M2460" s="9"/>
    </row>
    <row r="2461" spans="9:13" x14ac:dyDescent="0.3">
      <c r="I2461" s="7"/>
      <c r="J2461" s="9"/>
      <c r="K2461" s="9"/>
      <c r="L2461" s="9"/>
      <c r="M2461" s="9"/>
    </row>
    <row r="2462" spans="9:13" x14ac:dyDescent="0.3">
      <c r="I2462" s="7"/>
      <c r="J2462" s="9"/>
      <c r="K2462" s="9"/>
      <c r="L2462" s="9"/>
      <c r="M2462" s="9"/>
    </row>
    <row r="2463" spans="9:13" x14ac:dyDescent="0.3">
      <c r="I2463" s="7"/>
      <c r="J2463" s="9"/>
      <c r="K2463" s="9"/>
      <c r="L2463" s="9"/>
      <c r="M2463" s="9"/>
    </row>
    <row r="2464" spans="9:13" x14ac:dyDescent="0.3">
      <c r="I2464" s="7"/>
      <c r="J2464" s="9"/>
      <c r="K2464" s="9"/>
      <c r="L2464" s="9"/>
      <c r="M2464" s="9"/>
    </row>
    <row r="2465" spans="9:13" x14ac:dyDescent="0.3">
      <c r="I2465" s="7"/>
      <c r="J2465" s="9"/>
      <c r="K2465" s="9"/>
      <c r="L2465" s="9"/>
      <c r="M2465" s="9"/>
    </row>
    <row r="2466" spans="9:13" x14ac:dyDescent="0.3">
      <c r="I2466" s="7"/>
      <c r="J2466" s="9"/>
      <c r="K2466" s="9"/>
      <c r="L2466" s="9"/>
      <c r="M2466" s="9"/>
    </row>
    <row r="2467" spans="9:13" x14ac:dyDescent="0.3">
      <c r="I2467" s="7"/>
      <c r="J2467" s="9"/>
      <c r="K2467" s="9"/>
      <c r="L2467" s="9"/>
      <c r="M2467" s="9"/>
    </row>
    <row r="2468" spans="9:13" x14ac:dyDescent="0.3">
      <c r="I2468" s="7"/>
      <c r="J2468" s="9"/>
      <c r="K2468" s="9"/>
      <c r="L2468" s="9"/>
      <c r="M2468" s="9"/>
    </row>
    <row r="2469" spans="9:13" x14ac:dyDescent="0.3">
      <c r="I2469" s="7"/>
      <c r="J2469" s="9"/>
      <c r="K2469" s="9"/>
      <c r="L2469" s="9"/>
      <c r="M2469" s="9"/>
    </row>
    <row r="2470" spans="9:13" x14ac:dyDescent="0.3">
      <c r="I2470" s="7"/>
      <c r="J2470" s="9"/>
      <c r="K2470" s="9"/>
      <c r="L2470" s="9"/>
      <c r="M2470" s="9"/>
    </row>
    <row r="2471" spans="9:13" x14ac:dyDescent="0.3">
      <c r="I2471" s="7"/>
      <c r="J2471" s="9"/>
      <c r="K2471" s="9"/>
      <c r="L2471" s="9"/>
      <c r="M2471" s="9"/>
    </row>
    <row r="2472" spans="9:13" x14ac:dyDescent="0.3">
      <c r="I2472" s="7"/>
      <c r="J2472" s="9"/>
      <c r="K2472" s="9"/>
      <c r="L2472" s="9"/>
      <c r="M2472" s="9"/>
    </row>
    <row r="2473" spans="9:13" x14ac:dyDescent="0.3">
      <c r="I2473" s="7"/>
      <c r="J2473" s="9"/>
      <c r="K2473" s="9"/>
      <c r="L2473" s="9"/>
      <c r="M2473" s="9"/>
    </row>
    <row r="2474" spans="9:13" x14ac:dyDescent="0.3">
      <c r="I2474" s="7"/>
      <c r="J2474" s="9"/>
      <c r="K2474" s="9"/>
      <c r="L2474" s="9"/>
      <c r="M2474" s="9"/>
    </row>
    <row r="2475" spans="9:13" x14ac:dyDescent="0.3">
      <c r="I2475" s="7"/>
      <c r="J2475" s="9"/>
      <c r="K2475" s="9"/>
      <c r="L2475" s="9"/>
      <c r="M2475" s="9"/>
    </row>
    <row r="2476" spans="9:13" x14ac:dyDescent="0.3">
      <c r="I2476" s="7"/>
      <c r="J2476" s="9"/>
      <c r="K2476" s="9"/>
      <c r="L2476" s="9"/>
      <c r="M2476" s="9"/>
    </row>
    <row r="2477" spans="9:13" x14ac:dyDescent="0.3">
      <c r="I2477" s="7"/>
      <c r="J2477" s="9"/>
      <c r="K2477" s="9"/>
      <c r="L2477" s="9"/>
      <c r="M2477" s="9"/>
    </row>
    <row r="2478" spans="9:13" x14ac:dyDescent="0.3">
      <c r="I2478" s="7"/>
      <c r="J2478" s="9"/>
      <c r="K2478" s="9"/>
      <c r="L2478" s="9"/>
      <c r="M2478" s="9"/>
    </row>
    <row r="2479" spans="9:13" x14ac:dyDescent="0.3">
      <c r="I2479" s="7"/>
      <c r="J2479" s="9"/>
      <c r="K2479" s="9"/>
      <c r="L2479" s="9"/>
      <c r="M2479" s="9"/>
    </row>
    <row r="2480" spans="9:13" x14ac:dyDescent="0.3">
      <c r="I2480" s="7"/>
      <c r="J2480" s="9"/>
      <c r="K2480" s="9"/>
      <c r="L2480" s="9"/>
      <c r="M2480" s="9"/>
    </row>
    <row r="2481" spans="9:13" x14ac:dyDescent="0.3">
      <c r="I2481" s="7"/>
      <c r="J2481" s="9"/>
      <c r="K2481" s="9"/>
      <c r="L2481" s="9"/>
      <c r="M2481" s="9"/>
    </row>
    <row r="2482" spans="9:13" x14ac:dyDescent="0.3">
      <c r="I2482" s="7"/>
      <c r="J2482" s="9"/>
      <c r="K2482" s="9"/>
      <c r="L2482" s="9"/>
      <c r="M2482" s="9"/>
    </row>
    <row r="2483" spans="9:13" x14ac:dyDescent="0.3">
      <c r="I2483" s="7"/>
      <c r="J2483" s="9"/>
      <c r="K2483" s="9"/>
      <c r="L2483" s="9"/>
      <c r="M2483" s="9"/>
    </row>
    <row r="2484" spans="9:13" x14ac:dyDescent="0.3">
      <c r="I2484" s="7"/>
      <c r="J2484" s="9"/>
      <c r="K2484" s="9"/>
      <c r="L2484" s="9"/>
      <c r="M2484" s="9"/>
    </row>
    <row r="2485" spans="9:13" x14ac:dyDescent="0.3">
      <c r="I2485" s="7"/>
      <c r="J2485" s="9"/>
      <c r="K2485" s="9"/>
      <c r="L2485" s="9"/>
      <c r="M2485" s="9"/>
    </row>
    <row r="2486" spans="9:13" x14ac:dyDescent="0.3">
      <c r="I2486" s="7"/>
      <c r="J2486" s="9"/>
      <c r="K2486" s="9"/>
      <c r="L2486" s="9"/>
      <c r="M2486" s="9"/>
    </row>
    <row r="2487" spans="9:13" x14ac:dyDescent="0.3">
      <c r="I2487" s="7"/>
      <c r="J2487" s="9"/>
      <c r="K2487" s="9"/>
      <c r="L2487" s="9"/>
      <c r="M2487" s="9"/>
    </row>
    <row r="2488" spans="9:13" x14ac:dyDescent="0.3">
      <c r="I2488" s="7"/>
      <c r="J2488" s="9"/>
      <c r="K2488" s="9"/>
      <c r="L2488" s="9"/>
      <c r="M2488" s="9"/>
    </row>
    <row r="2489" spans="9:13" x14ac:dyDescent="0.3">
      <c r="I2489" s="7"/>
      <c r="J2489" s="9"/>
      <c r="K2489" s="9"/>
      <c r="L2489" s="9"/>
      <c r="M2489" s="9"/>
    </row>
    <row r="2490" spans="9:13" x14ac:dyDescent="0.3">
      <c r="I2490" s="7"/>
      <c r="J2490" s="9"/>
      <c r="K2490" s="9"/>
      <c r="L2490" s="9"/>
      <c r="M2490" s="9"/>
    </row>
    <row r="2491" spans="9:13" x14ac:dyDescent="0.3">
      <c r="I2491" s="7"/>
      <c r="J2491" s="9"/>
      <c r="K2491" s="9"/>
      <c r="L2491" s="9"/>
      <c r="M2491" s="9"/>
    </row>
    <row r="2492" spans="9:13" x14ac:dyDescent="0.3">
      <c r="I2492" s="7"/>
      <c r="J2492" s="9"/>
      <c r="K2492" s="9"/>
      <c r="L2492" s="9"/>
      <c r="M2492" s="9"/>
    </row>
    <row r="2493" spans="9:13" x14ac:dyDescent="0.3">
      <c r="I2493" s="7"/>
      <c r="J2493" s="9"/>
      <c r="K2493" s="9"/>
      <c r="L2493" s="9"/>
      <c r="M2493" s="9"/>
    </row>
    <row r="2494" spans="9:13" x14ac:dyDescent="0.3">
      <c r="I2494" s="7"/>
      <c r="J2494" s="9"/>
      <c r="K2494" s="9"/>
      <c r="L2494" s="9"/>
      <c r="M2494" s="9"/>
    </row>
    <row r="2495" spans="9:13" x14ac:dyDescent="0.3">
      <c r="I2495" s="7"/>
      <c r="J2495" s="9"/>
      <c r="K2495" s="9"/>
      <c r="L2495" s="9"/>
      <c r="M2495" s="9"/>
    </row>
    <row r="2496" spans="9:13" x14ac:dyDescent="0.3">
      <c r="I2496" s="7"/>
      <c r="J2496" s="9"/>
      <c r="K2496" s="9"/>
      <c r="L2496" s="9"/>
      <c r="M2496" s="9"/>
    </row>
    <row r="2497" spans="9:13" x14ac:dyDescent="0.3">
      <c r="I2497" s="7"/>
      <c r="J2497" s="9"/>
      <c r="K2497" s="9"/>
      <c r="L2497" s="9"/>
      <c r="M2497" s="9"/>
    </row>
    <row r="2498" spans="9:13" x14ac:dyDescent="0.3">
      <c r="I2498" s="7"/>
      <c r="J2498" s="9"/>
      <c r="K2498" s="9"/>
      <c r="L2498" s="9"/>
      <c r="M2498" s="9"/>
    </row>
    <row r="2499" spans="9:13" x14ac:dyDescent="0.3">
      <c r="I2499" s="7"/>
      <c r="J2499" s="9"/>
      <c r="K2499" s="9"/>
      <c r="L2499" s="9"/>
      <c r="M2499" s="9"/>
    </row>
    <row r="2500" spans="9:13" x14ac:dyDescent="0.3">
      <c r="I2500" s="7"/>
      <c r="J2500" s="9"/>
      <c r="K2500" s="9"/>
      <c r="L2500" s="9"/>
      <c r="M2500" s="9"/>
    </row>
    <row r="2501" spans="9:13" x14ac:dyDescent="0.3">
      <c r="I2501" s="7"/>
      <c r="J2501" s="9"/>
      <c r="K2501" s="9"/>
      <c r="L2501" s="9"/>
      <c r="M2501" s="9"/>
    </row>
    <row r="2502" spans="9:13" x14ac:dyDescent="0.3">
      <c r="I2502" s="7"/>
      <c r="J2502" s="9"/>
      <c r="K2502" s="9"/>
      <c r="L2502" s="9"/>
      <c r="M2502" s="9"/>
    </row>
    <row r="2503" spans="9:13" x14ac:dyDescent="0.3">
      <c r="I2503" s="7"/>
      <c r="J2503" s="9"/>
      <c r="K2503" s="9"/>
      <c r="L2503" s="9"/>
      <c r="M2503" s="9"/>
    </row>
    <row r="2504" spans="9:13" x14ac:dyDescent="0.3">
      <c r="I2504" s="7"/>
      <c r="J2504" s="9"/>
      <c r="K2504" s="9"/>
      <c r="L2504" s="9"/>
      <c r="M2504" s="9"/>
    </row>
    <row r="2505" spans="9:13" x14ac:dyDescent="0.3">
      <c r="I2505" s="7"/>
      <c r="J2505" s="9"/>
      <c r="K2505" s="9"/>
      <c r="L2505" s="9"/>
      <c r="M2505" s="9"/>
    </row>
    <row r="2506" spans="9:13" x14ac:dyDescent="0.3">
      <c r="I2506" s="7"/>
      <c r="J2506" s="9"/>
      <c r="K2506" s="9"/>
      <c r="L2506" s="9"/>
      <c r="M2506" s="9"/>
    </row>
    <row r="2507" spans="9:13" x14ac:dyDescent="0.3">
      <c r="I2507" s="7"/>
      <c r="J2507" s="9"/>
      <c r="K2507" s="9"/>
      <c r="L2507" s="9"/>
      <c r="M2507" s="9"/>
    </row>
    <row r="2508" spans="9:13" x14ac:dyDescent="0.3">
      <c r="I2508" s="7"/>
      <c r="J2508" s="9"/>
      <c r="K2508" s="9"/>
      <c r="L2508" s="9"/>
      <c r="M2508" s="9"/>
    </row>
    <row r="2509" spans="9:13" x14ac:dyDescent="0.3">
      <c r="I2509" s="7"/>
      <c r="J2509" s="9"/>
      <c r="K2509" s="9"/>
      <c r="L2509" s="9"/>
      <c r="M2509" s="9"/>
    </row>
    <row r="2510" spans="9:13" x14ac:dyDescent="0.3">
      <c r="I2510" s="7"/>
      <c r="J2510" s="9"/>
      <c r="K2510" s="9"/>
      <c r="L2510" s="9"/>
      <c r="M2510" s="9"/>
    </row>
    <row r="2511" spans="9:13" x14ac:dyDescent="0.3">
      <c r="I2511" s="7"/>
      <c r="J2511" s="9"/>
      <c r="K2511" s="9"/>
      <c r="L2511" s="9"/>
      <c r="M2511" s="9"/>
    </row>
    <row r="2512" spans="9:13" x14ac:dyDescent="0.3">
      <c r="I2512" s="7"/>
      <c r="J2512" s="9"/>
      <c r="K2512" s="9"/>
      <c r="L2512" s="9"/>
      <c r="M2512" s="9"/>
    </row>
    <row r="2513" spans="9:13" x14ac:dyDescent="0.3">
      <c r="I2513" s="7"/>
      <c r="J2513" s="9"/>
      <c r="K2513" s="9"/>
      <c r="L2513" s="9"/>
      <c r="M2513" s="9"/>
    </row>
    <row r="2514" spans="9:13" x14ac:dyDescent="0.3">
      <c r="I2514" s="7"/>
      <c r="J2514" s="9"/>
      <c r="K2514" s="9"/>
      <c r="L2514" s="9"/>
      <c r="M2514" s="9"/>
    </row>
    <row r="2515" spans="9:13" x14ac:dyDescent="0.3">
      <c r="I2515" s="7"/>
      <c r="J2515" s="9"/>
      <c r="K2515" s="9"/>
      <c r="L2515" s="9"/>
      <c r="M2515" s="9"/>
    </row>
    <row r="2516" spans="9:13" x14ac:dyDescent="0.3">
      <c r="I2516" s="7"/>
      <c r="J2516" s="9"/>
      <c r="K2516" s="9"/>
      <c r="L2516" s="9"/>
      <c r="M2516" s="9"/>
    </row>
    <row r="2517" spans="9:13" x14ac:dyDescent="0.3">
      <c r="I2517" s="7"/>
      <c r="J2517" s="9"/>
      <c r="K2517" s="9"/>
      <c r="L2517" s="9"/>
      <c r="M2517" s="9"/>
    </row>
    <row r="2518" spans="9:13" x14ac:dyDescent="0.3">
      <c r="I2518" s="7"/>
      <c r="J2518" s="9"/>
      <c r="K2518" s="9"/>
      <c r="L2518" s="9"/>
      <c r="M2518" s="9"/>
    </row>
    <row r="2519" spans="9:13" x14ac:dyDescent="0.3">
      <c r="I2519" s="7"/>
      <c r="J2519" s="9"/>
      <c r="K2519" s="9"/>
      <c r="L2519" s="9"/>
      <c r="M2519" s="9"/>
    </row>
    <row r="2520" spans="9:13" x14ac:dyDescent="0.3">
      <c r="I2520" s="7"/>
      <c r="J2520" s="9"/>
      <c r="K2520" s="9"/>
      <c r="L2520" s="9"/>
      <c r="M2520" s="9"/>
    </row>
    <row r="2521" spans="9:13" x14ac:dyDescent="0.3">
      <c r="I2521" s="7"/>
      <c r="J2521" s="9"/>
      <c r="K2521" s="9"/>
      <c r="L2521" s="9"/>
      <c r="M2521" s="9"/>
    </row>
    <row r="2522" spans="9:13" x14ac:dyDescent="0.3">
      <c r="I2522" s="7"/>
      <c r="J2522" s="9"/>
      <c r="K2522" s="9"/>
      <c r="L2522" s="9"/>
      <c r="M2522" s="9"/>
    </row>
    <row r="2523" spans="9:13" x14ac:dyDescent="0.3">
      <c r="I2523" s="7"/>
      <c r="J2523" s="9"/>
      <c r="K2523" s="9"/>
      <c r="L2523" s="9"/>
      <c r="M2523" s="9"/>
    </row>
    <row r="2524" spans="9:13" x14ac:dyDescent="0.3">
      <c r="I2524" s="7"/>
      <c r="J2524" s="9"/>
      <c r="K2524" s="9"/>
      <c r="L2524" s="9"/>
      <c r="M2524" s="9"/>
    </row>
    <row r="2525" spans="9:13" x14ac:dyDescent="0.3">
      <c r="I2525" s="7"/>
      <c r="J2525" s="9"/>
      <c r="K2525" s="9"/>
      <c r="L2525" s="9"/>
      <c r="M2525" s="9"/>
    </row>
    <row r="2526" spans="9:13" x14ac:dyDescent="0.3">
      <c r="I2526" s="7"/>
      <c r="J2526" s="9"/>
      <c r="K2526" s="9"/>
      <c r="L2526" s="9"/>
      <c r="M2526" s="9"/>
    </row>
    <row r="2527" spans="9:13" x14ac:dyDescent="0.3">
      <c r="I2527" s="7"/>
      <c r="J2527" s="9"/>
      <c r="K2527" s="9"/>
      <c r="L2527" s="9"/>
      <c r="M2527" s="9"/>
    </row>
    <row r="2528" spans="9:13" x14ac:dyDescent="0.3">
      <c r="I2528" s="7"/>
      <c r="J2528" s="9"/>
      <c r="K2528" s="9"/>
      <c r="L2528" s="9"/>
      <c r="M2528" s="9"/>
    </row>
    <row r="2529" spans="9:13" x14ac:dyDescent="0.3">
      <c r="I2529" s="7"/>
      <c r="J2529" s="9"/>
      <c r="K2529" s="9"/>
      <c r="L2529" s="9"/>
      <c r="M2529" s="9"/>
    </row>
    <row r="2530" spans="9:13" x14ac:dyDescent="0.3">
      <c r="I2530" s="7"/>
      <c r="J2530" s="9"/>
      <c r="K2530" s="9"/>
      <c r="L2530" s="9"/>
      <c r="M2530" s="9"/>
    </row>
    <row r="2531" spans="9:13" x14ac:dyDescent="0.3">
      <c r="I2531" s="7"/>
      <c r="J2531" s="9"/>
      <c r="K2531" s="9"/>
      <c r="L2531" s="9"/>
      <c r="M2531" s="9"/>
    </row>
    <row r="2532" spans="9:13" x14ac:dyDescent="0.3">
      <c r="I2532" s="7"/>
      <c r="J2532" s="9"/>
      <c r="K2532" s="9"/>
      <c r="L2532" s="9"/>
      <c r="M2532" s="9"/>
    </row>
    <row r="2533" spans="9:13" x14ac:dyDescent="0.3">
      <c r="I2533" s="7"/>
      <c r="J2533" s="9"/>
      <c r="K2533" s="9"/>
      <c r="L2533" s="9"/>
      <c r="M2533" s="9"/>
    </row>
    <row r="2534" spans="9:13" x14ac:dyDescent="0.3">
      <c r="I2534" s="7"/>
      <c r="J2534" s="9"/>
      <c r="K2534" s="9"/>
      <c r="L2534" s="9"/>
      <c r="M2534" s="9"/>
    </row>
    <row r="2535" spans="9:13" x14ac:dyDescent="0.3">
      <c r="I2535" s="7"/>
      <c r="J2535" s="9"/>
      <c r="K2535" s="9"/>
      <c r="L2535" s="9"/>
      <c r="M2535" s="9"/>
    </row>
    <row r="2536" spans="9:13" x14ac:dyDescent="0.3">
      <c r="I2536" s="7"/>
      <c r="J2536" s="9"/>
      <c r="K2536" s="9"/>
      <c r="L2536" s="9"/>
      <c r="M2536" s="9"/>
    </row>
    <row r="2537" spans="9:13" x14ac:dyDescent="0.3">
      <c r="I2537" s="7"/>
      <c r="J2537" s="9"/>
      <c r="K2537" s="9"/>
      <c r="L2537" s="9"/>
      <c r="M2537" s="9"/>
    </row>
    <row r="2538" spans="9:13" x14ac:dyDescent="0.3">
      <c r="I2538" s="7"/>
      <c r="J2538" s="9"/>
      <c r="K2538" s="9"/>
      <c r="L2538" s="9"/>
      <c r="M2538" s="9"/>
    </row>
    <row r="2539" spans="9:13" x14ac:dyDescent="0.3">
      <c r="I2539" s="7"/>
      <c r="J2539" s="9"/>
      <c r="K2539" s="9"/>
      <c r="L2539" s="9"/>
      <c r="M2539" s="9"/>
    </row>
    <row r="2540" spans="9:13" x14ac:dyDescent="0.3">
      <c r="I2540" s="7"/>
      <c r="J2540" s="9"/>
      <c r="K2540" s="9"/>
      <c r="L2540" s="9"/>
      <c r="M2540" s="9"/>
    </row>
    <row r="2541" spans="9:13" x14ac:dyDescent="0.3">
      <c r="I2541" s="7"/>
      <c r="J2541" s="9"/>
      <c r="K2541" s="9"/>
      <c r="L2541" s="9"/>
      <c r="M2541" s="9"/>
    </row>
    <row r="2542" spans="9:13" x14ac:dyDescent="0.3">
      <c r="I2542" s="7"/>
      <c r="J2542" s="9"/>
      <c r="K2542" s="9"/>
      <c r="L2542" s="9"/>
      <c r="M2542" s="9"/>
    </row>
    <row r="2543" spans="9:13" x14ac:dyDescent="0.3">
      <c r="I2543" s="7"/>
      <c r="J2543" s="9"/>
      <c r="K2543" s="9"/>
      <c r="L2543" s="9"/>
      <c r="M2543" s="9"/>
    </row>
    <row r="2544" spans="9:13" x14ac:dyDescent="0.3">
      <c r="I2544" s="7"/>
      <c r="J2544" s="9"/>
      <c r="K2544" s="9"/>
      <c r="L2544" s="9"/>
      <c r="M2544" s="9"/>
    </row>
    <row r="2545" spans="9:13" x14ac:dyDescent="0.3">
      <c r="I2545" s="7"/>
      <c r="J2545" s="9"/>
      <c r="K2545" s="9"/>
      <c r="L2545" s="9"/>
      <c r="M2545" s="9"/>
    </row>
    <row r="2546" spans="9:13" x14ac:dyDescent="0.3">
      <c r="I2546" s="7"/>
      <c r="J2546" s="9"/>
      <c r="K2546" s="9"/>
      <c r="L2546" s="9"/>
      <c r="M2546" s="9"/>
    </row>
    <row r="2547" spans="9:13" x14ac:dyDescent="0.3">
      <c r="I2547" s="7"/>
      <c r="J2547" s="9"/>
      <c r="K2547" s="9"/>
      <c r="L2547" s="9"/>
      <c r="M2547" s="9"/>
    </row>
    <row r="2548" spans="9:13" x14ac:dyDescent="0.3">
      <c r="I2548" s="7"/>
      <c r="J2548" s="9"/>
      <c r="K2548" s="9"/>
      <c r="L2548" s="9"/>
      <c r="M2548" s="9"/>
    </row>
    <row r="2549" spans="9:13" x14ac:dyDescent="0.3">
      <c r="I2549" s="7"/>
      <c r="J2549" s="9"/>
      <c r="K2549" s="9"/>
      <c r="L2549" s="9"/>
      <c r="M2549" s="9"/>
    </row>
    <row r="2550" spans="9:13" x14ac:dyDescent="0.3">
      <c r="I2550" s="7"/>
      <c r="J2550" s="9"/>
      <c r="K2550" s="9"/>
      <c r="L2550" s="9"/>
      <c r="M2550" s="9"/>
    </row>
    <row r="2551" spans="9:13" x14ac:dyDescent="0.3">
      <c r="I2551" s="7"/>
      <c r="J2551" s="9"/>
      <c r="K2551" s="9"/>
      <c r="L2551" s="9"/>
      <c r="M2551" s="9"/>
    </row>
    <row r="2552" spans="9:13" x14ac:dyDescent="0.3">
      <c r="I2552" s="7"/>
      <c r="J2552" s="9"/>
      <c r="K2552" s="9"/>
      <c r="L2552" s="9"/>
      <c r="M2552" s="9"/>
    </row>
    <row r="2553" spans="9:13" x14ac:dyDescent="0.3">
      <c r="I2553" s="7"/>
      <c r="J2553" s="9"/>
      <c r="K2553" s="9"/>
      <c r="L2553" s="9"/>
      <c r="M2553" s="9"/>
    </row>
    <row r="2554" spans="9:13" x14ac:dyDescent="0.3">
      <c r="I2554" s="7"/>
      <c r="J2554" s="9"/>
      <c r="K2554" s="9"/>
      <c r="L2554" s="9"/>
      <c r="M2554" s="9"/>
    </row>
    <row r="2555" spans="9:13" x14ac:dyDescent="0.3">
      <c r="I2555" s="7"/>
      <c r="J2555" s="9"/>
      <c r="K2555" s="9"/>
      <c r="L2555" s="9"/>
      <c r="M2555" s="9"/>
    </row>
    <row r="2556" spans="9:13" x14ac:dyDescent="0.3">
      <c r="I2556" s="7"/>
      <c r="J2556" s="9"/>
      <c r="K2556" s="9"/>
      <c r="L2556" s="9"/>
      <c r="M2556" s="9"/>
    </row>
    <row r="2557" spans="9:13" x14ac:dyDescent="0.3">
      <c r="I2557" s="7"/>
      <c r="J2557" s="9"/>
      <c r="K2557" s="9"/>
      <c r="L2557" s="9"/>
      <c r="M2557" s="9"/>
    </row>
    <row r="2558" spans="9:13" x14ac:dyDescent="0.3">
      <c r="I2558" s="7"/>
      <c r="J2558" s="9"/>
      <c r="K2558" s="9"/>
      <c r="L2558" s="9"/>
      <c r="M2558" s="9"/>
    </row>
    <row r="2559" spans="9:13" x14ac:dyDescent="0.3">
      <c r="I2559" s="7"/>
      <c r="J2559" s="9"/>
      <c r="K2559" s="9"/>
      <c r="L2559" s="9"/>
      <c r="M2559" s="9"/>
    </row>
    <row r="2560" spans="9:13" x14ac:dyDescent="0.3">
      <c r="I2560" s="7"/>
      <c r="J2560" s="9"/>
      <c r="K2560" s="9"/>
      <c r="L2560" s="9"/>
      <c r="M2560" s="9"/>
    </row>
    <row r="2561" spans="9:13" x14ac:dyDescent="0.3">
      <c r="I2561" s="7"/>
      <c r="J2561" s="9"/>
      <c r="K2561" s="9"/>
      <c r="L2561" s="9"/>
      <c r="M2561" s="9"/>
    </row>
    <row r="2562" spans="9:13" x14ac:dyDescent="0.3">
      <c r="I2562" s="7"/>
      <c r="J2562" s="9"/>
      <c r="K2562" s="9"/>
      <c r="L2562" s="9"/>
      <c r="M2562" s="9"/>
    </row>
    <row r="2563" spans="9:13" x14ac:dyDescent="0.3">
      <c r="I2563" s="7"/>
      <c r="J2563" s="9"/>
      <c r="K2563" s="9"/>
      <c r="L2563" s="9"/>
      <c r="M2563" s="9"/>
    </row>
    <row r="2564" spans="9:13" x14ac:dyDescent="0.3">
      <c r="I2564" s="7"/>
      <c r="J2564" s="9"/>
      <c r="K2564" s="9"/>
      <c r="L2564" s="9"/>
      <c r="M2564" s="9"/>
    </row>
    <row r="2565" spans="9:13" x14ac:dyDescent="0.3">
      <c r="I2565" s="7"/>
      <c r="J2565" s="9"/>
      <c r="K2565" s="9"/>
      <c r="L2565" s="9"/>
      <c r="M2565" s="9"/>
    </row>
    <row r="2566" spans="9:13" x14ac:dyDescent="0.3">
      <c r="I2566" s="7"/>
      <c r="J2566" s="9"/>
      <c r="K2566" s="9"/>
      <c r="L2566" s="9"/>
      <c r="M2566" s="9"/>
    </row>
    <row r="2567" spans="9:13" x14ac:dyDescent="0.3">
      <c r="I2567" s="7"/>
      <c r="J2567" s="9"/>
      <c r="K2567" s="9"/>
      <c r="L2567" s="9"/>
      <c r="M2567" s="9"/>
    </row>
    <row r="2568" spans="9:13" x14ac:dyDescent="0.3">
      <c r="I2568" s="7"/>
      <c r="J2568" s="9"/>
      <c r="K2568" s="9"/>
      <c r="L2568" s="9"/>
      <c r="M2568" s="9"/>
    </row>
    <row r="2569" spans="9:13" x14ac:dyDescent="0.3">
      <c r="I2569" s="7"/>
      <c r="J2569" s="9"/>
      <c r="K2569" s="9"/>
      <c r="L2569" s="9"/>
      <c r="M2569" s="9"/>
    </row>
    <row r="2570" spans="9:13" x14ac:dyDescent="0.3">
      <c r="I2570" s="7"/>
      <c r="J2570" s="9"/>
      <c r="K2570" s="9"/>
      <c r="L2570" s="9"/>
      <c r="M2570" s="9"/>
    </row>
    <row r="2571" spans="9:13" x14ac:dyDescent="0.3">
      <c r="I2571" s="7"/>
      <c r="J2571" s="9"/>
      <c r="K2571" s="9"/>
      <c r="L2571" s="9"/>
      <c r="M2571" s="9"/>
    </row>
    <row r="2572" spans="9:13" x14ac:dyDescent="0.3">
      <c r="I2572" s="7"/>
      <c r="J2572" s="9"/>
      <c r="K2572" s="9"/>
      <c r="L2572" s="9"/>
      <c r="M2572" s="9"/>
    </row>
    <row r="2573" spans="9:13" x14ac:dyDescent="0.3">
      <c r="I2573" s="7"/>
      <c r="J2573" s="9"/>
      <c r="K2573" s="9"/>
      <c r="L2573" s="9"/>
      <c r="M2573" s="9"/>
    </row>
    <row r="2574" spans="9:13" x14ac:dyDescent="0.3">
      <c r="I2574" s="7"/>
      <c r="J2574" s="9"/>
      <c r="K2574" s="9"/>
      <c r="L2574" s="9"/>
      <c r="M2574" s="9"/>
    </row>
    <row r="2575" spans="9:13" x14ac:dyDescent="0.3">
      <c r="I2575" s="7"/>
      <c r="J2575" s="9"/>
      <c r="K2575" s="9"/>
      <c r="L2575" s="9"/>
      <c r="M2575" s="9"/>
    </row>
    <row r="2576" spans="9:13" x14ac:dyDescent="0.3">
      <c r="I2576" s="7"/>
      <c r="J2576" s="9"/>
      <c r="K2576" s="9"/>
      <c r="L2576" s="9"/>
      <c r="M2576" s="9"/>
    </row>
    <row r="2577" spans="9:13" x14ac:dyDescent="0.3">
      <c r="I2577" s="7"/>
      <c r="J2577" s="9"/>
      <c r="K2577" s="9"/>
      <c r="L2577" s="9"/>
      <c r="M2577" s="9"/>
    </row>
    <row r="2578" spans="9:13" x14ac:dyDescent="0.3">
      <c r="I2578" s="7"/>
      <c r="J2578" s="9"/>
      <c r="K2578" s="9"/>
      <c r="L2578" s="9"/>
      <c r="M2578" s="9"/>
    </row>
    <row r="2579" spans="9:13" x14ac:dyDescent="0.3">
      <c r="I2579" s="7"/>
      <c r="J2579" s="9"/>
      <c r="K2579" s="9"/>
      <c r="L2579" s="9"/>
      <c r="M2579" s="9"/>
    </row>
    <row r="2580" spans="9:13" x14ac:dyDescent="0.3">
      <c r="I2580" s="7"/>
      <c r="J2580" s="9"/>
      <c r="K2580" s="9"/>
      <c r="L2580" s="9"/>
      <c r="M2580" s="9"/>
    </row>
    <row r="2581" spans="9:13" x14ac:dyDescent="0.3">
      <c r="I2581" s="7"/>
      <c r="J2581" s="9"/>
      <c r="K2581" s="9"/>
      <c r="L2581" s="9"/>
      <c r="M2581" s="9"/>
    </row>
    <row r="2582" spans="9:13" x14ac:dyDescent="0.3">
      <c r="I2582" s="7"/>
      <c r="J2582" s="9"/>
      <c r="K2582" s="9"/>
      <c r="L2582" s="9"/>
      <c r="M2582" s="9"/>
    </row>
    <row r="2583" spans="9:13" x14ac:dyDescent="0.3">
      <c r="I2583" s="7"/>
      <c r="J2583" s="9"/>
      <c r="K2583" s="9"/>
      <c r="L2583" s="9"/>
      <c r="M2583" s="9"/>
    </row>
    <row r="2584" spans="9:13" x14ac:dyDescent="0.3">
      <c r="I2584" s="7"/>
      <c r="J2584" s="9"/>
      <c r="K2584" s="9"/>
      <c r="L2584" s="9"/>
      <c r="M2584" s="9"/>
    </row>
    <row r="2585" spans="9:13" x14ac:dyDescent="0.3">
      <c r="I2585" s="7"/>
      <c r="J2585" s="9"/>
      <c r="K2585" s="9"/>
      <c r="L2585" s="9"/>
      <c r="M2585" s="9"/>
    </row>
    <row r="2586" spans="9:13" x14ac:dyDescent="0.3">
      <c r="I2586" s="7"/>
      <c r="J2586" s="9"/>
      <c r="K2586" s="9"/>
      <c r="L2586" s="9"/>
      <c r="M2586" s="9"/>
    </row>
    <row r="2587" spans="9:13" x14ac:dyDescent="0.3">
      <c r="I2587" s="7"/>
      <c r="J2587" s="9"/>
      <c r="K2587" s="9"/>
      <c r="L2587" s="9"/>
      <c r="M2587" s="9"/>
    </row>
    <row r="2588" spans="9:13" x14ac:dyDescent="0.3">
      <c r="I2588" s="7"/>
      <c r="J2588" s="9"/>
      <c r="K2588" s="9"/>
      <c r="L2588" s="9"/>
      <c r="M2588" s="9"/>
    </row>
    <row r="2589" spans="9:13" x14ac:dyDescent="0.3">
      <c r="I2589" s="7"/>
      <c r="J2589" s="9"/>
      <c r="K2589" s="9"/>
      <c r="L2589" s="9"/>
      <c r="M2589" s="9"/>
    </row>
    <row r="2590" spans="9:13" x14ac:dyDescent="0.3">
      <c r="I2590" s="7"/>
      <c r="J2590" s="9"/>
      <c r="K2590" s="9"/>
      <c r="L2590" s="9"/>
      <c r="M2590" s="9"/>
    </row>
    <row r="2591" spans="9:13" x14ac:dyDescent="0.3">
      <c r="I2591" s="7"/>
      <c r="J2591" s="9"/>
      <c r="K2591" s="9"/>
      <c r="L2591" s="9"/>
      <c r="M2591" s="9"/>
    </row>
    <row r="2592" spans="9:13" x14ac:dyDescent="0.3">
      <c r="I2592" s="7"/>
      <c r="J2592" s="9"/>
      <c r="K2592" s="9"/>
      <c r="L2592" s="9"/>
      <c r="M2592" s="9"/>
    </row>
    <row r="2593" spans="9:13" x14ac:dyDescent="0.3">
      <c r="I2593" s="7"/>
      <c r="J2593" s="9"/>
      <c r="K2593" s="9"/>
      <c r="L2593" s="9"/>
      <c r="M2593" s="9"/>
    </row>
    <row r="2594" spans="9:13" x14ac:dyDescent="0.3">
      <c r="I2594" s="7"/>
      <c r="J2594" s="9"/>
      <c r="K2594" s="9"/>
      <c r="L2594" s="9"/>
      <c r="M2594" s="9"/>
    </row>
    <row r="2595" spans="9:13" x14ac:dyDescent="0.3">
      <c r="I2595" s="7"/>
      <c r="J2595" s="9"/>
      <c r="K2595" s="9"/>
      <c r="L2595" s="9"/>
      <c r="M2595" s="9"/>
    </row>
    <row r="2596" spans="9:13" x14ac:dyDescent="0.3">
      <c r="I2596" s="7"/>
      <c r="J2596" s="9"/>
      <c r="K2596" s="9"/>
      <c r="L2596" s="9"/>
      <c r="M2596" s="9"/>
    </row>
    <row r="2597" spans="9:13" x14ac:dyDescent="0.3">
      <c r="I2597" s="7"/>
      <c r="J2597" s="9"/>
      <c r="K2597" s="9"/>
      <c r="L2597" s="9"/>
      <c r="M2597" s="9"/>
    </row>
    <row r="2598" spans="9:13" x14ac:dyDescent="0.3">
      <c r="I2598" s="7"/>
      <c r="J2598" s="9"/>
      <c r="K2598" s="9"/>
      <c r="L2598" s="9"/>
      <c r="M2598" s="9"/>
    </row>
    <row r="2599" spans="9:13" x14ac:dyDescent="0.3">
      <c r="I2599" s="7"/>
      <c r="J2599" s="9"/>
      <c r="K2599" s="9"/>
      <c r="L2599" s="9"/>
      <c r="M2599" s="9"/>
    </row>
    <row r="2600" spans="9:13" x14ac:dyDescent="0.3">
      <c r="I2600" s="7"/>
      <c r="J2600" s="9"/>
      <c r="K2600" s="9"/>
      <c r="L2600" s="9"/>
      <c r="M2600" s="9"/>
    </row>
    <row r="2601" spans="9:13" x14ac:dyDescent="0.3">
      <c r="I2601" s="7"/>
      <c r="J2601" s="9"/>
      <c r="K2601" s="9"/>
      <c r="L2601" s="9"/>
      <c r="M2601" s="9"/>
    </row>
    <row r="2602" spans="9:13" x14ac:dyDescent="0.3">
      <c r="I2602" s="7"/>
      <c r="J2602" s="9"/>
      <c r="K2602" s="9"/>
      <c r="L2602" s="9"/>
      <c r="M2602" s="9"/>
    </row>
    <row r="2603" spans="9:13" x14ac:dyDescent="0.3">
      <c r="I2603" s="7"/>
      <c r="J2603" s="9"/>
      <c r="K2603" s="9"/>
      <c r="L2603" s="9"/>
      <c r="M2603" s="9"/>
    </row>
    <row r="2604" spans="9:13" x14ac:dyDescent="0.3">
      <c r="I2604" s="7"/>
      <c r="J2604" s="9"/>
      <c r="K2604" s="9"/>
      <c r="L2604" s="9"/>
      <c r="M2604" s="9"/>
    </row>
    <row r="2605" spans="9:13" x14ac:dyDescent="0.3">
      <c r="I2605" s="7"/>
      <c r="J2605" s="9"/>
      <c r="K2605" s="9"/>
      <c r="L2605" s="9"/>
      <c r="M2605" s="9"/>
    </row>
    <row r="2606" spans="9:13" x14ac:dyDescent="0.3">
      <c r="I2606" s="7"/>
      <c r="J2606" s="9"/>
      <c r="K2606" s="9"/>
      <c r="L2606" s="9"/>
      <c r="M2606" s="9"/>
    </row>
    <row r="2607" spans="9:13" x14ac:dyDescent="0.3">
      <c r="I2607" s="7"/>
      <c r="J2607" s="9"/>
      <c r="K2607" s="9"/>
      <c r="L2607" s="9"/>
      <c r="M2607" s="9"/>
    </row>
    <row r="2608" spans="9:13" x14ac:dyDescent="0.3">
      <c r="I2608" s="7"/>
      <c r="J2608" s="9"/>
      <c r="K2608" s="9"/>
      <c r="L2608" s="9"/>
      <c r="M2608" s="9"/>
    </row>
    <row r="2609" spans="9:13" x14ac:dyDescent="0.3">
      <c r="I2609" s="7"/>
      <c r="J2609" s="9"/>
      <c r="K2609" s="9"/>
      <c r="L2609" s="9"/>
      <c r="M2609" s="9"/>
    </row>
    <row r="2610" spans="9:13" x14ac:dyDescent="0.3">
      <c r="I2610" s="7"/>
      <c r="J2610" s="9"/>
      <c r="K2610" s="9"/>
      <c r="L2610" s="9"/>
      <c r="M2610" s="9"/>
    </row>
    <row r="2611" spans="9:13" x14ac:dyDescent="0.3">
      <c r="I2611" s="7"/>
      <c r="J2611" s="9"/>
      <c r="K2611" s="9"/>
      <c r="L2611" s="9"/>
      <c r="M2611" s="9"/>
    </row>
    <row r="2612" spans="9:13" x14ac:dyDescent="0.3">
      <c r="I2612" s="7"/>
      <c r="J2612" s="9"/>
      <c r="K2612" s="9"/>
      <c r="L2612" s="9"/>
      <c r="M2612" s="9"/>
    </row>
    <row r="2613" spans="9:13" x14ac:dyDescent="0.3">
      <c r="I2613" s="7"/>
      <c r="J2613" s="9"/>
      <c r="K2613" s="9"/>
      <c r="L2613" s="9"/>
      <c r="M2613" s="9"/>
    </row>
    <row r="2614" spans="9:13" x14ac:dyDescent="0.3">
      <c r="I2614" s="7"/>
      <c r="J2614" s="9"/>
      <c r="K2614" s="9"/>
      <c r="L2614" s="9"/>
      <c r="M2614" s="9"/>
    </row>
    <row r="2615" spans="9:13" x14ac:dyDescent="0.3">
      <c r="I2615" s="7"/>
      <c r="J2615" s="9"/>
      <c r="K2615" s="9"/>
      <c r="L2615" s="9"/>
      <c r="M2615" s="9"/>
    </row>
    <row r="2616" spans="9:13" x14ac:dyDescent="0.3">
      <c r="I2616" s="7"/>
      <c r="J2616" s="9"/>
      <c r="K2616" s="9"/>
      <c r="L2616" s="9"/>
      <c r="M2616" s="9"/>
    </row>
    <row r="2617" spans="9:13" x14ac:dyDescent="0.3">
      <c r="I2617" s="7"/>
      <c r="J2617" s="9"/>
      <c r="K2617" s="9"/>
      <c r="L2617" s="9"/>
      <c r="M2617" s="9"/>
    </row>
    <row r="2618" spans="9:13" x14ac:dyDescent="0.3">
      <c r="I2618" s="7"/>
      <c r="J2618" s="9"/>
      <c r="K2618" s="9"/>
      <c r="L2618" s="9"/>
      <c r="M2618" s="9"/>
    </row>
    <row r="2619" spans="9:13" x14ac:dyDescent="0.3">
      <c r="I2619" s="7"/>
      <c r="J2619" s="9"/>
      <c r="K2619" s="9"/>
      <c r="L2619" s="9"/>
      <c r="M2619" s="9"/>
    </row>
    <row r="2620" spans="9:13" x14ac:dyDescent="0.3">
      <c r="I2620" s="7"/>
      <c r="J2620" s="9"/>
      <c r="K2620" s="9"/>
      <c r="L2620" s="9"/>
      <c r="M2620" s="9"/>
    </row>
    <row r="2621" spans="9:13" x14ac:dyDescent="0.3">
      <c r="I2621" s="7"/>
      <c r="J2621" s="9"/>
      <c r="K2621" s="9"/>
      <c r="L2621" s="9"/>
      <c r="M2621" s="9"/>
    </row>
    <row r="2622" spans="9:13" x14ac:dyDescent="0.3">
      <c r="I2622" s="7"/>
      <c r="J2622" s="9"/>
      <c r="K2622" s="9"/>
      <c r="L2622" s="9"/>
      <c r="M2622" s="9"/>
    </row>
    <row r="2623" spans="9:13" x14ac:dyDescent="0.3">
      <c r="I2623" s="7"/>
      <c r="J2623" s="9"/>
      <c r="K2623" s="9"/>
      <c r="L2623" s="9"/>
      <c r="M2623" s="9"/>
    </row>
    <row r="2624" spans="9:13" x14ac:dyDescent="0.3">
      <c r="I2624" s="7"/>
      <c r="J2624" s="9"/>
      <c r="K2624" s="9"/>
      <c r="L2624" s="9"/>
      <c r="M2624" s="9"/>
    </row>
    <row r="2625" spans="9:13" x14ac:dyDescent="0.3">
      <c r="I2625" s="7"/>
      <c r="J2625" s="9"/>
      <c r="K2625" s="9"/>
      <c r="L2625" s="9"/>
      <c r="M2625" s="9"/>
    </row>
    <row r="2626" spans="9:13" x14ac:dyDescent="0.3">
      <c r="I2626" s="7"/>
      <c r="J2626" s="9"/>
      <c r="K2626" s="9"/>
      <c r="L2626" s="9"/>
      <c r="M2626" s="9"/>
    </row>
    <row r="2627" spans="9:13" x14ac:dyDescent="0.3">
      <c r="I2627" s="7"/>
      <c r="J2627" s="9"/>
      <c r="K2627" s="9"/>
      <c r="L2627" s="9"/>
      <c r="M2627" s="9"/>
    </row>
    <row r="2628" spans="9:13" x14ac:dyDescent="0.3">
      <c r="I2628" s="7"/>
      <c r="J2628" s="9"/>
      <c r="K2628" s="9"/>
      <c r="L2628" s="9"/>
      <c r="M2628" s="9"/>
    </row>
    <row r="2629" spans="9:13" x14ac:dyDescent="0.3">
      <c r="I2629" s="7"/>
      <c r="J2629" s="9"/>
      <c r="K2629" s="9"/>
      <c r="L2629" s="9"/>
      <c r="M2629" s="9"/>
    </row>
    <row r="2630" spans="9:13" x14ac:dyDescent="0.3">
      <c r="I2630" s="7"/>
      <c r="J2630" s="9"/>
      <c r="K2630" s="9"/>
      <c r="L2630" s="9"/>
      <c r="M2630" s="9"/>
    </row>
    <row r="2631" spans="9:13" x14ac:dyDescent="0.3">
      <c r="I2631" s="7"/>
      <c r="J2631" s="9"/>
      <c r="K2631" s="9"/>
      <c r="L2631" s="9"/>
      <c r="M2631" s="9"/>
    </row>
    <row r="2632" spans="9:13" x14ac:dyDescent="0.3">
      <c r="I2632" s="7"/>
      <c r="J2632" s="9"/>
      <c r="K2632" s="9"/>
      <c r="L2632" s="9"/>
      <c r="M2632" s="9"/>
    </row>
    <row r="2633" spans="9:13" x14ac:dyDescent="0.3">
      <c r="I2633" s="7"/>
      <c r="J2633" s="9"/>
      <c r="K2633" s="9"/>
      <c r="L2633" s="9"/>
      <c r="M2633" s="9"/>
    </row>
    <row r="2634" spans="9:13" x14ac:dyDescent="0.3">
      <c r="I2634" s="7"/>
      <c r="J2634" s="9"/>
      <c r="K2634" s="9"/>
      <c r="L2634" s="9"/>
      <c r="M2634" s="9"/>
    </row>
    <row r="2635" spans="9:13" x14ac:dyDescent="0.3">
      <c r="I2635" s="7"/>
      <c r="J2635" s="9"/>
      <c r="K2635" s="9"/>
      <c r="L2635" s="9"/>
      <c r="M2635" s="9"/>
    </row>
    <row r="2636" spans="9:13" x14ac:dyDescent="0.3">
      <c r="I2636" s="7"/>
      <c r="J2636" s="9"/>
      <c r="K2636" s="9"/>
      <c r="L2636" s="9"/>
      <c r="M2636" s="9"/>
    </row>
    <row r="2637" spans="9:13" x14ac:dyDescent="0.3">
      <c r="I2637" s="7"/>
      <c r="J2637" s="9"/>
      <c r="K2637" s="9"/>
      <c r="L2637" s="9"/>
      <c r="M2637" s="9"/>
    </row>
    <row r="2638" spans="9:13" x14ac:dyDescent="0.3">
      <c r="I2638" s="7"/>
      <c r="J2638" s="9"/>
      <c r="K2638" s="9"/>
      <c r="L2638" s="9"/>
      <c r="M2638" s="9"/>
    </row>
    <row r="2639" spans="9:13" x14ac:dyDescent="0.3">
      <c r="I2639" s="7"/>
      <c r="J2639" s="9"/>
      <c r="K2639" s="9"/>
      <c r="L2639" s="9"/>
      <c r="M2639" s="9"/>
    </row>
    <row r="2640" spans="9:13" x14ac:dyDescent="0.3">
      <c r="I2640" s="7"/>
      <c r="J2640" s="9"/>
      <c r="K2640" s="9"/>
      <c r="L2640" s="9"/>
      <c r="M2640" s="9"/>
    </row>
    <row r="2641" spans="9:13" x14ac:dyDescent="0.3">
      <c r="I2641" s="7"/>
      <c r="J2641" s="9"/>
      <c r="K2641" s="9"/>
      <c r="L2641" s="9"/>
      <c r="M2641" s="9"/>
    </row>
    <row r="2642" spans="9:13" x14ac:dyDescent="0.3">
      <c r="I2642" s="7"/>
      <c r="J2642" s="9"/>
      <c r="K2642" s="9"/>
      <c r="L2642" s="9"/>
      <c r="M2642" s="9"/>
    </row>
    <row r="2643" spans="9:13" x14ac:dyDescent="0.3">
      <c r="I2643" s="7"/>
      <c r="J2643" s="9"/>
      <c r="K2643" s="9"/>
      <c r="L2643" s="9"/>
      <c r="M2643" s="9"/>
    </row>
    <row r="2644" spans="9:13" x14ac:dyDescent="0.3">
      <c r="I2644" s="7"/>
      <c r="J2644" s="9"/>
      <c r="K2644" s="9"/>
      <c r="L2644" s="9"/>
      <c r="M2644" s="9"/>
    </row>
    <row r="2645" spans="9:13" x14ac:dyDescent="0.3">
      <c r="I2645" s="7"/>
      <c r="J2645" s="9"/>
      <c r="K2645" s="9"/>
      <c r="L2645" s="9"/>
      <c r="M2645" s="9"/>
    </row>
    <row r="2646" spans="9:13" x14ac:dyDescent="0.3">
      <c r="I2646" s="7"/>
      <c r="J2646" s="9"/>
      <c r="K2646" s="9"/>
      <c r="L2646" s="9"/>
      <c r="M2646" s="9"/>
    </row>
    <row r="2647" spans="9:13" x14ac:dyDescent="0.3">
      <c r="I2647" s="7"/>
      <c r="J2647" s="9"/>
      <c r="K2647" s="9"/>
      <c r="L2647" s="9"/>
      <c r="M2647" s="9"/>
    </row>
    <row r="2648" spans="9:13" x14ac:dyDescent="0.3">
      <c r="I2648" s="7"/>
      <c r="J2648" s="9"/>
      <c r="K2648" s="9"/>
      <c r="L2648" s="9"/>
      <c r="M2648" s="9"/>
    </row>
    <row r="2649" spans="9:13" x14ac:dyDescent="0.3">
      <c r="I2649" s="7"/>
      <c r="J2649" s="9"/>
      <c r="K2649" s="9"/>
      <c r="L2649" s="9"/>
      <c r="M2649" s="9"/>
    </row>
    <row r="2650" spans="9:13" x14ac:dyDescent="0.3">
      <c r="I2650" s="7"/>
      <c r="J2650" s="9"/>
      <c r="K2650" s="9"/>
      <c r="L2650" s="9"/>
      <c r="M2650" s="9"/>
    </row>
    <row r="2651" spans="9:13" x14ac:dyDescent="0.3">
      <c r="I2651" s="7"/>
      <c r="J2651" s="9"/>
      <c r="K2651" s="9"/>
      <c r="L2651" s="9"/>
      <c r="M2651" s="9"/>
    </row>
    <row r="2652" spans="9:13" x14ac:dyDescent="0.3">
      <c r="I2652" s="7"/>
      <c r="J2652" s="9"/>
      <c r="K2652" s="9"/>
      <c r="L2652" s="9"/>
      <c r="M2652" s="9"/>
    </row>
    <row r="2653" spans="9:13" x14ac:dyDescent="0.3">
      <c r="I2653" s="7"/>
      <c r="J2653" s="9"/>
      <c r="K2653" s="9"/>
      <c r="L2653" s="9"/>
      <c r="M2653" s="9"/>
    </row>
    <row r="2654" spans="9:13" x14ac:dyDescent="0.3">
      <c r="I2654" s="7"/>
      <c r="J2654" s="9"/>
      <c r="K2654" s="9"/>
      <c r="L2654" s="9"/>
      <c r="M2654" s="9"/>
    </row>
    <row r="2655" spans="9:13" x14ac:dyDescent="0.3">
      <c r="I2655" s="7"/>
      <c r="J2655" s="9"/>
      <c r="K2655" s="9"/>
      <c r="L2655" s="9"/>
      <c r="M2655" s="9"/>
    </row>
    <row r="2656" spans="9:13" x14ac:dyDescent="0.3">
      <c r="I2656" s="7"/>
      <c r="J2656" s="9"/>
      <c r="K2656" s="9"/>
      <c r="L2656" s="9"/>
      <c r="M2656" s="9"/>
    </row>
    <row r="2657" spans="9:13" x14ac:dyDescent="0.3">
      <c r="I2657" s="7"/>
      <c r="J2657" s="9"/>
      <c r="K2657" s="9"/>
      <c r="L2657" s="9"/>
      <c r="M2657" s="9"/>
    </row>
    <row r="2658" spans="9:13" x14ac:dyDescent="0.3">
      <c r="I2658" s="7"/>
      <c r="J2658" s="9"/>
      <c r="K2658" s="9"/>
      <c r="L2658" s="9"/>
      <c r="M2658" s="9"/>
    </row>
    <row r="2659" spans="9:13" x14ac:dyDescent="0.3">
      <c r="I2659" s="7"/>
      <c r="J2659" s="9"/>
      <c r="K2659" s="9"/>
      <c r="L2659" s="9"/>
      <c r="M2659" s="9"/>
    </row>
    <row r="2660" spans="9:13" x14ac:dyDescent="0.3">
      <c r="I2660" s="7"/>
      <c r="J2660" s="9"/>
      <c r="K2660" s="9"/>
      <c r="L2660" s="9"/>
      <c r="M2660" s="9"/>
    </row>
    <row r="2661" spans="9:13" x14ac:dyDescent="0.3">
      <c r="I2661" s="7"/>
      <c r="J2661" s="9"/>
      <c r="K2661" s="9"/>
      <c r="L2661" s="9"/>
      <c r="M2661" s="9"/>
    </row>
    <row r="2662" spans="9:13" x14ac:dyDescent="0.3">
      <c r="I2662" s="7"/>
      <c r="J2662" s="9"/>
      <c r="K2662" s="9"/>
      <c r="L2662" s="9"/>
      <c r="M2662" s="9"/>
    </row>
    <row r="2663" spans="9:13" x14ac:dyDescent="0.3">
      <c r="I2663" s="7"/>
      <c r="J2663" s="9"/>
      <c r="K2663" s="9"/>
      <c r="L2663" s="9"/>
      <c r="M2663" s="9"/>
    </row>
    <row r="2664" spans="9:13" x14ac:dyDescent="0.3">
      <c r="I2664" s="7"/>
      <c r="J2664" s="9"/>
      <c r="K2664" s="9"/>
      <c r="L2664" s="9"/>
      <c r="M2664" s="9"/>
    </row>
    <row r="2665" spans="9:13" x14ac:dyDescent="0.3">
      <c r="I2665" s="7"/>
      <c r="J2665" s="9"/>
      <c r="K2665" s="9"/>
      <c r="L2665" s="9"/>
      <c r="M2665" s="9"/>
    </row>
    <row r="2666" spans="9:13" x14ac:dyDescent="0.3">
      <c r="I2666" s="7"/>
      <c r="J2666" s="9"/>
      <c r="K2666" s="9"/>
      <c r="L2666" s="9"/>
      <c r="M2666" s="9"/>
    </row>
    <row r="2667" spans="9:13" x14ac:dyDescent="0.3">
      <c r="I2667" s="7"/>
      <c r="J2667" s="9"/>
      <c r="K2667" s="9"/>
      <c r="L2667" s="9"/>
      <c r="M2667" s="9"/>
    </row>
    <row r="2668" spans="9:13" x14ac:dyDescent="0.3">
      <c r="I2668" s="7"/>
      <c r="J2668" s="9"/>
      <c r="K2668" s="9"/>
      <c r="L2668" s="9"/>
      <c r="M2668" s="9"/>
    </row>
    <row r="2669" spans="9:13" x14ac:dyDescent="0.3">
      <c r="I2669" s="7"/>
      <c r="J2669" s="9"/>
      <c r="K2669" s="9"/>
      <c r="L2669" s="9"/>
      <c r="M2669" s="9"/>
    </row>
    <row r="2670" spans="9:13" x14ac:dyDescent="0.3">
      <c r="I2670" s="7"/>
      <c r="J2670" s="9"/>
      <c r="K2670" s="9"/>
      <c r="L2670" s="9"/>
      <c r="M2670" s="9"/>
    </row>
    <row r="2671" spans="9:13" x14ac:dyDescent="0.3">
      <c r="I2671" s="7"/>
      <c r="J2671" s="9"/>
      <c r="K2671" s="9"/>
      <c r="L2671" s="9"/>
      <c r="M2671" s="9"/>
    </row>
    <row r="2672" spans="9:13" x14ac:dyDescent="0.3">
      <c r="I2672" s="7"/>
      <c r="J2672" s="9"/>
      <c r="K2672" s="9"/>
      <c r="L2672" s="9"/>
      <c r="M2672" s="9"/>
    </row>
    <row r="2673" spans="9:13" x14ac:dyDescent="0.3">
      <c r="I2673" s="7"/>
      <c r="J2673" s="9"/>
      <c r="K2673" s="9"/>
      <c r="L2673" s="9"/>
      <c r="M2673" s="9"/>
    </row>
    <row r="2674" spans="9:13" x14ac:dyDescent="0.3">
      <c r="I2674" s="7"/>
      <c r="J2674" s="9"/>
      <c r="K2674" s="9"/>
      <c r="L2674" s="9"/>
      <c r="M2674" s="9"/>
    </row>
    <row r="2675" spans="9:13" x14ac:dyDescent="0.3">
      <c r="I2675" s="7"/>
      <c r="J2675" s="9"/>
      <c r="K2675" s="9"/>
      <c r="L2675" s="9"/>
      <c r="M2675" s="9"/>
    </row>
    <row r="2676" spans="9:13" x14ac:dyDescent="0.3">
      <c r="I2676" s="7"/>
      <c r="J2676" s="9"/>
      <c r="K2676" s="9"/>
      <c r="L2676" s="9"/>
      <c r="M2676" s="9"/>
    </row>
    <row r="2677" spans="9:13" x14ac:dyDescent="0.3">
      <c r="I2677" s="7"/>
      <c r="J2677" s="9"/>
      <c r="K2677" s="9"/>
      <c r="L2677" s="9"/>
      <c r="M2677" s="9"/>
    </row>
    <row r="2678" spans="9:13" x14ac:dyDescent="0.3">
      <c r="I2678" s="7"/>
      <c r="J2678" s="9"/>
      <c r="K2678" s="9"/>
      <c r="L2678" s="9"/>
      <c r="M2678" s="9"/>
    </row>
    <row r="2679" spans="9:13" x14ac:dyDescent="0.3">
      <c r="I2679" s="7"/>
      <c r="J2679" s="9"/>
      <c r="K2679" s="9"/>
      <c r="L2679" s="9"/>
      <c r="M2679" s="9"/>
    </row>
    <row r="2680" spans="9:13" x14ac:dyDescent="0.3">
      <c r="I2680" s="7"/>
      <c r="J2680" s="9"/>
      <c r="K2680" s="9"/>
      <c r="L2680" s="9"/>
      <c r="M2680" s="9"/>
    </row>
    <row r="2681" spans="9:13" x14ac:dyDescent="0.3">
      <c r="I2681" s="7"/>
      <c r="J2681" s="9"/>
      <c r="K2681" s="9"/>
      <c r="L2681" s="9"/>
      <c r="M2681" s="9"/>
    </row>
    <row r="2682" spans="9:13" x14ac:dyDescent="0.3">
      <c r="I2682" s="7"/>
      <c r="J2682" s="9"/>
      <c r="K2682" s="9"/>
      <c r="L2682" s="9"/>
      <c r="M2682" s="9"/>
    </row>
    <row r="2683" spans="9:13" x14ac:dyDescent="0.3">
      <c r="I2683" s="7"/>
      <c r="J2683" s="9"/>
      <c r="K2683" s="9"/>
      <c r="L2683" s="9"/>
      <c r="M2683" s="9"/>
    </row>
    <row r="2684" spans="9:13" x14ac:dyDescent="0.3">
      <c r="I2684" s="7"/>
      <c r="J2684" s="9"/>
      <c r="K2684" s="9"/>
      <c r="L2684" s="9"/>
      <c r="M2684" s="9"/>
    </row>
    <row r="2685" spans="9:13" x14ac:dyDescent="0.3">
      <c r="I2685" s="7"/>
      <c r="J2685" s="9"/>
      <c r="K2685" s="9"/>
      <c r="L2685" s="9"/>
      <c r="M2685" s="9"/>
    </row>
    <row r="2686" spans="9:13" x14ac:dyDescent="0.3">
      <c r="I2686" s="7"/>
      <c r="J2686" s="9"/>
      <c r="K2686" s="9"/>
      <c r="L2686" s="9"/>
      <c r="M2686" s="9"/>
    </row>
    <row r="2687" spans="9:13" x14ac:dyDescent="0.3">
      <c r="I2687" s="7"/>
      <c r="J2687" s="9"/>
      <c r="K2687" s="9"/>
      <c r="L2687" s="9"/>
      <c r="M2687" s="9"/>
    </row>
    <row r="2688" spans="9:13" x14ac:dyDescent="0.3">
      <c r="I2688" s="7"/>
      <c r="J2688" s="9"/>
      <c r="K2688" s="9"/>
      <c r="L2688" s="9"/>
      <c r="M2688" s="9"/>
    </row>
    <row r="2689" spans="9:13" x14ac:dyDescent="0.3">
      <c r="I2689" s="7"/>
      <c r="J2689" s="9"/>
      <c r="K2689" s="9"/>
      <c r="L2689" s="9"/>
      <c r="M2689" s="9"/>
    </row>
    <row r="2690" spans="9:13" x14ac:dyDescent="0.3">
      <c r="I2690" s="7"/>
      <c r="J2690" s="9"/>
      <c r="K2690" s="9"/>
      <c r="L2690" s="9"/>
      <c r="M2690" s="9"/>
    </row>
    <row r="2691" spans="9:13" x14ac:dyDescent="0.3">
      <c r="I2691" s="7"/>
      <c r="J2691" s="9"/>
      <c r="K2691" s="9"/>
      <c r="L2691" s="9"/>
      <c r="M2691" s="9"/>
    </row>
    <row r="2692" spans="9:13" x14ac:dyDescent="0.3">
      <c r="I2692" s="7"/>
      <c r="J2692" s="9"/>
      <c r="K2692" s="9"/>
      <c r="L2692" s="9"/>
      <c r="M2692" s="9"/>
    </row>
    <row r="2693" spans="9:13" x14ac:dyDescent="0.3">
      <c r="I2693" s="7"/>
      <c r="J2693" s="9"/>
      <c r="K2693" s="9"/>
      <c r="L2693" s="9"/>
      <c r="M2693" s="9"/>
    </row>
    <row r="2694" spans="9:13" x14ac:dyDescent="0.3">
      <c r="I2694" s="7"/>
      <c r="J2694" s="9"/>
      <c r="K2694" s="9"/>
      <c r="L2694" s="9"/>
      <c r="M2694" s="9"/>
    </row>
    <row r="2695" spans="9:13" x14ac:dyDescent="0.3">
      <c r="I2695" s="7"/>
      <c r="J2695" s="9"/>
      <c r="K2695" s="9"/>
      <c r="L2695" s="9"/>
      <c r="M2695" s="9"/>
    </row>
    <row r="2696" spans="9:13" x14ac:dyDescent="0.3">
      <c r="I2696" s="7"/>
      <c r="J2696" s="9"/>
      <c r="K2696" s="9"/>
      <c r="L2696" s="9"/>
      <c r="M2696" s="9"/>
    </row>
    <row r="2697" spans="9:13" x14ac:dyDescent="0.3">
      <c r="I2697" s="7"/>
      <c r="J2697" s="9"/>
      <c r="K2697" s="9"/>
      <c r="L2697" s="9"/>
      <c r="M2697" s="9"/>
    </row>
    <row r="2698" spans="9:13" x14ac:dyDescent="0.3">
      <c r="I2698" s="7"/>
      <c r="J2698" s="9"/>
      <c r="K2698" s="9"/>
      <c r="L2698" s="9"/>
      <c r="M2698" s="9"/>
    </row>
    <row r="2699" spans="9:13" x14ac:dyDescent="0.3">
      <c r="I2699" s="7"/>
      <c r="J2699" s="9"/>
      <c r="K2699" s="9"/>
      <c r="L2699" s="9"/>
      <c r="M2699" s="9"/>
    </row>
    <row r="2700" spans="9:13" x14ac:dyDescent="0.3">
      <c r="I2700" s="7"/>
      <c r="J2700" s="9"/>
      <c r="K2700" s="9"/>
      <c r="L2700" s="9"/>
      <c r="M2700" s="9"/>
    </row>
    <row r="2701" spans="9:13" x14ac:dyDescent="0.3">
      <c r="I2701" s="7"/>
      <c r="J2701" s="9"/>
      <c r="K2701" s="9"/>
      <c r="L2701" s="9"/>
      <c r="M2701" s="9"/>
    </row>
    <row r="2702" spans="9:13" x14ac:dyDescent="0.3">
      <c r="I2702" s="7"/>
      <c r="J2702" s="9"/>
      <c r="K2702" s="9"/>
      <c r="L2702" s="9"/>
      <c r="M2702" s="9"/>
    </row>
    <row r="2703" spans="9:13" x14ac:dyDescent="0.3">
      <c r="I2703" s="7"/>
      <c r="J2703" s="9"/>
      <c r="K2703" s="9"/>
      <c r="L2703" s="9"/>
      <c r="M2703" s="9"/>
    </row>
    <row r="2704" spans="9:13" x14ac:dyDescent="0.3">
      <c r="I2704" s="7"/>
      <c r="J2704" s="9"/>
      <c r="K2704" s="9"/>
      <c r="L2704" s="9"/>
      <c r="M2704" s="9"/>
    </row>
    <row r="2705" spans="9:13" x14ac:dyDescent="0.3">
      <c r="I2705" s="7"/>
      <c r="J2705" s="9"/>
      <c r="K2705" s="9"/>
      <c r="L2705" s="9"/>
      <c r="M2705" s="9"/>
    </row>
    <row r="2706" spans="9:13" x14ac:dyDescent="0.3">
      <c r="I2706" s="7"/>
      <c r="J2706" s="9"/>
      <c r="K2706" s="9"/>
      <c r="L2706" s="9"/>
      <c r="M2706" s="9"/>
    </row>
    <row r="2707" spans="9:13" x14ac:dyDescent="0.3">
      <c r="I2707" s="7"/>
      <c r="J2707" s="9"/>
      <c r="K2707" s="9"/>
      <c r="L2707" s="9"/>
      <c r="M2707" s="9"/>
    </row>
    <row r="2708" spans="9:13" x14ac:dyDescent="0.3">
      <c r="I2708" s="7"/>
      <c r="J2708" s="9"/>
      <c r="K2708" s="9"/>
      <c r="L2708" s="9"/>
      <c r="M2708" s="9"/>
    </row>
    <row r="2709" spans="9:13" x14ac:dyDescent="0.3">
      <c r="I2709" s="7"/>
      <c r="J2709" s="9"/>
      <c r="K2709" s="9"/>
      <c r="L2709" s="9"/>
      <c r="M2709" s="9"/>
    </row>
    <row r="2710" spans="9:13" x14ac:dyDescent="0.3">
      <c r="I2710" s="7"/>
      <c r="J2710" s="9"/>
      <c r="K2710" s="9"/>
      <c r="L2710" s="9"/>
      <c r="M2710" s="9"/>
    </row>
    <row r="2711" spans="9:13" x14ac:dyDescent="0.3">
      <c r="I2711" s="7"/>
      <c r="J2711" s="9"/>
      <c r="K2711" s="9"/>
      <c r="L2711" s="9"/>
      <c r="M2711" s="9"/>
    </row>
    <row r="2712" spans="9:13" x14ac:dyDescent="0.3">
      <c r="I2712" s="7"/>
      <c r="J2712" s="9"/>
      <c r="K2712" s="9"/>
      <c r="L2712" s="9"/>
      <c r="M2712" s="9"/>
    </row>
    <row r="2713" spans="9:13" x14ac:dyDescent="0.3">
      <c r="I2713" s="7"/>
      <c r="J2713" s="9"/>
      <c r="K2713" s="9"/>
      <c r="L2713" s="9"/>
      <c r="M2713" s="9"/>
    </row>
    <row r="2714" spans="9:13" x14ac:dyDescent="0.3">
      <c r="I2714" s="7"/>
      <c r="J2714" s="9"/>
      <c r="K2714" s="9"/>
      <c r="L2714" s="9"/>
      <c r="M2714" s="9"/>
    </row>
    <row r="2715" spans="9:13" x14ac:dyDescent="0.3">
      <c r="I2715" s="7"/>
      <c r="J2715" s="9"/>
      <c r="K2715" s="9"/>
      <c r="L2715" s="9"/>
      <c r="M2715" s="9"/>
    </row>
    <row r="2716" spans="9:13" x14ac:dyDescent="0.3">
      <c r="I2716" s="7"/>
      <c r="J2716" s="9"/>
      <c r="K2716" s="9"/>
      <c r="L2716" s="9"/>
      <c r="M2716" s="9"/>
    </row>
    <row r="2717" spans="9:13" x14ac:dyDescent="0.3">
      <c r="I2717" s="7"/>
      <c r="J2717" s="9"/>
      <c r="K2717" s="9"/>
      <c r="L2717" s="9"/>
      <c r="M2717" s="9"/>
    </row>
    <row r="2718" spans="9:13" x14ac:dyDescent="0.3">
      <c r="I2718" s="7"/>
      <c r="J2718" s="9"/>
      <c r="K2718" s="9"/>
      <c r="L2718" s="9"/>
      <c r="M2718" s="9"/>
    </row>
    <row r="2719" spans="9:13" x14ac:dyDescent="0.3">
      <c r="I2719" s="7"/>
      <c r="J2719" s="9"/>
      <c r="K2719" s="9"/>
      <c r="L2719" s="9"/>
      <c r="M2719" s="9"/>
    </row>
    <row r="2720" spans="9:13" x14ac:dyDescent="0.3">
      <c r="I2720" s="7"/>
      <c r="J2720" s="9"/>
      <c r="K2720" s="9"/>
      <c r="L2720" s="9"/>
      <c r="M2720" s="9"/>
    </row>
    <row r="2721" spans="9:13" x14ac:dyDescent="0.3">
      <c r="I2721" s="7"/>
      <c r="J2721" s="9"/>
      <c r="K2721" s="9"/>
      <c r="L2721" s="9"/>
      <c r="M2721" s="9"/>
    </row>
    <row r="2722" spans="9:13" x14ac:dyDescent="0.3">
      <c r="I2722" s="7"/>
      <c r="J2722" s="9"/>
      <c r="K2722" s="9"/>
      <c r="L2722" s="9"/>
      <c r="M2722" s="9"/>
    </row>
    <row r="2723" spans="9:13" x14ac:dyDescent="0.3">
      <c r="I2723" s="7"/>
      <c r="J2723" s="9"/>
      <c r="K2723" s="9"/>
      <c r="L2723" s="9"/>
      <c r="M2723" s="9"/>
    </row>
    <row r="2724" spans="9:13" x14ac:dyDescent="0.3">
      <c r="I2724" s="7"/>
      <c r="J2724" s="9"/>
      <c r="K2724" s="9"/>
      <c r="L2724" s="9"/>
      <c r="M2724" s="9"/>
    </row>
    <row r="2725" spans="9:13" x14ac:dyDescent="0.3">
      <c r="I2725" s="7"/>
      <c r="J2725" s="9"/>
      <c r="K2725" s="9"/>
      <c r="L2725" s="9"/>
      <c r="M2725" s="9"/>
    </row>
    <row r="2726" spans="9:13" x14ac:dyDescent="0.3">
      <c r="I2726" s="7"/>
      <c r="J2726" s="9"/>
      <c r="K2726" s="9"/>
      <c r="L2726" s="9"/>
      <c r="M2726" s="9"/>
    </row>
    <row r="2727" spans="9:13" x14ac:dyDescent="0.3">
      <c r="I2727" s="7"/>
      <c r="J2727" s="9"/>
      <c r="K2727" s="9"/>
      <c r="L2727" s="9"/>
      <c r="M2727" s="9"/>
    </row>
    <row r="2728" spans="9:13" x14ac:dyDescent="0.3">
      <c r="I2728" s="7"/>
      <c r="J2728" s="9"/>
      <c r="K2728" s="9"/>
      <c r="L2728" s="9"/>
      <c r="M2728" s="9"/>
    </row>
    <row r="2729" spans="9:13" x14ac:dyDescent="0.3">
      <c r="I2729" s="7"/>
      <c r="J2729" s="9"/>
      <c r="K2729" s="9"/>
      <c r="L2729" s="9"/>
      <c r="M2729" s="9"/>
    </row>
    <row r="2730" spans="9:13" x14ac:dyDescent="0.3">
      <c r="I2730" s="7"/>
      <c r="J2730" s="9"/>
      <c r="K2730" s="9"/>
      <c r="L2730" s="9"/>
      <c r="M2730" s="9"/>
    </row>
    <row r="2731" spans="9:13" x14ac:dyDescent="0.3">
      <c r="I2731" s="7"/>
      <c r="J2731" s="9"/>
      <c r="K2731" s="9"/>
      <c r="L2731" s="9"/>
      <c r="M2731" s="9"/>
    </row>
    <row r="2732" spans="9:13" x14ac:dyDescent="0.3">
      <c r="I2732" s="7"/>
      <c r="J2732" s="9"/>
      <c r="K2732" s="9"/>
      <c r="L2732" s="9"/>
      <c r="M2732" s="9"/>
    </row>
    <row r="2733" spans="9:13" x14ac:dyDescent="0.3">
      <c r="I2733" s="7"/>
      <c r="J2733" s="9"/>
      <c r="K2733" s="9"/>
      <c r="L2733" s="9"/>
      <c r="M2733" s="9"/>
    </row>
    <row r="2734" spans="9:13" x14ac:dyDescent="0.3">
      <c r="I2734" s="7"/>
      <c r="J2734" s="9"/>
      <c r="K2734" s="9"/>
      <c r="L2734" s="9"/>
      <c r="M2734" s="9"/>
    </row>
    <row r="2735" spans="9:13" x14ac:dyDescent="0.3">
      <c r="I2735" s="7"/>
      <c r="J2735" s="9"/>
      <c r="K2735" s="9"/>
      <c r="L2735" s="9"/>
      <c r="M2735" s="9"/>
    </row>
    <row r="2736" spans="9:13" x14ac:dyDescent="0.3">
      <c r="I2736" s="7"/>
      <c r="J2736" s="9"/>
      <c r="K2736" s="9"/>
      <c r="L2736" s="9"/>
      <c r="M2736" s="9"/>
    </row>
    <row r="2737" spans="9:13" x14ac:dyDescent="0.3">
      <c r="I2737" s="7"/>
      <c r="J2737" s="9"/>
      <c r="K2737" s="9"/>
      <c r="L2737" s="9"/>
      <c r="M2737" s="9"/>
    </row>
    <row r="2738" spans="9:13" x14ac:dyDescent="0.3">
      <c r="I2738" s="7"/>
      <c r="J2738" s="9"/>
      <c r="K2738" s="9"/>
      <c r="L2738" s="9"/>
      <c r="M2738" s="9"/>
    </row>
    <row r="2739" spans="9:13" x14ac:dyDescent="0.3">
      <c r="I2739" s="7"/>
      <c r="J2739" s="9"/>
      <c r="K2739" s="9"/>
      <c r="L2739" s="9"/>
      <c r="M2739" s="9"/>
    </row>
    <row r="2740" spans="9:13" x14ac:dyDescent="0.3">
      <c r="I2740" s="7"/>
      <c r="J2740" s="9"/>
      <c r="K2740" s="9"/>
      <c r="L2740" s="9"/>
      <c r="M2740" s="9"/>
    </row>
    <row r="2741" spans="9:13" x14ac:dyDescent="0.3">
      <c r="I2741" s="7"/>
      <c r="J2741" s="9"/>
      <c r="K2741" s="9"/>
      <c r="L2741" s="9"/>
      <c r="M2741" s="9"/>
    </row>
    <row r="2742" spans="9:13" x14ac:dyDescent="0.3">
      <c r="I2742" s="7"/>
      <c r="J2742" s="9"/>
      <c r="K2742" s="9"/>
      <c r="L2742" s="9"/>
      <c r="M2742" s="9"/>
    </row>
    <row r="2743" spans="9:13" x14ac:dyDescent="0.3">
      <c r="I2743" s="7"/>
      <c r="J2743" s="9"/>
      <c r="K2743" s="9"/>
      <c r="L2743" s="9"/>
      <c r="M2743" s="9"/>
    </row>
    <row r="2744" spans="9:13" x14ac:dyDescent="0.3">
      <c r="I2744" s="7"/>
      <c r="J2744" s="9"/>
      <c r="K2744" s="9"/>
      <c r="L2744" s="9"/>
      <c r="M2744" s="9"/>
    </row>
    <row r="2745" spans="9:13" x14ac:dyDescent="0.3">
      <c r="I2745" s="7"/>
      <c r="J2745" s="9"/>
      <c r="K2745" s="9"/>
      <c r="L2745" s="9"/>
      <c r="M2745" s="9"/>
    </row>
    <row r="2746" spans="9:13" x14ac:dyDescent="0.3">
      <c r="I2746" s="7"/>
      <c r="J2746" s="9"/>
      <c r="K2746" s="9"/>
      <c r="L2746" s="9"/>
      <c r="M2746" s="9"/>
    </row>
    <row r="2747" spans="9:13" x14ac:dyDescent="0.3">
      <c r="I2747" s="7"/>
      <c r="J2747" s="9"/>
      <c r="K2747" s="9"/>
      <c r="L2747" s="9"/>
      <c r="M2747" s="9"/>
    </row>
    <row r="2748" spans="9:13" x14ac:dyDescent="0.3">
      <c r="I2748" s="7"/>
      <c r="J2748" s="9"/>
      <c r="K2748" s="9"/>
      <c r="L2748" s="9"/>
      <c r="M2748" s="9"/>
    </row>
    <row r="2749" spans="9:13" x14ac:dyDescent="0.3">
      <c r="I2749" s="7"/>
      <c r="J2749" s="9"/>
      <c r="K2749" s="9"/>
      <c r="L2749" s="9"/>
      <c r="M2749" s="9"/>
    </row>
    <row r="2750" spans="9:13" x14ac:dyDescent="0.3">
      <c r="I2750" s="7"/>
      <c r="J2750" s="9"/>
      <c r="K2750" s="9"/>
      <c r="L2750" s="9"/>
      <c r="M2750" s="9"/>
    </row>
    <row r="2751" spans="9:13" x14ac:dyDescent="0.3">
      <c r="I2751" s="7"/>
      <c r="J2751" s="9"/>
      <c r="K2751" s="9"/>
      <c r="L2751" s="9"/>
      <c r="M2751" s="9"/>
    </row>
    <row r="2752" spans="9:13" x14ac:dyDescent="0.3">
      <c r="I2752" s="7"/>
      <c r="J2752" s="9"/>
      <c r="K2752" s="9"/>
      <c r="L2752" s="9"/>
      <c r="M2752" s="9"/>
    </row>
    <row r="2753" spans="9:13" x14ac:dyDescent="0.3">
      <c r="I2753" s="7"/>
      <c r="J2753" s="9"/>
      <c r="K2753" s="9"/>
      <c r="L2753" s="9"/>
      <c r="M2753" s="9"/>
    </row>
    <row r="2754" spans="9:13" x14ac:dyDescent="0.3">
      <c r="I2754" s="7"/>
      <c r="J2754" s="9"/>
      <c r="K2754" s="9"/>
      <c r="L2754" s="9"/>
      <c r="M2754" s="9"/>
    </row>
    <row r="2755" spans="9:13" x14ac:dyDescent="0.3">
      <c r="I2755" s="7"/>
      <c r="J2755" s="9"/>
      <c r="K2755" s="9"/>
      <c r="L2755" s="9"/>
      <c r="M2755" s="9"/>
    </row>
    <row r="2756" spans="9:13" x14ac:dyDescent="0.3">
      <c r="I2756" s="7"/>
      <c r="J2756" s="9"/>
      <c r="K2756" s="9"/>
      <c r="L2756" s="9"/>
      <c r="M2756" s="9"/>
    </row>
    <row r="2757" spans="9:13" x14ac:dyDescent="0.3">
      <c r="I2757" s="7"/>
      <c r="J2757" s="9"/>
      <c r="K2757" s="9"/>
      <c r="L2757" s="9"/>
      <c r="M2757" s="9"/>
    </row>
    <row r="2758" spans="9:13" x14ac:dyDescent="0.3">
      <c r="I2758" s="7"/>
      <c r="J2758" s="9"/>
      <c r="K2758" s="9"/>
      <c r="L2758" s="9"/>
      <c r="M2758" s="9"/>
    </row>
    <row r="2759" spans="9:13" x14ac:dyDescent="0.3">
      <c r="I2759" s="7"/>
      <c r="J2759" s="9"/>
      <c r="K2759" s="9"/>
      <c r="L2759" s="9"/>
      <c r="M2759" s="9"/>
    </row>
    <row r="2760" spans="9:13" x14ac:dyDescent="0.3">
      <c r="I2760" s="7"/>
      <c r="J2760" s="9"/>
      <c r="K2760" s="9"/>
      <c r="L2760" s="9"/>
      <c r="M2760" s="9"/>
    </row>
    <row r="2761" spans="9:13" x14ac:dyDescent="0.3">
      <c r="I2761" s="7"/>
      <c r="J2761" s="9"/>
      <c r="K2761" s="9"/>
      <c r="L2761" s="9"/>
      <c r="M2761" s="9"/>
    </row>
    <row r="2762" spans="9:13" x14ac:dyDescent="0.3">
      <c r="I2762" s="7"/>
      <c r="J2762" s="9"/>
      <c r="K2762" s="9"/>
      <c r="L2762" s="9"/>
      <c r="M2762" s="9"/>
    </row>
    <row r="2763" spans="9:13" x14ac:dyDescent="0.3">
      <c r="I2763" s="7"/>
      <c r="J2763" s="9"/>
      <c r="K2763" s="9"/>
      <c r="L2763" s="9"/>
      <c r="M2763" s="9"/>
    </row>
    <row r="2764" spans="9:13" x14ac:dyDescent="0.3">
      <c r="I2764" s="7"/>
      <c r="J2764" s="9"/>
      <c r="K2764" s="9"/>
      <c r="L2764" s="9"/>
      <c r="M2764" s="9"/>
    </row>
    <row r="2765" spans="9:13" x14ac:dyDescent="0.3">
      <c r="I2765" s="7"/>
      <c r="J2765" s="9"/>
      <c r="K2765" s="9"/>
      <c r="L2765" s="9"/>
      <c r="M2765" s="9"/>
    </row>
    <row r="2766" spans="9:13" x14ac:dyDescent="0.3">
      <c r="I2766" s="7"/>
      <c r="J2766" s="9"/>
      <c r="K2766" s="9"/>
      <c r="L2766" s="9"/>
      <c r="M2766" s="9"/>
    </row>
    <row r="2767" spans="9:13" x14ac:dyDescent="0.3">
      <c r="I2767" s="7"/>
      <c r="J2767" s="9"/>
      <c r="K2767" s="9"/>
      <c r="L2767" s="9"/>
      <c r="M2767" s="9"/>
    </row>
    <row r="2768" spans="9:13" x14ac:dyDescent="0.3">
      <c r="I2768" s="7"/>
      <c r="J2768" s="9"/>
      <c r="K2768" s="9"/>
      <c r="L2768" s="9"/>
      <c r="M2768" s="9"/>
    </row>
    <row r="2769" spans="9:13" x14ac:dyDescent="0.3">
      <c r="I2769" s="7"/>
      <c r="J2769" s="9"/>
      <c r="K2769" s="9"/>
      <c r="L2769" s="9"/>
      <c r="M2769" s="9"/>
    </row>
    <row r="2770" spans="9:13" x14ac:dyDescent="0.3">
      <c r="I2770" s="7"/>
      <c r="J2770" s="9"/>
      <c r="K2770" s="9"/>
      <c r="L2770" s="9"/>
      <c r="M2770" s="9"/>
    </row>
    <row r="2771" spans="9:13" x14ac:dyDescent="0.3">
      <c r="I2771" s="7"/>
      <c r="J2771" s="9"/>
      <c r="K2771" s="9"/>
      <c r="L2771" s="9"/>
      <c r="M2771" s="9"/>
    </row>
    <row r="2772" spans="9:13" x14ac:dyDescent="0.3">
      <c r="I2772" s="7"/>
      <c r="J2772" s="9"/>
      <c r="K2772" s="9"/>
      <c r="L2772" s="9"/>
      <c r="M2772" s="9"/>
    </row>
    <row r="2773" spans="9:13" x14ac:dyDescent="0.3">
      <c r="I2773" s="7"/>
      <c r="J2773" s="9"/>
      <c r="K2773" s="9"/>
      <c r="L2773" s="9"/>
      <c r="M2773" s="9"/>
    </row>
    <row r="2774" spans="9:13" x14ac:dyDescent="0.3">
      <c r="I2774" s="7"/>
      <c r="J2774" s="9"/>
      <c r="K2774" s="9"/>
      <c r="L2774" s="9"/>
      <c r="M2774" s="9"/>
    </row>
    <row r="2775" spans="9:13" x14ac:dyDescent="0.3">
      <c r="I2775" s="7"/>
      <c r="J2775" s="9"/>
      <c r="K2775" s="9"/>
      <c r="L2775" s="9"/>
      <c r="M2775" s="9"/>
    </row>
    <row r="2776" spans="9:13" x14ac:dyDescent="0.3">
      <c r="I2776" s="7"/>
      <c r="J2776" s="9"/>
      <c r="K2776" s="9"/>
      <c r="L2776" s="9"/>
      <c r="M2776" s="9"/>
    </row>
    <row r="2777" spans="9:13" x14ac:dyDescent="0.3">
      <c r="I2777" s="7"/>
      <c r="J2777" s="9"/>
      <c r="K2777" s="9"/>
      <c r="L2777" s="9"/>
      <c r="M2777" s="9"/>
    </row>
    <row r="2778" spans="9:13" x14ac:dyDescent="0.3">
      <c r="I2778" s="7"/>
      <c r="J2778" s="9"/>
      <c r="K2778" s="9"/>
      <c r="L2778" s="9"/>
      <c r="M2778" s="9"/>
    </row>
    <row r="2779" spans="9:13" x14ac:dyDescent="0.3">
      <c r="I2779" s="7"/>
      <c r="J2779" s="9"/>
      <c r="K2779" s="9"/>
      <c r="L2779" s="9"/>
      <c r="M2779" s="9"/>
    </row>
    <row r="2780" spans="9:13" x14ac:dyDescent="0.3">
      <c r="I2780" s="7"/>
      <c r="J2780" s="9"/>
      <c r="K2780" s="9"/>
      <c r="L2780" s="9"/>
      <c r="M2780" s="9"/>
    </row>
    <row r="2781" spans="9:13" x14ac:dyDescent="0.3">
      <c r="I2781" s="7"/>
      <c r="J2781" s="9"/>
      <c r="K2781" s="9"/>
      <c r="L2781" s="9"/>
      <c r="M2781" s="9"/>
    </row>
    <row r="2782" spans="9:13" x14ac:dyDescent="0.3">
      <c r="I2782" s="7"/>
      <c r="J2782" s="9"/>
      <c r="K2782" s="9"/>
      <c r="L2782" s="9"/>
      <c r="M2782" s="9"/>
    </row>
    <row r="2783" spans="9:13" x14ac:dyDescent="0.3">
      <c r="I2783" s="7"/>
      <c r="J2783" s="9"/>
      <c r="K2783" s="9"/>
      <c r="L2783" s="9"/>
      <c r="M2783" s="9"/>
    </row>
    <row r="2784" spans="9:13" x14ac:dyDescent="0.3">
      <c r="I2784" s="7"/>
      <c r="J2784" s="9"/>
      <c r="K2784" s="9"/>
      <c r="L2784" s="9"/>
      <c r="M2784" s="9"/>
    </row>
    <row r="2785" spans="9:13" x14ac:dyDescent="0.3">
      <c r="I2785" s="7"/>
      <c r="J2785" s="9"/>
      <c r="K2785" s="9"/>
      <c r="L2785" s="9"/>
      <c r="M2785" s="9"/>
    </row>
    <row r="2786" spans="9:13" x14ac:dyDescent="0.3">
      <c r="I2786" s="7"/>
      <c r="J2786" s="9"/>
      <c r="K2786" s="9"/>
      <c r="L2786" s="9"/>
      <c r="M2786" s="9"/>
    </row>
    <row r="2787" spans="9:13" x14ac:dyDescent="0.3">
      <c r="I2787" s="7"/>
      <c r="J2787" s="9"/>
      <c r="K2787" s="9"/>
      <c r="L2787" s="9"/>
      <c r="M2787" s="9"/>
    </row>
    <row r="2788" spans="9:13" x14ac:dyDescent="0.3">
      <c r="I2788" s="7"/>
      <c r="J2788" s="9"/>
      <c r="K2788" s="9"/>
      <c r="L2788" s="9"/>
      <c r="M2788" s="9"/>
    </row>
    <row r="2789" spans="9:13" x14ac:dyDescent="0.3">
      <c r="I2789" s="7"/>
      <c r="J2789" s="9"/>
      <c r="K2789" s="9"/>
      <c r="L2789" s="9"/>
      <c r="M2789" s="9"/>
    </row>
    <row r="2790" spans="9:13" x14ac:dyDescent="0.3">
      <c r="I2790" s="7"/>
      <c r="J2790" s="9"/>
      <c r="K2790" s="9"/>
      <c r="L2790" s="9"/>
      <c r="M2790" s="9"/>
    </row>
    <row r="2791" spans="9:13" x14ac:dyDescent="0.3">
      <c r="I2791" s="7"/>
      <c r="J2791" s="9"/>
      <c r="K2791" s="9"/>
      <c r="L2791" s="9"/>
      <c r="M2791" s="9"/>
    </row>
    <row r="2792" spans="9:13" x14ac:dyDescent="0.3">
      <c r="I2792" s="7"/>
      <c r="J2792" s="9"/>
      <c r="K2792" s="9"/>
      <c r="L2792" s="9"/>
      <c r="M2792" s="9"/>
    </row>
    <row r="2793" spans="9:13" x14ac:dyDescent="0.3">
      <c r="I2793" s="7"/>
      <c r="J2793" s="9"/>
      <c r="K2793" s="9"/>
      <c r="L2793" s="9"/>
      <c r="M2793" s="9"/>
    </row>
    <row r="2794" spans="9:13" x14ac:dyDescent="0.3">
      <c r="I2794" s="7"/>
      <c r="J2794" s="9"/>
      <c r="K2794" s="9"/>
      <c r="L2794" s="9"/>
      <c r="M2794" s="9"/>
    </row>
    <row r="2795" spans="9:13" x14ac:dyDescent="0.3">
      <c r="I2795" s="7"/>
      <c r="J2795" s="9"/>
      <c r="K2795" s="9"/>
      <c r="L2795" s="9"/>
      <c r="M2795" s="9"/>
    </row>
    <row r="2796" spans="9:13" x14ac:dyDescent="0.3">
      <c r="I2796" s="7"/>
      <c r="J2796" s="9"/>
      <c r="K2796" s="9"/>
      <c r="L2796" s="9"/>
      <c r="M2796" s="9"/>
    </row>
    <row r="2797" spans="9:13" x14ac:dyDescent="0.3">
      <c r="I2797" s="7"/>
      <c r="J2797" s="9"/>
      <c r="K2797" s="9"/>
      <c r="L2797" s="9"/>
      <c r="M2797" s="9"/>
    </row>
    <row r="2798" spans="9:13" x14ac:dyDescent="0.3">
      <c r="I2798" s="7"/>
      <c r="J2798" s="9"/>
      <c r="K2798" s="9"/>
      <c r="L2798" s="9"/>
      <c r="M2798" s="9"/>
    </row>
    <row r="2799" spans="9:13" x14ac:dyDescent="0.3">
      <c r="I2799" s="7"/>
      <c r="J2799" s="9"/>
      <c r="K2799" s="9"/>
      <c r="L2799" s="9"/>
      <c r="M2799" s="9"/>
    </row>
    <row r="2800" spans="9:13" x14ac:dyDescent="0.3">
      <c r="I2800" s="7"/>
      <c r="J2800" s="9"/>
      <c r="K2800" s="9"/>
      <c r="L2800" s="9"/>
      <c r="M2800" s="9"/>
    </row>
    <row r="2801" spans="9:13" x14ac:dyDescent="0.3">
      <c r="I2801" s="7"/>
      <c r="J2801" s="9"/>
      <c r="K2801" s="9"/>
      <c r="L2801" s="9"/>
      <c r="M2801" s="9"/>
    </row>
    <row r="2802" spans="9:13" x14ac:dyDescent="0.3">
      <c r="I2802" s="7"/>
      <c r="J2802" s="9"/>
      <c r="K2802" s="9"/>
      <c r="L2802" s="9"/>
      <c r="M2802" s="9"/>
    </row>
    <row r="2803" spans="9:13" x14ac:dyDescent="0.3">
      <c r="I2803" s="7"/>
      <c r="J2803" s="9"/>
      <c r="K2803" s="9"/>
      <c r="L2803" s="9"/>
      <c r="M2803" s="9"/>
    </row>
    <row r="2804" spans="9:13" x14ac:dyDescent="0.3">
      <c r="I2804" s="7"/>
      <c r="J2804" s="9"/>
      <c r="K2804" s="9"/>
      <c r="L2804" s="9"/>
      <c r="M2804" s="9"/>
    </row>
    <row r="2805" spans="9:13" x14ac:dyDescent="0.3">
      <c r="I2805" s="7"/>
      <c r="J2805" s="9"/>
      <c r="K2805" s="9"/>
      <c r="L2805" s="9"/>
      <c r="M2805" s="9"/>
    </row>
    <row r="2806" spans="9:13" x14ac:dyDescent="0.3">
      <c r="I2806" s="7"/>
      <c r="J2806" s="9"/>
      <c r="K2806" s="9"/>
      <c r="L2806" s="9"/>
      <c r="M2806" s="9"/>
    </row>
    <row r="2807" spans="9:13" x14ac:dyDescent="0.3">
      <c r="I2807" s="7"/>
      <c r="J2807" s="9"/>
      <c r="K2807" s="9"/>
      <c r="L2807" s="9"/>
      <c r="M2807" s="9"/>
    </row>
    <row r="2808" spans="9:13" x14ac:dyDescent="0.3">
      <c r="I2808" s="7"/>
      <c r="J2808" s="9"/>
      <c r="K2808" s="9"/>
      <c r="L2808" s="9"/>
      <c r="M2808" s="9"/>
    </row>
    <row r="2809" spans="9:13" x14ac:dyDescent="0.3">
      <c r="I2809" s="7"/>
      <c r="J2809" s="9"/>
      <c r="K2809" s="9"/>
      <c r="L2809" s="9"/>
      <c r="M2809" s="9"/>
    </row>
    <row r="2810" spans="9:13" x14ac:dyDescent="0.3">
      <c r="I2810" s="7"/>
      <c r="J2810" s="9"/>
      <c r="K2810" s="9"/>
      <c r="L2810" s="9"/>
      <c r="M2810" s="9"/>
    </row>
    <row r="2811" spans="9:13" x14ac:dyDescent="0.3">
      <c r="I2811" s="7"/>
      <c r="J2811" s="9"/>
      <c r="K2811" s="9"/>
      <c r="L2811" s="9"/>
      <c r="M2811" s="9"/>
    </row>
    <row r="2812" spans="9:13" x14ac:dyDescent="0.3">
      <c r="I2812" s="7"/>
      <c r="J2812" s="9"/>
      <c r="K2812" s="9"/>
      <c r="L2812" s="9"/>
      <c r="M2812" s="9"/>
    </row>
    <row r="2813" spans="9:13" x14ac:dyDescent="0.3">
      <c r="I2813" s="7"/>
      <c r="J2813" s="9"/>
      <c r="K2813" s="9"/>
      <c r="L2813" s="9"/>
      <c r="M2813" s="9"/>
    </row>
    <row r="2814" spans="9:13" x14ac:dyDescent="0.3">
      <c r="I2814" s="7"/>
      <c r="J2814" s="9"/>
      <c r="K2814" s="9"/>
      <c r="L2814" s="9"/>
      <c r="M2814" s="9"/>
    </row>
    <row r="2815" spans="9:13" x14ac:dyDescent="0.3">
      <c r="I2815" s="7"/>
      <c r="J2815" s="9"/>
      <c r="K2815" s="9"/>
      <c r="L2815" s="9"/>
      <c r="M2815" s="9"/>
    </row>
    <row r="2816" spans="9:13" x14ac:dyDescent="0.3">
      <c r="I2816" s="7"/>
      <c r="J2816" s="9"/>
      <c r="K2816" s="9"/>
      <c r="L2816" s="9"/>
      <c r="M2816" s="9"/>
    </row>
    <row r="2817" spans="9:13" x14ac:dyDescent="0.3">
      <c r="I2817" s="7"/>
      <c r="J2817" s="9"/>
      <c r="K2817" s="9"/>
      <c r="L2817" s="9"/>
      <c r="M2817" s="9"/>
    </row>
    <row r="2818" spans="9:13" x14ac:dyDescent="0.3">
      <c r="I2818" s="7"/>
      <c r="J2818" s="9"/>
      <c r="K2818" s="9"/>
      <c r="L2818" s="9"/>
      <c r="M2818" s="9"/>
    </row>
    <row r="2819" spans="9:13" x14ac:dyDescent="0.3">
      <c r="I2819" s="7"/>
      <c r="J2819" s="9"/>
      <c r="K2819" s="9"/>
      <c r="L2819" s="9"/>
      <c r="M2819" s="9"/>
    </row>
    <row r="2820" spans="9:13" x14ac:dyDescent="0.3">
      <c r="I2820" s="7"/>
      <c r="J2820" s="9"/>
      <c r="K2820" s="9"/>
      <c r="L2820" s="9"/>
      <c r="M2820" s="9"/>
    </row>
    <row r="2821" spans="9:13" x14ac:dyDescent="0.3">
      <c r="I2821" s="7"/>
      <c r="J2821" s="9"/>
      <c r="K2821" s="9"/>
      <c r="L2821" s="9"/>
      <c r="M2821" s="9"/>
    </row>
    <row r="2822" spans="9:13" x14ac:dyDescent="0.3">
      <c r="I2822" s="7"/>
      <c r="J2822" s="9"/>
      <c r="K2822" s="9"/>
      <c r="L2822" s="9"/>
      <c r="M2822" s="9"/>
    </row>
    <row r="2823" spans="9:13" x14ac:dyDescent="0.3">
      <c r="I2823" s="7"/>
      <c r="J2823" s="9"/>
      <c r="K2823" s="9"/>
      <c r="L2823" s="9"/>
      <c r="M2823" s="9"/>
    </row>
    <row r="2824" spans="9:13" x14ac:dyDescent="0.3">
      <c r="I2824" s="7"/>
      <c r="J2824" s="9"/>
      <c r="K2824" s="9"/>
      <c r="L2824" s="9"/>
      <c r="M2824" s="9"/>
    </row>
    <row r="2825" spans="9:13" x14ac:dyDescent="0.3">
      <c r="I2825" s="7"/>
      <c r="J2825" s="9"/>
      <c r="K2825" s="9"/>
      <c r="L2825" s="9"/>
      <c r="M2825" s="9"/>
    </row>
    <row r="2826" spans="9:13" x14ac:dyDescent="0.3">
      <c r="I2826" s="7"/>
      <c r="J2826" s="9"/>
      <c r="K2826" s="9"/>
      <c r="L2826" s="9"/>
      <c r="M2826" s="9"/>
    </row>
    <row r="2827" spans="9:13" x14ac:dyDescent="0.3">
      <c r="I2827" s="7"/>
      <c r="J2827" s="9"/>
      <c r="K2827" s="9"/>
      <c r="L2827" s="9"/>
      <c r="M2827" s="9"/>
    </row>
    <row r="2828" spans="9:13" x14ac:dyDescent="0.3">
      <c r="I2828" s="7"/>
      <c r="J2828" s="9"/>
      <c r="K2828" s="9"/>
      <c r="L2828" s="9"/>
      <c r="M2828" s="9"/>
    </row>
    <row r="2829" spans="9:13" x14ac:dyDescent="0.3">
      <c r="I2829" s="7"/>
      <c r="J2829" s="9"/>
      <c r="K2829" s="9"/>
      <c r="L2829" s="9"/>
      <c r="M2829" s="9"/>
    </row>
    <row r="2830" spans="9:13" x14ac:dyDescent="0.3">
      <c r="I2830" s="7"/>
      <c r="J2830" s="9"/>
      <c r="K2830" s="9"/>
      <c r="L2830" s="9"/>
      <c r="M2830" s="9"/>
    </row>
    <row r="2831" spans="9:13" x14ac:dyDescent="0.3">
      <c r="I2831" s="7"/>
      <c r="J2831" s="9"/>
      <c r="K2831" s="9"/>
      <c r="L2831" s="9"/>
      <c r="M2831" s="9"/>
    </row>
    <row r="2832" spans="9:13" x14ac:dyDescent="0.3">
      <c r="I2832" s="7"/>
      <c r="J2832" s="9"/>
      <c r="K2832" s="9"/>
      <c r="L2832" s="9"/>
      <c r="M2832" s="9"/>
    </row>
    <row r="2833" spans="9:13" x14ac:dyDescent="0.3">
      <c r="I2833" s="7"/>
      <c r="J2833" s="9"/>
      <c r="K2833" s="9"/>
      <c r="L2833" s="9"/>
      <c r="M2833" s="9"/>
    </row>
    <row r="2834" spans="9:13" x14ac:dyDescent="0.3">
      <c r="I2834" s="7"/>
      <c r="J2834" s="9"/>
      <c r="K2834" s="9"/>
      <c r="L2834" s="9"/>
      <c r="M2834" s="9"/>
    </row>
    <row r="2835" spans="9:13" x14ac:dyDescent="0.3">
      <c r="I2835" s="7"/>
      <c r="J2835" s="9"/>
      <c r="K2835" s="9"/>
      <c r="L2835" s="9"/>
      <c r="M2835" s="9"/>
    </row>
    <row r="2836" spans="9:13" x14ac:dyDescent="0.3">
      <c r="I2836" s="7"/>
      <c r="J2836" s="9"/>
      <c r="K2836" s="9"/>
      <c r="L2836" s="9"/>
      <c r="M2836" s="9"/>
    </row>
    <row r="2837" spans="9:13" x14ac:dyDescent="0.3">
      <c r="I2837" s="7"/>
      <c r="J2837" s="9"/>
      <c r="K2837" s="9"/>
      <c r="L2837" s="9"/>
      <c r="M2837" s="9"/>
    </row>
    <row r="2838" spans="9:13" x14ac:dyDescent="0.3">
      <c r="I2838" s="7"/>
      <c r="J2838" s="9"/>
      <c r="K2838" s="9"/>
      <c r="L2838" s="9"/>
      <c r="M2838" s="9"/>
    </row>
    <row r="2839" spans="9:13" x14ac:dyDescent="0.3">
      <c r="I2839" s="7"/>
      <c r="J2839" s="9"/>
      <c r="K2839" s="9"/>
      <c r="L2839" s="9"/>
      <c r="M2839" s="9"/>
    </row>
    <row r="2840" spans="9:13" x14ac:dyDescent="0.3">
      <c r="I2840" s="7"/>
      <c r="J2840" s="9"/>
      <c r="K2840" s="9"/>
      <c r="L2840" s="9"/>
      <c r="M2840" s="9"/>
    </row>
    <row r="2841" spans="9:13" x14ac:dyDescent="0.3">
      <c r="I2841" s="7"/>
      <c r="J2841" s="9"/>
      <c r="K2841" s="9"/>
      <c r="L2841" s="9"/>
      <c r="M2841" s="9"/>
    </row>
    <row r="2842" spans="9:13" x14ac:dyDescent="0.3">
      <c r="I2842" s="7"/>
      <c r="J2842" s="9"/>
      <c r="K2842" s="9"/>
      <c r="L2842" s="9"/>
      <c r="M2842" s="9"/>
    </row>
    <row r="2843" spans="9:13" x14ac:dyDescent="0.3">
      <c r="I2843" s="7"/>
      <c r="J2843" s="9"/>
      <c r="K2843" s="9"/>
      <c r="L2843" s="9"/>
      <c r="M2843" s="9"/>
    </row>
    <row r="2844" spans="9:13" x14ac:dyDescent="0.3">
      <c r="I2844" s="7"/>
      <c r="J2844" s="9"/>
      <c r="K2844" s="9"/>
      <c r="L2844" s="9"/>
      <c r="M2844" s="9"/>
    </row>
    <row r="2845" spans="9:13" x14ac:dyDescent="0.3">
      <c r="I2845" s="7"/>
      <c r="J2845" s="9"/>
      <c r="K2845" s="9"/>
      <c r="L2845" s="9"/>
      <c r="M2845" s="9"/>
    </row>
    <row r="2846" spans="9:13" x14ac:dyDescent="0.3">
      <c r="I2846" s="7"/>
      <c r="J2846" s="9"/>
      <c r="K2846" s="9"/>
      <c r="L2846" s="9"/>
      <c r="M2846" s="9"/>
    </row>
    <row r="2847" spans="9:13" x14ac:dyDescent="0.3">
      <c r="I2847" s="7"/>
      <c r="J2847" s="9"/>
      <c r="K2847" s="9"/>
      <c r="L2847" s="9"/>
      <c r="M2847" s="9"/>
    </row>
    <row r="2848" spans="9:13" x14ac:dyDescent="0.3">
      <c r="I2848" s="7"/>
      <c r="J2848" s="9"/>
      <c r="K2848" s="9"/>
      <c r="L2848" s="9"/>
      <c r="M2848" s="9"/>
    </row>
    <row r="2849" spans="9:13" x14ac:dyDescent="0.3">
      <c r="I2849" s="7"/>
      <c r="J2849" s="9"/>
      <c r="K2849" s="9"/>
      <c r="L2849" s="9"/>
      <c r="M2849" s="9"/>
    </row>
    <row r="2850" spans="9:13" x14ac:dyDescent="0.3">
      <c r="I2850" s="7"/>
      <c r="J2850" s="9"/>
      <c r="K2850" s="9"/>
      <c r="L2850" s="9"/>
      <c r="M2850" s="9"/>
    </row>
    <row r="2851" spans="9:13" x14ac:dyDescent="0.3">
      <c r="I2851" s="7"/>
      <c r="J2851" s="9"/>
      <c r="K2851" s="9"/>
      <c r="L2851" s="9"/>
      <c r="M2851" s="9"/>
    </row>
    <row r="2852" spans="9:13" x14ac:dyDescent="0.3">
      <c r="I2852" s="7"/>
      <c r="J2852" s="9"/>
      <c r="K2852" s="9"/>
      <c r="L2852" s="9"/>
      <c r="M2852" s="9"/>
    </row>
    <row r="2853" spans="9:13" x14ac:dyDescent="0.3">
      <c r="I2853" s="7"/>
      <c r="J2853" s="9"/>
      <c r="K2853" s="9"/>
      <c r="L2853" s="9"/>
      <c r="M2853" s="9"/>
    </row>
    <row r="2854" spans="9:13" x14ac:dyDescent="0.3">
      <c r="I2854" s="7"/>
      <c r="J2854" s="9"/>
      <c r="K2854" s="9"/>
      <c r="L2854" s="9"/>
      <c r="M2854" s="9"/>
    </row>
    <row r="2855" spans="9:13" x14ac:dyDescent="0.3">
      <c r="I2855" s="7"/>
      <c r="J2855" s="9"/>
      <c r="K2855" s="9"/>
      <c r="L2855" s="9"/>
      <c r="M2855" s="9"/>
    </row>
    <row r="2856" spans="9:13" x14ac:dyDescent="0.3">
      <c r="I2856" s="7"/>
      <c r="J2856" s="9"/>
      <c r="K2856" s="9"/>
      <c r="L2856" s="9"/>
      <c r="M2856" s="9"/>
    </row>
    <row r="2857" spans="9:13" x14ac:dyDescent="0.3">
      <c r="I2857" s="7"/>
      <c r="J2857" s="9"/>
      <c r="K2857" s="9"/>
      <c r="L2857" s="9"/>
      <c r="M2857" s="9"/>
    </row>
    <row r="2858" spans="9:13" x14ac:dyDescent="0.3">
      <c r="I2858" s="7"/>
      <c r="J2858" s="9"/>
      <c r="K2858" s="9"/>
      <c r="L2858" s="9"/>
      <c r="M2858" s="9"/>
    </row>
    <row r="2859" spans="9:13" x14ac:dyDescent="0.3">
      <c r="I2859" s="7"/>
      <c r="J2859" s="9"/>
      <c r="K2859" s="9"/>
      <c r="L2859" s="9"/>
      <c r="M2859" s="9"/>
    </row>
    <row r="2860" spans="9:13" x14ac:dyDescent="0.3">
      <c r="I2860" s="7"/>
      <c r="J2860" s="9"/>
      <c r="K2860" s="9"/>
      <c r="L2860" s="9"/>
      <c r="M2860" s="9"/>
    </row>
    <row r="2861" spans="9:13" x14ac:dyDescent="0.3">
      <c r="I2861" s="7"/>
      <c r="J2861" s="9"/>
      <c r="K2861" s="9"/>
      <c r="L2861" s="9"/>
      <c r="M2861" s="9"/>
    </row>
    <row r="2862" spans="9:13" x14ac:dyDescent="0.3">
      <c r="I2862" s="7"/>
      <c r="J2862" s="9"/>
      <c r="K2862" s="9"/>
      <c r="L2862" s="9"/>
      <c r="M2862" s="9"/>
    </row>
    <row r="2863" spans="9:13" x14ac:dyDescent="0.3">
      <c r="I2863" s="7"/>
      <c r="J2863" s="9"/>
      <c r="K2863" s="9"/>
      <c r="L2863" s="9"/>
      <c r="M2863" s="9"/>
    </row>
    <row r="2864" spans="9:13" x14ac:dyDescent="0.3">
      <c r="I2864" s="7"/>
      <c r="J2864" s="9"/>
      <c r="K2864" s="9"/>
      <c r="L2864" s="9"/>
      <c r="M2864" s="9"/>
    </row>
    <row r="2865" spans="9:13" x14ac:dyDescent="0.3">
      <c r="I2865" s="7"/>
      <c r="J2865" s="9"/>
      <c r="K2865" s="9"/>
      <c r="L2865" s="9"/>
      <c r="M2865" s="9"/>
    </row>
    <row r="2866" spans="9:13" x14ac:dyDescent="0.3">
      <c r="I2866" s="7"/>
      <c r="J2866" s="9"/>
      <c r="K2866" s="9"/>
      <c r="L2866" s="9"/>
      <c r="M2866" s="9"/>
    </row>
    <row r="2867" spans="9:13" x14ac:dyDescent="0.3">
      <c r="I2867" s="7"/>
      <c r="J2867" s="9"/>
      <c r="K2867" s="9"/>
      <c r="L2867" s="9"/>
      <c r="M2867" s="9"/>
    </row>
    <row r="2868" spans="9:13" x14ac:dyDescent="0.3">
      <c r="I2868" s="7"/>
      <c r="J2868" s="9"/>
      <c r="K2868" s="9"/>
      <c r="L2868" s="9"/>
      <c r="M2868" s="9"/>
    </row>
    <row r="2869" spans="9:13" x14ac:dyDescent="0.3">
      <c r="I2869" s="7"/>
      <c r="J2869" s="9"/>
      <c r="K2869" s="9"/>
      <c r="L2869" s="9"/>
      <c r="M2869" s="9"/>
    </row>
    <row r="2870" spans="9:13" x14ac:dyDescent="0.3">
      <c r="I2870" s="7"/>
      <c r="J2870" s="9"/>
      <c r="K2870" s="9"/>
      <c r="L2870" s="9"/>
      <c r="M2870" s="9"/>
    </row>
    <row r="2871" spans="9:13" x14ac:dyDescent="0.3">
      <c r="I2871" s="7"/>
      <c r="J2871" s="9"/>
      <c r="K2871" s="9"/>
      <c r="L2871" s="9"/>
      <c r="M2871" s="9"/>
    </row>
    <row r="2872" spans="9:13" x14ac:dyDescent="0.3">
      <c r="I2872" s="7"/>
      <c r="J2872" s="9"/>
      <c r="K2872" s="9"/>
      <c r="L2872" s="9"/>
      <c r="M2872" s="9"/>
    </row>
    <row r="2873" spans="9:13" x14ac:dyDescent="0.3">
      <c r="I2873" s="7"/>
      <c r="J2873" s="9"/>
      <c r="K2873" s="9"/>
      <c r="L2873" s="9"/>
      <c r="M2873" s="9"/>
    </row>
    <row r="2874" spans="9:13" x14ac:dyDescent="0.3">
      <c r="I2874" s="7"/>
      <c r="J2874" s="9"/>
      <c r="K2874" s="9"/>
      <c r="L2874" s="9"/>
      <c r="M2874" s="9"/>
    </row>
    <row r="2875" spans="9:13" x14ac:dyDescent="0.3">
      <c r="I2875" s="7"/>
      <c r="J2875" s="9"/>
      <c r="K2875" s="9"/>
      <c r="L2875" s="9"/>
      <c r="M2875" s="9"/>
    </row>
    <row r="2876" spans="9:13" x14ac:dyDescent="0.3">
      <c r="I2876" s="7"/>
      <c r="J2876" s="9"/>
      <c r="K2876" s="9"/>
      <c r="L2876" s="9"/>
      <c r="M2876" s="9"/>
    </row>
    <row r="2877" spans="9:13" x14ac:dyDescent="0.3">
      <c r="I2877" s="7"/>
      <c r="J2877" s="9"/>
      <c r="K2877" s="9"/>
      <c r="L2877" s="9"/>
      <c r="M2877" s="9"/>
    </row>
    <row r="2878" spans="9:13" x14ac:dyDescent="0.3">
      <c r="I2878" s="7"/>
      <c r="J2878" s="9"/>
      <c r="K2878" s="9"/>
      <c r="L2878" s="9"/>
      <c r="M2878" s="9"/>
    </row>
    <row r="2879" spans="9:13" x14ac:dyDescent="0.3">
      <c r="I2879" s="7"/>
      <c r="J2879" s="9"/>
      <c r="K2879" s="9"/>
      <c r="L2879" s="9"/>
      <c r="M2879" s="9"/>
    </row>
    <row r="2880" spans="9:13" x14ac:dyDescent="0.3">
      <c r="I2880" s="7"/>
      <c r="J2880" s="9"/>
      <c r="K2880" s="9"/>
      <c r="L2880" s="9"/>
      <c r="M2880" s="9"/>
    </row>
    <row r="2881" spans="9:13" x14ac:dyDescent="0.3">
      <c r="I2881" s="7"/>
      <c r="J2881" s="9"/>
      <c r="K2881" s="9"/>
      <c r="L2881" s="9"/>
      <c r="M2881" s="9"/>
    </row>
    <row r="2882" spans="9:13" x14ac:dyDescent="0.3">
      <c r="I2882" s="7"/>
      <c r="J2882" s="9"/>
      <c r="K2882" s="9"/>
      <c r="L2882" s="9"/>
      <c r="M2882" s="9"/>
    </row>
    <row r="2883" spans="9:13" x14ac:dyDescent="0.3">
      <c r="I2883" s="7"/>
      <c r="J2883" s="9"/>
      <c r="K2883" s="9"/>
      <c r="L2883" s="9"/>
      <c r="M2883" s="9"/>
    </row>
    <row r="2884" spans="9:13" x14ac:dyDescent="0.3">
      <c r="I2884" s="7"/>
      <c r="J2884" s="9"/>
      <c r="K2884" s="9"/>
      <c r="L2884" s="9"/>
      <c r="M2884" s="9"/>
    </row>
    <row r="2885" spans="9:13" x14ac:dyDescent="0.3">
      <c r="I2885" s="7"/>
      <c r="J2885" s="9"/>
      <c r="K2885" s="9"/>
      <c r="L2885" s="9"/>
      <c r="M2885" s="9"/>
    </row>
    <row r="2886" spans="9:13" x14ac:dyDescent="0.3">
      <c r="I2886" s="7"/>
      <c r="J2886" s="9"/>
      <c r="K2886" s="9"/>
      <c r="L2886" s="9"/>
      <c r="M2886" s="9"/>
    </row>
    <row r="2887" spans="9:13" x14ac:dyDescent="0.3">
      <c r="I2887" s="7"/>
      <c r="J2887" s="9"/>
      <c r="K2887" s="9"/>
      <c r="L2887" s="9"/>
      <c r="M2887" s="9"/>
    </row>
    <row r="2888" spans="9:13" x14ac:dyDescent="0.3">
      <c r="I2888" s="7"/>
      <c r="J2888" s="9"/>
      <c r="K2888" s="9"/>
      <c r="L2888" s="9"/>
      <c r="M2888" s="9"/>
    </row>
    <row r="2889" spans="9:13" x14ac:dyDescent="0.3">
      <c r="I2889" s="7"/>
      <c r="J2889" s="9"/>
      <c r="K2889" s="9"/>
      <c r="L2889" s="9"/>
      <c r="M2889" s="9"/>
    </row>
    <row r="2890" spans="9:13" x14ac:dyDescent="0.3">
      <c r="I2890" s="7"/>
      <c r="J2890" s="9"/>
      <c r="K2890" s="9"/>
      <c r="L2890" s="9"/>
      <c r="M2890" s="9"/>
    </row>
    <row r="2891" spans="9:13" x14ac:dyDescent="0.3">
      <c r="I2891" s="7"/>
      <c r="J2891" s="9"/>
      <c r="K2891" s="9"/>
      <c r="L2891" s="9"/>
      <c r="M2891" s="9"/>
    </row>
    <row r="2892" spans="9:13" x14ac:dyDescent="0.3">
      <c r="I2892" s="7"/>
      <c r="J2892" s="9"/>
      <c r="K2892" s="9"/>
      <c r="L2892" s="9"/>
      <c r="M2892" s="9"/>
    </row>
    <row r="2893" spans="9:13" x14ac:dyDescent="0.3">
      <c r="I2893" s="7"/>
      <c r="J2893" s="9"/>
      <c r="K2893" s="9"/>
      <c r="L2893" s="9"/>
      <c r="M2893" s="9"/>
    </row>
    <row r="2894" spans="9:13" x14ac:dyDescent="0.3">
      <c r="I2894" s="7"/>
      <c r="J2894" s="9"/>
      <c r="K2894" s="9"/>
      <c r="L2894" s="9"/>
      <c r="M2894" s="9"/>
    </row>
    <row r="2895" spans="9:13" x14ac:dyDescent="0.3">
      <c r="I2895" s="7"/>
      <c r="J2895" s="9"/>
      <c r="K2895" s="9"/>
      <c r="L2895" s="9"/>
      <c r="M2895" s="9"/>
    </row>
    <row r="2896" spans="9:13" x14ac:dyDescent="0.3">
      <c r="I2896" s="7"/>
      <c r="J2896" s="9"/>
      <c r="K2896" s="9"/>
      <c r="L2896" s="9"/>
      <c r="M2896" s="9"/>
    </row>
    <row r="2897" spans="9:13" x14ac:dyDescent="0.3">
      <c r="I2897" s="7"/>
      <c r="J2897" s="9"/>
      <c r="K2897" s="9"/>
      <c r="L2897" s="9"/>
      <c r="M2897" s="9"/>
    </row>
    <row r="2898" spans="9:13" x14ac:dyDescent="0.3">
      <c r="I2898" s="7"/>
      <c r="J2898" s="9"/>
      <c r="K2898" s="9"/>
      <c r="L2898" s="9"/>
      <c r="M2898" s="9"/>
    </row>
    <row r="2899" spans="9:13" x14ac:dyDescent="0.3">
      <c r="I2899" s="7"/>
      <c r="J2899" s="9"/>
      <c r="K2899" s="9"/>
      <c r="L2899" s="9"/>
      <c r="M2899" s="9"/>
    </row>
    <row r="2900" spans="9:13" x14ac:dyDescent="0.3">
      <c r="I2900" s="7"/>
      <c r="J2900" s="9"/>
      <c r="K2900" s="9"/>
      <c r="L2900" s="9"/>
      <c r="M2900" s="9"/>
    </row>
    <row r="2901" spans="9:13" x14ac:dyDescent="0.3">
      <c r="I2901" s="7"/>
      <c r="J2901" s="9"/>
      <c r="K2901" s="9"/>
      <c r="L2901" s="9"/>
      <c r="M2901" s="9"/>
    </row>
    <row r="2902" spans="9:13" x14ac:dyDescent="0.3">
      <c r="I2902" s="7"/>
      <c r="J2902" s="9"/>
      <c r="K2902" s="9"/>
      <c r="L2902" s="9"/>
      <c r="M2902" s="9"/>
    </row>
    <row r="2903" spans="9:13" x14ac:dyDescent="0.3">
      <c r="I2903" s="7"/>
      <c r="J2903" s="9"/>
      <c r="K2903" s="9"/>
      <c r="L2903" s="9"/>
      <c r="M2903" s="9"/>
    </row>
    <row r="2904" spans="9:13" x14ac:dyDescent="0.3">
      <c r="I2904" s="7"/>
      <c r="J2904" s="9"/>
      <c r="K2904" s="9"/>
      <c r="L2904" s="9"/>
      <c r="M2904" s="9"/>
    </row>
    <row r="2905" spans="9:13" x14ac:dyDescent="0.3">
      <c r="I2905" s="7"/>
      <c r="J2905" s="9"/>
      <c r="K2905" s="9"/>
      <c r="L2905" s="9"/>
      <c r="M2905" s="9"/>
    </row>
    <row r="2906" spans="9:13" x14ac:dyDescent="0.3">
      <c r="I2906" s="7"/>
      <c r="J2906" s="9"/>
      <c r="K2906" s="9"/>
      <c r="L2906" s="9"/>
      <c r="M2906" s="9"/>
    </row>
    <row r="2907" spans="9:13" x14ac:dyDescent="0.3">
      <c r="I2907" s="7"/>
      <c r="J2907" s="9"/>
      <c r="K2907" s="9"/>
      <c r="L2907" s="9"/>
      <c r="M2907" s="9"/>
    </row>
    <row r="2908" spans="9:13" x14ac:dyDescent="0.3">
      <c r="I2908" s="7"/>
      <c r="J2908" s="9"/>
      <c r="K2908" s="9"/>
      <c r="L2908" s="9"/>
      <c r="M2908" s="9"/>
    </row>
    <row r="2909" spans="9:13" x14ac:dyDescent="0.3">
      <c r="I2909" s="7"/>
      <c r="J2909" s="9"/>
      <c r="K2909" s="9"/>
      <c r="L2909" s="9"/>
      <c r="M2909" s="9"/>
    </row>
    <row r="2910" spans="9:13" x14ac:dyDescent="0.3">
      <c r="I2910" s="7"/>
      <c r="J2910" s="9"/>
      <c r="K2910" s="9"/>
      <c r="L2910" s="9"/>
      <c r="M2910" s="9"/>
    </row>
    <row r="2911" spans="9:13" x14ac:dyDescent="0.3">
      <c r="I2911" s="7"/>
      <c r="J2911" s="9"/>
      <c r="K2911" s="9"/>
      <c r="L2911" s="9"/>
      <c r="M2911" s="9"/>
    </row>
    <row r="2912" spans="9:13" x14ac:dyDescent="0.3">
      <c r="I2912" s="7"/>
      <c r="J2912" s="9"/>
      <c r="K2912" s="9"/>
      <c r="L2912" s="9"/>
      <c r="M2912" s="9"/>
    </row>
    <row r="2913" spans="9:13" x14ac:dyDescent="0.3">
      <c r="I2913" s="7"/>
      <c r="J2913" s="9"/>
      <c r="K2913" s="9"/>
      <c r="L2913" s="9"/>
      <c r="M2913" s="9"/>
    </row>
    <row r="2914" spans="9:13" x14ac:dyDescent="0.3">
      <c r="I2914" s="7"/>
      <c r="J2914" s="9"/>
      <c r="K2914" s="9"/>
      <c r="L2914" s="9"/>
      <c r="M2914" s="9"/>
    </row>
    <row r="2915" spans="9:13" x14ac:dyDescent="0.3">
      <c r="I2915" s="7"/>
      <c r="J2915" s="9"/>
      <c r="K2915" s="9"/>
      <c r="L2915" s="9"/>
      <c r="M2915" s="9"/>
    </row>
    <row r="2916" spans="9:13" x14ac:dyDescent="0.3">
      <c r="I2916" s="7"/>
      <c r="J2916" s="9"/>
      <c r="K2916" s="9"/>
      <c r="L2916" s="9"/>
      <c r="M2916" s="9"/>
    </row>
    <row r="2917" spans="9:13" x14ac:dyDescent="0.3">
      <c r="I2917" s="7"/>
      <c r="J2917" s="9"/>
      <c r="K2917" s="9"/>
      <c r="L2917" s="9"/>
      <c r="M2917" s="9"/>
    </row>
    <row r="2918" spans="9:13" x14ac:dyDescent="0.3">
      <c r="I2918" s="7"/>
      <c r="J2918" s="9"/>
      <c r="K2918" s="9"/>
      <c r="L2918" s="9"/>
      <c r="M2918" s="9"/>
    </row>
    <row r="2919" spans="9:13" x14ac:dyDescent="0.3">
      <c r="I2919" s="7"/>
      <c r="J2919" s="9"/>
      <c r="K2919" s="9"/>
      <c r="L2919" s="9"/>
      <c r="M2919" s="9"/>
    </row>
    <row r="2920" spans="9:13" x14ac:dyDescent="0.3">
      <c r="I2920" s="7"/>
      <c r="J2920" s="9"/>
      <c r="K2920" s="9"/>
      <c r="L2920" s="9"/>
      <c r="M2920" s="9"/>
    </row>
    <row r="2921" spans="9:13" x14ac:dyDescent="0.3">
      <c r="I2921" s="7"/>
      <c r="J2921" s="9"/>
      <c r="K2921" s="9"/>
      <c r="L2921" s="9"/>
      <c r="M2921" s="9"/>
    </row>
    <row r="2922" spans="9:13" x14ac:dyDescent="0.3">
      <c r="I2922" s="7"/>
      <c r="J2922" s="9"/>
      <c r="K2922" s="9"/>
      <c r="L2922" s="9"/>
      <c r="M2922" s="9"/>
    </row>
    <row r="2923" spans="9:13" x14ac:dyDescent="0.3">
      <c r="I2923" s="7"/>
      <c r="J2923" s="9"/>
      <c r="K2923" s="9"/>
      <c r="L2923" s="9"/>
      <c r="M2923" s="9"/>
    </row>
    <row r="2924" spans="9:13" x14ac:dyDescent="0.3">
      <c r="I2924" s="7"/>
      <c r="J2924" s="9"/>
      <c r="K2924" s="9"/>
      <c r="L2924" s="9"/>
      <c r="M2924" s="9"/>
    </row>
    <row r="2925" spans="9:13" x14ac:dyDescent="0.3">
      <c r="I2925" s="7"/>
      <c r="J2925" s="9"/>
      <c r="K2925" s="9"/>
      <c r="L2925" s="9"/>
      <c r="M2925" s="9"/>
    </row>
    <row r="2926" spans="9:13" x14ac:dyDescent="0.3">
      <c r="I2926" s="7"/>
      <c r="J2926" s="9"/>
      <c r="K2926" s="9"/>
      <c r="L2926" s="9"/>
      <c r="M2926" s="9"/>
    </row>
    <row r="2927" spans="9:13" x14ac:dyDescent="0.3">
      <c r="I2927" s="7"/>
      <c r="J2927" s="9"/>
      <c r="K2927" s="9"/>
      <c r="L2927" s="9"/>
      <c r="M2927" s="9"/>
    </row>
    <row r="2928" spans="9:13" x14ac:dyDescent="0.3">
      <c r="I2928" s="7"/>
      <c r="J2928" s="9"/>
      <c r="K2928" s="9"/>
      <c r="L2928" s="9"/>
      <c r="M2928" s="9"/>
    </row>
    <row r="2929" spans="9:13" x14ac:dyDescent="0.3">
      <c r="I2929" s="7"/>
      <c r="J2929" s="9"/>
      <c r="K2929" s="9"/>
      <c r="L2929" s="9"/>
      <c r="M2929" s="9"/>
    </row>
    <row r="2930" spans="9:13" x14ac:dyDescent="0.3">
      <c r="I2930" s="7"/>
      <c r="J2930" s="9"/>
      <c r="K2930" s="9"/>
      <c r="L2930" s="9"/>
      <c r="M2930" s="9"/>
    </row>
    <row r="2931" spans="9:13" x14ac:dyDescent="0.3">
      <c r="I2931" s="7"/>
      <c r="J2931" s="9"/>
      <c r="K2931" s="9"/>
      <c r="L2931" s="9"/>
      <c r="M2931" s="9"/>
    </row>
    <row r="2932" spans="9:13" x14ac:dyDescent="0.3">
      <c r="I2932" s="7"/>
      <c r="J2932" s="9"/>
      <c r="K2932" s="9"/>
      <c r="L2932" s="9"/>
      <c r="M2932" s="9"/>
    </row>
    <row r="2933" spans="9:13" x14ac:dyDescent="0.3">
      <c r="I2933" s="7"/>
      <c r="J2933" s="9"/>
      <c r="K2933" s="9"/>
      <c r="L2933" s="9"/>
      <c r="M2933" s="9"/>
    </row>
    <row r="2934" spans="9:13" x14ac:dyDescent="0.3">
      <c r="I2934" s="7"/>
      <c r="J2934" s="9"/>
      <c r="K2934" s="9"/>
      <c r="L2934" s="9"/>
      <c r="M2934" s="9"/>
    </row>
    <row r="2935" spans="9:13" x14ac:dyDescent="0.3">
      <c r="I2935" s="7"/>
      <c r="J2935" s="9"/>
      <c r="K2935" s="9"/>
      <c r="L2935" s="9"/>
      <c r="M2935" s="9"/>
    </row>
    <row r="2936" spans="9:13" x14ac:dyDescent="0.3">
      <c r="I2936" s="7"/>
      <c r="J2936" s="9"/>
      <c r="K2936" s="9"/>
      <c r="L2936" s="9"/>
      <c r="M2936" s="9"/>
    </row>
    <row r="2937" spans="9:13" x14ac:dyDescent="0.3">
      <c r="I2937" s="7"/>
      <c r="J2937" s="9"/>
      <c r="K2937" s="9"/>
      <c r="L2937" s="9"/>
      <c r="M2937" s="9"/>
    </row>
    <row r="2938" spans="9:13" x14ac:dyDescent="0.3">
      <c r="I2938" s="7"/>
      <c r="J2938" s="9"/>
      <c r="K2938" s="9"/>
      <c r="L2938" s="9"/>
      <c r="M2938" s="9"/>
    </row>
    <row r="2939" spans="9:13" x14ac:dyDescent="0.3">
      <c r="I2939" s="7"/>
      <c r="J2939" s="9"/>
      <c r="K2939" s="9"/>
      <c r="L2939" s="9"/>
      <c r="M2939" s="9"/>
    </row>
    <row r="2940" spans="9:13" x14ac:dyDescent="0.3">
      <c r="I2940" s="7"/>
      <c r="J2940" s="9"/>
      <c r="K2940" s="9"/>
      <c r="L2940" s="9"/>
      <c r="M2940" s="9"/>
    </row>
    <row r="2941" spans="9:13" x14ac:dyDescent="0.3">
      <c r="I2941" s="7"/>
      <c r="J2941" s="9"/>
      <c r="K2941" s="9"/>
      <c r="L2941" s="9"/>
      <c r="M2941" s="9"/>
    </row>
    <row r="2942" spans="9:13" x14ac:dyDescent="0.3">
      <c r="I2942" s="7"/>
      <c r="J2942" s="9"/>
      <c r="K2942" s="9"/>
      <c r="L2942" s="9"/>
      <c r="M2942" s="9"/>
    </row>
    <row r="2943" spans="9:13" x14ac:dyDescent="0.3">
      <c r="I2943" s="7"/>
      <c r="J2943" s="9"/>
      <c r="K2943" s="9"/>
      <c r="L2943" s="9"/>
      <c r="M2943" s="9"/>
    </row>
    <row r="2944" spans="9:13" x14ac:dyDescent="0.3">
      <c r="I2944" s="7"/>
      <c r="J2944" s="9"/>
      <c r="K2944" s="9"/>
      <c r="L2944" s="9"/>
      <c r="M2944" s="9"/>
    </row>
    <row r="2945" spans="9:13" x14ac:dyDescent="0.3">
      <c r="I2945" s="7"/>
      <c r="J2945" s="9"/>
      <c r="K2945" s="9"/>
      <c r="L2945" s="9"/>
      <c r="M2945" s="9"/>
    </row>
    <row r="2946" spans="9:13" x14ac:dyDescent="0.3">
      <c r="I2946" s="7"/>
      <c r="J2946" s="9"/>
      <c r="K2946" s="9"/>
      <c r="L2946" s="9"/>
      <c r="M2946" s="9"/>
    </row>
    <row r="2947" spans="9:13" x14ac:dyDescent="0.3">
      <c r="I2947" s="7"/>
      <c r="J2947" s="9"/>
      <c r="K2947" s="9"/>
      <c r="L2947" s="9"/>
      <c r="M2947" s="9"/>
    </row>
    <row r="2948" spans="9:13" x14ac:dyDescent="0.3">
      <c r="I2948" s="7"/>
      <c r="J2948" s="9"/>
      <c r="K2948" s="9"/>
      <c r="L2948" s="9"/>
      <c r="M2948" s="9"/>
    </row>
    <row r="2949" spans="9:13" x14ac:dyDescent="0.3">
      <c r="I2949" s="7"/>
      <c r="J2949" s="9"/>
      <c r="K2949" s="9"/>
      <c r="L2949" s="9"/>
      <c r="M2949" s="9"/>
    </row>
    <row r="2950" spans="9:13" x14ac:dyDescent="0.3">
      <c r="I2950" s="7"/>
      <c r="J2950" s="9"/>
      <c r="K2950" s="9"/>
      <c r="L2950" s="9"/>
      <c r="M2950" s="9"/>
    </row>
    <row r="2951" spans="9:13" x14ac:dyDescent="0.3">
      <c r="I2951" s="7"/>
      <c r="J2951" s="9"/>
      <c r="K2951" s="9"/>
      <c r="L2951" s="9"/>
      <c r="M2951" s="9"/>
    </row>
    <row r="2952" spans="9:13" x14ac:dyDescent="0.3">
      <c r="I2952" s="7"/>
      <c r="J2952" s="9"/>
      <c r="K2952" s="9"/>
      <c r="L2952" s="9"/>
      <c r="M2952" s="9"/>
    </row>
    <row r="2953" spans="9:13" x14ac:dyDescent="0.3">
      <c r="I2953" s="7"/>
      <c r="J2953" s="9"/>
      <c r="K2953" s="9"/>
      <c r="L2953" s="9"/>
      <c r="M2953" s="9"/>
    </row>
    <row r="2954" spans="9:13" x14ac:dyDescent="0.3">
      <c r="I2954" s="7"/>
      <c r="J2954" s="9"/>
      <c r="K2954" s="9"/>
      <c r="L2954" s="9"/>
      <c r="M2954" s="9"/>
    </row>
    <row r="2955" spans="9:13" x14ac:dyDescent="0.3">
      <c r="I2955" s="7"/>
      <c r="J2955" s="9"/>
      <c r="K2955" s="9"/>
      <c r="L2955" s="9"/>
      <c r="M2955" s="9"/>
    </row>
    <row r="2956" spans="9:13" x14ac:dyDescent="0.3">
      <c r="I2956" s="7"/>
      <c r="J2956" s="9"/>
      <c r="K2956" s="9"/>
      <c r="L2956" s="9"/>
      <c r="M2956" s="9"/>
    </row>
    <row r="2957" spans="9:13" x14ac:dyDescent="0.3">
      <c r="I2957" s="7"/>
      <c r="J2957" s="9"/>
      <c r="K2957" s="9"/>
      <c r="L2957" s="9"/>
      <c r="M2957" s="9"/>
    </row>
    <row r="2958" spans="9:13" x14ac:dyDescent="0.3">
      <c r="I2958" s="7"/>
      <c r="J2958" s="9"/>
      <c r="K2958" s="9"/>
      <c r="L2958" s="9"/>
      <c r="M2958" s="9"/>
    </row>
    <row r="2959" spans="9:13" x14ac:dyDescent="0.3">
      <c r="I2959" s="7"/>
      <c r="J2959" s="9"/>
      <c r="K2959" s="9"/>
      <c r="L2959" s="9"/>
      <c r="M2959" s="9"/>
    </row>
    <row r="2960" spans="9:13" x14ac:dyDescent="0.3">
      <c r="I2960" s="7"/>
      <c r="J2960" s="9"/>
      <c r="K2960" s="9"/>
      <c r="L2960" s="9"/>
      <c r="M2960" s="9"/>
    </row>
    <row r="2961" spans="9:13" x14ac:dyDescent="0.3">
      <c r="I2961" s="7"/>
      <c r="J2961" s="9"/>
      <c r="K2961" s="9"/>
      <c r="L2961" s="9"/>
      <c r="M2961" s="9"/>
    </row>
    <row r="2962" spans="9:13" x14ac:dyDescent="0.3">
      <c r="I2962" s="7"/>
      <c r="J2962" s="9"/>
      <c r="K2962" s="9"/>
      <c r="L2962" s="9"/>
      <c r="M2962" s="9"/>
    </row>
    <row r="2963" spans="9:13" x14ac:dyDescent="0.3">
      <c r="I2963" s="7"/>
      <c r="J2963" s="9"/>
      <c r="K2963" s="9"/>
      <c r="L2963" s="9"/>
      <c r="M2963" s="9"/>
    </row>
    <row r="2964" spans="9:13" x14ac:dyDescent="0.3">
      <c r="I2964" s="7"/>
      <c r="J2964" s="9"/>
      <c r="K2964" s="9"/>
      <c r="L2964" s="9"/>
      <c r="M2964" s="9"/>
    </row>
    <row r="2965" spans="9:13" x14ac:dyDescent="0.3">
      <c r="I2965" s="7"/>
      <c r="J2965" s="9"/>
      <c r="K2965" s="9"/>
      <c r="L2965" s="9"/>
      <c r="M2965" s="9"/>
    </row>
    <row r="2966" spans="9:13" x14ac:dyDescent="0.3">
      <c r="I2966" s="7"/>
      <c r="J2966" s="9"/>
      <c r="K2966" s="9"/>
      <c r="L2966" s="9"/>
      <c r="M2966" s="9"/>
    </row>
    <row r="2967" spans="9:13" x14ac:dyDescent="0.3">
      <c r="I2967" s="7"/>
      <c r="J2967" s="9"/>
      <c r="K2967" s="9"/>
      <c r="L2967" s="9"/>
      <c r="M2967" s="9"/>
    </row>
    <row r="2968" spans="9:13" x14ac:dyDescent="0.3">
      <c r="I2968" s="7"/>
      <c r="J2968" s="9"/>
      <c r="K2968" s="9"/>
      <c r="L2968" s="9"/>
      <c r="M2968" s="9"/>
    </row>
    <row r="2969" spans="9:13" x14ac:dyDescent="0.3">
      <c r="I2969" s="7"/>
      <c r="J2969" s="9"/>
      <c r="K2969" s="9"/>
      <c r="L2969" s="9"/>
      <c r="M2969" s="9"/>
    </row>
    <row r="2970" spans="9:13" x14ac:dyDescent="0.3">
      <c r="I2970" s="7"/>
      <c r="J2970" s="9"/>
      <c r="K2970" s="9"/>
      <c r="L2970" s="9"/>
      <c r="M2970" s="9"/>
    </row>
    <row r="2971" spans="9:13" x14ac:dyDescent="0.3">
      <c r="I2971" s="7"/>
      <c r="J2971" s="9"/>
      <c r="K2971" s="9"/>
      <c r="L2971" s="9"/>
      <c r="M2971" s="9"/>
    </row>
    <row r="2972" spans="9:13" x14ac:dyDescent="0.3">
      <c r="I2972" s="7"/>
      <c r="J2972" s="9"/>
      <c r="K2972" s="9"/>
      <c r="L2972" s="9"/>
      <c r="M2972" s="9"/>
    </row>
    <row r="2973" spans="9:13" x14ac:dyDescent="0.3">
      <c r="I2973" s="7"/>
      <c r="J2973" s="9"/>
      <c r="K2973" s="9"/>
      <c r="L2973" s="9"/>
      <c r="M2973" s="9"/>
    </row>
    <row r="2974" spans="9:13" x14ac:dyDescent="0.3">
      <c r="I2974" s="7"/>
      <c r="J2974" s="9"/>
      <c r="K2974" s="9"/>
      <c r="L2974" s="9"/>
      <c r="M2974" s="9"/>
    </row>
    <row r="2975" spans="9:13" x14ac:dyDescent="0.3">
      <c r="I2975" s="7"/>
      <c r="J2975" s="9"/>
      <c r="K2975" s="9"/>
      <c r="L2975" s="9"/>
      <c r="M2975" s="9"/>
    </row>
    <row r="2976" spans="9:13" x14ac:dyDescent="0.3">
      <c r="I2976" s="7"/>
      <c r="J2976" s="9"/>
      <c r="K2976" s="9"/>
      <c r="L2976" s="9"/>
      <c r="M2976" s="9"/>
    </row>
    <row r="2977" spans="9:13" x14ac:dyDescent="0.3">
      <c r="I2977" s="7"/>
      <c r="J2977" s="9"/>
      <c r="K2977" s="9"/>
      <c r="L2977" s="9"/>
      <c r="M2977" s="9"/>
    </row>
    <row r="2978" spans="9:13" x14ac:dyDescent="0.3">
      <c r="I2978" s="7"/>
      <c r="J2978" s="9"/>
      <c r="K2978" s="9"/>
      <c r="L2978" s="9"/>
      <c r="M2978" s="9"/>
    </row>
    <row r="2979" spans="9:13" x14ac:dyDescent="0.3">
      <c r="I2979" s="7"/>
      <c r="J2979" s="9"/>
      <c r="K2979" s="9"/>
      <c r="L2979" s="9"/>
      <c r="M2979" s="9"/>
    </row>
    <row r="2980" spans="9:13" x14ac:dyDescent="0.3">
      <c r="I2980" s="7"/>
      <c r="J2980" s="9"/>
      <c r="K2980" s="9"/>
      <c r="L2980" s="9"/>
      <c r="M2980" s="9"/>
    </row>
    <row r="2981" spans="9:13" x14ac:dyDescent="0.3">
      <c r="I2981" s="7"/>
      <c r="J2981" s="9"/>
      <c r="K2981" s="9"/>
      <c r="L2981" s="9"/>
      <c r="M2981" s="9"/>
    </row>
    <row r="2982" spans="9:13" x14ac:dyDescent="0.3">
      <c r="I2982" s="7"/>
      <c r="J2982" s="9"/>
      <c r="K2982" s="9"/>
      <c r="L2982" s="9"/>
      <c r="M2982" s="9"/>
    </row>
    <row r="2983" spans="9:13" x14ac:dyDescent="0.3">
      <c r="I2983" s="7"/>
      <c r="J2983" s="9"/>
      <c r="K2983" s="9"/>
      <c r="L2983" s="9"/>
      <c r="M2983" s="9"/>
    </row>
    <row r="2984" spans="9:13" x14ac:dyDescent="0.3">
      <c r="I2984" s="7"/>
      <c r="J2984" s="9"/>
      <c r="K2984" s="9"/>
      <c r="L2984" s="9"/>
      <c r="M2984" s="9"/>
    </row>
    <row r="2985" spans="9:13" x14ac:dyDescent="0.3">
      <c r="I2985" s="7"/>
      <c r="J2985" s="9"/>
      <c r="K2985" s="9"/>
      <c r="L2985" s="9"/>
      <c r="M2985" s="9"/>
    </row>
    <row r="2986" spans="9:13" x14ac:dyDescent="0.3">
      <c r="I2986" s="7"/>
      <c r="J2986" s="9"/>
      <c r="K2986" s="9"/>
      <c r="L2986" s="9"/>
      <c r="M2986" s="9"/>
    </row>
    <row r="2987" spans="9:13" x14ac:dyDescent="0.3">
      <c r="I2987" s="7"/>
      <c r="J2987" s="9"/>
      <c r="K2987" s="9"/>
      <c r="L2987" s="9"/>
      <c r="M2987" s="9"/>
    </row>
    <row r="2988" spans="9:13" x14ac:dyDescent="0.3">
      <c r="I2988" s="7"/>
      <c r="J2988" s="9"/>
      <c r="K2988" s="9"/>
      <c r="L2988" s="9"/>
      <c r="M2988" s="9"/>
    </row>
    <row r="2989" spans="9:13" x14ac:dyDescent="0.3">
      <c r="I2989" s="7"/>
      <c r="J2989" s="9"/>
      <c r="K2989" s="9"/>
      <c r="L2989" s="9"/>
      <c r="M2989" s="9"/>
    </row>
    <row r="2990" spans="9:13" x14ac:dyDescent="0.3">
      <c r="I2990" s="7"/>
      <c r="J2990" s="9"/>
      <c r="K2990" s="9"/>
      <c r="L2990" s="9"/>
      <c r="M2990" s="9"/>
    </row>
    <row r="2991" spans="9:13" x14ac:dyDescent="0.3">
      <c r="I2991" s="7"/>
      <c r="J2991" s="9"/>
      <c r="K2991" s="9"/>
      <c r="L2991" s="9"/>
      <c r="M2991" s="9"/>
    </row>
    <row r="2992" spans="9:13" x14ac:dyDescent="0.3">
      <c r="I2992" s="7"/>
      <c r="J2992" s="9"/>
      <c r="K2992" s="9"/>
      <c r="L2992" s="9"/>
      <c r="M2992" s="9"/>
    </row>
    <row r="2993" spans="9:13" x14ac:dyDescent="0.3">
      <c r="I2993" s="7"/>
      <c r="J2993" s="9"/>
      <c r="K2993" s="9"/>
      <c r="L2993" s="9"/>
      <c r="M2993" s="9"/>
    </row>
    <row r="2994" spans="9:13" x14ac:dyDescent="0.3">
      <c r="I2994" s="7"/>
      <c r="J2994" s="9"/>
      <c r="K2994" s="9"/>
      <c r="L2994" s="9"/>
      <c r="M2994" s="9"/>
    </row>
    <row r="2995" spans="9:13" x14ac:dyDescent="0.3">
      <c r="I2995" s="7"/>
      <c r="J2995" s="9"/>
      <c r="K2995" s="9"/>
      <c r="L2995" s="9"/>
      <c r="M2995" s="9"/>
    </row>
    <row r="2996" spans="9:13" x14ac:dyDescent="0.3">
      <c r="I2996" s="7"/>
      <c r="J2996" s="9"/>
      <c r="K2996" s="9"/>
      <c r="L2996" s="9"/>
      <c r="M2996" s="9"/>
    </row>
    <row r="2997" spans="9:13" x14ac:dyDescent="0.3">
      <c r="I2997" s="7"/>
      <c r="J2997" s="9"/>
      <c r="K2997" s="9"/>
      <c r="L2997" s="9"/>
      <c r="M2997" s="9"/>
    </row>
    <row r="2998" spans="9:13" x14ac:dyDescent="0.3">
      <c r="I2998" s="7"/>
      <c r="J2998" s="9"/>
      <c r="K2998" s="9"/>
      <c r="L2998" s="9"/>
      <c r="M2998" s="9"/>
    </row>
    <row r="2999" spans="9:13" x14ac:dyDescent="0.3">
      <c r="I2999" s="7"/>
      <c r="J2999" s="9"/>
      <c r="K2999" s="9"/>
      <c r="L2999" s="9"/>
      <c r="M2999" s="9"/>
    </row>
    <row r="3000" spans="9:13" x14ac:dyDescent="0.3">
      <c r="I3000" s="7"/>
      <c r="J3000" s="9"/>
      <c r="K3000" s="9"/>
      <c r="L3000" s="9"/>
      <c r="M3000" s="9"/>
    </row>
    <row r="3001" spans="9:13" x14ac:dyDescent="0.3">
      <c r="I3001" s="7"/>
      <c r="J3001" s="9"/>
      <c r="K3001" s="9"/>
      <c r="L3001" s="9"/>
      <c r="M3001" s="9"/>
    </row>
    <row r="3002" spans="9:13" x14ac:dyDescent="0.3">
      <c r="I3002" s="7"/>
      <c r="J3002" s="9"/>
      <c r="K3002" s="9"/>
      <c r="L3002" s="9"/>
      <c r="M3002" s="9"/>
    </row>
    <row r="3003" spans="9:13" x14ac:dyDescent="0.3">
      <c r="I3003" s="7"/>
      <c r="J3003" s="9"/>
      <c r="K3003" s="9"/>
      <c r="L3003" s="9"/>
      <c r="M3003" s="9"/>
    </row>
    <row r="3004" spans="9:13" x14ac:dyDescent="0.3">
      <c r="I3004" s="7"/>
      <c r="J3004" s="9"/>
      <c r="K3004" s="9"/>
      <c r="L3004" s="9"/>
      <c r="M3004" s="9"/>
    </row>
    <row r="3005" spans="9:13" x14ac:dyDescent="0.3">
      <c r="I3005" s="7"/>
      <c r="J3005" s="9"/>
      <c r="K3005" s="9"/>
      <c r="L3005" s="9"/>
      <c r="M3005" s="9"/>
    </row>
    <row r="3006" spans="9:13" x14ac:dyDescent="0.3">
      <c r="I3006" s="7"/>
      <c r="J3006" s="9"/>
      <c r="K3006" s="9"/>
      <c r="L3006" s="9"/>
      <c r="M3006" s="9"/>
    </row>
    <row r="3007" spans="9:13" x14ac:dyDescent="0.3">
      <c r="I3007" s="7"/>
      <c r="J3007" s="9"/>
      <c r="K3007" s="9"/>
      <c r="L3007" s="9"/>
      <c r="M3007" s="9"/>
    </row>
    <row r="3008" spans="9:13" x14ac:dyDescent="0.3">
      <c r="I3008" s="7"/>
      <c r="J3008" s="9"/>
      <c r="K3008" s="9"/>
      <c r="L3008" s="9"/>
      <c r="M3008" s="9"/>
    </row>
    <row r="3009" spans="9:13" x14ac:dyDescent="0.3">
      <c r="I3009" s="7"/>
      <c r="J3009" s="9"/>
      <c r="K3009" s="9"/>
      <c r="L3009" s="9"/>
      <c r="M3009" s="9"/>
    </row>
    <row r="3010" spans="9:13" x14ac:dyDescent="0.3">
      <c r="I3010" s="7"/>
      <c r="J3010" s="9"/>
      <c r="K3010" s="9"/>
      <c r="L3010" s="9"/>
      <c r="M3010" s="9"/>
    </row>
    <row r="3011" spans="9:13" x14ac:dyDescent="0.3">
      <c r="I3011" s="7"/>
      <c r="J3011" s="9"/>
      <c r="K3011" s="9"/>
      <c r="L3011" s="9"/>
      <c r="M3011" s="9"/>
    </row>
    <row r="3012" spans="9:13" x14ac:dyDescent="0.3">
      <c r="I3012" s="7"/>
      <c r="J3012" s="9"/>
      <c r="K3012" s="9"/>
      <c r="L3012" s="9"/>
      <c r="M3012" s="9"/>
    </row>
    <row r="3013" spans="9:13" x14ac:dyDescent="0.3">
      <c r="I3013" s="7"/>
      <c r="J3013" s="9"/>
      <c r="K3013" s="9"/>
      <c r="L3013" s="9"/>
      <c r="M3013" s="9"/>
    </row>
    <row r="3014" spans="9:13" x14ac:dyDescent="0.3">
      <c r="I3014" s="7"/>
      <c r="J3014" s="9"/>
      <c r="K3014" s="9"/>
      <c r="L3014" s="9"/>
      <c r="M3014" s="9"/>
    </row>
    <row r="3015" spans="9:13" x14ac:dyDescent="0.3">
      <c r="I3015" s="7"/>
      <c r="J3015" s="9"/>
      <c r="K3015" s="9"/>
      <c r="L3015" s="9"/>
      <c r="M3015" s="9"/>
    </row>
    <row r="3016" spans="9:13" x14ac:dyDescent="0.3">
      <c r="I3016" s="7"/>
      <c r="J3016" s="9"/>
      <c r="K3016" s="9"/>
      <c r="L3016" s="9"/>
      <c r="M3016" s="9"/>
    </row>
    <row r="3017" spans="9:13" x14ac:dyDescent="0.3">
      <c r="I3017" s="7"/>
      <c r="J3017" s="9"/>
      <c r="K3017" s="9"/>
      <c r="L3017" s="9"/>
      <c r="M3017" s="9"/>
    </row>
    <row r="3018" spans="9:13" x14ac:dyDescent="0.3">
      <c r="I3018" s="7"/>
      <c r="J3018" s="9"/>
      <c r="K3018" s="9"/>
      <c r="L3018" s="9"/>
      <c r="M3018" s="9"/>
    </row>
    <row r="3019" spans="9:13" x14ac:dyDescent="0.3">
      <c r="I3019" s="7"/>
      <c r="J3019" s="9"/>
      <c r="K3019" s="9"/>
      <c r="L3019" s="9"/>
      <c r="M3019" s="9"/>
    </row>
    <row r="3020" spans="9:13" x14ac:dyDescent="0.3">
      <c r="I3020" s="7"/>
      <c r="J3020" s="9"/>
      <c r="K3020" s="9"/>
      <c r="L3020" s="9"/>
      <c r="M3020" s="9"/>
    </row>
    <row r="3021" spans="9:13" x14ac:dyDescent="0.3">
      <c r="I3021" s="7"/>
      <c r="J3021" s="9"/>
      <c r="K3021" s="9"/>
      <c r="L3021" s="9"/>
      <c r="M3021" s="9"/>
    </row>
    <row r="3022" spans="9:13" x14ac:dyDescent="0.3">
      <c r="I3022" s="7"/>
      <c r="J3022" s="9"/>
      <c r="K3022" s="9"/>
      <c r="L3022" s="9"/>
      <c r="M3022" s="9"/>
    </row>
    <row r="3023" spans="9:13" x14ac:dyDescent="0.3">
      <c r="I3023" s="7"/>
      <c r="J3023" s="9"/>
      <c r="K3023" s="9"/>
      <c r="L3023" s="9"/>
      <c r="M3023" s="9"/>
    </row>
    <row r="3024" spans="9:13" x14ac:dyDescent="0.3">
      <c r="I3024" s="7"/>
      <c r="J3024" s="9"/>
      <c r="K3024" s="9"/>
      <c r="L3024" s="9"/>
      <c r="M3024" s="9"/>
    </row>
    <row r="3025" spans="9:13" x14ac:dyDescent="0.3">
      <c r="I3025" s="7"/>
      <c r="J3025" s="9"/>
      <c r="K3025" s="9"/>
      <c r="L3025" s="9"/>
      <c r="M3025" s="9"/>
    </row>
    <row r="3026" spans="9:13" x14ac:dyDescent="0.3">
      <c r="I3026" s="7"/>
      <c r="J3026" s="9"/>
      <c r="K3026" s="9"/>
      <c r="L3026" s="9"/>
      <c r="M3026" s="9"/>
    </row>
    <row r="3027" spans="9:13" x14ac:dyDescent="0.3">
      <c r="I3027" s="7"/>
      <c r="J3027" s="9"/>
      <c r="K3027" s="9"/>
      <c r="L3027" s="9"/>
      <c r="M3027" s="9"/>
    </row>
    <row r="3028" spans="9:13" x14ac:dyDescent="0.3">
      <c r="I3028" s="7"/>
      <c r="J3028" s="9"/>
      <c r="K3028" s="9"/>
      <c r="L3028" s="9"/>
      <c r="M3028" s="9"/>
    </row>
    <row r="3029" spans="9:13" x14ac:dyDescent="0.3">
      <c r="I3029" s="7"/>
      <c r="J3029" s="9"/>
      <c r="K3029" s="9"/>
      <c r="L3029" s="9"/>
      <c r="M3029" s="9"/>
    </row>
    <row r="3030" spans="9:13" x14ac:dyDescent="0.3">
      <c r="I3030" s="7"/>
      <c r="J3030" s="9"/>
      <c r="K3030" s="9"/>
      <c r="L3030" s="9"/>
      <c r="M3030" s="9"/>
    </row>
    <row r="3031" spans="9:13" x14ac:dyDescent="0.3">
      <c r="I3031" s="7"/>
      <c r="J3031" s="9"/>
      <c r="K3031" s="9"/>
      <c r="L3031" s="9"/>
      <c r="M3031" s="9"/>
    </row>
    <row r="3032" spans="9:13" x14ac:dyDescent="0.3">
      <c r="I3032" s="7"/>
      <c r="J3032" s="9"/>
      <c r="K3032" s="9"/>
      <c r="L3032" s="9"/>
      <c r="M3032" s="9"/>
    </row>
    <row r="3033" spans="9:13" x14ac:dyDescent="0.3">
      <c r="I3033" s="7"/>
      <c r="J3033" s="9"/>
      <c r="K3033" s="9"/>
      <c r="L3033" s="9"/>
      <c r="M3033" s="9"/>
    </row>
    <row r="3034" spans="9:13" x14ac:dyDescent="0.3">
      <c r="I3034" s="7"/>
      <c r="J3034" s="9"/>
      <c r="K3034" s="9"/>
      <c r="L3034" s="9"/>
      <c r="M3034" s="9"/>
    </row>
    <row r="3035" spans="9:13" x14ac:dyDescent="0.3">
      <c r="I3035" s="7"/>
      <c r="J3035" s="9"/>
      <c r="K3035" s="9"/>
      <c r="L3035" s="9"/>
      <c r="M3035" s="9"/>
    </row>
    <row r="3036" spans="9:13" x14ac:dyDescent="0.3">
      <c r="I3036" s="7"/>
      <c r="J3036" s="9"/>
      <c r="K3036" s="9"/>
      <c r="L3036" s="9"/>
      <c r="M3036" s="9"/>
    </row>
    <row r="3037" spans="9:13" x14ac:dyDescent="0.3">
      <c r="I3037" s="7"/>
      <c r="J3037" s="9"/>
      <c r="K3037" s="9"/>
      <c r="L3037" s="9"/>
      <c r="M3037" s="9"/>
    </row>
    <row r="3038" spans="9:13" x14ac:dyDescent="0.3">
      <c r="I3038" s="7"/>
      <c r="J3038" s="9"/>
      <c r="K3038" s="9"/>
      <c r="L3038" s="9"/>
      <c r="M3038" s="9"/>
    </row>
    <row r="3039" spans="9:13" x14ac:dyDescent="0.3">
      <c r="I3039" s="7"/>
      <c r="J3039" s="9"/>
      <c r="K3039" s="9"/>
      <c r="L3039" s="9"/>
      <c r="M3039" s="9"/>
    </row>
    <row r="3040" spans="9:13" x14ac:dyDescent="0.3">
      <c r="I3040" s="7"/>
      <c r="J3040" s="9"/>
      <c r="K3040" s="9"/>
      <c r="L3040" s="9"/>
      <c r="M3040" s="9"/>
    </row>
    <row r="3041" spans="9:13" x14ac:dyDescent="0.3">
      <c r="I3041" s="7"/>
      <c r="J3041" s="9"/>
      <c r="K3041" s="9"/>
      <c r="L3041" s="9"/>
      <c r="M3041" s="9"/>
    </row>
    <row r="3042" spans="9:13" x14ac:dyDescent="0.3">
      <c r="I3042" s="7"/>
      <c r="J3042" s="9"/>
      <c r="K3042" s="9"/>
      <c r="L3042" s="9"/>
      <c r="M3042" s="9"/>
    </row>
    <row r="3043" spans="9:13" x14ac:dyDescent="0.3">
      <c r="I3043" s="7"/>
      <c r="J3043" s="9"/>
      <c r="K3043" s="9"/>
      <c r="L3043" s="9"/>
      <c r="M3043" s="9"/>
    </row>
    <row r="3044" spans="9:13" x14ac:dyDescent="0.3">
      <c r="I3044" s="7"/>
      <c r="J3044" s="9"/>
      <c r="K3044" s="9"/>
      <c r="L3044" s="9"/>
      <c r="M3044" s="9"/>
    </row>
    <row r="3045" spans="9:13" x14ac:dyDescent="0.3">
      <c r="I3045" s="7"/>
      <c r="J3045" s="9"/>
      <c r="K3045" s="9"/>
      <c r="L3045" s="9"/>
      <c r="M3045" s="9"/>
    </row>
    <row r="3046" spans="9:13" x14ac:dyDescent="0.3">
      <c r="I3046" s="7"/>
      <c r="J3046" s="9"/>
      <c r="K3046" s="9"/>
      <c r="L3046" s="9"/>
      <c r="M3046" s="9"/>
    </row>
    <row r="3047" spans="9:13" x14ac:dyDescent="0.3">
      <c r="I3047" s="7"/>
      <c r="J3047" s="9"/>
      <c r="K3047" s="9"/>
      <c r="L3047" s="9"/>
      <c r="M3047" s="9"/>
    </row>
    <row r="3048" spans="9:13" x14ac:dyDescent="0.3">
      <c r="I3048" s="7"/>
      <c r="J3048" s="9"/>
      <c r="K3048" s="9"/>
      <c r="L3048" s="9"/>
      <c r="M3048" s="9"/>
    </row>
    <row r="3049" spans="9:13" x14ac:dyDescent="0.3">
      <c r="I3049" s="7"/>
      <c r="J3049" s="9"/>
      <c r="K3049" s="9"/>
      <c r="L3049" s="9"/>
      <c r="M3049" s="9"/>
    </row>
    <row r="3050" spans="9:13" x14ac:dyDescent="0.3">
      <c r="I3050" s="7"/>
      <c r="J3050" s="9"/>
      <c r="K3050" s="9"/>
      <c r="L3050" s="9"/>
      <c r="M3050" s="9"/>
    </row>
    <row r="3051" spans="9:13" x14ac:dyDescent="0.3">
      <c r="I3051" s="7"/>
      <c r="J3051" s="9"/>
      <c r="K3051" s="9"/>
      <c r="L3051" s="9"/>
      <c r="M3051" s="9"/>
    </row>
    <row r="3052" spans="9:13" x14ac:dyDescent="0.3">
      <c r="I3052" s="7"/>
      <c r="J3052" s="9"/>
      <c r="K3052" s="9"/>
      <c r="L3052" s="9"/>
      <c r="M3052" s="9"/>
    </row>
    <row r="3053" spans="9:13" x14ac:dyDescent="0.3">
      <c r="I3053" s="7"/>
      <c r="J3053" s="9"/>
      <c r="K3053" s="9"/>
      <c r="L3053" s="9"/>
      <c r="M3053" s="9"/>
    </row>
    <row r="3054" spans="9:13" x14ac:dyDescent="0.3">
      <c r="I3054" s="7"/>
      <c r="J3054" s="9"/>
      <c r="K3054" s="9"/>
      <c r="L3054" s="9"/>
      <c r="M3054" s="9"/>
    </row>
    <row r="3055" spans="9:13" x14ac:dyDescent="0.3">
      <c r="I3055" s="7"/>
      <c r="J3055" s="9"/>
      <c r="K3055" s="9"/>
      <c r="L3055" s="9"/>
      <c r="M3055" s="9"/>
    </row>
    <row r="3056" spans="9:13" x14ac:dyDescent="0.3">
      <c r="I3056" s="7"/>
      <c r="J3056" s="9"/>
      <c r="K3056" s="9"/>
      <c r="L3056" s="9"/>
      <c r="M3056" s="9"/>
    </row>
    <row r="3057" spans="9:13" x14ac:dyDescent="0.3">
      <c r="I3057" s="7"/>
      <c r="J3057" s="9"/>
      <c r="K3057" s="9"/>
      <c r="L3057" s="9"/>
      <c r="M3057" s="9"/>
    </row>
    <row r="3058" spans="9:13" x14ac:dyDescent="0.3">
      <c r="I3058" s="7"/>
      <c r="J3058" s="9"/>
      <c r="K3058" s="9"/>
      <c r="L3058" s="9"/>
      <c r="M3058" s="9"/>
    </row>
    <row r="3059" spans="9:13" x14ac:dyDescent="0.3">
      <c r="I3059" s="7"/>
      <c r="J3059" s="9"/>
      <c r="K3059" s="9"/>
      <c r="L3059" s="9"/>
      <c r="M3059" s="9"/>
    </row>
    <row r="3060" spans="9:13" x14ac:dyDescent="0.3">
      <c r="I3060" s="7"/>
      <c r="J3060" s="9"/>
      <c r="K3060" s="9"/>
      <c r="L3060" s="9"/>
      <c r="M3060" s="9"/>
    </row>
    <row r="3061" spans="9:13" x14ac:dyDescent="0.3">
      <c r="I3061" s="7"/>
      <c r="J3061" s="9"/>
      <c r="K3061" s="9"/>
      <c r="L3061" s="9"/>
      <c r="M3061" s="9"/>
    </row>
    <row r="3062" spans="9:13" x14ac:dyDescent="0.3">
      <c r="I3062" s="7"/>
      <c r="J3062" s="9"/>
      <c r="K3062" s="9"/>
      <c r="L3062" s="9"/>
      <c r="M3062" s="9"/>
    </row>
    <row r="3063" spans="9:13" x14ac:dyDescent="0.3">
      <c r="I3063" s="7"/>
      <c r="J3063" s="9"/>
      <c r="K3063" s="9"/>
      <c r="L3063" s="9"/>
      <c r="M3063" s="9"/>
    </row>
    <row r="3064" spans="9:13" x14ac:dyDescent="0.3">
      <c r="I3064" s="7"/>
      <c r="J3064" s="9"/>
      <c r="K3064" s="9"/>
      <c r="L3064" s="9"/>
      <c r="M3064" s="9"/>
    </row>
    <row r="3065" spans="9:13" x14ac:dyDescent="0.3">
      <c r="I3065" s="7"/>
      <c r="J3065" s="9"/>
      <c r="K3065" s="9"/>
      <c r="L3065" s="9"/>
      <c r="M3065" s="9"/>
    </row>
    <row r="3066" spans="9:13" x14ac:dyDescent="0.3">
      <c r="I3066" s="7"/>
      <c r="J3066" s="9"/>
      <c r="K3066" s="9"/>
      <c r="L3066" s="9"/>
      <c r="M3066" s="9"/>
    </row>
    <row r="3067" spans="9:13" x14ac:dyDescent="0.3">
      <c r="I3067" s="7"/>
      <c r="J3067" s="9"/>
      <c r="K3067" s="9"/>
      <c r="L3067" s="9"/>
      <c r="M3067" s="9"/>
    </row>
    <row r="3068" spans="9:13" x14ac:dyDescent="0.3">
      <c r="I3068" s="7"/>
      <c r="J3068" s="9"/>
      <c r="K3068" s="9"/>
      <c r="L3068" s="9"/>
      <c r="M3068" s="9"/>
    </row>
    <row r="3069" spans="9:13" x14ac:dyDescent="0.3">
      <c r="I3069" s="7"/>
      <c r="J3069" s="9"/>
      <c r="K3069" s="9"/>
      <c r="L3069" s="9"/>
      <c r="M3069" s="9"/>
    </row>
    <row r="3070" spans="9:13" x14ac:dyDescent="0.3">
      <c r="I3070" s="7"/>
      <c r="J3070" s="9"/>
      <c r="K3070" s="9"/>
      <c r="L3070" s="9"/>
      <c r="M3070" s="9"/>
    </row>
    <row r="3071" spans="9:13" x14ac:dyDescent="0.3">
      <c r="I3071" s="7"/>
      <c r="J3071" s="9"/>
      <c r="K3071" s="9"/>
      <c r="L3071" s="9"/>
      <c r="M3071" s="9"/>
    </row>
    <row r="3072" spans="9:13" x14ac:dyDescent="0.3">
      <c r="I3072" s="7"/>
      <c r="J3072" s="9"/>
      <c r="K3072" s="9"/>
      <c r="L3072" s="9"/>
      <c r="M3072" s="9"/>
    </row>
    <row r="3073" spans="9:13" x14ac:dyDescent="0.3">
      <c r="I3073" s="7"/>
      <c r="J3073" s="9"/>
      <c r="K3073" s="9"/>
      <c r="L3073" s="9"/>
      <c r="M3073" s="9"/>
    </row>
    <row r="3074" spans="9:13" x14ac:dyDescent="0.3">
      <c r="I3074" s="7"/>
      <c r="J3074" s="9"/>
      <c r="K3074" s="9"/>
      <c r="L3074" s="9"/>
      <c r="M3074" s="9"/>
    </row>
    <row r="3075" spans="9:13" x14ac:dyDescent="0.3">
      <c r="I3075" s="7"/>
      <c r="J3075" s="9"/>
      <c r="K3075" s="9"/>
      <c r="L3075" s="9"/>
      <c r="M3075" s="9"/>
    </row>
    <row r="3076" spans="9:13" x14ac:dyDescent="0.3">
      <c r="I3076" s="7"/>
      <c r="J3076" s="9"/>
      <c r="K3076" s="9"/>
      <c r="L3076" s="9"/>
      <c r="M3076" s="9"/>
    </row>
    <row r="3077" spans="9:13" x14ac:dyDescent="0.3">
      <c r="I3077" s="7"/>
      <c r="J3077" s="9"/>
      <c r="K3077" s="9"/>
      <c r="L3077" s="9"/>
      <c r="M3077" s="9"/>
    </row>
    <row r="3078" spans="9:13" x14ac:dyDescent="0.3">
      <c r="I3078" s="7"/>
      <c r="J3078" s="9"/>
      <c r="K3078" s="9"/>
      <c r="L3078" s="9"/>
      <c r="M3078" s="9"/>
    </row>
    <row r="3079" spans="9:13" x14ac:dyDescent="0.3">
      <c r="I3079" s="7"/>
      <c r="J3079" s="9"/>
      <c r="K3079" s="9"/>
      <c r="L3079" s="9"/>
      <c r="M3079" s="9"/>
    </row>
    <row r="3080" spans="9:13" x14ac:dyDescent="0.3">
      <c r="I3080" s="7"/>
      <c r="J3080" s="9"/>
      <c r="K3080" s="9"/>
      <c r="L3080" s="9"/>
      <c r="M3080" s="9"/>
    </row>
    <row r="3081" spans="9:13" x14ac:dyDescent="0.3">
      <c r="I3081" s="7"/>
      <c r="J3081" s="9"/>
      <c r="K3081" s="9"/>
      <c r="L3081" s="9"/>
      <c r="M3081" s="9"/>
    </row>
    <row r="3082" spans="9:13" x14ac:dyDescent="0.3">
      <c r="I3082" s="7"/>
      <c r="J3082" s="9"/>
      <c r="K3082" s="9"/>
      <c r="L3082" s="9"/>
      <c r="M3082" s="9"/>
    </row>
    <row r="3083" spans="9:13" x14ac:dyDescent="0.3">
      <c r="I3083" s="7"/>
      <c r="J3083" s="9"/>
      <c r="K3083" s="9"/>
      <c r="L3083" s="9"/>
      <c r="M3083" s="9"/>
    </row>
    <row r="3084" spans="9:13" x14ac:dyDescent="0.3">
      <c r="I3084" s="7"/>
      <c r="J3084" s="9"/>
      <c r="K3084" s="9"/>
      <c r="L3084" s="9"/>
      <c r="M3084" s="9"/>
    </row>
    <row r="3085" spans="9:13" x14ac:dyDescent="0.3">
      <c r="I3085" s="7"/>
      <c r="J3085" s="9"/>
      <c r="K3085" s="9"/>
      <c r="L3085" s="9"/>
      <c r="M3085" s="9"/>
    </row>
    <row r="3086" spans="9:13" x14ac:dyDescent="0.3">
      <c r="I3086" s="7"/>
      <c r="J3086" s="9"/>
      <c r="K3086" s="9"/>
      <c r="L3086" s="9"/>
      <c r="M3086" s="9"/>
    </row>
    <row r="3087" spans="9:13" x14ac:dyDescent="0.3">
      <c r="I3087" s="7"/>
      <c r="J3087" s="9"/>
      <c r="K3087" s="9"/>
      <c r="L3087" s="9"/>
      <c r="M3087" s="9"/>
    </row>
    <row r="3088" spans="9:13" x14ac:dyDescent="0.3">
      <c r="I3088" s="7"/>
      <c r="J3088" s="9"/>
      <c r="K3088" s="9"/>
      <c r="L3088" s="9"/>
      <c r="M3088" s="9"/>
    </row>
    <row r="3089" spans="9:13" x14ac:dyDescent="0.3">
      <c r="I3089" s="7"/>
      <c r="J3089" s="9"/>
      <c r="K3089" s="9"/>
      <c r="L3089" s="9"/>
      <c r="M3089" s="9"/>
    </row>
    <row r="3090" spans="9:13" x14ac:dyDescent="0.3">
      <c r="I3090" s="7"/>
      <c r="J3090" s="9"/>
      <c r="K3090" s="9"/>
      <c r="L3090" s="9"/>
      <c r="M3090" s="9"/>
    </row>
    <row r="3091" spans="9:13" x14ac:dyDescent="0.3">
      <c r="I3091" s="7"/>
      <c r="J3091" s="9"/>
      <c r="K3091" s="9"/>
      <c r="L3091" s="9"/>
      <c r="M3091" s="9"/>
    </row>
    <row r="3092" spans="9:13" x14ac:dyDescent="0.3">
      <c r="I3092" s="7"/>
      <c r="J3092" s="9"/>
      <c r="K3092" s="9"/>
      <c r="L3092" s="9"/>
      <c r="M3092" s="9"/>
    </row>
    <row r="3093" spans="9:13" x14ac:dyDescent="0.3">
      <c r="I3093" s="7"/>
      <c r="J3093" s="9"/>
      <c r="K3093" s="9"/>
      <c r="L3093" s="9"/>
      <c r="M3093" s="9"/>
    </row>
    <row r="3094" spans="9:13" x14ac:dyDescent="0.3">
      <c r="I3094" s="7"/>
      <c r="J3094" s="9"/>
      <c r="K3094" s="9"/>
      <c r="L3094" s="9"/>
      <c r="M3094" s="9"/>
    </row>
    <row r="3095" spans="9:13" x14ac:dyDescent="0.3">
      <c r="I3095" s="7"/>
      <c r="J3095" s="9"/>
      <c r="K3095" s="9"/>
      <c r="L3095" s="9"/>
      <c r="M3095" s="9"/>
    </row>
    <row r="3096" spans="9:13" x14ac:dyDescent="0.3">
      <c r="I3096" s="7"/>
      <c r="J3096" s="9"/>
      <c r="K3096" s="9"/>
      <c r="L3096" s="9"/>
      <c r="M3096" s="9"/>
    </row>
    <row r="3097" spans="9:13" x14ac:dyDescent="0.3">
      <c r="I3097" s="7"/>
      <c r="J3097" s="9"/>
      <c r="K3097" s="9"/>
      <c r="L3097" s="9"/>
      <c r="M3097" s="9"/>
    </row>
    <row r="3098" spans="9:13" x14ac:dyDescent="0.3">
      <c r="I3098" s="7"/>
      <c r="J3098" s="9"/>
      <c r="K3098" s="9"/>
      <c r="L3098" s="9"/>
      <c r="M3098" s="9"/>
    </row>
    <row r="3099" spans="9:13" x14ac:dyDescent="0.3">
      <c r="I3099" s="7"/>
      <c r="J3099" s="9"/>
      <c r="K3099" s="9"/>
      <c r="L3099" s="9"/>
      <c r="M3099" s="9"/>
    </row>
    <row r="3100" spans="9:13" x14ac:dyDescent="0.3">
      <c r="I3100" s="7"/>
      <c r="J3100" s="9"/>
      <c r="K3100" s="9"/>
      <c r="L3100" s="9"/>
      <c r="M3100" s="9"/>
    </row>
    <row r="3101" spans="9:13" x14ac:dyDescent="0.3">
      <c r="I3101" s="7"/>
      <c r="J3101" s="9"/>
      <c r="K3101" s="9"/>
      <c r="L3101" s="9"/>
      <c r="M3101" s="9"/>
    </row>
    <row r="3102" spans="9:13" x14ac:dyDescent="0.3">
      <c r="I3102" s="7"/>
      <c r="J3102" s="9"/>
      <c r="K3102" s="9"/>
      <c r="L3102" s="9"/>
      <c r="M3102" s="9"/>
    </row>
    <row r="3103" spans="9:13" x14ac:dyDescent="0.3">
      <c r="I3103" s="7"/>
      <c r="J3103" s="9"/>
      <c r="K3103" s="9"/>
      <c r="L3103" s="9"/>
      <c r="M3103" s="9"/>
    </row>
    <row r="3104" spans="9:13" x14ac:dyDescent="0.3">
      <c r="I3104" s="7"/>
      <c r="J3104" s="9"/>
      <c r="K3104" s="9"/>
      <c r="L3104" s="9"/>
      <c r="M3104" s="9"/>
    </row>
    <row r="3105" spans="9:13" x14ac:dyDescent="0.3">
      <c r="I3105" s="7"/>
      <c r="J3105" s="9"/>
      <c r="K3105" s="9"/>
      <c r="L3105" s="9"/>
      <c r="M3105" s="9"/>
    </row>
    <row r="3106" spans="9:13" x14ac:dyDescent="0.3">
      <c r="I3106" s="7"/>
      <c r="J3106" s="9"/>
      <c r="K3106" s="9"/>
      <c r="L3106" s="9"/>
      <c r="M3106" s="9"/>
    </row>
    <row r="3107" spans="9:13" x14ac:dyDescent="0.3">
      <c r="I3107" s="7"/>
      <c r="J3107" s="9"/>
      <c r="K3107" s="9"/>
      <c r="L3107" s="9"/>
      <c r="M3107" s="9"/>
    </row>
    <row r="3108" spans="9:13" x14ac:dyDescent="0.3">
      <c r="I3108" s="7"/>
      <c r="J3108" s="9"/>
      <c r="K3108" s="9"/>
      <c r="L3108" s="9"/>
      <c r="M3108" s="9"/>
    </row>
    <row r="3109" spans="9:13" x14ac:dyDescent="0.3">
      <c r="I3109" s="7"/>
      <c r="J3109" s="9"/>
      <c r="K3109" s="9"/>
      <c r="L3109" s="9"/>
      <c r="M3109" s="9"/>
    </row>
    <row r="3110" spans="9:13" x14ac:dyDescent="0.3">
      <c r="I3110" s="7"/>
      <c r="J3110" s="9"/>
      <c r="K3110" s="9"/>
      <c r="L3110" s="9"/>
      <c r="M3110" s="9"/>
    </row>
    <row r="3111" spans="9:13" x14ac:dyDescent="0.3">
      <c r="I3111" s="7"/>
      <c r="J3111" s="9"/>
      <c r="K3111" s="9"/>
      <c r="L3111" s="9"/>
      <c r="M3111" s="9"/>
    </row>
    <row r="3112" spans="9:13" x14ac:dyDescent="0.3">
      <c r="I3112" s="7"/>
      <c r="J3112" s="9"/>
      <c r="K3112" s="9"/>
      <c r="L3112" s="9"/>
      <c r="M3112" s="9"/>
    </row>
    <row r="3113" spans="9:13" x14ac:dyDescent="0.3">
      <c r="I3113" s="7"/>
      <c r="J3113" s="9"/>
      <c r="K3113" s="9"/>
      <c r="L3113" s="9"/>
      <c r="M3113" s="9"/>
    </row>
    <row r="3114" spans="9:13" x14ac:dyDescent="0.3">
      <c r="I3114" s="7"/>
      <c r="J3114" s="9"/>
      <c r="K3114" s="9"/>
      <c r="L3114" s="9"/>
      <c r="M3114" s="9"/>
    </row>
    <row r="3115" spans="9:13" x14ac:dyDescent="0.3">
      <c r="I3115" s="7"/>
      <c r="J3115" s="9"/>
      <c r="K3115" s="9"/>
      <c r="L3115" s="9"/>
      <c r="M3115" s="9"/>
    </row>
    <row r="3116" spans="9:13" x14ac:dyDescent="0.3">
      <c r="I3116" s="7"/>
      <c r="J3116" s="9"/>
      <c r="K3116" s="9"/>
      <c r="L3116" s="9"/>
      <c r="M3116" s="9"/>
    </row>
    <row r="3117" spans="9:13" x14ac:dyDescent="0.3">
      <c r="I3117" s="7"/>
      <c r="J3117" s="9"/>
      <c r="K3117" s="9"/>
      <c r="L3117" s="9"/>
      <c r="M3117" s="9"/>
    </row>
    <row r="3118" spans="9:13" x14ac:dyDescent="0.3">
      <c r="I3118" s="7"/>
      <c r="J3118" s="9"/>
      <c r="K3118" s="9"/>
      <c r="L3118" s="9"/>
      <c r="M3118" s="9"/>
    </row>
    <row r="3119" spans="9:13" x14ac:dyDescent="0.3">
      <c r="I3119" s="7"/>
      <c r="J3119" s="9"/>
      <c r="K3119" s="9"/>
      <c r="L3119" s="9"/>
      <c r="M3119" s="9"/>
    </row>
    <row r="3120" spans="9:13" x14ac:dyDescent="0.3">
      <c r="I3120" s="7"/>
      <c r="J3120" s="9"/>
      <c r="K3120" s="9"/>
      <c r="L3120" s="9"/>
      <c r="M3120" s="9"/>
    </row>
    <row r="3121" spans="9:13" x14ac:dyDescent="0.3">
      <c r="I3121" s="7"/>
      <c r="J3121" s="9"/>
      <c r="K3121" s="9"/>
      <c r="L3121" s="9"/>
      <c r="M3121" s="9"/>
    </row>
    <row r="3122" spans="9:13" x14ac:dyDescent="0.3">
      <c r="I3122" s="7"/>
      <c r="J3122" s="9"/>
      <c r="K3122" s="9"/>
      <c r="L3122" s="9"/>
      <c r="M3122" s="9"/>
    </row>
    <row r="3123" spans="9:13" x14ac:dyDescent="0.3">
      <c r="I3123" s="7"/>
      <c r="J3123" s="9"/>
      <c r="K3123" s="9"/>
      <c r="L3123" s="9"/>
      <c r="M3123" s="9"/>
    </row>
    <row r="3124" spans="9:13" x14ac:dyDescent="0.3">
      <c r="I3124" s="7"/>
      <c r="J3124" s="9"/>
      <c r="K3124" s="9"/>
      <c r="L3124" s="9"/>
      <c r="M3124" s="9"/>
    </row>
    <row r="3125" spans="9:13" x14ac:dyDescent="0.3">
      <c r="I3125" s="7"/>
      <c r="J3125" s="9"/>
      <c r="K3125" s="9"/>
      <c r="L3125" s="9"/>
      <c r="M3125" s="9"/>
    </row>
    <row r="3126" spans="9:13" x14ac:dyDescent="0.3">
      <c r="I3126" s="7"/>
      <c r="J3126" s="9"/>
      <c r="K3126" s="9"/>
      <c r="L3126" s="9"/>
      <c r="M3126" s="9"/>
    </row>
    <row r="3127" spans="9:13" x14ac:dyDescent="0.3">
      <c r="I3127" s="7"/>
      <c r="J3127" s="9"/>
      <c r="K3127" s="9"/>
      <c r="L3127" s="9"/>
      <c r="M3127" s="9"/>
    </row>
    <row r="3128" spans="9:13" x14ac:dyDescent="0.3">
      <c r="I3128" s="7"/>
      <c r="J3128" s="9"/>
      <c r="K3128" s="9"/>
      <c r="L3128" s="9"/>
      <c r="M3128" s="9"/>
    </row>
    <row r="3129" spans="9:13" x14ac:dyDescent="0.3">
      <c r="I3129" s="7"/>
      <c r="J3129" s="9"/>
      <c r="K3129" s="9"/>
      <c r="L3129" s="9"/>
      <c r="M3129" s="9"/>
    </row>
    <row r="3130" spans="9:13" x14ac:dyDescent="0.3">
      <c r="I3130" s="7"/>
      <c r="J3130" s="9"/>
      <c r="K3130" s="9"/>
      <c r="L3130" s="9"/>
      <c r="M3130" s="9"/>
    </row>
    <row r="3131" spans="9:13" x14ac:dyDescent="0.3">
      <c r="I3131" s="7"/>
      <c r="J3131" s="9"/>
      <c r="K3131" s="9"/>
      <c r="L3131" s="9"/>
      <c r="M3131" s="9"/>
    </row>
    <row r="3132" spans="9:13" x14ac:dyDescent="0.3">
      <c r="I3132" s="7"/>
      <c r="J3132" s="9"/>
      <c r="K3132" s="9"/>
      <c r="L3132" s="9"/>
      <c r="M3132" s="9"/>
    </row>
    <row r="3133" spans="9:13" x14ac:dyDescent="0.3">
      <c r="I3133" s="7"/>
      <c r="J3133" s="9"/>
      <c r="K3133" s="9"/>
      <c r="L3133" s="9"/>
      <c r="M3133" s="9"/>
    </row>
    <row r="3134" spans="9:13" x14ac:dyDescent="0.3">
      <c r="I3134" s="7"/>
      <c r="J3134" s="9"/>
      <c r="K3134" s="9"/>
      <c r="L3134" s="9"/>
      <c r="M3134" s="9"/>
    </row>
    <row r="3135" spans="9:13" x14ac:dyDescent="0.3">
      <c r="I3135" s="7"/>
      <c r="J3135" s="9"/>
      <c r="K3135" s="9"/>
      <c r="L3135" s="9"/>
      <c r="M3135" s="9"/>
    </row>
    <row r="3136" spans="9:13" x14ac:dyDescent="0.3">
      <c r="I3136" s="7"/>
      <c r="J3136" s="9"/>
      <c r="K3136" s="9"/>
      <c r="L3136" s="9"/>
      <c r="M3136" s="9"/>
    </row>
    <row r="3137" spans="9:13" x14ac:dyDescent="0.3">
      <c r="I3137" s="7"/>
      <c r="J3137" s="9"/>
      <c r="K3137" s="9"/>
      <c r="L3137" s="9"/>
      <c r="M3137" s="9"/>
    </row>
    <row r="3138" spans="9:13" x14ac:dyDescent="0.3">
      <c r="I3138" s="7"/>
      <c r="J3138" s="9"/>
      <c r="K3138" s="9"/>
      <c r="L3138" s="9"/>
      <c r="M3138" s="9"/>
    </row>
    <row r="3139" spans="9:13" x14ac:dyDescent="0.3">
      <c r="I3139" s="7"/>
      <c r="J3139" s="9"/>
      <c r="K3139" s="9"/>
      <c r="L3139" s="9"/>
      <c r="M3139" s="9"/>
    </row>
    <row r="3140" spans="9:13" x14ac:dyDescent="0.3">
      <c r="I3140" s="7"/>
      <c r="J3140" s="9"/>
      <c r="K3140" s="9"/>
      <c r="L3140" s="9"/>
      <c r="M3140" s="9"/>
    </row>
    <row r="3141" spans="9:13" x14ac:dyDescent="0.3">
      <c r="I3141" s="7"/>
      <c r="J3141" s="9"/>
      <c r="K3141" s="9"/>
      <c r="L3141" s="9"/>
      <c r="M3141" s="9"/>
    </row>
    <row r="3142" spans="9:13" x14ac:dyDescent="0.3">
      <c r="I3142" s="7"/>
      <c r="J3142" s="9"/>
      <c r="K3142" s="9"/>
      <c r="L3142" s="9"/>
      <c r="M3142" s="9"/>
    </row>
    <row r="3143" spans="9:13" x14ac:dyDescent="0.3">
      <c r="I3143" s="7"/>
      <c r="J3143" s="9"/>
      <c r="K3143" s="9"/>
      <c r="L3143" s="9"/>
      <c r="M3143" s="9"/>
    </row>
    <row r="3144" spans="9:13" x14ac:dyDescent="0.3">
      <c r="I3144" s="7"/>
      <c r="J3144" s="9"/>
      <c r="K3144" s="9"/>
      <c r="L3144" s="9"/>
      <c r="M3144" s="9"/>
    </row>
    <row r="3145" spans="9:13" x14ac:dyDescent="0.3">
      <c r="I3145" s="7"/>
      <c r="J3145" s="9"/>
      <c r="K3145" s="9"/>
      <c r="L3145" s="9"/>
      <c r="M3145" s="9"/>
    </row>
    <row r="3146" spans="9:13" x14ac:dyDescent="0.3">
      <c r="I3146" s="7"/>
      <c r="J3146" s="9"/>
      <c r="K3146" s="9"/>
      <c r="L3146" s="9"/>
      <c r="M3146" s="9"/>
    </row>
    <row r="3147" spans="9:13" x14ac:dyDescent="0.3">
      <c r="I3147" s="7"/>
      <c r="J3147" s="9"/>
      <c r="K3147" s="9"/>
      <c r="L3147" s="9"/>
      <c r="M3147" s="9"/>
    </row>
    <row r="3148" spans="9:13" x14ac:dyDescent="0.3">
      <c r="I3148" s="7"/>
      <c r="J3148" s="9"/>
      <c r="K3148" s="9"/>
      <c r="L3148" s="9"/>
      <c r="M3148" s="9"/>
    </row>
    <row r="3149" spans="9:13" x14ac:dyDescent="0.3">
      <c r="I3149" s="7"/>
      <c r="J3149" s="9"/>
      <c r="K3149" s="9"/>
      <c r="L3149" s="9"/>
      <c r="M3149" s="9"/>
    </row>
    <row r="3150" spans="9:13" x14ac:dyDescent="0.3">
      <c r="I3150" s="7"/>
      <c r="J3150" s="9"/>
      <c r="K3150" s="9"/>
      <c r="L3150" s="9"/>
      <c r="M3150" s="9"/>
    </row>
    <row r="3151" spans="9:13" x14ac:dyDescent="0.3">
      <c r="I3151" s="7"/>
      <c r="J3151" s="9"/>
      <c r="K3151" s="9"/>
      <c r="L3151" s="9"/>
      <c r="M3151" s="9"/>
    </row>
    <row r="3152" spans="9:13" x14ac:dyDescent="0.3">
      <c r="I3152" s="7"/>
      <c r="J3152" s="9"/>
      <c r="K3152" s="9"/>
      <c r="L3152" s="9"/>
      <c r="M3152" s="9"/>
    </row>
    <row r="3153" spans="9:13" x14ac:dyDescent="0.3">
      <c r="I3153" s="7"/>
      <c r="J3153" s="9"/>
      <c r="K3153" s="9"/>
      <c r="L3153" s="9"/>
      <c r="M3153" s="9"/>
    </row>
    <row r="3154" spans="9:13" x14ac:dyDescent="0.3">
      <c r="I3154" s="7"/>
      <c r="J3154" s="9"/>
      <c r="K3154" s="9"/>
      <c r="L3154" s="9"/>
      <c r="M3154" s="9"/>
    </row>
    <row r="3155" spans="9:13" x14ac:dyDescent="0.3">
      <c r="I3155" s="7"/>
      <c r="J3155" s="9"/>
      <c r="K3155" s="9"/>
      <c r="L3155" s="9"/>
      <c r="M3155" s="9"/>
    </row>
    <row r="3156" spans="9:13" x14ac:dyDescent="0.3">
      <c r="I3156" s="7"/>
      <c r="J3156" s="9"/>
      <c r="K3156" s="9"/>
      <c r="L3156" s="9"/>
      <c r="M3156" s="9"/>
    </row>
    <row r="3157" spans="9:13" x14ac:dyDescent="0.3">
      <c r="I3157" s="7"/>
      <c r="J3157" s="9"/>
      <c r="K3157" s="9"/>
      <c r="L3157" s="9"/>
      <c r="M3157" s="9"/>
    </row>
    <row r="3158" spans="9:13" x14ac:dyDescent="0.3">
      <c r="I3158" s="7"/>
      <c r="J3158" s="9"/>
      <c r="K3158" s="9"/>
      <c r="L3158" s="9"/>
      <c r="M3158" s="9"/>
    </row>
    <row r="3159" spans="9:13" x14ac:dyDescent="0.3">
      <c r="I3159" s="7"/>
      <c r="J3159" s="9"/>
      <c r="K3159" s="9"/>
      <c r="L3159" s="9"/>
      <c r="M3159" s="9"/>
    </row>
    <row r="3160" spans="9:13" x14ac:dyDescent="0.3">
      <c r="I3160" s="7"/>
      <c r="J3160" s="9"/>
      <c r="K3160" s="9"/>
      <c r="L3160" s="9"/>
      <c r="M3160" s="9"/>
    </row>
    <row r="3161" spans="9:13" x14ac:dyDescent="0.3">
      <c r="I3161" s="7"/>
      <c r="J3161" s="9"/>
      <c r="K3161" s="9"/>
      <c r="L3161" s="9"/>
      <c r="M3161" s="9"/>
    </row>
    <row r="3162" spans="9:13" x14ac:dyDescent="0.3">
      <c r="I3162" s="7"/>
      <c r="J3162" s="9"/>
      <c r="K3162" s="9"/>
      <c r="L3162" s="9"/>
      <c r="M3162" s="9"/>
    </row>
    <row r="3163" spans="9:13" x14ac:dyDescent="0.3">
      <c r="I3163" s="7"/>
      <c r="J3163" s="9"/>
      <c r="K3163" s="9"/>
      <c r="L3163" s="9"/>
      <c r="M3163" s="9"/>
    </row>
    <row r="3164" spans="9:13" x14ac:dyDescent="0.3">
      <c r="I3164" s="7"/>
      <c r="J3164" s="9"/>
      <c r="K3164" s="9"/>
      <c r="L3164" s="9"/>
      <c r="M3164" s="9"/>
    </row>
    <row r="3165" spans="9:13" x14ac:dyDescent="0.3">
      <c r="I3165" s="7"/>
      <c r="J3165" s="9"/>
      <c r="K3165" s="9"/>
      <c r="L3165" s="9"/>
      <c r="M3165" s="9"/>
    </row>
    <row r="3166" spans="9:13" x14ac:dyDescent="0.3">
      <c r="I3166" s="7"/>
      <c r="J3166" s="9"/>
      <c r="K3166" s="9"/>
      <c r="L3166" s="9"/>
      <c r="M3166" s="9"/>
    </row>
    <row r="3167" spans="9:13" x14ac:dyDescent="0.3">
      <c r="I3167" s="7"/>
      <c r="J3167" s="9"/>
      <c r="K3167" s="9"/>
      <c r="L3167" s="9"/>
      <c r="M3167" s="9"/>
    </row>
    <row r="3168" spans="9:13" x14ac:dyDescent="0.3">
      <c r="I3168" s="7"/>
      <c r="J3168" s="9"/>
      <c r="K3168" s="9"/>
      <c r="L3168" s="9"/>
      <c r="M3168" s="9"/>
    </row>
    <row r="3169" spans="9:13" x14ac:dyDescent="0.3">
      <c r="I3169" s="7"/>
      <c r="J3169" s="9"/>
      <c r="K3169" s="9"/>
      <c r="L3169" s="9"/>
      <c r="M3169" s="9"/>
    </row>
    <row r="3170" spans="9:13" x14ac:dyDescent="0.3">
      <c r="I3170" s="7"/>
      <c r="J3170" s="9"/>
      <c r="K3170" s="9"/>
      <c r="L3170" s="9"/>
      <c r="M3170" s="9"/>
    </row>
    <row r="3171" spans="9:13" x14ac:dyDescent="0.3">
      <c r="I3171" s="7"/>
      <c r="J3171" s="9"/>
      <c r="K3171" s="9"/>
      <c r="L3171" s="9"/>
      <c r="M3171" s="9"/>
    </row>
    <row r="3172" spans="9:13" x14ac:dyDescent="0.3">
      <c r="I3172" s="7"/>
      <c r="J3172" s="9"/>
      <c r="K3172" s="9"/>
      <c r="L3172" s="9"/>
      <c r="M3172" s="9"/>
    </row>
    <row r="3173" spans="9:13" x14ac:dyDescent="0.3">
      <c r="I3173" s="7"/>
      <c r="J3173" s="9"/>
      <c r="K3173" s="9"/>
      <c r="L3173" s="9"/>
      <c r="M3173" s="9"/>
    </row>
    <row r="3174" spans="9:13" x14ac:dyDescent="0.3">
      <c r="I3174" s="7"/>
      <c r="J3174" s="9"/>
      <c r="K3174" s="9"/>
      <c r="L3174" s="9"/>
      <c r="M3174" s="9"/>
    </row>
    <row r="3175" spans="9:13" x14ac:dyDescent="0.3">
      <c r="I3175" s="7"/>
      <c r="J3175" s="9"/>
      <c r="K3175" s="9"/>
      <c r="L3175" s="9"/>
      <c r="M3175" s="9"/>
    </row>
    <row r="3176" spans="9:13" x14ac:dyDescent="0.3">
      <c r="I3176" s="7"/>
      <c r="J3176" s="9"/>
      <c r="K3176" s="9"/>
      <c r="L3176" s="9"/>
      <c r="M3176" s="9"/>
    </row>
    <row r="3177" spans="9:13" x14ac:dyDescent="0.3">
      <c r="I3177" s="7"/>
      <c r="J3177" s="9"/>
      <c r="K3177" s="9"/>
      <c r="L3177" s="9"/>
      <c r="M3177" s="9"/>
    </row>
    <row r="3178" spans="9:13" x14ac:dyDescent="0.3">
      <c r="I3178" s="7"/>
      <c r="J3178" s="9"/>
      <c r="K3178" s="9"/>
      <c r="L3178" s="9"/>
      <c r="M3178" s="9"/>
    </row>
    <row r="3179" spans="9:13" x14ac:dyDescent="0.3">
      <c r="I3179" s="7"/>
      <c r="J3179" s="9"/>
      <c r="K3179" s="9"/>
      <c r="L3179" s="9"/>
      <c r="M3179" s="9"/>
    </row>
    <row r="3180" spans="9:13" x14ac:dyDescent="0.3">
      <c r="I3180" s="7"/>
      <c r="J3180" s="9"/>
      <c r="K3180" s="9"/>
      <c r="L3180" s="9"/>
      <c r="M3180" s="9"/>
    </row>
    <row r="3181" spans="9:13" x14ac:dyDescent="0.3">
      <c r="I3181" s="7"/>
      <c r="J3181" s="9"/>
      <c r="K3181" s="9"/>
      <c r="L3181" s="9"/>
      <c r="M3181" s="9"/>
    </row>
    <row r="3182" spans="9:13" x14ac:dyDescent="0.3">
      <c r="I3182" s="7"/>
      <c r="J3182" s="9"/>
      <c r="K3182" s="9"/>
      <c r="L3182" s="9"/>
      <c r="M3182" s="9"/>
    </row>
    <row r="3183" spans="9:13" x14ac:dyDescent="0.3">
      <c r="I3183" s="7"/>
      <c r="J3183" s="9"/>
      <c r="K3183" s="9"/>
      <c r="L3183" s="9"/>
      <c r="M3183" s="9"/>
    </row>
    <row r="3184" spans="9:13" x14ac:dyDescent="0.3">
      <c r="I3184" s="7"/>
      <c r="J3184" s="9"/>
      <c r="K3184" s="9"/>
      <c r="L3184" s="9"/>
      <c r="M3184" s="9"/>
    </row>
    <row r="3185" spans="9:13" x14ac:dyDescent="0.3">
      <c r="I3185" s="7"/>
      <c r="J3185" s="9"/>
      <c r="K3185" s="9"/>
      <c r="L3185" s="9"/>
      <c r="M3185" s="9"/>
    </row>
    <row r="3186" spans="9:13" x14ac:dyDescent="0.3">
      <c r="I3186" s="7"/>
      <c r="J3186" s="9"/>
      <c r="K3186" s="9"/>
      <c r="L3186" s="9"/>
      <c r="M3186" s="9"/>
    </row>
    <row r="3187" spans="9:13" x14ac:dyDescent="0.3">
      <c r="I3187" s="7"/>
      <c r="J3187" s="9"/>
      <c r="K3187" s="9"/>
      <c r="L3187" s="9"/>
      <c r="M3187" s="9"/>
    </row>
    <row r="3188" spans="9:13" x14ac:dyDescent="0.3">
      <c r="I3188" s="7"/>
      <c r="J3188" s="9"/>
      <c r="K3188" s="9"/>
      <c r="L3188" s="9"/>
      <c r="M3188" s="9"/>
    </row>
    <row r="3189" spans="9:13" x14ac:dyDescent="0.3">
      <c r="I3189" s="7"/>
      <c r="J3189" s="9"/>
      <c r="K3189" s="9"/>
      <c r="L3189" s="9"/>
      <c r="M3189" s="9"/>
    </row>
    <row r="3190" spans="9:13" x14ac:dyDescent="0.3">
      <c r="I3190" s="7"/>
      <c r="J3190" s="9"/>
      <c r="K3190" s="9"/>
      <c r="L3190" s="9"/>
      <c r="M3190" s="9"/>
    </row>
    <row r="3191" spans="9:13" x14ac:dyDescent="0.3">
      <c r="I3191" s="7"/>
      <c r="J3191" s="9"/>
      <c r="K3191" s="9"/>
      <c r="L3191" s="9"/>
      <c r="M3191" s="9"/>
    </row>
    <row r="3192" spans="9:13" x14ac:dyDescent="0.3">
      <c r="I3192" s="7"/>
      <c r="J3192" s="9"/>
      <c r="K3192" s="9"/>
      <c r="L3192" s="9"/>
      <c r="M3192" s="9"/>
    </row>
    <row r="3193" spans="9:13" x14ac:dyDescent="0.3">
      <c r="I3193" s="7"/>
      <c r="J3193" s="9"/>
      <c r="K3193" s="9"/>
      <c r="L3193" s="9"/>
      <c r="M3193" s="9"/>
    </row>
    <row r="3194" spans="9:13" x14ac:dyDescent="0.3">
      <c r="I3194" s="7"/>
      <c r="J3194" s="9"/>
      <c r="K3194" s="9"/>
      <c r="L3194" s="9"/>
      <c r="M3194" s="9"/>
    </row>
    <row r="3195" spans="9:13" x14ac:dyDescent="0.3">
      <c r="I3195" s="7"/>
      <c r="J3195" s="9"/>
      <c r="K3195" s="9"/>
      <c r="L3195" s="9"/>
      <c r="M3195" s="9"/>
    </row>
    <row r="3196" spans="9:13" x14ac:dyDescent="0.3">
      <c r="I3196" s="7"/>
      <c r="J3196" s="9"/>
      <c r="K3196" s="9"/>
      <c r="L3196" s="9"/>
      <c r="M3196" s="9"/>
    </row>
    <row r="3197" spans="9:13" x14ac:dyDescent="0.3">
      <c r="I3197" s="7"/>
      <c r="J3197" s="9"/>
      <c r="K3197" s="9"/>
      <c r="L3197" s="9"/>
      <c r="M3197" s="9"/>
    </row>
    <row r="3198" spans="9:13" x14ac:dyDescent="0.3">
      <c r="I3198" s="7"/>
      <c r="J3198" s="9"/>
      <c r="K3198" s="9"/>
      <c r="L3198" s="9"/>
      <c r="M3198" s="9"/>
    </row>
    <row r="3199" spans="9:13" x14ac:dyDescent="0.3">
      <c r="I3199" s="7"/>
      <c r="J3199" s="9"/>
      <c r="K3199" s="9"/>
      <c r="L3199" s="9"/>
      <c r="M3199" s="9"/>
    </row>
    <row r="3200" spans="9:13" x14ac:dyDescent="0.3">
      <c r="I3200" s="7"/>
      <c r="J3200" s="9"/>
      <c r="K3200" s="9"/>
      <c r="L3200" s="9"/>
      <c r="M3200" s="9"/>
    </row>
    <row r="3201" spans="9:13" x14ac:dyDescent="0.3">
      <c r="I3201" s="7"/>
      <c r="J3201" s="9"/>
      <c r="K3201" s="9"/>
      <c r="L3201" s="9"/>
      <c r="M3201" s="9"/>
    </row>
    <row r="3202" spans="9:13" x14ac:dyDescent="0.3">
      <c r="I3202" s="7"/>
      <c r="J3202" s="9"/>
      <c r="K3202" s="9"/>
      <c r="L3202" s="9"/>
      <c r="M3202" s="9"/>
    </row>
    <row r="3203" spans="9:13" x14ac:dyDescent="0.3">
      <c r="I3203" s="7"/>
      <c r="J3203" s="9"/>
      <c r="K3203" s="9"/>
      <c r="L3203" s="9"/>
      <c r="M3203" s="9"/>
    </row>
    <row r="3204" spans="9:13" x14ac:dyDescent="0.3">
      <c r="I3204" s="7"/>
      <c r="J3204" s="9"/>
      <c r="K3204" s="9"/>
      <c r="L3204" s="9"/>
      <c r="M3204" s="9"/>
    </row>
    <row r="3205" spans="9:13" x14ac:dyDescent="0.3">
      <c r="I3205" s="7"/>
      <c r="J3205" s="9"/>
      <c r="K3205" s="9"/>
      <c r="L3205" s="9"/>
      <c r="M3205" s="9"/>
    </row>
    <row r="3206" spans="9:13" x14ac:dyDescent="0.3">
      <c r="I3206" s="7"/>
      <c r="J3206" s="9"/>
      <c r="K3206" s="9"/>
      <c r="L3206" s="9"/>
      <c r="M3206" s="9"/>
    </row>
    <row r="3207" spans="9:13" x14ac:dyDescent="0.3">
      <c r="I3207" s="7"/>
      <c r="J3207" s="9"/>
      <c r="K3207" s="9"/>
      <c r="L3207" s="9"/>
      <c r="M3207" s="9"/>
    </row>
    <row r="3208" spans="9:13" x14ac:dyDescent="0.3">
      <c r="I3208" s="7"/>
      <c r="J3208" s="9"/>
      <c r="K3208" s="9"/>
      <c r="L3208" s="9"/>
      <c r="M3208" s="9"/>
    </row>
    <row r="3209" spans="9:13" x14ac:dyDescent="0.3">
      <c r="I3209" s="7"/>
      <c r="J3209" s="9"/>
      <c r="K3209" s="9"/>
      <c r="L3209" s="9"/>
      <c r="M3209" s="9"/>
    </row>
    <row r="3210" spans="9:13" x14ac:dyDescent="0.3">
      <c r="I3210" s="7"/>
      <c r="J3210" s="9"/>
      <c r="K3210" s="9"/>
      <c r="L3210" s="9"/>
      <c r="M3210" s="9"/>
    </row>
    <row r="3211" spans="9:13" x14ac:dyDescent="0.3">
      <c r="I3211" s="7"/>
      <c r="J3211" s="9"/>
      <c r="K3211" s="9"/>
      <c r="L3211" s="9"/>
      <c r="M3211" s="9"/>
    </row>
    <row r="3212" spans="9:13" x14ac:dyDescent="0.3">
      <c r="I3212" s="7"/>
      <c r="J3212" s="9"/>
      <c r="K3212" s="9"/>
      <c r="L3212" s="9"/>
      <c r="M3212" s="9"/>
    </row>
    <row r="3213" spans="9:13" x14ac:dyDescent="0.3">
      <c r="I3213" s="7"/>
      <c r="J3213" s="9"/>
      <c r="K3213" s="9"/>
      <c r="L3213" s="9"/>
      <c r="M3213" s="9"/>
    </row>
    <row r="3214" spans="9:13" x14ac:dyDescent="0.3">
      <c r="I3214" s="7"/>
      <c r="J3214" s="9"/>
      <c r="K3214" s="9"/>
      <c r="L3214" s="9"/>
      <c r="M3214" s="9"/>
    </row>
    <row r="3215" spans="9:13" x14ac:dyDescent="0.3">
      <c r="I3215" s="7"/>
      <c r="J3215" s="9"/>
      <c r="K3215" s="9"/>
      <c r="L3215" s="9"/>
      <c r="M3215" s="9"/>
    </row>
    <row r="3216" spans="9:13" x14ac:dyDescent="0.3">
      <c r="I3216" s="7"/>
      <c r="J3216" s="9"/>
      <c r="K3216" s="9"/>
      <c r="L3216" s="9"/>
      <c r="M3216" s="9"/>
    </row>
    <row r="3217" spans="9:13" x14ac:dyDescent="0.3">
      <c r="I3217" s="7"/>
      <c r="J3217" s="9"/>
      <c r="K3217" s="9"/>
      <c r="L3217" s="9"/>
      <c r="M3217" s="9"/>
    </row>
    <row r="3218" spans="9:13" x14ac:dyDescent="0.3">
      <c r="I3218" s="7"/>
      <c r="J3218" s="9"/>
      <c r="K3218" s="9"/>
      <c r="L3218" s="9"/>
      <c r="M3218" s="9"/>
    </row>
    <row r="3219" spans="9:13" x14ac:dyDescent="0.3">
      <c r="I3219" s="7"/>
      <c r="J3219" s="9"/>
      <c r="K3219" s="9"/>
      <c r="L3219" s="9"/>
      <c r="M3219" s="9"/>
    </row>
    <row r="3220" spans="9:13" x14ac:dyDescent="0.3">
      <c r="I3220" s="7"/>
      <c r="J3220" s="9"/>
      <c r="K3220" s="9"/>
      <c r="L3220" s="9"/>
      <c r="M3220" s="9"/>
    </row>
    <row r="3221" spans="9:13" x14ac:dyDescent="0.3">
      <c r="I3221" s="7"/>
      <c r="J3221" s="9"/>
      <c r="K3221" s="9"/>
      <c r="L3221" s="9"/>
      <c r="M3221" s="9"/>
    </row>
    <row r="3222" spans="9:13" x14ac:dyDescent="0.3">
      <c r="I3222" s="7"/>
      <c r="J3222" s="9"/>
      <c r="K3222" s="9"/>
      <c r="L3222" s="9"/>
      <c r="M3222" s="9"/>
    </row>
    <row r="3223" spans="9:13" x14ac:dyDescent="0.3">
      <c r="I3223" s="7"/>
      <c r="J3223" s="9"/>
      <c r="K3223" s="9"/>
      <c r="L3223" s="9"/>
      <c r="M3223" s="9"/>
    </row>
    <row r="3224" spans="9:13" x14ac:dyDescent="0.3">
      <c r="I3224" s="7"/>
      <c r="J3224" s="9"/>
      <c r="K3224" s="9"/>
      <c r="L3224" s="9"/>
      <c r="M3224" s="9"/>
    </row>
    <row r="3225" spans="9:13" x14ac:dyDescent="0.3">
      <c r="I3225" s="7"/>
      <c r="J3225" s="9"/>
      <c r="K3225" s="9"/>
      <c r="L3225" s="9"/>
      <c r="M3225" s="9"/>
    </row>
    <row r="3226" spans="9:13" x14ac:dyDescent="0.3">
      <c r="I3226" s="7"/>
      <c r="J3226" s="9"/>
      <c r="K3226" s="9"/>
      <c r="L3226" s="9"/>
      <c r="M3226" s="9"/>
    </row>
    <row r="3227" spans="9:13" x14ac:dyDescent="0.3">
      <c r="I3227" s="7"/>
      <c r="J3227" s="9"/>
      <c r="K3227" s="9"/>
      <c r="L3227" s="9"/>
      <c r="M3227" s="9"/>
    </row>
    <row r="3228" spans="9:13" x14ac:dyDescent="0.3">
      <c r="I3228" s="7"/>
      <c r="J3228" s="9"/>
      <c r="K3228" s="9"/>
      <c r="L3228" s="9"/>
      <c r="M3228" s="9"/>
    </row>
    <row r="3229" spans="9:13" x14ac:dyDescent="0.3">
      <c r="I3229" s="7"/>
      <c r="J3229" s="9"/>
      <c r="K3229" s="9"/>
      <c r="L3229" s="9"/>
      <c r="M3229" s="9"/>
    </row>
    <row r="3230" spans="9:13" x14ac:dyDescent="0.3">
      <c r="I3230" s="7"/>
      <c r="J3230" s="9"/>
      <c r="K3230" s="9"/>
      <c r="L3230" s="9"/>
      <c r="M3230" s="9"/>
    </row>
    <row r="3231" spans="9:13" x14ac:dyDescent="0.3">
      <c r="I3231" s="7"/>
      <c r="J3231" s="9"/>
      <c r="K3231" s="9"/>
      <c r="L3231" s="9"/>
      <c r="M3231" s="9"/>
    </row>
    <row r="3232" spans="9:13" x14ac:dyDescent="0.3">
      <c r="I3232" s="7"/>
      <c r="J3232" s="9"/>
      <c r="K3232" s="9"/>
      <c r="L3232" s="9"/>
      <c r="M3232" s="9"/>
    </row>
    <row r="3233" spans="9:13" x14ac:dyDescent="0.3">
      <c r="I3233" s="7"/>
      <c r="J3233" s="9"/>
      <c r="K3233" s="9"/>
      <c r="L3233" s="9"/>
      <c r="M3233" s="9"/>
    </row>
    <row r="3234" spans="9:13" x14ac:dyDescent="0.3">
      <c r="I3234" s="7"/>
      <c r="J3234" s="9"/>
      <c r="K3234" s="9"/>
      <c r="L3234" s="9"/>
      <c r="M3234" s="9"/>
    </row>
    <row r="3235" spans="9:13" x14ac:dyDescent="0.3">
      <c r="I3235" s="7"/>
      <c r="J3235" s="9"/>
      <c r="K3235" s="9"/>
      <c r="L3235" s="9"/>
      <c r="M3235" s="9"/>
    </row>
    <row r="3236" spans="9:13" x14ac:dyDescent="0.3">
      <c r="I3236" s="7"/>
      <c r="J3236" s="9"/>
      <c r="K3236" s="9"/>
      <c r="L3236" s="9"/>
      <c r="M3236" s="9"/>
    </row>
    <row r="3237" spans="9:13" x14ac:dyDescent="0.3">
      <c r="I3237" s="7"/>
      <c r="J3237" s="9"/>
      <c r="K3237" s="9"/>
      <c r="L3237" s="9"/>
      <c r="M3237" s="9"/>
    </row>
    <row r="3238" spans="9:13" x14ac:dyDescent="0.3">
      <c r="I3238" s="7"/>
      <c r="J3238" s="9"/>
      <c r="K3238" s="9"/>
      <c r="L3238" s="9"/>
      <c r="M3238" s="9"/>
    </row>
    <row r="3239" spans="9:13" x14ac:dyDescent="0.3">
      <c r="I3239" s="7"/>
      <c r="J3239" s="9"/>
      <c r="K3239" s="9"/>
      <c r="L3239" s="9"/>
      <c r="M3239" s="9"/>
    </row>
    <row r="3240" spans="9:13" x14ac:dyDescent="0.3">
      <c r="I3240" s="7"/>
      <c r="J3240" s="9"/>
      <c r="K3240" s="9"/>
      <c r="L3240" s="9"/>
      <c r="M3240" s="9"/>
    </row>
    <row r="3241" spans="9:13" x14ac:dyDescent="0.3">
      <c r="I3241" s="7"/>
      <c r="J3241" s="9"/>
      <c r="K3241" s="9"/>
      <c r="L3241" s="9"/>
      <c r="M3241" s="9"/>
    </row>
    <row r="3242" spans="9:13" x14ac:dyDescent="0.3">
      <c r="I3242" s="7"/>
      <c r="J3242" s="9"/>
      <c r="K3242" s="9"/>
      <c r="L3242" s="9"/>
      <c r="M3242" s="9"/>
    </row>
    <row r="3243" spans="9:13" x14ac:dyDescent="0.3">
      <c r="I3243" s="7"/>
      <c r="J3243" s="9"/>
      <c r="K3243" s="9"/>
      <c r="L3243" s="9"/>
      <c r="M3243" s="9"/>
    </row>
    <row r="3244" spans="9:13" x14ac:dyDescent="0.3">
      <c r="I3244" s="7"/>
      <c r="J3244" s="9"/>
      <c r="K3244" s="9"/>
      <c r="L3244" s="9"/>
      <c r="M3244" s="9"/>
    </row>
    <row r="3245" spans="9:13" x14ac:dyDescent="0.3">
      <c r="I3245" s="7"/>
      <c r="J3245" s="9"/>
      <c r="K3245" s="9"/>
      <c r="L3245" s="9"/>
      <c r="M3245" s="9"/>
    </row>
    <row r="3246" spans="9:13" x14ac:dyDescent="0.3">
      <c r="I3246" s="7"/>
      <c r="J3246" s="9"/>
      <c r="K3246" s="9"/>
      <c r="L3246" s="9"/>
      <c r="M3246" s="9"/>
    </row>
    <row r="3247" spans="9:13" x14ac:dyDescent="0.3">
      <c r="I3247" s="7"/>
      <c r="J3247" s="9"/>
      <c r="K3247" s="9"/>
      <c r="L3247" s="9"/>
      <c r="M3247" s="9"/>
    </row>
    <row r="3248" spans="9:13" x14ac:dyDescent="0.3">
      <c r="I3248" s="7"/>
      <c r="J3248" s="9"/>
      <c r="K3248" s="9"/>
      <c r="L3248" s="9"/>
      <c r="M3248" s="9"/>
    </row>
    <row r="3249" spans="9:13" x14ac:dyDescent="0.3">
      <c r="I3249" s="7"/>
      <c r="J3249" s="9"/>
      <c r="K3249" s="9"/>
      <c r="L3249" s="9"/>
      <c r="M3249" s="9"/>
    </row>
    <row r="3250" spans="9:13" x14ac:dyDescent="0.3">
      <c r="I3250" s="7"/>
      <c r="J3250" s="9"/>
      <c r="K3250" s="9"/>
      <c r="L3250" s="9"/>
      <c r="M3250" s="9"/>
    </row>
    <row r="3251" spans="9:13" x14ac:dyDescent="0.3">
      <c r="I3251" s="7"/>
      <c r="J3251" s="9"/>
      <c r="K3251" s="9"/>
      <c r="L3251" s="9"/>
      <c r="M3251" s="9"/>
    </row>
    <row r="3252" spans="9:13" x14ac:dyDescent="0.3">
      <c r="I3252" s="7"/>
      <c r="J3252" s="9"/>
      <c r="K3252" s="9"/>
      <c r="L3252" s="9"/>
      <c r="M3252" s="9"/>
    </row>
    <row r="3253" spans="9:13" x14ac:dyDescent="0.3">
      <c r="I3253" s="7"/>
      <c r="J3253" s="9"/>
      <c r="K3253" s="9"/>
      <c r="L3253" s="9"/>
      <c r="M3253" s="9"/>
    </row>
    <row r="3254" spans="9:13" x14ac:dyDescent="0.3">
      <c r="I3254" s="7"/>
      <c r="J3254" s="9"/>
      <c r="K3254" s="9"/>
      <c r="L3254" s="9"/>
      <c r="M3254" s="9"/>
    </row>
    <row r="3255" spans="9:13" x14ac:dyDescent="0.3">
      <c r="I3255" s="7"/>
      <c r="J3255" s="9"/>
      <c r="K3255" s="9"/>
      <c r="L3255" s="9"/>
      <c r="M3255" s="9"/>
    </row>
    <row r="3256" spans="9:13" x14ac:dyDescent="0.3">
      <c r="I3256" s="7"/>
      <c r="J3256" s="9"/>
      <c r="K3256" s="9"/>
      <c r="L3256" s="9"/>
      <c r="M3256" s="9"/>
    </row>
    <row r="3257" spans="9:13" x14ac:dyDescent="0.3">
      <c r="I3257" s="7"/>
      <c r="J3257" s="9"/>
      <c r="K3257" s="9"/>
      <c r="L3257" s="9"/>
      <c r="M3257" s="9"/>
    </row>
    <row r="3258" spans="9:13" x14ac:dyDescent="0.3">
      <c r="I3258" s="7"/>
      <c r="J3258" s="9"/>
      <c r="K3258" s="9"/>
      <c r="L3258" s="9"/>
      <c r="M3258" s="9"/>
    </row>
    <row r="3259" spans="9:13" x14ac:dyDescent="0.3">
      <c r="I3259" s="7"/>
      <c r="J3259" s="9"/>
      <c r="K3259" s="9"/>
      <c r="L3259" s="9"/>
      <c r="M3259" s="9"/>
    </row>
    <row r="3260" spans="9:13" x14ac:dyDescent="0.3">
      <c r="I3260" s="7"/>
      <c r="J3260" s="9"/>
      <c r="K3260" s="9"/>
      <c r="L3260" s="9"/>
      <c r="M3260" s="9"/>
    </row>
    <row r="3261" spans="9:13" x14ac:dyDescent="0.3">
      <c r="I3261" s="7"/>
      <c r="J3261" s="9"/>
      <c r="K3261" s="9"/>
      <c r="L3261" s="9"/>
      <c r="M3261" s="9"/>
    </row>
    <row r="3262" spans="9:13" x14ac:dyDescent="0.3">
      <c r="I3262" s="7"/>
      <c r="J3262" s="9"/>
      <c r="K3262" s="9"/>
      <c r="L3262" s="9"/>
      <c r="M3262" s="9"/>
    </row>
    <row r="3263" spans="9:13" x14ac:dyDescent="0.3">
      <c r="I3263" s="7"/>
      <c r="J3263" s="9"/>
      <c r="K3263" s="9"/>
      <c r="L3263" s="9"/>
      <c r="M3263" s="9"/>
    </row>
    <row r="3264" spans="9:13" x14ac:dyDescent="0.3">
      <c r="I3264" s="7"/>
      <c r="J3264" s="9"/>
      <c r="K3264" s="9"/>
      <c r="L3264" s="9"/>
      <c r="M3264" s="9"/>
    </row>
    <row r="3265" spans="9:13" x14ac:dyDescent="0.3">
      <c r="I3265" s="7"/>
      <c r="J3265" s="9"/>
      <c r="K3265" s="9"/>
      <c r="L3265" s="9"/>
      <c r="M3265" s="9"/>
    </row>
    <row r="3266" spans="9:13" x14ac:dyDescent="0.3">
      <c r="I3266" s="7"/>
      <c r="J3266" s="9"/>
      <c r="K3266" s="9"/>
      <c r="L3266" s="9"/>
      <c r="M3266" s="9"/>
    </row>
    <row r="3267" spans="9:13" x14ac:dyDescent="0.3">
      <c r="I3267" s="7"/>
      <c r="J3267" s="9"/>
      <c r="K3267" s="9"/>
      <c r="L3267" s="9"/>
      <c r="M3267" s="9"/>
    </row>
    <row r="3268" spans="9:13" x14ac:dyDescent="0.3">
      <c r="I3268" s="7"/>
      <c r="J3268" s="9"/>
      <c r="K3268" s="9"/>
      <c r="L3268" s="9"/>
      <c r="M3268" s="9"/>
    </row>
    <row r="3269" spans="9:13" x14ac:dyDescent="0.3">
      <c r="I3269" s="7"/>
      <c r="J3269" s="9"/>
      <c r="K3269" s="9"/>
      <c r="L3269" s="9"/>
      <c r="M3269" s="9"/>
    </row>
    <row r="3270" spans="9:13" x14ac:dyDescent="0.3">
      <c r="I3270" s="7"/>
      <c r="J3270" s="9"/>
      <c r="K3270" s="9"/>
      <c r="L3270" s="9"/>
      <c r="M3270" s="9"/>
    </row>
    <row r="3271" spans="9:13" x14ac:dyDescent="0.3">
      <c r="I3271" s="7"/>
      <c r="J3271" s="9"/>
      <c r="K3271" s="9"/>
      <c r="L3271" s="9"/>
      <c r="M3271" s="9"/>
    </row>
    <row r="3272" spans="9:13" x14ac:dyDescent="0.3">
      <c r="I3272" s="7"/>
      <c r="J3272" s="9"/>
      <c r="K3272" s="9"/>
      <c r="L3272" s="9"/>
      <c r="M3272" s="9"/>
    </row>
    <row r="3273" spans="9:13" x14ac:dyDescent="0.3">
      <c r="I3273" s="7"/>
      <c r="J3273" s="9"/>
      <c r="K3273" s="9"/>
      <c r="L3273" s="9"/>
      <c r="M3273" s="9"/>
    </row>
    <row r="3274" spans="9:13" x14ac:dyDescent="0.3">
      <c r="I3274" s="7"/>
      <c r="J3274" s="9"/>
      <c r="K3274" s="9"/>
      <c r="L3274" s="9"/>
      <c r="M3274" s="9"/>
    </row>
    <row r="3275" spans="9:13" x14ac:dyDescent="0.3">
      <c r="I3275" s="7"/>
      <c r="J3275" s="9"/>
      <c r="K3275" s="9"/>
      <c r="L3275" s="9"/>
      <c r="M3275" s="9"/>
    </row>
    <row r="3276" spans="9:13" x14ac:dyDescent="0.3">
      <c r="I3276" s="7"/>
      <c r="J3276" s="9"/>
      <c r="K3276" s="9"/>
      <c r="L3276" s="9"/>
      <c r="M3276" s="9"/>
    </row>
    <row r="3277" spans="9:13" x14ac:dyDescent="0.3">
      <c r="I3277" s="7"/>
      <c r="J3277" s="9"/>
      <c r="K3277" s="9"/>
      <c r="L3277" s="9"/>
      <c r="M3277" s="9"/>
    </row>
    <row r="3278" spans="9:13" x14ac:dyDescent="0.3">
      <c r="I3278" s="7"/>
      <c r="J3278" s="9"/>
      <c r="K3278" s="9"/>
      <c r="L3278" s="9"/>
      <c r="M3278" s="9"/>
    </row>
    <row r="3279" spans="9:13" x14ac:dyDescent="0.3">
      <c r="I3279" s="7"/>
      <c r="J3279" s="9"/>
      <c r="K3279" s="9"/>
      <c r="L3279" s="9"/>
      <c r="M3279" s="9"/>
    </row>
    <row r="3280" spans="9:13" x14ac:dyDescent="0.3">
      <c r="I3280" s="7"/>
      <c r="J3280" s="9"/>
      <c r="K3280" s="9"/>
      <c r="L3280" s="9"/>
      <c r="M3280" s="9"/>
    </row>
    <row r="3281" spans="9:13" x14ac:dyDescent="0.3">
      <c r="I3281" s="7"/>
      <c r="J3281" s="9"/>
      <c r="K3281" s="9"/>
      <c r="L3281" s="9"/>
      <c r="M3281" s="9"/>
    </row>
    <row r="3282" spans="9:13" x14ac:dyDescent="0.3">
      <c r="I3282" s="7"/>
      <c r="J3282" s="9"/>
      <c r="K3282" s="9"/>
      <c r="L3282" s="9"/>
      <c r="M3282" s="9"/>
    </row>
    <row r="3283" spans="9:13" x14ac:dyDescent="0.3">
      <c r="I3283" s="7"/>
      <c r="J3283" s="9"/>
      <c r="K3283" s="9"/>
      <c r="L3283" s="9"/>
      <c r="M3283" s="9"/>
    </row>
    <row r="3284" spans="9:13" x14ac:dyDescent="0.3">
      <c r="I3284" s="7"/>
      <c r="J3284" s="9"/>
      <c r="K3284" s="9"/>
      <c r="L3284" s="9"/>
      <c r="M3284" s="9"/>
    </row>
    <row r="3285" spans="9:13" x14ac:dyDescent="0.3">
      <c r="I3285" s="7"/>
      <c r="J3285" s="9"/>
      <c r="K3285" s="9"/>
      <c r="L3285" s="9"/>
      <c r="M3285" s="9"/>
    </row>
    <row r="3286" spans="9:13" x14ac:dyDescent="0.3">
      <c r="I3286" s="7"/>
      <c r="J3286" s="9"/>
      <c r="K3286" s="9"/>
      <c r="L3286" s="9"/>
      <c r="M3286" s="9"/>
    </row>
    <row r="3287" spans="9:13" x14ac:dyDescent="0.3">
      <c r="I3287" s="7"/>
      <c r="J3287" s="9"/>
      <c r="K3287" s="9"/>
      <c r="L3287" s="9"/>
      <c r="M3287" s="9"/>
    </row>
    <row r="3288" spans="9:13" x14ac:dyDescent="0.3">
      <c r="I3288" s="7"/>
      <c r="J3288" s="9"/>
      <c r="K3288" s="9"/>
      <c r="L3288" s="9"/>
      <c r="M3288" s="9"/>
    </row>
    <row r="3289" spans="9:13" x14ac:dyDescent="0.3">
      <c r="I3289" s="7"/>
      <c r="J3289" s="9"/>
      <c r="K3289" s="9"/>
      <c r="L3289" s="9"/>
      <c r="M3289" s="9"/>
    </row>
    <row r="3290" spans="9:13" x14ac:dyDescent="0.3">
      <c r="I3290" s="7"/>
      <c r="J3290" s="9"/>
      <c r="K3290" s="9"/>
      <c r="L3290" s="9"/>
      <c r="M3290" s="9"/>
    </row>
    <row r="3291" spans="9:13" x14ac:dyDescent="0.3">
      <c r="I3291" s="7"/>
      <c r="J3291" s="9"/>
      <c r="K3291" s="9"/>
      <c r="L3291" s="9"/>
      <c r="M3291" s="9"/>
    </row>
    <row r="3292" spans="9:13" x14ac:dyDescent="0.3">
      <c r="I3292" s="7"/>
      <c r="J3292" s="9"/>
      <c r="K3292" s="9"/>
      <c r="L3292" s="9"/>
      <c r="M3292" s="9"/>
    </row>
    <row r="3293" spans="9:13" x14ac:dyDescent="0.3">
      <c r="I3293" s="7"/>
      <c r="J3293" s="9"/>
      <c r="K3293" s="9"/>
      <c r="L3293" s="9"/>
      <c r="M3293" s="9"/>
    </row>
    <row r="3294" spans="9:13" x14ac:dyDescent="0.3">
      <c r="I3294" s="7"/>
      <c r="J3294" s="9"/>
      <c r="K3294" s="9"/>
      <c r="L3294" s="9"/>
      <c r="M3294" s="9"/>
    </row>
    <row r="3295" spans="9:13" x14ac:dyDescent="0.3">
      <c r="I3295" s="7"/>
      <c r="J3295" s="9"/>
      <c r="K3295" s="9"/>
      <c r="L3295" s="9"/>
      <c r="M3295" s="9"/>
    </row>
    <row r="3296" spans="9:13" x14ac:dyDescent="0.3">
      <c r="I3296" s="7"/>
      <c r="J3296" s="9"/>
      <c r="K3296" s="9"/>
      <c r="L3296" s="9"/>
      <c r="M3296" s="9"/>
    </row>
    <row r="3297" spans="9:13" x14ac:dyDescent="0.3">
      <c r="I3297" s="7"/>
      <c r="J3297" s="9"/>
      <c r="K3297" s="9"/>
      <c r="L3297" s="9"/>
      <c r="M3297" s="9"/>
    </row>
    <row r="3298" spans="9:13" x14ac:dyDescent="0.3">
      <c r="I3298" s="7"/>
      <c r="J3298" s="9"/>
      <c r="K3298" s="9"/>
      <c r="L3298" s="9"/>
      <c r="M3298" s="9"/>
    </row>
    <row r="3299" spans="9:13" x14ac:dyDescent="0.3">
      <c r="I3299" s="7"/>
      <c r="J3299" s="9"/>
      <c r="K3299" s="9"/>
      <c r="L3299" s="9"/>
      <c r="M3299" s="9"/>
    </row>
    <row r="3300" spans="9:13" x14ac:dyDescent="0.3">
      <c r="I3300" s="7"/>
      <c r="J3300" s="9"/>
      <c r="K3300" s="9"/>
      <c r="L3300" s="9"/>
      <c r="M3300" s="9"/>
    </row>
    <row r="3301" spans="9:13" x14ac:dyDescent="0.3">
      <c r="I3301" s="7"/>
      <c r="J3301" s="9"/>
      <c r="K3301" s="9"/>
      <c r="L3301" s="9"/>
      <c r="M3301" s="9"/>
    </row>
    <row r="3302" spans="9:13" x14ac:dyDescent="0.3">
      <c r="I3302" s="7"/>
      <c r="J3302" s="9"/>
      <c r="K3302" s="9"/>
      <c r="L3302" s="9"/>
      <c r="M3302" s="9"/>
    </row>
    <row r="3303" spans="9:13" x14ac:dyDescent="0.3">
      <c r="I3303" s="7"/>
      <c r="J3303" s="9"/>
      <c r="K3303" s="9"/>
      <c r="L3303" s="9"/>
      <c r="M3303" s="9"/>
    </row>
    <row r="3304" spans="9:13" x14ac:dyDescent="0.3">
      <c r="I3304" s="7"/>
      <c r="J3304" s="9"/>
      <c r="K3304" s="9"/>
      <c r="L3304" s="9"/>
      <c r="M3304" s="9"/>
    </row>
    <row r="3305" spans="9:13" x14ac:dyDescent="0.3">
      <c r="I3305" s="7"/>
      <c r="J3305" s="9"/>
      <c r="K3305" s="9"/>
      <c r="L3305" s="9"/>
      <c r="M3305" s="9"/>
    </row>
    <row r="3306" spans="9:13" x14ac:dyDescent="0.3">
      <c r="I3306" s="7"/>
      <c r="J3306" s="9"/>
      <c r="K3306" s="9"/>
      <c r="L3306" s="9"/>
      <c r="M3306" s="9"/>
    </row>
    <row r="3307" spans="9:13" x14ac:dyDescent="0.3">
      <c r="I3307" s="7"/>
      <c r="J3307" s="9"/>
      <c r="K3307" s="9"/>
      <c r="L3307" s="9"/>
      <c r="M3307" s="9"/>
    </row>
    <row r="3308" spans="9:13" x14ac:dyDescent="0.3">
      <c r="I3308" s="7"/>
      <c r="J3308" s="9"/>
      <c r="K3308" s="9"/>
      <c r="L3308" s="9"/>
      <c r="M3308" s="9"/>
    </row>
    <row r="3309" spans="9:13" x14ac:dyDescent="0.3">
      <c r="I3309" s="7"/>
      <c r="J3309" s="9"/>
      <c r="K3309" s="9"/>
      <c r="L3309" s="9"/>
      <c r="M3309" s="9"/>
    </row>
    <row r="3310" spans="9:13" x14ac:dyDescent="0.3">
      <c r="I3310" s="7"/>
      <c r="J3310" s="9"/>
      <c r="K3310" s="9"/>
      <c r="L3310" s="9"/>
      <c r="M3310" s="9"/>
    </row>
    <row r="3311" spans="9:13" x14ac:dyDescent="0.3">
      <c r="I3311" s="7"/>
      <c r="J3311" s="9"/>
      <c r="K3311" s="9"/>
      <c r="L3311" s="9"/>
      <c r="M3311" s="9"/>
    </row>
    <row r="3312" spans="9:13" x14ac:dyDescent="0.3">
      <c r="I3312" s="7"/>
      <c r="J3312" s="9"/>
      <c r="K3312" s="9"/>
      <c r="L3312" s="9"/>
      <c r="M3312" s="9"/>
    </row>
    <row r="3313" spans="9:13" x14ac:dyDescent="0.3">
      <c r="I3313" s="7"/>
      <c r="J3313" s="9"/>
      <c r="K3313" s="9"/>
      <c r="L3313" s="9"/>
      <c r="M3313" s="9"/>
    </row>
    <row r="3314" spans="9:13" x14ac:dyDescent="0.3">
      <c r="I3314" s="7"/>
      <c r="J3314" s="9"/>
      <c r="K3314" s="9"/>
      <c r="L3314" s="9"/>
      <c r="M3314" s="9"/>
    </row>
    <row r="3315" spans="9:13" x14ac:dyDescent="0.3">
      <c r="I3315" s="7"/>
      <c r="J3315" s="9"/>
      <c r="K3315" s="9"/>
      <c r="L3315" s="9"/>
      <c r="M3315" s="9"/>
    </row>
    <row r="3316" spans="9:13" x14ac:dyDescent="0.3">
      <c r="I3316" s="7"/>
      <c r="J3316" s="9"/>
      <c r="K3316" s="9"/>
      <c r="L3316" s="9"/>
      <c r="M3316" s="9"/>
    </row>
    <row r="3317" spans="9:13" x14ac:dyDescent="0.3">
      <c r="I3317" s="7"/>
      <c r="J3317" s="9"/>
      <c r="K3317" s="9"/>
      <c r="L3317" s="9"/>
      <c r="M3317" s="9"/>
    </row>
    <row r="3318" spans="9:13" x14ac:dyDescent="0.3">
      <c r="I3318" s="7"/>
      <c r="J3318" s="9"/>
      <c r="K3318" s="9"/>
      <c r="L3318" s="9"/>
      <c r="M3318" s="9"/>
    </row>
    <row r="3319" spans="9:13" x14ac:dyDescent="0.3">
      <c r="I3319" s="7"/>
      <c r="J3319" s="9"/>
      <c r="K3319" s="9"/>
      <c r="L3319" s="9"/>
      <c r="M3319" s="9"/>
    </row>
    <row r="3320" spans="9:13" x14ac:dyDescent="0.3">
      <c r="I3320" s="7"/>
      <c r="J3320" s="9"/>
      <c r="K3320" s="9"/>
      <c r="L3320" s="9"/>
      <c r="M3320" s="9"/>
    </row>
    <row r="3321" spans="9:13" x14ac:dyDescent="0.3">
      <c r="I3321" s="7"/>
      <c r="J3321" s="9"/>
      <c r="K3321" s="9"/>
      <c r="L3321" s="9"/>
      <c r="M3321" s="9"/>
    </row>
    <row r="3322" spans="9:13" x14ac:dyDescent="0.3">
      <c r="I3322" s="7"/>
      <c r="J3322" s="9"/>
      <c r="K3322" s="9"/>
      <c r="L3322" s="9"/>
      <c r="M3322" s="9"/>
    </row>
    <row r="3323" spans="9:13" x14ac:dyDescent="0.3">
      <c r="I3323" s="7"/>
      <c r="J3323" s="9"/>
      <c r="K3323" s="9"/>
      <c r="L3323" s="9"/>
      <c r="M3323" s="9"/>
    </row>
    <row r="3324" spans="9:13" x14ac:dyDescent="0.3">
      <c r="I3324" s="7"/>
      <c r="J3324" s="9"/>
      <c r="K3324" s="9"/>
      <c r="L3324" s="9"/>
      <c r="M3324" s="9"/>
    </row>
    <row r="3325" spans="9:13" x14ac:dyDescent="0.3">
      <c r="I3325" s="7"/>
      <c r="J3325" s="9"/>
      <c r="K3325" s="9"/>
      <c r="L3325" s="9"/>
      <c r="M3325" s="9"/>
    </row>
    <row r="3326" spans="9:13" x14ac:dyDescent="0.3">
      <c r="I3326" s="7"/>
      <c r="J3326" s="9"/>
      <c r="K3326" s="9"/>
      <c r="L3326" s="9"/>
      <c r="M3326" s="9"/>
    </row>
    <row r="3327" spans="9:13" x14ac:dyDescent="0.3">
      <c r="I3327" s="7"/>
      <c r="J3327" s="9"/>
      <c r="K3327" s="9"/>
      <c r="L3327" s="9"/>
      <c r="M3327" s="9"/>
    </row>
    <row r="3328" spans="9:13" x14ac:dyDescent="0.3">
      <c r="I3328" s="7"/>
      <c r="J3328" s="9"/>
      <c r="K3328" s="9"/>
      <c r="L3328" s="9"/>
      <c r="M3328" s="9"/>
    </row>
    <row r="3329" spans="9:13" x14ac:dyDescent="0.3">
      <c r="I3329" s="7"/>
      <c r="J3329" s="9"/>
      <c r="K3329" s="9"/>
      <c r="L3329" s="9"/>
      <c r="M3329" s="9"/>
    </row>
    <row r="3330" spans="9:13" x14ac:dyDescent="0.3">
      <c r="I3330" s="7"/>
      <c r="J3330" s="9"/>
      <c r="K3330" s="9"/>
      <c r="L3330" s="9"/>
      <c r="M3330" s="9"/>
    </row>
    <row r="3331" spans="9:13" x14ac:dyDescent="0.3">
      <c r="I3331" s="7"/>
      <c r="J3331" s="9"/>
      <c r="K3331" s="9"/>
      <c r="L3331" s="9"/>
      <c r="M3331" s="9"/>
    </row>
    <row r="3332" spans="9:13" x14ac:dyDescent="0.3">
      <c r="I3332" s="7"/>
      <c r="J3332" s="9"/>
      <c r="K3332" s="9"/>
      <c r="L3332" s="9"/>
      <c r="M3332" s="9"/>
    </row>
    <row r="3333" spans="9:13" x14ac:dyDescent="0.3">
      <c r="I3333" s="7"/>
      <c r="J3333" s="9"/>
      <c r="K3333" s="9"/>
      <c r="L3333" s="9"/>
      <c r="M3333" s="9"/>
    </row>
    <row r="3334" spans="9:13" x14ac:dyDescent="0.3">
      <c r="I3334" s="7"/>
      <c r="J3334" s="9"/>
      <c r="K3334" s="9"/>
      <c r="L3334" s="9"/>
      <c r="M3334" s="9"/>
    </row>
    <row r="3335" spans="9:13" x14ac:dyDescent="0.3">
      <c r="I3335" s="7"/>
      <c r="J3335" s="9"/>
      <c r="K3335" s="9"/>
      <c r="L3335" s="9"/>
      <c r="M3335" s="9"/>
    </row>
    <row r="3336" spans="9:13" x14ac:dyDescent="0.3">
      <c r="I3336" s="7"/>
      <c r="J3336" s="9"/>
      <c r="K3336" s="9"/>
      <c r="L3336" s="9"/>
      <c r="M3336" s="9"/>
    </row>
    <row r="3337" spans="9:13" x14ac:dyDescent="0.3">
      <c r="I3337" s="7"/>
      <c r="J3337" s="9"/>
      <c r="K3337" s="9"/>
      <c r="L3337" s="9"/>
      <c r="M3337" s="9"/>
    </row>
    <row r="3338" spans="9:13" x14ac:dyDescent="0.3">
      <c r="I3338" s="7"/>
      <c r="J3338" s="9"/>
      <c r="K3338" s="9"/>
      <c r="L3338" s="9"/>
      <c r="M3338" s="9"/>
    </row>
    <row r="3339" spans="9:13" x14ac:dyDescent="0.3">
      <c r="I3339" s="7"/>
      <c r="J3339" s="9"/>
      <c r="K3339" s="9"/>
      <c r="L3339" s="9"/>
      <c r="M3339" s="9"/>
    </row>
    <row r="3340" spans="9:13" x14ac:dyDescent="0.3">
      <c r="I3340" s="7"/>
      <c r="J3340" s="9"/>
      <c r="K3340" s="9"/>
      <c r="L3340" s="9"/>
      <c r="M3340" s="9"/>
    </row>
    <row r="3341" spans="9:13" x14ac:dyDescent="0.3">
      <c r="I3341" s="7"/>
      <c r="J3341" s="9"/>
      <c r="K3341" s="9"/>
      <c r="L3341" s="9"/>
      <c r="M3341" s="9"/>
    </row>
    <row r="3342" spans="9:13" x14ac:dyDescent="0.3">
      <c r="I3342" s="7"/>
      <c r="J3342" s="9"/>
      <c r="K3342" s="9"/>
      <c r="L3342" s="9"/>
      <c r="M3342" s="9"/>
    </row>
    <row r="3343" spans="9:13" x14ac:dyDescent="0.3">
      <c r="I3343" s="7"/>
      <c r="J3343" s="9"/>
      <c r="K3343" s="9"/>
      <c r="L3343" s="9"/>
      <c r="M3343" s="9"/>
    </row>
    <row r="3344" spans="9:13" x14ac:dyDescent="0.3">
      <c r="I3344" s="7"/>
      <c r="J3344" s="9"/>
      <c r="K3344" s="9"/>
      <c r="L3344" s="9"/>
      <c r="M3344" s="9"/>
    </row>
    <row r="3345" spans="9:13" x14ac:dyDescent="0.3">
      <c r="I3345" s="7"/>
      <c r="J3345" s="9"/>
      <c r="K3345" s="9"/>
      <c r="L3345" s="9"/>
      <c r="M3345" s="9"/>
    </row>
    <row r="3346" spans="9:13" x14ac:dyDescent="0.3">
      <c r="I3346" s="7"/>
      <c r="J3346" s="9"/>
      <c r="K3346" s="9"/>
      <c r="L3346" s="9"/>
      <c r="M3346" s="9"/>
    </row>
    <row r="3347" spans="9:13" x14ac:dyDescent="0.3">
      <c r="I3347" s="7"/>
      <c r="J3347" s="9"/>
      <c r="K3347" s="9"/>
      <c r="L3347" s="9"/>
      <c r="M3347" s="9"/>
    </row>
    <row r="3348" spans="9:13" x14ac:dyDescent="0.3">
      <c r="I3348" s="7"/>
      <c r="J3348" s="9"/>
      <c r="K3348" s="9"/>
      <c r="L3348" s="9"/>
      <c r="M3348" s="9"/>
    </row>
    <row r="3349" spans="9:13" x14ac:dyDescent="0.3">
      <c r="I3349" s="7"/>
      <c r="J3349" s="9"/>
      <c r="K3349" s="9"/>
      <c r="L3349" s="9"/>
      <c r="M3349" s="9"/>
    </row>
    <row r="3350" spans="9:13" x14ac:dyDescent="0.3">
      <c r="I3350" s="7"/>
      <c r="J3350" s="9"/>
      <c r="K3350" s="9"/>
      <c r="L3350" s="9"/>
      <c r="M3350" s="9"/>
    </row>
    <row r="3351" spans="9:13" x14ac:dyDescent="0.3">
      <c r="I3351" s="7"/>
      <c r="J3351" s="9"/>
      <c r="K3351" s="9"/>
      <c r="L3351" s="9"/>
      <c r="M3351" s="9"/>
    </row>
    <row r="3352" spans="9:13" x14ac:dyDescent="0.3">
      <c r="I3352" s="7"/>
      <c r="J3352" s="9"/>
      <c r="K3352" s="9"/>
      <c r="L3352" s="9"/>
      <c r="M3352" s="9"/>
    </row>
    <row r="3353" spans="9:13" x14ac:dyDescent="0.3">
      <c r="I3353" s="7"/>
      <c r="J3353" s="9"/>
      <c r="K3353" s="9"/>
      <c r="L3353" s="9"/>
      <c r="M3353" s="9"/>
    </row>
    <row r="3354" spans="9:13" x14ac:dyDescent="0.3">
      <c r="I3354" s="7"/>
      <c r="J3354" s="9"/>
      <c r="K3354" s="9"/>
      <c r="L3354" s="9"/>
      <c r="M3354" s="9"/>
    </row>
    <row r="3355" spans="9:13" x14ac:dyDescent="0.3">
      <c r="I3355" s="7"/>
      <c r="J3355" s="9"/>
      <c r="K3355" s="9"/>
      <c r="L3355" s="9"/>
      <c r="M3355" s="9"/>
    </row>
    <row r="3356" spans="9:13" x14ac:dyDescent="0.3">
      <c r="I3356" s="7"/>
      <c r="J3356" s="9"/>
      <c r="K3356" s="9"/>
      <c r="L3356" s="9"/>
      <c r="M3356" s="9"/>
    </row>
    <row r="3357" spans="9:13" x14ac:dyDescent="0.3">
      <c r="I3357" s="7"/>
      <c r="J3357" s="9"/>
      <c r="K3357" s="9"/>
      <c r="L3357" s="9"/>
      <c r="M3357" s="9"/>
    </row>
    <row r="3358" spans="9:13" x14ac:dyDescent="0.3">
      <c r="I3358" s="7"/>
      <c r="J3358" s="9"/>
      <c r="K3358" s="9"/>
      <c r="L3358" s="9"/>
      <c r="M3358" s="9"/>
    </row>
    <row r="3359" spans="9:13" x14ac:dyDescent="0.3">
      <c r="I3359" s="7"/>
      <c r="J3359" s="9"/>
      <c r="K3359" s="9"/>
      <c r="L3359" s="9"/>
      <c r="M3359" s="9"/>
    </row>
    <row r="3360" spans="9:13" x14ac:dyDescent="0.3">
      <c r="I3360" s="7"/>
      <c r="J3360" s="9"/>
      <c r="K3360" s="9"/>
      <c r="L3360" s="9"/>
      <c r="M3360" s="9"/>
    </row>
    <row r="3361" spans="9:13" x14ac:dyDescent="0.3">
      <c r="I3361" s="7"/>
      <c r="J3361" s="9"/>
      <c r="K3361" s="9"/>
      <c r="L3361" s="9"/>
      <c r="M3361" s="9"/>
    </row>
    <row r="3362" spans="9:13" x14ac:dyDescent="0.3">
      <c r="I3362" s="7"/>
      <c r="J3362" s="9"/>
      <c r="K3362" s="9"/>
      <c r="L3362" s="9"/>
      <c r="M3362" s="9"/>
    </row>
    <row r="3363" spans="9:13" x14ac:dyDescent="0.3">
      <c r="I3363" s="7"/>
      <c r="J3363" s="9"/>
      <c r="K3363" s="9"/>
      <c r="L3363" s="9"/>
      <c r="M3363" s="9"/>
    </row>
    <row r="3364" spans="9:13" x14ac:dyDescent="0.3">
      <c r="I3364" s="7"/>
      <c r="J3364" s="9"/>
      <c r="K3364" s="9"/>
      <c r="L3364" s="9"/>
      <c r="M3364" s="9"/>
    </row>
    <row r="3365" spans="9:13" x14ac:dyDescent="0.3">
      <c r="I3365" s="7"/>
      <c r="J3365" s="9"/>
      <c r="K3365" s="9"/>
      <c r="L3365" s="9"/>
      <c r="M3365" s="9"/>
    </row>
    <row r="3366" spans="9:13" x14ac:dyDescent="0.3">
      <c r="I3366" s="7"/>
      <c r="J3366" s="9"/>
      <c r="K3366" s="9"/>
      <c r="L3366" s="9"/>
      <c r="M3366" s="9"/>
    </row>
    <row r="3367" spans="9:13" x14ac:dyDescent="0.3">
      <c r="I3367" s="7"/>
      <c r="J3367" s="9"/>
      <c r="K3367" s="9"/>
      <c r="L3367" s="9"/>
      <c r="M3367" s="9"/>
    </row>
    <row r="3368" spans="9:13" x14ac:dyDescent="0.3">
      <c r="I3368" s="7"/>
      <c r="J3368" s="9"/>
      <c r="K3368" s="9"/>
      <c r="L3368" s="9"/>
      <c r="M3368" s="9"/>
    </row>
    <row r="3369" spans="9:13" x14ac:dyDescent="0.3">
      <c r="I3369" s="7"/>
      <c r="J3369" s="9"/>
      <c r="K3369" s="9"/>
      <c r="L3369" s="9"/>
      <c r="M3369" s="9"/>
    </row>
    <row r="3370" spans="9:13" x14ac:dyDescent="0.3">
      <c r="I3370" s="7"/>
      <c r="J3370" s="9"/>
      <c r="K3370" s="9"/>
      <c r="L3370" s="9"/>
      <c r="M3370" s="9"/>
    </row>
    <row r="3371" spans="9:13" x14ac:dyDescent="0.3">
      <c r="I3371" s="7"/>
      <c r="J3371" s="9"/>
      <c r="K3371" s="9"/>
      <c r="L3371" s="9"/>
      <c r="M3371" s="9"/>
    </row>
    <row r="3372" spans="9:13" x14ac:dyDescent="0.3">
      <c r="I3372" s="7"/>
      <c r="J3372" s="9"/>
      <c r="K3372" s="9"/>
      <c r="L3372" s="9"/>
      <c r="M3372" s="9"/>
    </row>
    <row r="3373" spans="9:13" x14ac:dyDescent="0.3">
      <c r="I3373" s="7"/>
      <c r="J3373" s="9"/>
      <c r="K3373" s="9"/>
      <c r="L3373" s="9"/>
      <c r="M3373" s="9"/>
    </row>
    <row r="3374" spans="9:13" x14ac:dyDescent="0.3">
      <c r="I3374" s="7"/>
      <c r="J3374" s="9"/>
      <c r="K3374" s="9"/>
      <c r="L3374" s="9"/>
      <c r="M3374" s="9"/>
    </row>
    <row r="3375" spans="9:13" x14ac:dyDescent="0.3">
      <c r="I3375" s="7"/>
      <c r="J3375" s="9"/>
      <c r="K3375" s="9"/>
      <c r="L3375" s="9"/>
      <c r="M3375" s="9"/>
    </row>
    <row r="3376" spans="9:13" x14ac:dyDescent="0.3">
      <c r="I3376" s="7"/>
      <c r="J3376" s="9"/>
      <c r="K3376" s="9"/>
      <c r="L3376" s="9"/>
      <c r="M3376" s="9"/>
    </row>
    <row r="3377" spans="9:13" x14ac:dyDescent="0.3">
      <c r="I3377" s="7"/>
      <c r="J3377" s="9"/>
      <c r="K3377" s="9"/>
      <c r="L3377" s="9"/>
      <c r="M3377" s="9"/>
    </row>
    <row r="3378" spans="9:13" x14ac:dyDescent="0.3">
      <c r="I3378" s="7"/>
      <c r="J3378" s="9"/>
      <c r="K3378" s="9"/>
      <c r="L3378" s="9"/>
      <c r="M3378" s="9"/>
    </row>
    <row r="3379" spans="9:13" x14ac:dyDescent="0.3">
      <c r="I3379" s="7"/>
      <c r="J3379" s="9"/>
      <c r="K3379" s="9"/>
      <c r="L3379" s="9"/>
      <c r="M3379" s="9"/>
    </row>
    <row r="3380" spans="9:13" x14ac:dyDescent="0.3">
      <c r="I3380" s="7"/>
      <c r="J3380" s="9"/>
      <c r="K3380" s="9"/>
      <c r="L3380" s="9"/>
      <c r="M3380" s="9"/>
    </row>
    <row r="3381" spans="9:13" x14ac:dyDescent="0.3">
      <c r="I3381" s="7"/>
      <c r="J3381" s="9"/>
      <c r="K3381" s="9"/>
      <c r="L3381" s="9"/>
      <c r="M3381" s="9"/>
    </row>
    <row r="3382" spans="9:13" x14ac:dyDescent="0.3">
      <c r="I3382" s="7"/>
      <c r="J3382" s="9"/>
      <c r="K3382" s="9"/>
      <c r="L3382" s="9"/>
      <c r="M3382" s="9"/>
    </row>
    <row r="3383" spans="9:13" x14ac:dyDescent="0.3">
      <c r="I3383" s="7"/>
      <c r="J3383" s="9"/>
      <c r="K3383" s="9"/>
      <c r="L3383" s="9"/>
      <c r="M3383" s="9"/>
    </row>
    <row r="3384" spans="9:13" x14ac:dyDescent="0.3">
      <c r="I3384" s="7"/>
      <c r="J3384" s="9"/>
      <c r="K3384" s="9"/>
      <c r="L3384" s="9"/>
      <c r="M3384" s="9"/>
    </row>
    <row r="3385" spans="9:13" x14ac:dyDescent="0.3">
      <c r="I3385" s="7"/>
      <c r="J3385" s="9"/>
      <c r="K3385" s="9"/>
      <c r="L3385" s="9"/>
      <c r="M3385" s="9"/>
    </row>
    <row r="3386" spans="9:13" x14ac:dyDescent="0.3">
      <c r="I3386" s="7"/>
      <c r="J3386" s="9"/>
      <c r="K3386" s="9"/>
      <c r="L3386" s="9"/>
      <c r="M3386" s="9"/>
    </row>
    <row r="3387" spans="9:13" x14ac:dyDescent="0.3">
      <c r="I3387" s="7"/>
      <c r="J3387" s="9"/>
      <c r="K3387" s="9"/>
      <c r="L3387" s="9"/>
      <c r="M3387" s="9"/>
    </row>
    <row r="3388" spans="9:13" x14ac:dyDescent="0.3">
      <c r="I3388" s="7"/>
      <c r="J3388" s="9"/>
      <c r="K3388" s="9"/>
      <c r="L3388" s="9"/>
      <c r="M3388" s="9"/>
    </row>
    <row r="3389" spans="9:13" x14ac:dyDescent="0.3">
      <c r="I3389" s="7"/>
      <c r="J3389" s="9"/>
      <c r="K3389" s="9"/>
      <c r="L3389" s="9"/>
      <c r="M3389" s="9"/>
    </row>
    <row r="3390" spans="9:13" x14ac:dyDescent="0.3">
      <c r="I3390" s="7"/>
      <c r="J3390" s="9"/>
      <c r="K3390" s="9"/>
      <c r="L3390" s="9"/>
      <c r="M3390" s="9"/>
    </row>
    <row r="3391" spans="9:13" x14ac:dyDescent="0.3">
      <c r="I3391" s="7"/>
      <c r="J3391" s="9"/>
      <c r="K3391" s="9"/>
      <c r="L3391" s="9"/>
      <c r="M3391" s="9"/>
    </row>
    <row r="3392" spans="9:13" x14ac:dyDescent="0.3">
      <c r="I3392" s="7"/>
      <c r="J3392" s="9"/>
      <c r="K3392" s="9"/>
      <c r="L3392" s="9"/>
      <c r="M3392" s="9"/>
    </row>
    <row r="3393" spans="9:13" x14ac:dyDescent="0.3">
      <c r="I3393" s="7"/>
      <c r="J3393" s="9"/>
      <c r="K3393" s="9"/>
      <c r="L3393" s="9"/>
      <c r="M3393" s="9"/>
    </row>
    <row r="3394" spans="9:13" x14ac:dyDescent="0.3">
      <c r="I3394" s="7"/>
      <c r="J3394" s="9"/>
      <c r="K3394" s="9"/>
      <c r="L3394" s="9"/>
      <c r="M3394" s="9"/>
    </row>
    <row r="3395" spans="9:13" x14ac:dyDescent="0.3">
      <c r="I3395" s="7"/>
      <c r="J3395" s="9"/>
      <c r="K3395" s="9"/>
      <c r="L3395" s="9"/>
      <c r="M3395" s="9"/>
    </row>
    <row r="3396" spans="9:13" x14ac:dyDescent="0.3">
      <c r="I3396" s="7"/>
      <c r="J3396" s="9"/>
      <c r="K3396" s="9"/>
      <c r="L3396" s="9"/>
      <c r="M3396" s="9"/>
    </row>
    <row r="3397" spans="9:13" x14ac:dyDescent="0.3">
      <c r="I3397" s="7"/>
      <c r="J3397" s="9"/>
      <c r="K3397" s="9"/>
      <c r="L3397" s="9"/>
      <c r="M3397" s="9"/>
    </row>
    <row r="3398" spans="9:13" x14ac:dyDescent="0.3">
      <c r="I3398" s="7"/>
      <c r="J3398" s="9"/>
      <c r="K3398" s="9"/>
      <c r="L3398" s="9"/>
      <c r="M3398" s="9"/>
    </row>
    <row r="3399" spans="9:13" x14ac:dyDescent="0.3">
      <c r="I3399" s="7"/>
      <c r="J3399" s="9"/>
      <c r="K3399" s="9"/>
      <c r="L3399" s="9"/>
      <c r="M3399" s="9"/>
    </row>
    <row r="3400" spans="9:13" x14ac:dyDescent="0.3">
      <c r="I3400" s="7"/>
      <c r="J3400" s="9"/>
      <c r="K3400" s="9"/>
      <c r="L3400" s="9"/>
      <c r="M3400" s="9"/>
    </row>
    <row r="3401" spans="9:13" x14ac:dyDescent="0.3">
      <c r="I3401" s="7"/>
      <c r="J3401" s="9"/>
      <c r="K3401" s="9"/>
      <c r="L3401" s="9"/>
      <c r="M3401" s="9"/>
    </row>
    <row r="3402" spans="9:13" x14ac:dyDescent="0.3">
      <c r="I3402" s="7"/>
      <c r="J3402" s="9"/>
      <c r="K3402" s="9"/>
      <c r="L3402" s="9"/>
      <c r="M3402" s="9"/>
    </row>
    <row r="3403" spans="9:13" x14ac:dyDescent="0.3">
      <c r="I3403" s="7"/>
      <c r="J3403" s="9"/>
      <c r="K3403" s="9"/>
      <c r="L3403" s="9"/>
      <c r="M3403" s="9"/>
    </row>
    <row r="3404" spans="9:13" x14ac:dyDescent="0.3">
      <c r="I3404" s="7"/>
      <c r="J3404" s="9"/>
      <c r="K3404" s="9"/>
      <c r="L3404" s="9"/>
      <c r="M3404" s="9"/>
    </row>
    <row r="3405" spans="9:13" x14ac:dyDescent="0.3">
      <c r="I3405" s="7"/>
      <c r="J3405" s="9"/>
      <c r="K3405" s="9"/>
      <c r="L3405" s="9"/>
      <c r="M3405" s="9"/>
    </row>
    <row r="3406" spans="9:13" x14ac:dyDescent="0.3">
      <c r="I3406" s="7"/>
      <c r="J3406" s="9"/>
      <c r="K3406" s="9"/>
      <c r="L3406" s="9"/>
      <c r="M3406" s="9"/>
    </row>
    <row r="3407" spans="9:13" x14ac:dyDescent="0.3">
      <c r="I3407" s="7"/>
      <c r="J3407" s="9"/>
      <c r="K3407" s="9"/>
      <c r="L3407" s="9"/>
      <c r="M3407" s="9"/>
    </row>
    <row r="3408" spans="9:13" x14ac:dyDescent="0.3">
      <c r="I3408" s="7"/>
      <c r="J3408" s="9"/>
      <c r="K3408" s="9"/>
      <c r="L3408" s="9"/>
      <c r="M3408" s="9"/>
    </row>
    <row r="3409" spans="9:13" x14ac:dyDescent="0.3">
      <c r="I3409" s="7"/>
      <c r="J3409" s="9"/>
      <c r="K3409" s="9"/>
      <c r="L3409" s="9"/>
      <c r="M3409" s="9"/>
    </row>
    <row r="3410" spans="9:13" x14ac:dyDescent="0.3">
      <c r="I3410" s="7"/>
      <c r="J3410" s="9"/>
      <c r="K3410" s="9"/>
      <c r="L3410" s="9"/>
      <c r="M3410" s="9"/>
    </row>
    <row r="3411" spans="9:13" x14ac:dyDescent="0.3">
      <c r="I3411" s="7"/>
      <c r="J3411" s="9"/>
      <c r="K3411" s="9"/>
      <c r="L3411" s="9"/>
      <c r="M3411" s="9"/>
    </row>
    <row r="3412" spans="9:13" x14ac:dyDescent="0.3">
      <c r="I3412" s="7"/>
      <c r="J3412" s="9"/>
      <c r="K3412" s="9"/>
      <c r="L3412" s="9"/>
      <c r="M3412" s="9"/>
    </row>
    <row r="3413" spans="9:13" x14ac:dyDescent="0.3">
      <c r="I3413" s="7"/>
      <c r="J3413" s="9"/>
      <c r="K3413" s="9"/>
      <c r="L3413" s="9"/>
      <c r="M3413" s="9"/>
    </row>
    <row r="3414" spans="9:13" x14ac:dyDescent="0.3">
      <c r="I3414" s="7"/>
      <c r="J3414" s="9"/>
      <c r="K3414" s="9"/>
      <c r="L3414" s="9"/>
      <c r="M3414" s="9"/>
    </row>
    <row r="3415" spans="9:13" x14ac:dyDescent="0.3">
      <c r="I3415" s="7"/>
      <c r="J3415" s="9"/>
      <c r="K3415" s="9"/>
      <c r="L3415" s="9"/>
      <c r="M3415" s="9"/>
    </row>
    <row r="3416" spans="9:13" x14ac:dyDescent="0.3">
      <c r="I3416" s="7"/>
      <c r="J3416" s="9"/>
      <c r="K3416" s="9"/>
      <c r="L3416" s="9"/>
      <c r="M3416" s="9"/>
    </row>
    <row r="3417" spans="9:13" x14ac:dyDescent="0.3">
      <c r="I3417" s="7"/>
      <c r="J3417" s="9"/>
      <c r="K3417" s="9"/>
      <c r="L3417" s="9"/>
      <c r="M3417" s="9"/>
    </row>
    <row r="3418" spans="9:13" x14ac:dyDescent="0.3">
      <c r="I3418" s="7"/>
      <c r="J3418" s="9"/>
      <c r="K3418" s="9"/>
      <c r="L3418" s="9"/>
      <c r="M3418" s="9"/>
    </row>
    <row r="3419" spans="9:13" x14ac:dyDescent="0.3">
      <c r="I3419" s="7"/>
      <c r="J3419" s="9"/>
      <c r="K3419" s="9"/>
      <c r="L3419" s="9"/>
      <c r="M3419" s="9"/>
    </row>
    <row r="3420" spans="9:13" x14ac:dyDescent="0.3">
      <c r="I3420" s="7"/>
      <c r="J3420" s="9"/>
      <c r="K3420" s="9"/>
      <c r="L3420" s="9"/>
      <c r="M3420" s="9"/>
    </row>
    <row r="3421" spans="9:13" x14ac:dyDescent="0.3">
      <c r="I3421" s="7"/>
      <c r="J3421" s="9"/>
      <c r="K3421" s="9"/>
      <c r="L3421" s="9"/>
      <c r="M3421" s="9"/>
    </row>
    <row r="3422" spans="9:13" x14ac:dyDescent="0.3">
      <c r="I3422" s="7"/>
      <c r="J3422" s="9"/>
      <c r="K3422" s="9"/>
      <c r="L3422" s="9"/>
      <c r="M3422" s="9"/>
    </row>
    <row r="3423" spans="9:13" x14ac:dyDescent="0.3">
      <c r="I3423" s="7"/>
      <c r="J3423" s="9"/>
      <c r="K3423" s="9"/>
      <c r="L3423" s="9"/>
      <c r="M3423" s="9"/>
    </row>
    <row r="3424" spans="9:13" x14ac:dyDescent="0.3">
      <c r="I3424" s="7"/>
      <c r="J3424" s="9"/>
      <c r="K3424" s="9"/>
      <c r="L3424" s="9"/>
      <c r="M3424" s="9"/>
    </row>
    <row r="3425" spans="9:13" x14ac:dyDescent="0.3">
      <c r="I3425" s="7"/>
      <c r="J3425" s="9"/>
      <c r="K3425" s="9"/>
      <c r="L3425" s="9"/>
      <c r="M3425" s="9"/>
    </row>
    <row r="3426" spans="9:13" x14ac:dyDescent="0.3">
      <c r="I3426" s="7"/>
      <c r="J3426" s="9"/>
      <c r="K3426" s="9"/>
      <c r="L3426" s="9"/>
      <c r="M3426" s="9"/>
    </row>
    <row r="3427" spans="9:13" x14ac:dyDescent="0.3">
      <c r="I3427" s="7"/>
      <c r="J3427" s="9"/>
      <c r="K3427" s="9"/>
      <c r="L3427" s="9"/>
      <c r="M3427" s="9"/>
    </row>
    <row r="3428" spans="9:13" x14ac:dyDescent="0.3">
      <c r="I3428" s="7"/>
      <c r="J3428" s="9"/>
      <c r="K3428" s="9"/>
      <c r="L3428" s="9"/>
      <c r="M3428" s="9"/>
    </row>
    <row r="3429" spans="9:13" x14ac:dyDescent="0.3">
      <c r="I3429" s="7"/>
      <c r="J3429" s="9"/>
      <c r="K3429" s="9"/>
      <c r="L3429" s="9"/>
      <c r="M3429" s="9"/>
    </row>
    <row r="3430" spans="9:13" x14ac:dyDescent="0.3">
      <c r="I3430" s="7"/>
      <c r="J3430" s="9"/>
      <c r="K3430" s="9"/>
      <c r="L3430" s="9"/>
      <c r="M3430" s="9"/>
    </row>
    <row r="3431" spans="9:13" x14ac:dyDescent="0.3">
      <c r="I3431" s="7"/>
      <c r="J3431" s="9"/>
      <c r="K3431" s="9"/>
      <c r="L3431" s="9"/>
      <c r="M3431" s="9"/>
    </row>
    <row r="3432" spans="9:13" x14ac:dyDescent="0.3">
      <c r="I3432" s="7"/>
      <c r="J3432" s="9"/>
      <c r="K3432" s="9"/>
      <c r="L3432" s="9"/>
      <c r="M3432" s="9"/>
    </row>
    <row r="3433" spans="9:13" x14ac:dyDescent="0.3">
      <c r="I3433" s="7"/>
      <c r="J3433" s="9"/>
      <c r="K3433" s="9"/>
      <c r="L3433" s="9"/>
      <c r="M3433" s="9"/>
    </row>
    <row r="3434" spans="9:13" x14ac:dyDescent="0.3">
      <c r="I3434" s="7"/>
      <c r="J3434" s="9"/>
      <c r="K3434" s="9"/>
      <c r="L3434" s="9"/>
      <c r="M3434" s="9"/>
    </row>
    <row r="3435" spans="9:13" x14ac:dyDescent="0.3">
      <c r="I3435" s="7"/>
      <c r="J3435" s="9"/>
      <c r="K3435" s="9"/>
      <c r="L3435" s="9"/>
      <c r="M3435" s="9"/>
    </row>
    <row r="3436" spans="9:13" x14ac:dyDescent="0.3">
      <c r="I3436" s="7"/>
      <c r="J3436" s="9"/>
      <c r="K3436" s="9"/>
      <c r="L3436" s="9"/>
      <c r="M3436" s="9"/>
    </row>
    <row r="3437" spans="9:13" x14ac:dyDescent="0.3">
      <c r="I3437" s="7"/>
      <c r="J3437" s="9"/>
      <c r="K3437" s="9"/>
      <c r="L3437" s="9"/>
      <c r="M3437" s="9"/>
    </row>
    <row r="3438" spans="9:13" x14ac:dyDescent="0.3">
      <c r="I3438" s="7"/>
      <c r="J3438" s="9"/>
      <c r="K3438" s="9"/>
      <c r="L3438" s="9"/>
      <c r="M3438" s="9"/>
    </row>
    <row r="3439" spans="9:13" x14ac:dyDescent="0.3">
      <c r="I3439" s="7"/>
      <c r="J3439" s="9"/>
      <c r="K3439" s="9"/>
      <c r="L3439" s="9"/>
      <c r="M3439" s="9"/>
    </row>
    <row r="3440" spans="9:13" x14ac:dyDescent="0.3">
      <c r="I3440" s="7"/>
      <c r="J3440" s="9"/>
      <c r="K3440" s="9"/>
      <c r="L3440" s="9"/>
      <c r="M3440" s="9"/>
    </row>
    <row r="3441" spans="9:13" x14ac:dyDescent="0.3">
      <c r="I3441" s="7"/>
      <c r="J3441" s="9"/>
      <c r="K3441" s="9"/>
      <c r="L3441" s="9"/>
      <c r="M3441" s="9"/>
    </row>
    <row r="3442" spans="9:13" x14ac:dyDescent="0.3">
      <c r="I3442" s="7"/>
      <c r="J3442" s="9"/>
      <c r="K3442" s="9"/>
      <c r="L3442" s="9"/>
      <c r="M3442" s="9"/>
    </row>
    <row r="3443" spans="9:13" x14ac:dyDescent="0.3">
      <c r="I3443" s="7"/>
      <c r="J3443" s="9"/>
      <c r="K3443" s="9"/>
      <c r="L3443" s="9"/>
      <c r="M3443" s="9"/>
    </row>
    <row r="3444" spans="9:13" x14ac:dyDescent="0.3">
      <c r="I3444" s="7"/>
      <c r="J3444" s="9"/>
      <c r="K3444" s="9"/>
      <c r="L3444" s="9"/>
      <c r="M3444" s="9"/>
    </row>
    <row r="3445" spans="9:13" x14ac:dyDescent="0.3">
      <c r="I3445" s="7"/>
      <c r="J3445" s="9"/>
      <c r="K3445" s="9"/>
      <c r="L3445" s="9"/>
      <c r="M3445" s="9"/>
    </row>
    <row r="3446" spans="9:13" x14ac:dyDescent="0.3">
      <c r="I3446" s="7"/>
      <c r="J3446" s="9"/>
      <c r="K3446" s="9"/>
      <c r="L3446" s="9"/>
      <c r="M3446" s="9"/>
    </row>
    <row r="3447" spans="9:13" x14ac:dyDescent="0.3">
      <c r="I3447" s="7"/>
      <c r="J3447" s="9"/>
      <c r="K3447" s="9"/>
      <c r="L3447" s="9"/>
      <c r="M3447" s="9"/>
    </row>
    <row r="3448" spans="9:13" x14ac:dyDescent="0.3">
      <c r="I3448" s="7"/>
      <c r="J3448" s="9"/>
      <c r="K3448" s="9"/>
      <c r="L3448" s="9"/>
      <c r="M3448" s="9"/>
    </row>
    <row r="3449" spans="9:13" x14ac:dyDescent="0.3">
      <c r="I3449" s="7"/>
      <c r="J3449" s="9"/>
      <c r="K3449" s="9"/>
      <c r="L3449" s="9"/>
      <c r="M3449" s="9"/>
    </row>
    <row r="3450" spans="9:13" x14ac:dyDescent="0.3">
      <c r="I3450" s="7"/>
      <c r="J3450" s="9"/>
      <c r="K3450" s="9"/>
      <c r="L3450" s="9"/>
      <c r="M3450" s="9"/>
    </row>
    <row r="3451" spans="9:13" x14ac:dyDescent="0.3">
      <c r="I3451" s="7"/>
      <c r="J3451" s="9"/>
      <c r="K3451" s="9"/>
      <c r="L3451" s="9"/>
      <c r="M3451" s="9"/>
    </row>
    <row r="3452" spans="9:13" x14ac:dyDescent="0.3">
      <c r="I3452" s="7"/>
      <c r="J3452" s="9"/>
      <c r="K3452" s="9"/>
      <c r="L3452" s="9"/>
      <c r="M3452" s="9"/>
    </row>
    <row r="3453" spans="9:13" x14ac:dyDescent="0.3">
      <c r="I3453" s="7"/>
      <c r="J3453" s="9"/>
      <c r="K3453" s="9"/>
      <c r="L3453" s="9"/>
      <c r="M3453" s="9"/>
    </row>
    <row r="3454" spans="9:13" x14ac:dyDescent="0.3">
      <c r="I3454" s="7"/>
      <c r="J3454" s="9"/>
      <c r="K3454" s="9"/>
      <c r="L3454" s="9"/>
      <c r="M3454" s="9"/>
    </row>
    <row r="3455" spans="9:13" x14ac:dyDescent="0.3">
      <c r="I3455" s="7"/>
      <c r="J3455" s="9"/>
      <c r="K3455" s="9"/>
      <c r="L3455" s="9"/>
      <c r="M3455" s="9"/>
    </row>
    <row r="3456" spans="9:13" x14ac:dyDescent="0.3">
      <c r="I3456" s="7"/>
      <c r="J3456" s="9"/>
      <c r="K3456" s="9"/>
      <c r="L3456" s="9"/>
      <c r="M3456" s="9"/>
    </row>
    <row r="3457" spans="9:13" x14ac:dyDescent="0.3">
      <c r="I3457" s="7"/>
      <c r="J3457" s="9"/>
      <c r="K3457" s="9"/>
      <c r="L3457" s="9"/>
      <c r="M3457" s="9"/>
    </row>
    <row r="3458" spans="9:13" x14ac:dyDescent="0.3">
      <c r="I3458" s="7"/>
      <c r="J3458" s="9"/>
      <c r="K3458" s="9"/>
      <c r="L3458" s="9"/>
      <c r="M3458" s="9"/>
    </row>
    <row r="3459" spans="9:13" x14ac:dyDescent="0.3">
      <c r="I3459" s="7"/>
      <c r="J3459" s="9"/>
      <c r="K3459" s="9"/>
      <c r="L3459" s="9"/>
      <c r="M3459" s="9"/>
    </row>
    <row r="3460" spans="9:13" x14ac:dyDescent="0.3">
      <c r="I3460" s="7"/>
      <c r="J3460" s="9"/>
      <c r="K3460" s="9"/>
      <c r="L3460" s="9"/>
      <c r="M3460" s="9"/>
    </row>
    <row r="3461" spans="9:13" x14ac:dyDescent="0.3">
      <c r="I3461" s="7"/>
      <c r="J3461" s="9"/>
      <c r="K3461" s="9"/>
      <c r="L3461" s="9"/>
      <c r="M3461" s="9"/>
    </row>
    <row r="3462" spans="9:13" x14ac:dyDescent="0.3">
      <c r="I3462" s="7"/>
      <c r="J3462" s="9"/>
      <c r="K3462" s="9"/>
      <c r="L3462" s="9"/>
      <c r="M3462" s="9"/>
    </row>
    <row r="3463" spans="9:13" x14ac:dyDescent="0.3">
      <c r="I3463" s="7"/>
      <c r="J3463" s="9"/>
      <c r="K3463" s="9"/>
      <c r="L3463" s="9"/>
      <c r="M3463" s="9"/>
    </row>
    <row r="3464" spans="9:13" x14ac:dyDescent="0.3">
      <c r="I3464" s="7"/>
      <c r="J3464" s="9"/>
      <c r="K3464" s="9"/>
      <c r="L3464" s="9"/>
      <c r="M3464" s="9"/>
    </row>
    <row r="3465" spans="9:13" x14ac:dyDescent="0.3">
      <c r="I3465" s="7"/>
      <c r="J3465" s="9"/>
      <c r="K3465" s="9"/>
      <c r="L3465" s="9"/>
      <c r="M3465" s="9"/>
    </row>
    <row r="3466" spans="9:13" x14ac:dyDescent="0.3">
      <c r="I3466" s="7"/>
      <c r="J3466" s="9"/>
      <c r="K3466" s="9"/>
      <c r="L3466" s="9"/>
      <c r="M3466" s="9"/>
    </row>
    <row r="3467" spans="9:13" x14ac:dyDescent="0.3">
      <c r="I3467" s="7"/>
      <c r="J3467" s="9"/>
      <c r="K3467" s="9"/>
      <c r="L3467" s="9"/>
      <c r="M3467" s="9"/>
    </row>
    <row r="3468" spans="9:13" x14ac:dyDescent="0.3">
      <c r="I3468" s="7"/>
      <c r="J3468" s="9"/>
      <c r="K3468" s="9"/>
      <c r="L3468" s="9"/>
      <c r="M3468" s="9"/>
    </row>
    <row r="3469" spans="9:13" x14ac:dyDescent="0.3">
      <c r="I3469" s="7"/>
      <c r="J3469" s="9"/>
      <c r="K3469" s="9"/>
      <c r="L3469" s="9"/>
      <c r="M3469" s="9"/>
    </row>
    <row r="3470" spans="9:13" x14ac:dyDescent="0.3">
      <c r="I3470" s="7"/>
      <c r="J3470" s="9"/>
      <c r="K3470" s="9"/>
      <c r="L3470" s="9"/>
      <c r="M3470" s="9"/>
    </row>
    <row r="3471" spans="9:13" x14ac:dyDescent="0.3">
      <c r="I3471" s="7"/>
      <c r="J3471" s="9"/>
      <c r="K3471" s="9"/>
      <c r="L3471" s="9"/>
      <c r="M3471" s="9"/>
    </row>
    <row r="3472" spans="9:13" x14ac:dyDescent="0.3">
      <c r="I3472" s="7"/>
      <c r="J3472" s="9"/>
      <c r="K3472" s="9"/>
      <c r="L3472" s="9"/>
      <c r="M3472" s="9"/>
    </row>
    <row r="3473" spans="9:13" x14ac:dyDescent="0.3">
      <c r="I3473" s="7"/>
      <c r="J3473" s="9"/>
      <c r="K3473" s="9"/>
      <c r="L3473" s="9"/>
      <c r="M3473" s="9"/>
    </row>
    <row r="3474" spans="9:13" x14ac:dyDescent="0.3">
      <c r="I3474" s="7"/>
      <c r="J3474" s="9"/>
      <c r="K3474" s="9"/>
      <c r="L3474" s="9"/>
      <c r="M3474" s="9"/>
    </row>
    <row r="3475" spans="9:13" x14ac:dyDescent="0.3">
      <c r="I3475" s="7"/>
      <c r="J3475" s="9"/>
      <c r="K3475" s="9"/>
      <c r="L3475" s="9"/>
      <c r="M3475" s="9"/>
    </row>
    <row r="3476" spans="9:13" x14ac:dyDescent="0.3">
      <c r="I3476" s="7"/>
      <c r="J3476" s="9"/>
      <c r="K3476" s="9"/>
      <c r="L3476" s="9"/>
      <c r="M3476" s="9"/>
    </row>
    <row r="3477" spans="9:13" x14ac:dyDescent="0.3">
      <c r="I3477" s="7"/>
      <c r="J3477" s="9"/>
      <c r="K3477" s="9"/>
      <c r="L3477" s="9"/>
      <c r="M3477" s="9"/>
    </row>
    <row r="3478" spans="9:13" x14ac:dyDescent="0.3">
      <c r="I3478" s="7"/>
      <c r="J3478" s="9"/>
      <c r="K3478" s="9"/>
      <c r="L3478" s="9"/>
      <c r="M3478" s="9"/>
    </row>
    <row r="3479" spans="9:13" x14ac:dyDescent="0.3">
      <c r="I3479" s="7"/>
      <c r="J3479" s="9"/>
      <c r="K3479" s="9"/>
      <c r="L3479" s="9"/>
      <c r="M3479" s="9"/>
    </row>
    <row r="3480" spans="9:13" x14ac:dyDescent="0.3">
      <c r="I3480" s="7"/>
      <c r="J3480" s="9"/>
      <c r="K3480" s="9"/>
      <c r="L3480" s="9"/>
      <c r="M3480" s="9"/>
    </row>
    <row r="3481" spans="9:13" x14ac:dyDescent="0.3">
      <c r="I3481" s="7"/>
      <c r="J3481" s="9"/>
      <c r="K3481" s="9"/>
      <c r="L3481" s="9"/>
      <c r="M3481" s="9"/>
    </row>
    <row r="3482" spans="9:13" x14ac:dyDescent="0.3">
      <c r="I3482" s="7"/>
      <c r="J3482" s="9"/>
      <c r="K3482" s="9"/>
      <c r="L3482" s="9"/>
      <c r="M3482" s="9"/>
    </row>
    <row r="3483" spans="9:13" x14ac:dyDescent="0.3">
      <c r="I3483" s="7"/>
      <c r="J3483" s="9"/>
      <c r="K3483" s="9"/>
      <c r="L3483" s="9"/>
      <c r="M3483" s="9"/>
    </row>
    <row r="3484" spans="9:13" x14ac:dyDescent="0.3">
      <c r="I3484" s="7"/>
      <c r="J3484" s="9"/>
      <c r="K3484" s="9"/>
      <c r="L3484" s="9"/>
      <c r="M3484" s="9"/>
    </row>
    <row r="3485" spans="9:13" x14ac:dyDescent="0.3">
      <c r="I3485" s="7"/>
      <c r="J3485" s="9"/>
      <c r="K3485" s="9"/>
      <c r="L3485" s="9"/>
      <c r="M3485" s="9"/>
    </row>
    <row r="3486" spans="9:13" x14ac:dyDescent="0.3">
      <c r="I3486" s="7"/>
      <c r="J3486" s="9"/>
      <c r="K3486" s="9"/>
      <c r="L3486" s="9"/>
      <c r="M3486" s="9"/>
    </row>
    <row r="3487" spans="9:13" x14ac:dyDescent="0.3">
      <c r="I3487" s="7"/>
      <c r="J3487" s="9"/>
      <c r="K3487" s="9"/>
      <c r="L3487" s="9"/>
      <c r="M3487" s="9"/>
    </row>
    <row r="3488" spans="9:13" x14ac:dyDescent="0.3">
      <c r="I3488" s="7"/>
      <c r="J3488" s="9"/>
      <c r="K3488" s="9"/>
      <c r="L3488" s="9"/>
      <c r="M3488" s="9"/>
    </row>
    <row r="3489" spans="9:13" x14ac:dyDescent="0.3">
      <c r="I3489" s="7"/>
      <c r="J3489" s="9"/>
      <c r="K3489" s="9"/>
      <c r="L3489" s="9"/>
      <c r="M3489" s="9"/>
    </row>
    <row r="3490" spans="9:13" x14ac:dyDescent="0.3">
      <c r="I3490" s="7"/>
      <c r="J3490" s="9"/>
      <c r="K3490" s="9"/>
      <c r="L3490" s="9"/>
      <c r="M3490" s="9"/>
    </row>
    <row r="3491" spans="9:13" x14ac:dyDescent="0.3">
      <c r="I3491" s="7"/>
      <c r="J3491" s="9"/>
      <c r="K3491" s="9"/>
      <c r="L3491" s="9"/>
      <c r="M3491" s="9"/>
    </row>
    <row r="3492" spans="9:13" x14ac:dyDescent="0.3">
      <c r="I3492" s="7"/>
      <c r="J3492" s="9"/>
      <c r="K3492" s="9"/>
      <c r="L3492" s="9"/>
      <c r="M3492" s="9"/>
    </row>
    <row r="3493" spans="9:13" x14ac:dyDescent="0.3">
      <c r="I3493" s="7"/>
      <c r="J3493" s="9"/>
      <c r="K3493" s="9"/>
      <c r="L3493" s="9"/>
      <c r="M3493" s="9"/>
    </row>
    <row r="3494" spans="9:13" x14ac:dyDescent="0.3">
      <c r="I3494" s="7"/>
      <c r="J3494" s="9"/>
      <c r="K3494" s="9"/>
      <c r="L3494" s="9"/>
      <c r="M3494" s="9"/>
    </row>
    <row r="3495" spans="9:13" x14ac:dyDescent="0.3">
      <c r="I3495" s="7"/>
      <c r="J3495" s="9"/>
      <c r="K3495" s="9"/>
      <c r="L3495" s="9"/>
      <c r="M3495" s="9"/>
    </row>
    <row r="3496" spans="9:13" x14ac:dyDescent="0.3">
      <c r="I3496" s="7"/>
      <c r="J3496" s="9"/>
      <c r="K3496" s="9"/>
      <c r="L3496" s="9"/>
      <c r="M3496" s="9"/>
    </row>
    <row r="3497" spans="9:13" x14ac:dyDescent="0.3">
      <c r="I3497" s="7"/>
      <c r="J3497" s="9"/>
      <c r="K3497" s="9"/>
      <c r="L3497" s="9"/>
      <c r="M3497" s="9"/>
    </row>
    <row r="3498" spans="9:13" x14ac:dyDescent="0.3">
      <c r="I3498" s="7"/>
      <c r="J3498" s="9"/>
      <c r="K3498" s="9"/>
      <c r="L3498" s="9"/>
      <c r="M3498" s="9"/>
    </row>
    <row r="3499" spans="9:13" x14ac:dyDescent="0.3">
      <c r="I3499" s="7"/>
      <c r="J3499" s="9"/>
      <c r="K3499" s="9"/>
      <c r="L3499" s="9"/>
      <c r="M3499" s="9"/>
    </row>
    <row r="3500" spans="9:13" x14ac:dyDescent="0.3">
      <c r="I3500" s="7"/>
      <c r="J3500" s="9"/>
      <c r="K3500" s="9"/>
      <c r="L3500" s="9"/>
      <c r="M3500" s="9"/>
    </row>
    <row r="3501" spans="9:13" x14ac:dyDescent="0.3">
      <c r="I3501" s="7"/>
      <c r="J3501" s="9"/>
      <c r="K3501" s="9"/>
      <c r="L3501" s="9"/>
      <c r="M3501" s="9"/>
    </row>
    <row r="3502" spans="9:13" x14ac:dyDescent="0.3">
      <c r="I3502" s="7"/>
      <c r="J3502" s="9"/>
      <c r="K3502" s="9"/>
      <c r="L3502" s="9"/>
      <c r="M3502" s="9"/>
    </row>
    <row r="3503" spans="9:13" x14ac:dyDescent="0.3">
      <c r="I3503" s="7"/>
      <c r="J3503" s="9"/>
      <c r="K3503" s="9"/>
      <c r="L3503" s="9"/>
      <c r="M3503" s="9"/>
    </row>
    <row r="3504" spans="9:13" x14ac:dyDescent="0.3">
      <c r="I3504" s="7"/>
      <c r="J3504" s="9"/>
      <c r="K3504" s="9"/>
      <c r="L3504" s="9"/>
      <c r="M3504" s="9"/>
    </row>
    <row r="3505" spans="9:13" x14ac:dyDescent="0.3">
      <c r="I3505" s="7"/>
      <c r="J3505" s="9"/>
      <c r="K3505" s="9"/>
      <c r="L3505" s="9"/>
      <c r="M3505" s="9"/>
    </row>
    <row r="3506" spans="9:13" x14ac:dyDescent="0.3">
      <c r="I3506" s="7"/>
      <c r="J3506" s="9"/>
      <c r="K3506" s="9"/>
      <c r="L3506" s="9"/>
      <c r="M3506" s="9"/>
    </row>
    <row r="3507" spans="9:13" x14ac:dyDescent="0.3">
      <c r="I3507" s="7"/>
      <c r="J3507" s="9"/>
      <c r="K3507" s="9"/>
      <c r="L3507" s="9"/>
      <c r="M3507" s="9"/>
    </row>
    <row r="3508" spans="9:13" x14ac:dyDescent="0.3">
      <c r="I3508" s="7"/>
      <c r="J3508" s="9"/>
      <c r="K3508" s="9"/>
      <c r="L3508" s="9"/>
      <c r="M3508" s="9"/>
    </row>
    <row r="3509" spans="9:13" x14ac:dyDescent="0.3">
      <c r="I3509" s="7"/>
      <c r="J3509" s="9"/>
      <c r="K3509" s="9"/>
      <c r="L3509" s="9"/>
      <c r="M3509" s="9"/>
    </row>
    <row r="3510" spans="9:13" x14ac:dyDescent="0.3">
      <c r="I3510" s="7"/>
      <c r="J3510" s="9"/>
      <c r="K3510" s="9"/>
      <c r="L3510" s="9"/>
      <c r="M3510" s="9"/>
    </row>
    <row r="3511" spans="9:13" x14ac:dyDescent="0.3">
      <c r="I3511" s="7"/>
      <c r="J3511" s="9"/>
      <c r="K3511" s="9"/>
      <c r="L3511" s="9"/>
      <c r="M3511" s="9"/>
    </row>
    <row r="3512" spans="9:13" x14ac:dyDescent="0.3">
      <c r="I3512" s="7"/>
      <c r="J3512" s="9"/>
      <c r="K3512" s="9"/>
      <c r="L3512" s="9"/>
      <c r="M3512" s="9"/>
    </row>
    <row r="3513" spans="9:13" x14ac:dyDescent="0.3">
      <c r="I3513" s="7"/>
      <c r="J3513" s="9"/>
      <c r="K3513" s="9"/>
      <c r="L3513" s="9"/>
      <c r="M3513" s="9"/>
    </row>
    <row r="3514" spans="9:13" x14ac:dyDescent="0.3">
      <c r="I3514" s="7"/>
      <c r="J3514" s="9"/>
      <c r="K3514" s="9"/>
      <c r="L3514" s="9"/>
      <c r="M3514" s="9"/>
    </row>
    <row r="3515" spans="9:13" x14ac:dyDescent="0.3">
      <c r="I3515" s="7"/>
      <c r="J3515" s="9"/>
      <c r="K3515" s="9"/>
      <c r="L3515" s="9"/>
      <c r="M3515" s="9"/>
    </row>
    <row r="3516" spans="9:13" x14ac:dyDescent="0.3">
      <c r="I3516" s="7"/>
      <c r="J3516" s="9"/>
      <c r="K3516" s="9"/>
      <c r="L3516" s="9"/>
      <c r="M3516" s="9"/>
    </row>
    <row r="3517" spans="9:13" x14ac:dyDescent="0.3">
      <c r="I3517" s="7"/>
      <c r="J3517" s="9"/>
      <c r="K3517" s="9"/>
      <c r="L3517" s="9"/>
      <c r="M3517" s="9"/>
    </row>
    <row r="3518" spans="9:13" x14ac:dyDescent="0.3">
      <c r="I3518" s="7"/>
      <c r="J3518" s="9"/>
      <c r="K3518" s="9"/>
      <c r="L3518" s="9"/>
      <c r="M3518" s="9"/>
    </row>
    <row r="3519" spans="9:13" x14ac:dyDescent="0.3">
      <c r="I3519" s="7"/>
      <c r="J3519" s="9"/>
      <c r="K3519" s="9"/>
      <c r="L3519" s="9"/>
      <c r="M3519" s="9"/>
    </row>
    <row r="3520" spans="9:13" x14ac:dyDescent="0.3">
      <c r="I3520" s="7"/>
      <c r="J3520" s="9"/>
      <c r="K3520" s="9"/>
      <c r="L3520" s="9"/>
      <c r="M3520" s="9"/>
    </row>
    <row r="3521" spans="9:13" x14ac:dyDescent="0.3">
      <c r="I3521" s="7"/>
      <c r="J3521" s="9"/>
      <c r="K3521" s="9"/>
      <c r="L3521" s="9"/>
      <c r="M3521" s="9"/>
    </row>
    <row r="3522" spans="9:13" x14ac:dyDescent="0.3">
      <c r="I3522" s="7"/>
      <c r="J3522" s="9"/>
      <c r="K3522" s="9"/>
      <c r="L3522" s="9"/>
      <c r="M3522" s="9"/>
    </row>
    <row r="3523" spans="9:13" x14ac:dyDescent="0.3">
      <c r="I3523" s="7"/>
      <c r="J3523" s="9"/>
      <c r="K3523" s="9"/>
      <c r="L3523" s="9"/>
      <c r="M3523" s="9"/>
    </row>
    <row r="3524" spans="9:13" x14ac:dyDescent="0.3">
      <c r="I3524" s="7"/>
      <c r="J3524" s="9"/>
      <c r="K3524" s="9"/>
      <c r="L3524" s="9"/>
      <c r="M3524" s="9"/>
    </row>
    <row r="3525" spans="9:13" x14ac:dyDescent="0.3">
      <c r="I3525" s="7"/>
      <c r="J3525" s="9"/>
      <c r="K3525" s="9"/>
      <c r="L3525" s="9"/>
      <c r="M3525" s="9"/>
    </row>
    <row r="3526" spans="9:13" x14ac:dyDescent="0.3">
      <c r="I3526" s="7"/>
      <c r="J3526" s="9"/>
      <c r="K3526" s="9"/>
      <c r="L3526" s="9"/>
      <c r="M3526" s="9"/>
    </row>
    <row r="3527" spans="9:13" x14ac:dyDescent="0.3">
      <c r="I3527" s="7"/>
      <c r="J3527" s="9"/>
      <c r="K3527" s="9"/>
      <c r="L3527" s="9"/>
      <c r="M3527" s="9"/>
    </row>
    <row r="3528" spans="9:13" x14ac:dyDescent="0.3">
      <c r="I3528" s="7"/>
      <c r="J3528" s="9"/>
      <c r="K3528" s="9"/>
      <c r="L3528" s="9"/>
      <c r="M3528" s="9"/>
    </row>
    <row r="3529" spans="9:13" x14ac:dyDescent="0.3">
      <c r="I3529" s="7"/>
      <c r="J3529" s="9"/>
      <c r="K3529" s="9"/>
      <c r="L3529" s="9"/>
      <c r="M3529" s="9"/>
    </row>
    <row r="3530" spans="9:13" x14ac:dyDescent="0.3">
      <c r="I3530" s="7"/>
      <c r="J3530" s="9"/>
      <c r="K3530" s="9"/>
      <c r="L3530" s="9"/>
      <c r="M3530" s="9"/>
    </row>
    <row r="3531" spans="9:13" x14ac:dyDescent="0.3">
      <c r="I3531" s="7"/>
      <c r="J3531" s="9"/>
      <c r="K3531" s="9"/>
      <c r="L3531" s="9"/>
      <c r="M3531" s="9"/>
    </row>
    <row r="3532" spans="9:13" x14ac:dyDescent="0.3">
      <c r="I3532" s="7"/>
      <c r="J3532" s="9"/>
      <c r="K3532" s="9"/>
      <c r="L3532" s="9"/>
      <c r="M3532" s="9"/>
    </row>
    <row r="3533" spans="9:13" x14ac:dyDescent="0.3">
      <c r="I3533" s="7"/>
      <c r="J3533" s="9"/>
      <c r="K3533" s="9"/>
      <c r="L3533" s="9"/>
      <c r="M3533" s="9"/>
    </row>
    <row r="3534" spans="9:13" x14ac:dyDescent="0.3">
      <c r="I3534" s="7"/>
      <c r="J3534" s="9"/>
      <c r="K3534" s="9"/>
      <c r="L3534" s="9"/>
      <c r="M3534" s="9"/>
    </row>
    <row r="3535" spans="9:13" x14ac:dyDescent="0.3">
      <c r="I3535" s="7"/>
      <c r="J3535" s="9"/>
      <c r="K3535" s="9"/>
      <c r="L3535" s="9"/>
      <c r="M3535" s="9"/>
    </row>
    <row r="3536" spans="9:13" x14ac:dyDescent="0.3">
      <c r="I3536" s="7"/>
      <c r="J3536" s="9"/>
      <c r="K3536" s="9"/>
      <c r="L3536" s="9"/>
      <c r="M3536" s="9"/>
    </row>
    <row r="3537" spans="9:13" x14ac:dyDescent="0.3">
      <c r="I3537" s="7"/>
      <c r="J3537" s="9"/>
      <c r="K3537" s="9"/>
      <c r="L3537" s="9"/>
      <c r="M3537" s="9"/>
    </row>
    <row r="3538" spans="9:13" x14ac:dyDescent="0.3">
      <c r="I3538" s="7"/>
      <c r="J3538" s="9"/>
      <c r="K3538" s="9"/>
      <c r="L3538" s="9"/>
      <c r="M3538" s="9"/>
    </row>
    <row r="3539" spans="9:13" x14ac:dyDescent="0.3">
      <c r="I3539" s="7"/>
      <c r="J3539" s="9"/>
      <c r="K3539" s="9"/>
      <c r="L3539" s="9"/>
      <c r="M3539" s="9"/>
    </row>
    <row r="3540" spans="9:13" x14ac:dyDescent="0.3">
      <c r="I3540" s="7"/>
      <c r="J3540" s="9"/>
      <c r="K3540" s="9"/>
      <c r="L3540" s="9"/>
      <c r="M3540" s="9"/>
    </row>
    <row r="3541" spans="9:13" x14ac:dyDescent="0.3">
      <c r="I3541" s="7"/>
      <c r="J3541" s="9"/>
      <c r="K3541" s="9"/>
      <c r="L3541" s="9"/>
      <c r="M3541" s="9"/>
    </row>
    <row r="3542" spans="9:13" x14ac:dyDescent="0.3">
      <c r="I3542" s="7"/>
      <c r="J3542" s="9"/>
      <c r="K3542" s="9"/>
      <c r="L3542" s="9"/>
      <c r="M3542" s="9"/>
    </row>
    <row r="3543" spans="9:13" x14ac:dyDescent="0.3">
      <c r="I3543" s="7"/>
      <c r="J3543" s="9"/>
      <c r="K3543" s="9"/>
      <c r="L3543" s="9"/>
      <c r="M3543" s="9"/>
    </row>
    <row r="3544" spans="9:13" x14ac:dyDescent="0.3">
      <c r="I3544" s="7"/>
      <c r="J3544" s="9"/>
      <c r="K3544" s="9"/>
      <c r="L3544" s="9"/>
      <c r="M3544" s="9"/>
    </row>
    <row r="3545" spans="9:13" x14ac:dyDescent="0.3">
      <c r="I3545" s="7"/>
      <c r="J3545" s="9"/>
      <c r="K3545" s="9"/>
      <c r="L3545" s="9"/>
      <c r="M3545" s="9"/>
    </row>
    <row r="3546" spans="9:13" x14ac:dyDescent="0.3">
      <c r="I3546" s="7"/>
      <c r="J3546" s="9"/>
      <c r="K3546" s="9"/>
      <c r="L3546" s="9"/>
      <c r="M3546" s="9"/>
    </row>
    <row r="3547" spans="9:13" x14ac:dyDescent="0.3">
      <c r="I3547" s="7"/>
      <c r="J3547" s="9"/>
      <c r="K3547" s="9"/>
      <c r="L3547" s="9"/>
      <c r="M3547" s="9"/>
    </row>
    <row r="3548" spans="9:13" x14ac:dyDescent="0.3">
      <c r="I3548" s="7"/>
      <c r="J3548" s="9"/>
      <c r="K3548" s="9"/>
      <c r="L3548" s="9"/>
      <c r="M3548" s="9"/>
    </row>
    <row r="3549" spans="9:13" x14ac:dyDescent="0.3">
      <c r="I3549" s="7"/>
      <c r="J3549" s="9"/>
      <c r="K3549" s="9"/>
      <c r="L3549" s="9"/>
      <c r="M3549" s="9"/>
    </row>
    <row r="3550" spans="9:13" x14ac:dyDescent="0.3">
      <c r="I3550" s="7"/>
      <c r="J3550" s="9"/>
      <c r="K3550" s="9"/>
      <c r="L3550" s="9"/>
      <c r="M3550" s="9"/>
    </row>
    <row r="3551" spans="9:13" x14ac:dyDescent="0.3">
      <c r="I3551" s="7"/>
      <c r="J3551" s="9"/>
      <c r="K3551" s="9"/>
      <c r="L3551" s="9"/>
      <c r="M3551" s="9"/>
    </row>
    <row r="3552" spans="9:13" x14ac:dyDescent="0.3">
      <c r="I3552" s="7"/>
      <c r="J3552" s="9"/>
      <c r="K3552" s="9"/>
      <c r="L3552" s="9"/>
      <c r="M3552" s="9"/>
    </row>
    <row r="3553" spans="9:13" x14ac:dyDescent="0.3">
      <c r="I3553" s="7"/>
      <c r="J3553" s="9"/>
      <c r="K3553" s="9"/>
      <c r="L3553" s="9"/>
      <c r="M3553" s="9"/>
    </row>
    <row r="3554" spans="9:13" x14ac:dyDescent="0.3">
      <c r="I3554" s="7"/>
      <c r="J3554" s="9"/>
      <c r="K3554" s="9"/>
      <c r="L3554" s="9"/>
      <c r="M3554" s="9"/>
    </row>
    <row r="3555" spans="9:13" x14ac:dyDescent="0.3">
      <c r="I3555" s="7"/>
      <c r="J3555" s="9"/>
      <c r="K3555" s="9"/>
      <c r="L3555" s="9"/>
      <c r="M3555" s="9"/>
    </row>
    <row r="3556" spans="9:13" x14ac:dyDescent="0.3">
      <c r="I3556" s="7"/>
      <c r="J3556" s="9"/>
      <c r="K3556" s="9"/>
      <c r="L3556" s="9"/>
      <c r="M3556" s="9"/>
    </row>
    <row r="3557" spans="9:13" x14ac:dyDescent="0.3">
      <c r="I3557" s="7"/>
      <c r="J3557" s="9"/>
      <c r="K3557" s="9"/>
      <c r="L3557" s="9"/>
      <c r="M3557" s="9"/>
    </row>
    <row r="3558" spans="9:13" x14ac:dyDescent="0.3">
      <c r="I3558" s="7"/>
      <c r="J3558" s="9"/>
      <c r="K3558" s="9"/>
      <c r="L3558" s="9"/>
      <c r="M3558" s="9"/>
    </row>
    <row r="3559" spans="9:13" x14ac:dyDescent="0.3">
      <c r="I3559" s="7"/>
      <c r="J3559" s="9"/>
      <c r="K3559" s="9"/>
      <c r="L3559" s="9"/>
      <c r="M3559" s="9"/>
    </row>
    <row r="3560" spans="9:13" x14ac:dyDescent="0.3">
      <c r="I3560" s="7"/>
      <c r="J3560" s="9"/>
      <c r="K3560" s="9"/>
      <c r="L3560" s="9"/>
      <c r="M3560" s="9"/>
    </row>
    <row r="3561" spans="9:13" x14ac:dyDescent="0.3">
      <c r="I3561" s="7"/>
      <c r="J3561" s="9"/>
      <c r="K3561" s="9"/>
      <c r="L3561" s="9"/>
      <c r="M3561" s="9"/>
    </row>
    <row r="3562" spans="9:13" x14ac:dyDescent="0.3">
      <c r="I3562" s="7"/>
      <c r="J3562" s="9"/>
      <c r="K3562" s="9"/>
      <c r="L3562" s="9"/>
      <c r="M3562" s="9"/>
    </row>
    <row r="3563" spans="9:13" x14ac:dyDescent="0.3">
      <c r="I3563" s="7"/>
      <c r="J3563" s="9"/>
      <c r="K3563" s="9"/>
      <c r="L3563" s="9"/>
      <c r="M3563" s="9"/>
    </row>
    <row r="3564" spans="9:13" x14ac:dyDescent="0.3">
      <c r="I3564" s="7"/>
      <c r="J3564" s="9"/>
      <c r="K3564" s="9"/>
      <c r="L3564" s="9"/>
      <c r="M3564" s="9"/>
    </row>
    <row r="3565" spans="9:13" x14ac:dyDescent="0.3">
      <c r="I3565" s="7"/>
      <c r="J3565" s="9"/>
      <c r="K3565" s="9"/>
      <c r="L3565" s="9"/>
      <c r="M3565" s="9"/>
    </row>
    <row r="3566" spans="9:13" x14ac:dyDescent="0.3">
      <c r="I3566" s="7"/>
      <c r="J3566" s="9"/>
      <c r="K3566" s="9"/>
      <c r="L3566" s="9"/>
      <c r="M3566" s="9"/>
    </row>
    <row r="3567" spans="9:13" x14ac:dyDescent="0.3">
      <c r="I3567" s="7"/>
      <c r="J3567" s="9"/>
      <c r="K3567" s="9"/>
      <c r="L3567" s="9"/>
      <c r="M3567" s="9"/>
    </row>
    <row r="3568" spans="9:13" x14ac:dyDescent="0.3">
      <c r="I3568" s="7"/>
      <c r="J3568" s="9"/>
      <c r="K3568" s="9"/>
      <c r="L3568" s="9"/>
      <c r="M3568" s="9"/>
    </row>
    <row r="3569" spans="9:13" x14ac:dyDescent="0.3">
      <c r="I3569" s="7"/>
      <c r="J3569" s="9"/>
      <c r="K3569" s="9"/>
      <c r="L3569" s="9"/>
      <c r="M3569" s="9"/>
    </row>
    <row r="3570" spans="9:13" x14ac:dyDescent="0.3">
      <c r="I3570" s="7"/>
      <c r="J3570" s="9"/>
      <c r="K3570" s="9"/>
      <c r="L3570" s="9"/>
      <c r="M3570" s="9"/>
    </row>
    <row r="3571" spans="9:13" x14ac:dyDescent="0.3">
      <c r="I3571" s="7"/>
      <c r="J3571" s="9"/>
      <c r="K3571" s="9"/>
      <c r="L3571" s="9"/>
      <c r="M3571" s="9"/>
    </row>
    <row r="3572" spans="9:13" x14ac:dyDescent="0.3">
      <c r="I3572" s="7"/>
      <c r="J3572" s="9"/>
      <c r="K3572" s="9"/>
      <c r="L3572" s="9"/>
      <c r="M3572" s="9"/>
    </row>
    <row r="3573" spans="9:13" x14ac:dyDescent="0.3">
      <c r="I3573" s="7"/>
      <c r="J3573" s="9"/>
      <c r="K3573" s="9"/>
      <c r="L3573" s="9"/>
      <c r="M3573" s="9"/>
    </row>
    <row r="3574" spans="9:13" x14ac:dyDescent="0.3">
      <c r="I3574" s="7"/>
      <c r="J3574" s="9"/>
      <c r="K3574" s="9"/>
      <c r="L3574" s="9"/>
      <c r="M3574" s="9"/>
    </row>
    <row r="3575" spans="9:13" x14ac:dyDescent="0.3">
      <c r="I3575" s="7"/>
      <c r="J3575" s="9"/>
      <c r="K3575" s="9"/>
      <c r="L3575" s="9"/>
      <c r="M3575" s="9"/>
    </row>
    <row r="3576" spans="9:13" x14ac:dyDescent="0.3">
      <c r="I3576" s="7"/>
      <c r="J3576" s="9"/>
      <c r="K3576" s="9"/>
      <c r="L3576" s="9"/>
      <c r="M3576" s="9"/>
    </row>
    <row r="3577" spans="9:13" x14ac:dyDescent="0.3">
      <c r="I3577" s="7"/>
      <c r="J3577" s="9"/>
      <c r="K3577" s="9"/>
      <c r="L3577" s="9"/>
      <c r="M3577" s="9"/>
    </row>
    <row r="3578" spans="9:13" x14ac:dyDescent="0.3">
      <c r="I3578" s="7"/>
      <c r="J3578" s="9"/>
      <c r="K3578" s="9"/>
      <c r="L3578" s="9"/>
      <c r="M3578" s="9"/>
    </row>
    <row r="3579" spans="9:13" x14ac:dyDescent="0.3">
      <c r="I3579" s="7"/>
      <c r="J3579" s="9"/>
      <c r="K3579" s="9"/>
      <c r="L3579" s="9"/>
      <c r="M3579" s="9"/>
    </row>
    <row r="3580" spans="9:13" x14ac:dyDescent="0.3">
      <c r="I3580" s="7"/>
      <c r="J3580" s="9"/>
      <c r="K3580" s="9"/>
      <c r="L3580" s="9"/>
      <c r="M3580" s="9"/>
    </row>
    <row r="3581" spans="9:13" x14ac:dyDescent="0.3">
      <c r="I3581" s="7"/>
      <c r="J3581" s="9"/>
      <c r="K3581" s="9"/>
      <c r="L3581" s="9"/>
      <c r="M3581" s="9"/>
    </row>
    <row r="3582" spans="9:13" x14ac:dyDescent="0.3">
      <c r="I3582" s="7"/>
      <c r="J3582" s="9"/>
      <c r="K3582" s="9"/>
      <c r="L3582" s="9"/>
      <c r="M3582" s="9"/>
    </row>
    <row r="3583" spans="9:13" x14ac:dyDescent="0.3">
      <c r="I3583" s="7"/>
      <c r="J3583" s="9"/>
      <c r="K3583" s="9"/>
      <c r="L3583" s="9"/>
      <c r="M3583" s="9"/>
    </row>
    <row r="3584" spans="9:13" x14ac:dyDescent="0.3">
      <c r="I3584" s="7"/>
      <c r="J3584" s="9"/>
      <c r="K3584" s="9"/>
      <c r="L3584" s="9"/>
      <c r="M3584" s="9"/>
    </row>
    <row r="3585" spans="9:13" x14ac:dyDescent="0.3">
      <c r="I3585" s="7"/>
      <c r="J3585" s="9"/>
      <c r="K3585" s="9"/>
      <c r="L3585" s="9"/>
      <c r="M3585" s="9"/>
    </row>
    <row r="3586" spans="9:13" x14ac:dyDescent="0.3">
      <c r="I3586" s="7"/>
      <c r="J3586" s="9"/>
      <c r="K3586" s="9"/>
      <c r="L3586" s="9"/>
      <c r="M3586" s="9"/>
    </row>
    <row r="3587" spans="9:13" x14ac:dyDescent="0.3">
      <c r="I3587" s="7"/>
      <c r="J3587" s="9"/>
      <c r="K3587" s="9"/>
      <c r="L3587" s="9"/>
      <c r="M3587" s="9"/>
    </row>
    <row r="3588" spans="9:13" x14ac:dyDescent="0.3">
      <c r="I3588" s="7"/>
      <c r="J3588" s="9"/>
      <c r="K3588" s="9"/>
      <c r="L3588" s="9"/>
      <c r="M3588" s="9"/>
    </row>
    <row r="3589" spans="9:13" x14ac:dyDescent="0.3">
      <c r="I3589" s="7"/>
      <c r="J3589" s="9"/>
      <c r="K3589" s="9"/>
      <c r="L3589" s="9"/>
      <c r="M3589" s="9"/>
    </row>
    <row r="3590" spans="9:13" x14ac:dyDescent="0.3">
      <c r="I3590" s="7"/>
      <c r="J3590" s="9"/>
      <c r="K3590" s="9"/>
      <c r="L3590" s="9"/>
      <c r="M3590" s="9"/>
    </row>
    <row r="3591" spans="9:13" x14ac:dyDescent="0.3">
      <c r="I3591" s="7"/>
      <c r="J3591" s="9"/>
      <c r="K3591" s="9"/>
      <c r="L3591" s="9"/>
      <c r="M3591" s="9"/>
    </row>
    <row r="3592" spans="9:13" x14ac:dyDescent="0.3">
      <c r="I3592" s="7"/>
      <c r="J3592" s="9"/>
      <c r="K3592" s="9"/>
      <c r="L3592" s="9"/>
      <c r="M3592" s="9"/>
    </row>
    <row r="3593" spans="9:13" x14ac:dyDescent="0.3">
      <c r="I3593" s="7"/>
      <c r="J3593" s="9"/>
      <c r="K3593" s="9"/>
      <c r="L3593" s="9"/>
      <c r="M3593" s="9"/>
    </row>
    <row r="3594" spans="9:13" x14ac:dyDescent="0.3">
      <c r="I3594" s="7"/>
      <c r="J3594" s="9"/>
      <c r="K3594" s="9"/>
      <c r="L3594" s="9"/>
      <c r="M3594" s="9"/>
    </row>
    <row r="3595" spans="9:13" x14ac:dyDescent="0.3">
      <c r="I3595" s="7"/>
      <c r="J3595" s="9"/>
      <c r="K3595" s="9"/>
      <c r="L3595" s="9"/>
      <c r="M3595" s="9"/>
    </row>
    <row r="3596" spans="9:13" x14ac:dyDescent="0.3">
      <c r="I3596" s="7"/>
      <c r="J3596" s="9"/>
      <c r="K3596" s="9"/>
      <c r="L3596" s="9"/>
      <c r="M3596" s="9"/>
    </row>
    <row r="3597" spans="9:13" x14ac:dyDescent="0.3">
      <c r="I3597" s="7"/>
      <c r="J3597" s="9"/>
      <c r="K3597" s="9"/>
      <c r="L3597" s="9"/>
      <c r="M3597" s="9"/>
    </row>
    <row r="3598" spans="9:13" x14ac:dyDescent="0.3">
      <c r="I3598" s="7"/>
      <c r="J3598" s="9"/>
      <c r="K3598" s="9"/>
      <c r="L3598" s="9"/>
      <c r="M3598" s="9"/>
    </row>
    <row r="3599" spans="9:13" x14ac:dyDescent="0.3">
      <c r="I3599" s="7"/>
      <c r="J3599" s="9"/>
      <c r="K3599" s="9"/>
      <c r="L3599" s="9"/>
      <c r="M3599" s="9"/>
    </row>
    <row r="3600" spans="9:13" x14ac:dyDescent="0.3">
      <c r="I3600" s="7"/>
      <c r="J3600" s="9"/>
      <c r="K3600" s="9"/>
      <c r="L3600" s="9"/>
      <c r="M3600" s="9"/>
    </row>
    <row r="3601" spans="9:13" x14ac:dyDescent="0.3">
      <c r="I3601" s="7"/>
      <c r="J3601" s="9"/>
      <c r="K3601" s="9"/>
      <c r="L3601" s="9"/>
      <c r="M3601" s="9"/>
    </row>
    <row r="3602" spans="9:13" x14ac:dyDescent="0.3">
      <c r="I3602" s="7"/>
      <c r="J3602" s="9"/>
      <c r="K3602" s="9"/>
      <c r="L3602" s="9"/>
      <c r="M3602" s="9"/>
    </row>
    <row r="3603" spans="9:13" x14ac:dyDescent="0.3">
      <c r="I3603" s="7"/>
      <c r="J3603" s="9"/>
      <c r="K3603" s="9"/>
      <c r="L3603" s="9"/>
      <c r="M3603" s="9"/>
    </row>
    <row r="3604" spans="9:13" x14ac:dyDescent="0.3">
      <c r="I3604" s="7"/>
      <c r="J3604" s="9"/>
      <c r="K3604" s="9"/>
      <c r="L3604" s="9"/>
      <c r="M3604" s="9"/>
    </row>
    <row r="3605" spans="9:13" x14ac:dyDescent="0.3">
      <c r="I3605" s="7"/>
      <c r="J3605" s="9"/>
      <c r="K3605" s="9"/>
      <c r="L3605" s="9"/>
      <c r="M3605" s="9"/>
    </row>
    <row r="3606" spans="9:13" x14ac:dyDescent="0.3">
      <c r="I3606" s="7"/>
      <c r="J3606" s="9"/>
      <c r="K3606" s="9"/>
      <c r="L3606" s="9"/>
      <c r="M3606" s="9"/>
    </row>
    <row r="3607" spans="9:13" x14ac:dyDescent="0.3">
      <c r="I3607" s="7"/>
      <c r="J3607" s="9"/>
      <c r="K3607" s="9"/>
      <c r="L3607" s="9"/>
      <c r="M3607" s="9"/>
    </row>
    <row r="3608" spans="9:13" x14ac:dyDescent="0.3">
      <c r="I3608" s="7"/>
      <c r="J3608" s="9"/>
      <c r="K3608" s="9"/>
      <c r="L3608" s="9"/>
      <c r="M3608" s="9"/>
    </row>
    <row r="3609" spans="9:13" x14ac:dyDescent="0.3">
      <c r="I3609" s="7"/>
      <c r="J3609" s="9"/>
      <c r="K3609" s="9"/>
      <c r="L3609" s="9"/>
      <c r="M3609" s="9"/>
    </row>
    <row r="3610" spans="9:13" x14ac:dyDescent="0.3">
      <c r="I3610" s="7"/>
      <c r="J3610" s="9"/>
      <c r="K3610" s="9"/>
      <c r="L3610" s="9"/>
      <c r="M3610" s="9"/>
    </row>
    <row r="3611" spans="9:13" x14ac:dyDescent="0.3">
      <c r="I3611" s="7"/>
      <c r="J3611" s="9"/>
      <c r="K3611" s="9"/>
      <c r="L3611" s="9"/>
      <c r="M3611" s="9"/>
    </row>
    <row r="3612" spans="9:13" x14ac:dyDescent="0.3">
      <c r="I3612" s="7"/>
      <c r="J3612" s="9"/>
      <c r="K3612" s="9"/>
      <c r="L3612" s="9"/>
      <c r="M3612" s="9"/>
    </row>
    <row r="3613" spans="9:13" x14ac:dyDescent="0.3">
      <c r="I3613" s="7"/>
      <c r="J3613" s="9"/>
      <c r="K3613" s="9"/>
      <c r="L3613" s="9"/>
      <c r="M3613" s="9"/>
    </row>
    <row r="3614" spans="9:13" x14ac:dyDescent="0.3">
      <c r="I3614" s="7"/>
      <c r="J3614" s="9"/>
      <c r="K3614" s="9"/>
      <c r="L3614" s="9"/>
      <c r="M3614" s="9"/>
    </row>
    <row r="3615" spans="9:13" x14ac:dyDescent="0.3">
      <c r="I3615" s="7"/>
      <c r="J3615" s="9"/>
      <c r="K3615" s="9"/>
      <c r="L3615" s="9"/>
      <c r="M3615" s="9"/>
    </row>
    <row r="3616" spans="9:13" x14ac:dyDescent="0.3">
      <c r="I3616" s="7"/>
      <c r="J3616" s="9"/>
      <c r="K3616" s="9"/>
      <c r="L3616" s="9"/>
      <c r="M3616" s="9"/>
    </row>
    <row r="3617" spans="9:13" x14ac:dyDescent="0.3">
      <c r="I3617" s="7"/>
      <c r="J3617" s="9"/>
      <c r="K3617" s="9"/>
      <c r="L3617" s="9"/>
      <c r="M3617" s="9"/>
    </row>
    <row r="3618" spans="9:13" x14ac:dyDescent="0.3">
      <c r="I3618" s="7"/>
      <c r="J3618" s="9"/>
      <c r="K3618" s="9"/>
      <c r="L3618" s="9"/>
      <c r="M3618" s="9"/>
    </row>
    <row r="3619" spans="9:13" x14ac:dyDescent="0.3">
      <c r="I3619" s="7"/>
      <c r="J3619" s="9"/>
      <c r="K3619" s="9"/>
      <c r="L3619" s="9"/>
      <c r="M3619" s="9"/>
    </row>
    <row r="3620" spans="9:13" x14ac:dyDescent="0.3">
      <c r="I3620" s="7"/>
      <c r="J3620" s="9"/>
      <c r="K3620" s="9"/>
      <c r="L3620" s="9"/>
      <c r="M3620" s="9"/>
    </row>
    <row r="3621" spans="9:13" x14ac:dyDescent="0.3">
      <c r="I3621" s="7"/>
      <c r="J3621" s="9"/>
      <c r="K3621" s="9"/>
      <c r="L3621" s="9"/>
      <c r="M3621" s="9"/>
    </row>
    <row r="3622" spans="9:13" x14ac:dyDescent="0.3">
      <c r="I3622" s="7"/>
      <c r="J3622" s="9"/>
      <c r="K3622" s="9"/>
      <c r="L3622" s="9"/>
      <c r="M3622" s="9"/>
    </row>
    <row r="3623" spans="9:13" x14ac:dyDescent="0.3">
      <c r="I3623" s="7"/>
      <c r="J3623" s="9"/>
      <c r="K3623" s="9"/>
      <c r="L3623" s="9"/>
      <c r="M3623" s="9"/>
    </row>
    <row r="3624" spans="9:13" x14ac:dyDescent="0.3">
      <c r="I3624" s="7"/>
      <c r="J3624" s="9"/>
      <c r="K3624" s="9"/>
      <c r="L3624" s="9"/>
      <c r="M3624" s="9"/>
    </row>
    <row r="3625" spans="9:13" x14ac:dyDescent="0.3">
      <c r="I3625" s="7"/>
      <c r="J3625" s="9"/>
      <c r="K3625" s="9"/>
      <c r="L3625" s="9"/>
      <c r="M3625" s="9"/>
    </row>
    <row r="3626" spans="9:13" x14ac:dyDescent="0.3">
      <c r="I3626" s="7"/>
      <c r="J3626" s="9"/>
      <c r="K3626" s="9"/>
      <c r="L3626" s="9"/>
      <c r="M3626" s="9"/>
    </row>
    <row r="3627" spans="9:13" x14ac:dyDescent="0.3">
      <c r="I3627" s="7"/>
      <c r="J3627" s="9"/>
      <c r="K3627" s="9"/>
      <c r="L3627" s="9"/>
      <c r="M3627" s="9"/>
    </row>
    <row r="3628" spans="9:13" x14ac:dyDescent="0.3">
      <c r="I3628" s="7"/>
      <c r="J3628" s="9"/>
      <c r="K3628" s="9"/>
      <c r="L3628" s="9"/>
      <c r="M3628" s="9"/>
    </row>
    <row r="3629" spans="9:13" x14ac:dyDescent="0.3">
      <c r="I3629" s="7"/>
      <c r="J3629" s="9"/>
      <c r="K3629" s="9"/>
      <c r="L3629" s="9"/>
      <c r="M3629" s="9"/>
    </row>
    <row r="3630" spans="9:13" x14ac:dyDescent="0.3">
      <c r="I3630" s="7"/>
      <c r="J3630" s="9"/>
      <c r="K3630" s="9"/>
      <c r="L3630" s="9"/>
      <c r="M3630" s="9"/>
    </row>
    <row r="3631" spans="9:13" x14ac:dyDescent="0.3">
      <c r="I3631" s="7"/>
      <c r="J3631" s="9"/>
      <c r="K3631" s="9"/>
      <c r="L3631" s="9"/>
      <c r="M3631" s="9"/>
    </row>
    <row r="3632" spans="9:13" x14ac:dyDescent="0.3">
      <c r="I3632" s="7"/>
      <c r="J3632" s="9"/>
      <c r="K3632" s="9"/>
      <c r="L3632" s="9"/>
      <c r="M3632" s="9"/>
    </row>
    <row r="3633" spans="9:13" x14ac:dyDescent="0.3">
      <c r="I3633" s="7"/>
      <c r="J3633" s="9"/>
      <c r="K3633" s="9"/>
      <c r="L3633" s="9"/>
      <c r="M3633" s="9"/>
    </row>
    <row r="3634" spans="9:13" x14ac:dyDescent="0.3">
      <c r="I3634" s="7"/>
      <c r="J3634" s="9"/>
      <c r="K3634" s="9"/>
      <c r="L3634" s="9"/>
      <c r="M3634" s="9"/>
    </row>
    <row r="3635" spans="9:13" x14ac:dyDescent="0.3">
      <c r="I3635" s="7"/>
      <c r="J3635" s="9"/>
      <c r="K3635" s="9"/>
      <c r="L3635" s="9"/>
      <c r="M3635" s="9"/>
    </row>
    <row r="3636" spans="9:13" x14ac:dyDescent="0.3">
      <c r="I3636" s="7"/>
      <c r="J3636" s="9"/>
      <c r="K3636" s="9"/>
      <c r="L3636" s="9"/>
      <c r="M3636" s="9"/>
    </row>
    <row r="3637" spans="9:13" x14ac:dyDescent="0.3">
      <c r="I3637" s="7"/>
      <c r="J3637" s="9"/>
      <c r="K3637" s="9"/>
      <c r="L3637" s="9"/>
      <c r="M3637" s="9"/>
    </row>
    <row r="3638" spans="9:13" x14ac:dyDescent="0.3">
      <c r="I3638" s="7"/>
      <c r="J3638" s="9"/>
      <c r="K3638" s="9"/>
      <c r="L3638" s="9"/>
      <c r="M3638" s="9"/>
    </row>
    <row r="3639" spans="9:13" x14ac:dyDescent="0.3">
      <c r="I3639" s="7"/>
      <c r="J3639" s="9"/>
      <c r="K3639" s="9"/>
      <c r="L3639" s="9"/>
      <c r="M3639" s="9"/>
    </row>
    <row r="3640" spans="9:13" x14ac:dyDescent="0.3">
      <c r="I3640" s="7"/>
      <c r="J3640" s="9"/>
      <c r="K3640" s="9"/>
      <c r="L3640" s="9"/>
      <c r="M3640" s="9"/>
    </row>
    <row r="3641" spans="9:13" x14ac:dyDescent="0.3">
      <c r="I3641" s="7"/>
      <c r="J3641" s="9"/>
      <c r="K3641" s="9"/>
      <c r="L3641" s="9"/>
      <c r="M3641" s="9"/>
    </row>
    <row r="3642" spans="9:13" x14ac:dyDescent="0.3">
      <c r="I3642" s="7"/>
      <c r="J3642" s="9"/>
      <c r="K3642" s="9"/>
      <c r="L3642" s="9"/>
      <c r="M3642" s="9"/>
    </row>
    <row r="3643" spans="9:13" x14ac:dyDescent="0.3">
      <c r="I3643" s="7"/>
      <c r="J3643" s="9"/>
      <c r="K3643" s="9"/>
      <c r="L3643" s="9"/>
      <c r="M3643" s="9"/>
    </row>
    <row r="3644" spans="9:13" x14ac:dyDescent="0.3">
      <c r="I3644" s="7"/>
      <c r="J3644" s="9"/>
      <c r="K3644" s="9"/>
      <c r="L3644" s="9"/>
      <c r="M3644" s="9"/>
    </row>
    <row r="3645" spans="9:13" x14ac:dyDescent="0.3">
      <c r="I3645" s="7"/>
      <c r="J3645" s="9"/>
      <c r="K3645" s="9"/>
      <c r="L3645" s="9"/>
      <c r="M3645" s="9"/>
    </row>
    <row r="3646" spans="9:13" x14ac:dyDescent="0.3">
      <c r="I3646" s="7"/>
      <c r="J3646" s="9"/>
      <c r="K3646" s="9"/>
      <c r="L3646" s="9"/>
      <c r="M3646" s="9"/>
    </row>
    <row r="3647" spans="9:13" x14ac:dyDescent="0.3">
      <c r="I3647" s="7"/>
      <c r="J3647" s="9"/>
      <c r="K3647" s="9"/>
      <c r="L3647" s="9"/>
      <c r="M3647" s="9"/>
    </row>
    <row r="3648" spans="9:13" x14ac:dyDescent="0.3">
      <c r="I3648" s="7"/>
      <c r="J3648" s="9"/>
      <c r="K3648" s="9"/>
      <c r="L3648" s="9"/>
      <c r="M3648" s="9"/>
    </row>
    <row r="3649" spans="9:13" x14ac:dyDescent="0.3">
      <c r="I3649" s="7"/>
      <c r="J3649" s="9"/>
      <c r="K3649" s="9"/>
      <c r="L3649" s="9"/>
      <c r="M3649" s="9"/>
    </row>
    <row r="3650" spans="9:13" x14ac:dyDescent="0.3">
      <c r="I3650" s="7"/>
      <c r="J3650" s="9"/>
      <c r="K3650" s="9"/>
      <c r="L3650" s="9"/>
      <c r="M3650" s="9"/>
    </row>
    <row r="3651" spans="9:13" x14ac:dyDescent="0.3">
      <c r="I3651" s="7"/>
      <c r="J3651" s="9"/>
      <c r="K3651" s="9"/>
      <c r="L3651" s="9"/>
      <c r="M3651" s="9"/>
    </row>
    <row r="3652" spans="9:13" x14ac:dyDescent="0.3">
      <c r="I3652" s="7"/>
      <c r="J3652" s="9"/>
      <c r="K3652" s="9"/>
      <c r="L3652" s="9"/>
      <c r="M3652" s="9"/>
    </row>
    <row r="3653" spans="9:13" x14ac:dyDescent="0.3">
      <c r="I3653" s="7"/>
      <c r="J3653" s="9"/>
      <c r="K3653" s="9"/>
      <c r="L3653" s="9"/>
      <c r="M3653" s="9"/>
    </row>
    <row r="3654" spans="9:13" x14ac:dyDescent="0.3">
      <c r="I3654" s="7"/>
      <c r="J3654" s="9"/>
      <c r="K3654" s="9"/>
      <c r="L3654" s="9"/>
      <c r="M3654" s="9"/>
    </row>
    <row r="3655" spans="9:13" x14ac:dyDescent="0.3">
      <c r="I3655" s="7"/>
      <c r="J3655" s="9"/>
      <c r="K3655" s="9"/>
      <c r="L3655" s="9"/>
      <c r="M3655" s="9"/>
    </row>
    <row r="3656" spans="9:13" x14ac:dyDescent="0.3">
      <c r="I3656" s="7"/>
      <c r="J3656" s="9"/>
      <c r="K3656" s="9"/>
      <c r="L3656" s="9"/>
      <c r="M3656" s="9"/>
    </row>
    <row r="3657" spans="9:13" x14ac:dyDescent="0.3">
      <c r="I3657" s="7"/>
      <c r="J3657" s="9"/>
      <c r="K3657" s="9"/>
      <c r="L3657" s="9"/>
      <c r="M3657" s="9"/>
    </row>
    <row r="3658" spans="9:13" x14ac:dyDescent="0.3">
      <c r="I3658" s="7"/>
      <c r="J3658" s="9"/>
      <c r="K3658" s="9"/>
      <c r="L3658" s="9"/>
      <c r="M3658" s="9"/>
    </row>
    <row r="3659" spans="9:13" x14ac:dyDescent="0.3">
      <c r="I3659" s="7"/>
      <c r="J3659" s="9"/>
      <c r="K3659" s="9"/>
      <c r="L3659" s="9"/>
      <c r="M3659" s="9"/>
    </row>
    <row r="3660" spans="9:13" x14ac:dyDescent="0.3">
      <c r="I3660" s="7"/>
      <c r="J3660" s="9"/>
      <c r="K3660" s="9"/>
      <c r="L3660" s="9"/>
      <c r="M3660" s="9"/>
    </row>
    <row r="3661" spans="9:13" x14ac:dyDescent="0.3">
      <c r="I3661" s="7"/>
      <c r="J3661" s="9"/>
      <c r="K3661" s="9"/>
      <c r="L3661" s="9"/>
      <c r="M3661" s="9"/>
    </row>
    <row r="3662" spans="9:13" x14ac:dyDescent="0.3">
      <c r="I3662" s="7"/>
      <c r="J3662" s="9"/>
      <c r="K3662" s="9"/>
      <c r="L3662" s="9"/>
      <c r="M3662" s="9"/>
    </row>
    <row r="3663" spans="9:13" x14ac:dyDescent="0.3">
      <c r="I3663" s="7"/>
      <c r="J3663" s="9"/>
      <c r="K3663" s="9"/>
      <c r="L3663" s="9"/>
      <c r="M3663" s="9"/>
    </row>
    <row r="3664" spans="9:13" x14ac:dyDescent="0.3">
      <c r="I3664" s="7"/>
      <c r="J3664" s="9"/>
      <c r="K3664" s="9"/>
      <c r="L3664" s="9"/>
      <c r="M3664" s="9"/>
    </row>
    <row r="3665" spans="9:13" x14ac:dyDescent="0.3">
      <c r="I3665" s="7"/>
      <c r="J3665" s="9"/>
      <c r="K3665" s="9"/>
      <c r="L3665" s="9"/>
      <c r="M3665" s="9"/>
    </row>
    <row r="3666" spans="9:13" x14ac:dyDescent="0.3">
      <c r="I3666" s="7"/>
      <c r="J3666" s="9"/>
      <c r="K3666" s="9"/>
      <c r="L3666" s="9"/>
      <c r="M3666" s="9"/>
    </row>
    <row r="3667" spans="9:13" x14ac:dyDescent="0.3">
      <c r="I3667" s="7"/>
      <c r="J3667" s="9"/>
      <c r="K3667" s="9"/>
      <c r="L3667" s="9"/>
      <c r="M3667" s="9"/>
    </row>
    <row r="3668" spans="9:13" x14ac:dyDescent="0.3">
      <c r="I3668" s="7"/>
      <c r="J3668" s="9"/>
      <c r="K3668" s="9"/>
      <c r="L3668" s="9"/>
      <c r="M3668" s="9"/>
    </row>
    <row r="3669" spans="9:13" x14ac:dyDescent="0.3">
      <c r="I3669" s="7"/>
      <c r="J3669" s="9"/>
      <c r="K3669" s="9"/>
      <c r="L3669" s="9"/>
      <c r="M3669" s="9"/>
    </row>
    <row r="3670" spans="9:13" x14ac:dyDescent="0.3">
      <c r="I3670" s="7"/>
      <c r="J3670" s="9"/>
      <c r="K3670" s="9"/>
      <c r="L3670" s="9"/>
      <c r="M3670" s="9"/>
    </row>
    <row r="3671" spans="9:13" x14ac:dyDescent="0.3">
      <c r="I3671" s="7"/>
      <c r="J3671" s="9"/>
      <c r="K3671" s="9"/>
      <c r="L3671" s="9"/>
      <c r="M3671" s="9"/>
    </row>
    <row r="3672" spans="9:13" x14ac:dyDescent="0.3">
      <c r="I3672" s="7"/>
      <c r="J3672" s="9"/>
      <c r="K3672" s="9"/>
      <c r="L3672" s="9"/>
      <c r="M3672" s="9"/>
    </row>
    <row r="3673" spans="9:13" x14ac:dyDescent="0.3">
      <c r="I3673" s="7"/>
      <c r="J3673" s="9"/>
      <c r="K3673" s="9"/>
      <c r="L3673" s="9"/>
      <c r="M3673" s="9"/>
    </row>
    <row r="3674" spans="9:13" x14ac:dyDescent="0.3">
      <c r="I3674" s="7"/>
      <c r="J3674" s="9"/>
      <c r="K3674" s="9"/>
      <c r="L3674" s="9"/>
      <c r="M3674" s="9"/>
    </row>
    <row r="3675" spans="9:13" x14ac:dyDescent="0.3">
      <c r="I3675" s="7"/>
      <c r="J3675" s="9"/>
      <c r="K3675" s="9"/>
      <c r="L3675" s="9"/>
      <c r="M3675" s="9"/>
    </row>
    <row r="3676" spans="9:13" x14ac:dyDescent="0.3">
      <c r="I3676" s="7"/>
      <c r="J3676" s="9"/>
      <c r="K3676" s="9"/>
      <c r="L3676" s="9"/>
      <c r="M3676" s="9"/>
    </row>
    <row r="3677" spans="9:13" x14ac:dyDescent="0.3">
      <c r="I3677" s="7"/>
      <c r="J3677" s="9"/>
      <c r="K3677" s="9"/>
      <c r="L3677" s="9"/>
      <c r="M3677" s="9"/>
    </row>
    <row r="3678" spans="9:13" x14ac:dyDescent="0.3">
      <c r="I3678" s="7"/>
      <c r="J3678" s="9"/>
      <c r="K3678" s="9"/>
      <c r="L3678" s="9"/>
      <c r="M3678" s="9"/>
    </row>
    <row r="3679" spans="9:13" x14ac:dyDescent="0.3">
      <c r="I3679" s="7"/>
      <c r="J3679" s="9"/>
      <c r="K3679" s="9"/>
      <c r="L3679" s="9"/>
      <c r="M3679" s="9"/>
    </row>
    <row r="3680" spans="9:13" x14ac:dyDescent="0.3">
      <c r="I3680" s="7"/>
      <c r="J3680" s="9"/>
      <c r="K3680" s="9"/>
      <c r="L3680" s="9"/>
      <c r="M3680" s="9"/>
    </row>
    <row r="3681" spans="9:13" x14ac:dyDescent="0.3">
      <c r="I3681" s="7"/>
      <c r="J3681" s="9"/>
      <c r="K3681" s="9"/>
      <c r="L3681" s="9"/>
      <c r="M3681" s="9"/>
    </row>
    <row r="3682" spans="9:13" x14ac:dyDescent="0.3">
      <c r="I3682" s="7"/>
      <c r="J3682" s="9"/>
      <c r="K3682" s="9"/>
      <c r="L3682" s="9"/>
      <c r="M3682" s="9"/>
    </row>
    <row r="3683" spans="9:13" x14ac:dyDescent="0.3">
      <c r="I3683" s="7"/>
      <c r="J3683" s="9"/>
      <c r="K3683" s="9"/>
      <c r="L3683" s="9"/>
      <c r="M3683" s="9"/>
    </row>
    <row r="3684" spans="9:13" x14ac:dyDescent="0.3">
      <c r="I3684" s="7"/>
      <c r="J3684" s="9"/>
      <c r="K3684" s="9"/>
      <c r="L3684" s="9"/>
      <c r="M3684" s="9"/>
    </row>
    <row r="3685" spans="9:13" x14ac:dyDescent="0.3">
      <c r="I3685" s="7"/>
      <c r="J3685" s="9"/>
      <c r="K3685" s="9"/>
      <c r="L3685" s="9"/>
      <c r="M3685" s="9"/>
    </row>
    <row r="3686" spans="9:13" x14ac:dyDescent="0.3">
      <c r="I3686" s="7"/>
      <c r="J3686" s="9"/>
      <c r="K3686" s="9"/>
      <c r="L3686" s="9"/>
      <c r="M3686" s="9"/>
    </row>
    <row r="3687" spans="9:13" x14ac:dyDescent="0.3">
      <c r="I3687" s="7"/>
      <c r="J3687" s="9"/>
      <c r="K3687" s="9"/>
      <c r="L3687" s="9"/>
      <c r="M3687" s="9"/>
    </row>
    <row r="3688" spans="9:13" x14ac:dyDescent="0.3">
      <c r="I3688" s="7"/>
      <c r="J3688" s="9"/>
      <c r="K3688" s="9"/>
      <c r="L3688" s="9"/>
      <c r="M3688" s="9"/>
    </row>
    <row r="3689" spans="9:13" x14ac:dyDescent="0.3">
      <c r="I3689" s="7"/>
      <c r="J3689" s="9"/>
      <c r="K3689" s="9"/>
      <c r="L3689" s="9"/>
      <c r="M3689" s="9"/>
    </row>
    <row r="3690" spans="9:13" x14ac:dyDescent="0.3">
      <c r="I3690" s="7"/>
      <c r="J3690" s="9"/>
      <c r="K3690" s="9"/>
      <c r="L3690" s="9"/>
      <c r="M3690" s="9"/>
    </row>
    <row r="3691" spans="9:13" x14ac:dyDescent="0.3">
      <c r="I3691" s="7"/>
      <c r="J3691" s="9"/>
      <c r="K3691" s="9"/>
      <c r="L3691" s="9"/>
      <c r="M3691" s="9"/>
    </row>
    <row r="3692" spans="9:13" x14ac:dyDescent="0.3">
      <c r="I3692" s="7"/>
      <c r="J3692" s="9"/>
      <c r="K3692" s="9"/>
      <c r="L3692" s="9"/>
      <c r="M3692" s="9"/>
    </row>
    <row r="3693" spans="9:13" x14ac:dyDescent="0.3">
      <c r="I3693" s="7"/>
      <c r="J3693" s="9"/>
      <c r="K3693" s="9"/>
      <c r="L3693" s="9"/>
      <c r="M3693" s="9"/>
    </row>
    <row r="3694" spans="9:13" x14ac:dyDescent="0.3">
      <c r="I3694" s="7"/>
      <c r="J3694" s="9"/>
      <c r="K3694" s="9"/>
      <c r="L3694" s="9"/>
      <c r="M3694" s="9"/>
    </row>
    <row r="3695" spans="9:13" x14ac:dyDescent="0.3">
      <c r="I3695" s="7"/>
      <c r="J3695" s="9"/>
      <c r="K3695" s="9"/>
      <c r="L3695" s="9"/>
      <c r="M3695" s="9"/>
    </row>
    <row r="3696" spans="9:13" x14ac:dyDescent="0.3">
      <c r="I3696" s="7"/>
      <c r="J3696" s="9"/>
      <c r="K3696" s="9"/>
      <c r="L3696" s="9"/>
      <c r="M3696" s="9"/>
    </row>
    <row r="3697" spans="9:13" x14ac:dyDescent="0.3">
      <c r="I3697" s="7"/>
      <c r="J3697" s="9"/>
      <c r="K3697" s="9"/>
      <c r="L3697" s="9"/>
      <c r="M3697" s="9"/>
    </row>
    <row r="3698" spans="9:13" x14ac:dyDescent="0.3">
      <c r="I3698" s="7"/>
      <c r="J3698" s="9"/>
      <c r="K3698" s="9"/>
      <c r="L3698" s="9"/>
      <c r="M3698" s="9"/>
    </row>
    <row r="3699" spans="9:13" x14ac:dyDescent="0.3">
      <c r="I3699" s="7"/>
      <c r="J3699" s="9"/>
      <c r="K3699" s="9"/>
      <c r="L3699" s="9"/>
      <c r="M3699" s="9"/>
    </row>
    <row r="3700" spans="9:13" x14ac:dyDescent="0.3">
      <c r="I3700" s="7"/>
      <c r="J3700" s="9"/>
      <c r="K3700" s="9"/>
      <c r="L3700" s="9"/>
      <c r="M3700" s="9"/>
    </row>
    <row r="3701" spans="9:13" x14ac:dyDescent="0.3">
      <c r="I3701" s="7"/>
      <c r="J3701" s="9"/>
      <c r="K3701" s="9"/>
      <c r="L3701" s="9"/>
      <c r="M3701" s="9"/>
    </row>
    <row r="3702" spans="9:13" x14ac:dyDescent="0.3">
      <c r="I3702" s="7"/>
      <c r="J3702" s="9"/>
      <c r="K3702" s="9"/>
      <c r="L3702" s="9"/>
      <c r="M3702" s="9"/>
    </row>
    <row r="3703" spans="9:13" x14ac:dyDescent="0.3">
      <c r="I3703" s="7"/>
      <c r="J3703" s="9"/>
      <c r="K3703" s="9"/>
      <c r="L3703" s="9"/>
      <c r="M3703" s="9"/>
    </row>
    <row r="3704" spans="9:13" x14ac:dyDescent="0.3">
      <c r="I3704" s="7"/>
      <c r="J3704" s="9"/>
      <c r="K3704" s="9"/>
      <c r="L3704" s="9"/>
      <c r="M3704" s="9"/>
    </row>
    <row r="3705" spans="9:13" x14ac:dyDescent="0.3">
      <c r="I3705" s="7"/>
      <c r="J3705" s="9"/>
      <c r="K3705" s="9"/>
      <c r="L3705" s="9"/>
      <c r="M3705" s="9"/>
    </row>
    <row r="3706" spans="9:13" x14ac:dyDescent="0.3">
      <c r="I3706" s="7"/>
      <c r="J3706" s="9"/>
      <c r="K3706" s="9"/>
      <c r="L3706" s="9"/>
      <c r="M3706" s="9"/>
    </row>
    <row r="3707" spans="9:13" x14ac:dyDescent="0.3">
      <c r="I3707" s="7"/>
      <c r="J3707" s="9"/>
      <c r="K3707" s="9"/>
      <c r="L3707" s="9"/>
      <c r="M3707" s="9"/>
    </row>
    <row r="3708" spans="9:13" x14ac:dyDescent="0.3">
      <c r="I3708" s="7"/>
      <c r="J3708" s="9"/>
      <c r="K3708" s="9"/>
      <c r="L3708" s="9"/>
      <c r="M3708" s="9"/>
    </row>
    <row r="3709" spans="9:13" x14ac:dyDescent="0.3">
      <c r="I3709" s="7"/>
      <c r="J3709" s="9"/>
      <c r="K3709" s="9"/>
      <c r="L3709" s="9"/>
      <c r="M3709" s="9"/>
    </row>
    <row r="3710" spans="9:13" x14ac:dyDescent="0.3">
      <c r="I3710" s="7"/>
      <c r="J3710" s="9"/>
      <c r="K3710" s="9"/>
      <c r="L3710" s="9"/>
      <c r="M3710" s="9"/>
    </row>
    <row r="3711" spans="9:13" x14ac:dyDescent="0.3">
      <c r="I3711" s="7"/>
      <c r="J3711" s="9"/>
      <c r="K3711" s="9"/>
      <c r="L3711" s="9"/>
      <c r="M3711" s="9"/>
    </row>
    <row r="3712" spans="9:13" x14ac:dyDescent="0.3">
      <c r="I3712" s="7"/>
      <c r="J3712" s="9"/>
      <c r="K3712" s="9"/>
      <c r="L3712" s="9"/>
      <c r="M3712" s="9"/>
    </row>
    <row r="3713" spans="9:13" x14ac:dyDescent="0.3">
      <c r="I3713" s="7"/>
      <c r="J3713" s="9"/>
      <c r="K3713" s="9"/>
      <c r="L3713" s="9"/>
      <c r="M3713" s="9"/>
    </row>
    <row r="3714" spans="9:13" x14ac:dyDescent="0.3">
      <c r="I3714" s="7"/>
      <c r="J3714" s="9"/>
      <c r="K3714" s="9"/>
      <c r="L3714" s="9"/>
      <c r="M3714" s="9"/>
    </row>
    <row r="3715" spans="9:13" x14ac:dyDescent="0.3">
      <c r="I3715" s="7"/>
      <c r="J3715" s="9"/>
      <c r="K3715" s="9"/>
      <c r="L3715" s="9"/>
      <c r="M3715" s="9"/>
    </row>
    <row r="3716" spans="9:13" x14ac:dyDescent="0.3">
      <c r="I3716" s="7"/>
      <c r="J3716" s="9"/>
      <c r="K3716" s="9"/>
      <c r="L3716" s="9"/>
      <c r="M3716" s="9"/>
    </row>
    <row r="3717" spans="9:13" x14ac:dyDescent="0.3">
      <c r="I3717" s="7"/>
      <c r="J3717" s="9"/>
      <c r="K3717" s="9"/>
      <c r="L3717" s="9"/>
      <c r="M3717" s="9"/>
    </row>
    <row r="3718" spans="9:13" x14ac:dyDescent="0.3">
      <c r="I3718" s="7"/>
      <c r="J3718" s="9"/>
      <c r="K3718" s="9"/>
      <c r="L3718" s="9"/>
      <c r="M3718" s="9"/>
    </row>
    <row r="3719" spans="9:13" x14ac:dyDescent="0.3">
      <c r="I3719" s="7"/>
      <c r="J3719" s="9"/>
      <c r="K3719" s="9"/>
      <c r="L3719" s="9"/>
      <c r="M3719" s="9"/>
    </row>
    <row r="3720" spans="9:13" x14ac:dyDescent="0.3">
      <c r="I3720" s="7"/>
      <c r="J3720" s="9"/>
      <c r="K3720" s="9"/>
      <c r="L3720" s="9"/>
      <c r="M3720" s="9"/>
    </row>
    <row r="3721" spans="9:13" x14ac:dyDescent="0.3">
      <c r="I3721" s="7"/>
      <c r="J3721" s="9"/>
      <c r="K3721" s="9"/>
      <c r="L3721" s="9"/>
      <c r="M3721" s="9"/>
    </row>
    <row r="3722" spans="9:13" x14ac:dyDescent="0.3">
      <c r="I3722" s="7"/>
      <c r="J3722" s="9"/>
      <c r="K3722" s="9"/>
      <c r="L3722" s="9"/>
      <c r="M3722" s="9"/>
    </row>
    <row r="3723" spans="9:13" x14ac:dyDescent="0.3">
      <c r="I3723" s="7"/>
      <c r="J3723" s="9"/>
      <c r="K3723" s="9"/>
      <c r="L3723" s="9"/>
      <c r="M3723" s="9"/>
    </row>
    <row r="3724" spans="9:13" x14ac:dyDescent="0.3">
      <c r="I3724" s="7"/>
      <c r="J3724" s="9"/>
      <c r="K3724" s="9"/>
      <c r="L3724" s="9"/>
      <c r="M3724" s="9"/>
    </row>
    <row r="3725" spans="9:13" x14ac:dyDescent="0.3">
      <c r="I3725" s="7"/>
      <c r="J3725" s="9"/>
      <c r="K3725" s="9"/>
      <c r="L3725" s="9"/>
      <c r="M3725" s="9"/>
    </row>
    <row r="3726" spans="9:13" x14ac:dyDescent="0.3">
      <c r="I3726" s="7"/>
      <c r="J3726" s="9"/>
      <c r="K3726" s="9"/>
      <c r="L3726" s="9"/>
      <c r="M3726" s="9"/>
    </row>
    <row r="3727" spans="9:13" x14ac:dyDescent="0.3">
      <c r="I3727" s="7"/>
      <c r="J3727" s="9"/>
      <c r="K3727" s="9"/>
      <c r="L3727" s="9"/>
      <c r="M3727" s="9"/>
    </row>
    <row r="3728" spans="9:13" x14ac:dyDescent="0.3">
      <c r="I3728" s="7"/>
      <c r="J3728" s="9"/>
      <c r="K3728" s="9"/>
      <c r="L3728" s="9"/>
      <c r="M3728" s="9"/>
    </row>
    <row r="3729" spans="9:13" x14ac:dyDescent="0.3">
      <c r="I3729" s="7"/>
      <c r="J3729" s="9"/>
      <c r="K3729" s="9"/>
      <c r="L3729" s="9"/>
      <c r="M3729" s="9"/>
    </row>
    <row r="3730" spans="9:13" x14ac:dyDescent="0.3">
      <c r="I3730" s="7"/>
      <c r="J3730" s="9"/>
      <c r="K3730" s="9"/>
      <c r="L3730" s="9"/>
      <c r="M3730" s="9"/>
    </row>
    <row r="3731" spans="9:13" x14ac:dyDescent="0.3">
      <c r="I3731" s="7"/>
      <c r="J3731" s="9"/>
      <c r="K3731" s="9"/>
      <c r="L3731" s="9"/>
      <c r="M3731" s="9"/>
    </row>
    <row r="3732" spans="9:13" x14ac:dyDescent="0.3">
      <c r="I3732" s="7"/>
      <c r="J3732" s="9"/>
      <c r="K3732" s="9"/>
      <c r="L3732" s="9"/>
      <c r="M3732" s="9"/>
    </row>
    <row r="3733" spans="9:13" x14ac:dyDescent="0.3">
      <c r="I3733" s="7"/>
      <c r="J3733" s="9"/>
      <c r="K3733" s="9"/>
      <c r="L3733" s="9"/>
      <c r="M3733" s="9"/>
    </row>
    <row r="3734" spans="9:13" x14ac:dyDescent="0.3">
      <c r="I3734" s="7"/>
      <c r="J3734" s="9"/>
      <c r="K3734" s="9"/>
      <c r="L3734" s="9"/>
      <c r="M3734" s="9"/>
    </row>
    <row r="3735" spans="9:13" x14ac:dyDescent="0.3">
      <c r="I3735" s="7"/>
      <c r="J3735" s="9"/>
      <c r="K3735" s="9"/>
      <c r="L3735" s="9"/>
      <c r="M3735" s="9"/>
    </row>
    <row r="3736" spans="9:13" x14ac:dyDescent="0.3">
      <c r="I3736" s="7"/>
      <c r="J3736" s="9"/>
      <c r="K3736" s="9"/>
      <c r="L3736" s="9"/>
      <c r="M3736" s="9"/>
    </row>
    <row r="3737" spans="9:13" x14ac:dyDescent="0.3">
      <c r="I3737" s="7"/>
      <c r="J3737" s="9"/>
      <c r="K3737" s="9"/>
      <c r="L3737" s="9"/>
      <c r="M3737" s="9"/>
    </row>
    <row r="3738" spans="9:13" x14ac:dyDescent="0.3">
      <c r="I3738" s="7"/>
      <c r="J3738" s="9"/>
      <c r="K3738" s="9"/>
      <c r="L3738" s="9"/>
      <c r="M3738" s="9"/>
    </row>
    <row r="3739" spans="9:13" x14ac:dyDescent="0.3">
      <c r="I3739" s="7"/>
      <c r="J3739" s="9"/>
      <c r="K3739" s="9"/>
      <c r="L3739" s="9"/>
      <c r="M3739" s="9"/>
    </row>
    <row r="3740" spans="9:13" x14ac:dyDescent="0.3">
      <c r="I3740" s="7"/>
      <c r="J3740" s="9"/>
      <c r="K3740" s="9"/>
      <c r="L3740" s="9"/>
      <c r="M3740" s="9"/>
    </row>
    <row r="3741" spans="9:13" x14ac:dyDescent="0.3">
      <c r="I3741" s="7"/>
      <c r="J3741" s="9"/>
      <c r="K3741" s="9"/>
      <c r="L3741" s="9"/>
      <c r="M3741" s="9"/>
    </row>
    <row r="3742" spans="9:13" x14ac:dyDescent="0.3">
      <c r="I3742" s="7"/>
      <c r="J3742" s="9"/>
      <c r="K3742" s="9"/>
      <c r="L3742" s="9"/>
      <c r="M3742" s="9"/>
    </row>
    <row r="3743" spans="9:13" x14ac:dyDescent="0.3">
      <c r="I3743" s="7"/>
      <c r="J3743" s="9"/>
      <c r="K3743" s="9"/>
      <c r="L3743" s="9"/>
      <c r="M3743" s="9"/>
    </row>
    <row r="3744" spans="9:13" x14ac:dyDescent="0.3">
      <c r="I3744" s="7"/>
      <c r="J3744" s="9"/>
      <c r="K3744" s="9"/>
      <c r="L3744" s="9"/>
      <c r="M3744" s="9"/>
    </row>
    <row r="3745" spans="9:13" x14ac:dyDescent="0.3">
      <c r="I3745" s="7"/>
      <c r="J3745" s="9"/>
      <c r="K3745" s="9"/>
      <c r="L3745" s="9"/>
      <c r="M3745" s="9"/>
    </row>
    <row r="3746" spans="9:13" x14ac:dyDescent="0.3">
      <c r="I3746" s="7"/>
      <c r="J3746" s="9"/>
      <c r="K3746" s="9"/>
      <c r="L3746" s="9"/>
      <c r="M3746" s="9"/>
    </row>
    <row r="3747" spans="9:13" x14ac:dyDescent="0.3">
      <c r="I3747" s="7"/>
      <c r="J3747" s="9"/>
      <c r="K3747" s="9"/>
      <c r="L3747" s="9"/>
      <c r="M3747" s="9"/>
    </row>
    <row r="3748" spans="9:13" x14ac:dyDescent="0.3">
      <c r="I3748" s="7"/>
      <c r="J3748" s="9"/>
      <c r="K3748" s="9"/>
      <c r="L3748" s="9"/>
      <c r="M3748" s="9"/>
    </row>
    <row r="3749" spans="9:13" x14ac:dyDescent="0.3">
      <c r="I3749" s="7"/>
      <c r="J3749" s="9"/>
      <c r="K3749" s="9"/>
      <c r="L3749" s="9"/>
      <c r="M3749" s="9"/>
    </row>
    <row r="3750" spans="9:13" x14ac:dyDescent="0.3">
      <c r="I3750" s="7"/>
      <c r="J3750" s="9"/>
      <c r="K3750" s="9"/>
      <c r="L3750" s="9"/>
      <c r="M3750" s="9"/>
    </row>
    <row r="3751" spans="9:13" x14ac:dyDescent="0.3">
      <c r="I3751" s="7"/>
      <c r="J3751" s="9"/>
      <c r="K3751" s="9"/>
      <c r="L3751" s="9"/>
      <c r="M3751" s="9"/>
    </row>
    <row r="3752" spans="9:13" x14ac:dyDescent="0.3">
      <c r="I3752" s="7"/>
      <c r="J3752" s="9"/>
      <c r="K3752" s="9"/>
      <c r="L3752" s="9"/>
      <c r="M3752" s="9"/>
    </row>
    <row r="3753" spans="9:13" x14ac:dyDescent="0.3">
      <c r="I3753" s="7"/>
      <c r="J3753" s="9"/>
      <c r="K3753" s="9"/>
      <c r="L3753" s="9"/>
      <c r="M3753" s="9"/>
    </row>
    <row r="3754" spans="9:13" x14ac:dyDescent="0.3">
      <c r="I3754" s="7"/>
      <c r="J3754" s="9"/>
      <c r="K3754" s="9"/>
      <c r="L3754" s="9"/>
      <c r="M3754" s="9"/>
    </row>
    <row r="3755" spans="9:13" x14ac:dyDescent="0.3">
      <c r="I3755" s="7"/>
      <c r="J3755" s="9"/>
      <c r="K3755" s="9"/>
      <c r="L3755" s="9"/>
      <c r="M3755" s="9"/>
    </row>
    <row r="3756" spans="9:13" x14ac:dyDescent="0.3">
      <c r="I3756" s="7"/>
      <c r="J3756" s="9"/>
      <c r="K3756" s="9"/>
      <c r="L3756" s="9"/>
      <c r="M3756" s="9"/>
    </row>
    <row r="3757" spans="9:13" x14ac:dyDescent="0.3">
      <c r="I3757" s="7"/>
      <c r="J3757" s="9"/>
      <c r="K3757" s="9"/>
      <c r="L3757" s="9"/>
      <c r="M3757" s="9"/>
    </row>
    <row r="3758" spans="9:13" x14ac:dyDescent="0.3">
      <c r="I3758" s="7"/>
      <c r="J3758" s="9"/>
      <c r="K3758" s="9"/>
      <c r="L3758" s="9"/>
      <c r="M3758" s="9"/>
    </row>
    <row r="3759" spans="9:13" x14ac:dyDescent="0.3">
      <c r="I3759" s="7"/>
      <c r="J3759" s="9"/>
      <c r="K3759" s="9"/>
      <c r="L3759" s="9"/>
      <c r="M3759" s="9"/>
    </row>
    <row r="3760" spans="9:13" x14ac:dyDescent="0.3">
      <c r="I3760" s="7"/>
      <c r="J3760" s="9"/>
      <c r="K3760" s="9"/>
      <c r="L3760" s="9"/>
      <c r="M3760" s="9"/>
    </row>
    <row r="3761" spans="9:13" x14ac:dyDescent="0.3">
      <c r="I3761" s="7"/>
      <c r="J3761" s="9"/>
      <c r="K3761" s="9"/>
      <c r="L3761" s="9"/>
      <c r="M3761" s="9"/>
    </row>
    <row r="3762" spans="9:13" x14ac:dyDescent="0.3">
      <c r="I3762" s="7"/>
      <c r="J3762" s="9"/>
      <c r="K3762" s="9"/>
      <c r="L3762" s="9"/>
      <c r="M3762" s="9"/>
    </row>
    <row r="3763" spans="9:13" x14ac:dyDescent="0.3">
      <c r="I3763" s="7"/>
      <c r="J3763" s="9"/>
      <c r="K3763" s="9"/>
      <c r="L3763" s="9"/>
      <c r="M3763" s="9"/>
    </row>
    <row r="3764" spans="9:13" x14ac:dyDescent="0.3">
      <c r="I3764" s="7"/>
      <c r="J3764" s="9"/>
      <c r="K3764" s="9"/>
      <c r="L3764" s="9"/>
      <c r="M3764" s="9"/>
    </row>
    <row r="3765" spans="9:13" x14ac:dyDescent="0.3">
      <c r="I3765" s="7"/>
      <c r="J3765" s="9"/>
      <c r="K3765" s="9"/>
      <c r="L3765" s="9"/>
      <c r="M3765" s="9"/>
    </row>
    <row r="3766" spans="9:13" x14ac:dyDescent="0.3">
      <c r="I3766" s="7"/>
      <c r="J3766" s="9"/>
      <c r="K3766" s="9"/>
      <c r="L3766" s="9"/>
      <c r="M3766" s="9"/>
    </row>
    <row r="3767" spans="9:13" x14ac:dyDescent="0.3">
      <c r="I3767" s="7"/>
      <c r="J3767" s="9"/>
      <c r="K3767" s="9"/>
      <c r="L3767" s="9"/>
      <c r="M3767" s="9"/>
    </row>
    <row r="3768" spans="9:13" x14ac:dyDescent="0.3">
      <c r="I3768" s="7"/>
      <c r="J3768" s="9"/>
      <c r="K3768" s="9"/>
      <c r="L3768" s="9"/>
      <c r="M3768" s="9"/>
    </row>
    <row r="3769" spans="9:13" x14ac:dyDescent="0.3">
      <c r="I3769" s="7"/>
      <c r="J3769" s="9"/>
      <c r="K3769" s="9"/>
      <c r="L3769" s="9"/>
      <c r="M3769" s="9"/>
    </row>
    <row r="3770" spans="9:13" x14ac:dyDescent="0.3">
      <c r="I3770" s="7"/>
      <c r="J3770" s="9"/>
      <c r="K3770" s="9"/>
      <c r="L3770" s="9"/>
      <c r="M3770" s="9"/>
    </row>
    <row r="3771" spans="9:13" x14ac:dyDescent="0.3">
      <c r="I3771" s="7"/>
      <c r="J3771" s="9"/>
      <c r="K3771" s="9"/>
      <c r="L3771" s="9"/>
      <c r="M3771" s="9"/>
    </row>
    <row r="3772" spans="9:13" x14ac:dyDescent="0.3">
      <c r="I3772" s="7"/>
      <c r="J3772" s="9"/>
      <c r="K3772" s="9"/>
      <c r="L3772" s="9"/>
      <c r="M3772" s="9"/>
    </row>
    <row r="3773" spans="9:13" x14ac:dyDescent="0.3">
      <c r="I3773" s="7"/>
      <c r="J3773" s="9"/>
      <c r="K3773" s="9"/>
      <c r="L3773" s="9"/>
      <c r="M3773" s="9"/>
    </row>
    <row r="3774" spans="9:13" x14ac:dyDescent="0.3">
      <c r="I3774" s="7"/>
      <c r="J3774" s="9"/>
      <c r="K3774" s="9"/>
      <c r="L3774" s="9"/>
      <c r="M3774" s="9"/>
    </row>
    <row r="3775" spans="9:13" x14ac:dyDescent="0.3">
      <c r="I3775" s="7"/>
      <c r="J3775" s="9"/>
      <c r="K3775" s="9"/>
      <c r="L3775" s="9"/>
      <c r="M3775" s="9"/>
    </row>
    <row r="3776" spans="9:13" x14ac:dyDescent="0.3">
      <c r="I3776" s="7"/>
      <c r="J3776" s="9"/>
      <c r="K3776" s="9"/>
      <c r="L3776" s="9"/>
      <c r="M3776" s="9"/>
    </row>
    <row r="3777" spans="9:13" x14ac:dyDescent="0.3">
      <c r="I3777" s="7"/>
      <c r="J3777" s="9"/>
      <c r="K3777" s="9"/>
      <c r="L3777" s="9"/>
      <c r="M3777" s="9"/>
    </row>
    <row r="3778" spans="9:13" x14ac:dyDescent="0.3">
      <c r="I3778" s="7"/>
      <c r="J3778" s="9"/>
      <c r="K3778" s="9"/>
      <c r="L3778" s="9"/>
      <c r="M3778" s="9"/>
    </row>
    <row r="3779" spans="9:13" x14ac:dyDescent="0.3">
      <c r="I3779" s="7"/>
      <c r="J3779" s="9"/>
      <c r="K3779" s="9"/>
      <c r="L3779" s="9"/>
      <c r="M3779" s="9"/>
    </row>
    <row r="3780" spans="9:13" x14ac:dyDescent="0.3">
      <c r="I3780" s="7"/>
      <c r="J3780" s="9"/>
      <c r="K3780" s="9"/>
      <c r="L3780" s="9"/>
      <c r="M3780" s="9"/>
    </row>
    <row r="3781" spans="9:13" x14ac:dyDescent="0.3">
      <c r="I3781" s="7"/>
      <c r="J3781" s="9"/>
      <c r="K3781" s="9"/>
      <c r="L3781" s="9"/>
      <c r="M3781" s="9"/>
    </row>
    <row r="3782" spans="9:13" x14ac:dyDescent="0.3">
      <c r="I3782" s="7"/>
      <c r="J3782" s="9"/>
      <c r="K3782" s="9"/>
      <c r="L3782" s="9"/>
      <c r="M3782" s="9"/>
    </row>
    <row r="3783" spans="9:13" x14ac:dyDescent="0.3">
      <c r="I3783" s="7"/>
      <c r="J3783" s="9"/>
      <c r="K3783" s="9"/>
      <c r="L3783" s="9"/>
      <c r="M3783" s="9"/>
    </row>
    <row r="3784" spans="9:13" x14ac:dyDescent="0.3">
      <c r="I3784" s="7"/>
      <c r="J3784" s="9"/>
      <c r="K3784" s="9"/>
      <c r="L3784" s="9"/>
      <c r="M3784" s="9"/>
    </row>
    <row r="3785" spans="9:13" x14ac:dyDescent="0.3">
      <c r="I3785" s="7"/>
      <c r="J3785" s="9"/>
      <c r="K3785" s="9"/>
      <c r="L3785" s="9"/>
      <c r="M3785" s="9"/>
    </row>
    <row r="3786" spans="9:13" x14ac:dyDescent="0.3">
      <c r="I3786" s="7"/>
      <c r="J3786" s="9"/>
      <c r="K3786" s="9"/>
      <c r="L3786" s="9"/>
      <c r="M3786" s="9"/>
    </row>
    <row r="3787" spans="9:13" x14ac:dyDescent="0.3">
      <c r="I3787" s="7"/>
      <c r="J3787" s="9"/>
      <c r="K3787" s="9"/>
      <c r="L3787" s="9"/>
      <c r="M3787" s="9"/>
    </row>
    <row r="3788" spans="9:13" x14ac:dyDescent="0.3">
      <c r="I3788" s="7"/>
      <c r="J3788" s="9"/>
      <c r="K3788" s="9"/>
      <c r="L3788" s="9"/>
      <c r="M3788" s="9"/>
    </row>
    <row r="3789" spans="9:13" x14ac:dyDescent="0.3">
      <c r="I3789" s="7"/>
      <c r="J3789" s="9"/>
      <c r="K3789" s="9"/>
      <c r="L3789" s="9"/>
      <c r="M3789" s="9"/>
    </row>
    <row r="3790" spans="9:13" x14ac:dyDescent="0.3">
      <c r="I3790" s="7"/>
      <c r="J3790" s="9"/>
      <c r="K3790" s="9"/>
      <c r="L3790" s="9"/>
      <c r="M3790" s="9"/>
    </row>
    <row r="3791" spans="9:13" x14ac:dyDescent="0.3">
      <c r="I3791" s="7"/>
      <c r="J3791" s="9"/>
      <c r="K3791" s="9"/>
      <c r="L3791" s="9"/>
      <c r="M3791" s="9"/>
    </row>
    <row r="3792" spans="9:13" x14ac:dyDescent="0.3">
      <c r="I3792" s="7"/>
      <c r="J3792" s="9"/>
      <c r="K3792" s="9"/>
      <c r="L3792" s="9"/>
      <c r="M3792" s="9"/>
    </row>
    <row r="3793" spans="9:13" x14ac:dyDescent="0.3">
      <c r="I3793" s="7"/>
      <c r="J3793" s="9"/>
      <c r="K3793" s="9"/>
      <c r="L3793" s="9"/>
      <c r="M3793" s="9"/>
    </row>
    <row r="3794" spans="9:13" x14ac:dyDescent="0.3">
      <c r="I3794" s="7"/>
      <c r="J3794" s="9"/>
      <c r="K3794" s="9"/>
      <c r="L3794" s="9"/>
      <c r="M3794" s="9"/>
    </row>
    <row r="3795" spans="9:13" x14ac:dyDescent="0.3">
      <c r="I3795" s="7"/>
      <c r="J3795" s="9"/>
      <c r="K3795" s="9"/>
      <c r="L3795" s="9"/>
      <c r="M3795" s="9"/>
    </row>
    <row r="3796" spans="9:13" x14ac:dyDescent="0.3">
      <c r="I3796" s="7"/>
      <c r="J3796" s="9"/>
      <c r="K3796" s="9"/>
      <c r="L3796" s="9"/>
      <c r="M3796" s="9"/>
    </row>
    <row r="3797" spans="9:13" x14ac:dyDescent="0.3">
      <c r="I3797" s="7"/>
      <c r="J3797" s="9"/>
      <c r="K3797" s="9"/>
      <c r="L3797" s="9"/>
      <c r="M3797" s="9"/>
    </row>
    <row r="3798" spans="9:13" x14ac:dyDescent="0.3">
      <c r="I3798" s="7"/>
      <c r="J3798" s="9"/>
      <c r="K3798" s="9"/>
      <c r="L3798" s="9"/>
      <c r="M3798" s="9"/>
    </row>
    <row r="3799" spans="9:13" x14ac:dyDescent="0.3">
      <c r="I3799" s="7"/>
      <c r="J3799" s="9"/>
      <c r="K3799" s="9"/>
      <c r="L3799" s="9"/>
      <c r="M3799" s="9"/>
    </row>
    <row r="3800" spans="9:13" x14ac:dyDescent="0.3">
      <c r="I3800" s="7"/>
      <c r="J3800" s="9"/>
      <c r="K3800" s="9"/>
      <c r="L3800" s="9"/>
      <c r="M3800" s="9"/>
    </row>
    <row r="3801" spans="9:13" x14ac:dyDescent="0.3">
      <c r="I3801" s="7"/>
      <c r="J3801" s="9"/>
      <c r="K3801" s="9"/>
      <c r="L3801" s="9"/>
      <c r="M3801" s="9"/>
    </row>
    <row r="3802" spans="9:13" x14ac:dyDescent="0.3">
      <c r="I3802" s="7"/>
      <c r="J3802" s="9"/>
      <c r="K3802" s="9"/>
      <c r="L3802" s="9"/>
      <c r="M3802" s="9"/>
    </row>
    <row r="3803" spans="9:13" x14ac:dyDescent="0.3">
      <c r="I3803" s="7"/>
      <c r="J3803" s="9"/>
      <c r="K3803" s="9"/>
      <c r="L3803" s="9"/>
      <c r="M3803" s="9"/>
    </row>
    <row r="3804" spans="9:13" x14ac:dyDescent="0.3">
      <c r="I3804" s="7"/>
      <c r="J3804" s="9"/>
      <c r="K3804" s="9"/>
      <c r="L3804" s="9"/>
      <c r="M3804" s="9"/>
    </row>
    <row r="3805" spans="9:13" x14ac:dyDescent="0.3">
      <c r="I3805" s="7"/>
      <c r="J3805" s="9"/>
      <c r="K3805" s="9"/>
      <c r="L3805" s="9"/>
      <c r="M3805" s="9"/>
    </row>
    <row r="3806" spans="9:13" x14ac:dyDescent="0.3">
      <c r="I3806" s="7"/>
      <c r="J3806" s="9"/>
      <c r="K3806" s="9"/>
      <c r="L3806" s="9"/>
      <c r="M3806" s="9"/>
    </row>
    <row r="3807" spans="9:13" x14ac:dyDescent="0.3">
      <c r="I3807" s="7"/>
      <c r="J3807" s="9"/>
      <c r="K3807" s="9"/>
      <c r="L3807" s="9"/>
      <c r="M3807" s="9"/>
    </row>
    <row r="3808" spans="9:13" x14ac:dyDescent="0.3">
      <c r="I3808" s="7"/>
      <c r="J3808" s="9"/>
      <c r="K3808" s="9"/>
      <c r="L3808" s="9"/>
      <c r="M3808" s="9"/>
    </row>
    <row r="3809" spans="9:13" x14ac:dyDescent="0.3">
      <c r="I3809" s="7"/>
      <c r="J3809" s="9"/>
      <c r="K3809" s="9"/>
      <c r="L3809" s="9"/>
      <c r="M3809" s="9"/>
    </row>
    <row r="3810" spans="9:13" x14ac:dyDescent="0.3">
      <c r="I3810" s="7"/>
      <c r="J3810" s="9"/>
      <c r="K3810" s="9"/>
      <c r="L3810" s="9"/>
      <c r="M3810" s="9"/>
    </row>
    <row r="3811" spans="9:13" x14ac:dyDescent="0.3">
      <c r="I3811" s="7"/>
      <c r="J3811" s="9"/>
      <c r="K3811" s="9"/>
      <c r="L3811" s="9"/>
      <c r="M3811" s="9"/>
    </row>
    <row r="3812" spans="9:13" x14ac:dyDescent="0.3">
      <c r="I3812" s="7"/>
      <c r="J3812" s="9"/>
      <c r="K3812" s="9"/>
      <c r="L3812" s="9"/>
      <c r="M3812" s="9"/>
    </row>
    <row r="3813" spans="9:13" x14ac:dyDescent="0.3">
      <c r="I3813" s="7"/>
      <c r="J3813" s="9"/>
      <c r="K3813" s="9"/>
      <c r="L3813" s="9"/>
      <c r="M3813" s="9"/>
    </row>
    <row r="3814" spans="9:13" x14ac:dyDescent="0.3">
      <c r="I3814" s="7"/>
      <c r="J3814" s="9"/>
      <c r="K3814" s="9"/>
      <c r="L3814" s="9"/>
      <c r="M3814" s="9"/>
    </row>
    <row r="3815" spans="9:13" x14ac:dyDescent="0.3">
      <c r="I3815" s="7"/>
      <c r="J3815" s="9"/>
      <c r="K3815" s="9"/>
      <c r="L3815" s="9"/>
      <c r="M3815" s="9"/>
    </row>
    <row r="3816" spans="9:13" x14ac:dyDescent="0.3">
      <c r="I3816" s="7"/>
      <c r="J3816" s="9"/>
      <c r="K3816" s="9"/>
      <c r="L3816" s="9"/>
      <c r="M3816" s="9"/>
    </row>
    <row r="3817" spans="9:13" x14ac:dyDescent="0.3">
      <c r="I3817" s="7"/>
      <c r="J3817" s="9"/>
      <c r="K3817" s="9"/>
      <c r="L3817" s="9"/>
      <c r="M3817" s="9"/>
    </row>
    <row r="3818" spans="9:13" x14ac:dyDescent="0.3">
      <c r="I3818" s="7"/>
      <c r="J3818" s="9"/>
      <c r="K3818" s="9"/>
      <c r="L3818" s="9"/>
      <c r="M3818" s="9"/>
    </row>
    <row r="3819" spans="9:13" x14ac:dyDescent="0.3">
      <c r="I3819" s="7"/>
      <c r="J3819" s="9"/>
      <c r="K3819" s="9"/>
      <c r="L3819" s="9"/>
      <c r="M3819" s="9"/>
    </row>
    <row r="3820" spans="9:13" x14ac:dyDescent="0.3">
      <c r="I3820" s="7"/>
      <c r="J3820" s="9"/>
      <c r="K3820" s="9"/>
      <c r="L3820" s="9"/>
      <c r="M3820" s="9"/>
    </row>
    <row r="3821" spans="9:13" x14ac:dyDescent="0.3">
      <c r="I3821" s="7"/>
      <c r="J3821" s="9"/>
      <c r="K3821" s="9"/>
      <c r="L3821" s="9"/>
      <c r="M3821" s="9"/>
    </row>
    <row r="3822" spans="9:13" x14ac:dyDescent="0.3">
      <c r="I3822" s="7"/>
      <c r="J3822" s="9"/>
      <c r="K3822" s="9"/>
      <c r="L3822" s="9"/>
      <c r="M3822" s="9"/>
    </row>
    <row r="3823" spans="9:13" x14ac:dyDescent="0.3">
      <c r="I3823" s="7"/>
      <c r="J3823" s="9"/>
      <c r="K3823" s="9"/>
      <c r="L3823" s="9"/>
      <c r="M3823" s="9"/>
    </row>
    <row r="3824" spans="9:13" x14ac:dyDescent="0.3">
      <c r="I3824" s="7"/>
      <c r="J3824" s="9"/>
      <c r="K3824" s="9"/>
      <c r="L3824" s="9"/>
      <c r="M3824" s="9"/>
    </row>
    <row r="3825" spans="9:13" x14ac:dyDescent="0.3">
      <c r="I3825" s="7"/>
      <c r="J3825" s="9"/>
      <c r="K3825" s="9"/>
      <c r="L3825" s="9"/>
      <c r="M3825" s="9"/>
    </row>
    <row r="3826" spans="9:13" x14ac:dyDescent="0.3">
      <c r="I3826" s="7"/>
      <c r="J3826" s="9"/>
      <c r="K3826" s="9"/>
      <c r="L3826" s="9"/>
      <c r="M3826" s="9"/>
    </row>
    <row r="3827" spans="9:13" x14ac:dyDescent="0.3">
      <c r="I3827" s="7"/>
      <c r="J3827" s="9"/>
      <c r="K3827" s="9"/>
      <c r="L3827" s="9"/>
      <c r="M3827" s="9"/>
    </row>
    <row r="3828" spans="9:13" x14ac:dyDescent="0.3">
      <c r="I3828" s="7"/>
      <c r="J3828" s="9"/>
      <c r="K3828" s="9"/>
      <c r="L3828" s="9"/>
      <c r="M3828" s="9"/>
    </row>
    <row r="3829" spans="9:13" x14ac:dyDescent="0.3">
      <c r="I3829" s="7"/>
      <c r="J3829" s="9"/>
      <c r="K3829" s="9"/>
      <c r="L3829" s="9"/>
      <c r="M3829" s="9"/>
    </row>
    <row r="3830" spans="9:13" x14ac:dyDescent="0.3">
      <c r="I3830" s="7"/>
      <c r="J3830" s="9"/>
      <c r="K3830" s="9"/>
      <c r="L3830" s="9"/>
      <c r="M3830" s="9"/>
    </row>
    <row r="3831" spans="9:13" x14ac:dyDescent="0.3">
      <c r="I3831" s="7"/>
      <c r="J3831" s="9"/>
      <c r="K3831" s="9"/>
      <c r="L3831" s="9"/>
      <c r="M3831" s="9"/>
    </row>
    <row r="3832" spans="9:13" x14ac:dyDescent="0.3">
      <c r="I3832" s="7"/>
      <c r="J3832" s="9"/>
      <c r="K3832" s="9"/>
      <c r="L3832" s="9"/>
      <c r="M3832" s="9"/>
    </row>
    <row r="3833" spans="9:13" x14ac:dyDescent="0.3">
      <c r="I3833" s="7"/>
      <c r="J3833" s="9"/>
      <c r="K3833" s="9"/>
      <c r="L3833" s="9"/>
      <c r="M3833" s="9"/>
    </row>
    <row r="3834" spans="9:13" x14ac:dyDescent="0.3">
      <c r="I3834" s="7"/>
      <c r="J3834" s="9"/>
      <c r="K3834" s="9"/>
      <c r="L3834" s="9"/>
      <c r="M3834" s="9"/>
    </row>
    <row r="3835" spans="9:13" x14ac:dyDescent="0.3">
      <c r="I3835" s="7"/>
      <c r="J3835" s="9"/>
      <c r="K3835" s="9"/>
      <c r="L3835" s="9"/>
      <c r="M3835" s="9"/>
    </row>
    <row r="3836" spans="9:13" x14ac:dyDescent="0.3">
      <c r="I3836" s="7"/>
      <c r="J3836" s="9"/>
      <c r="K3836" s="9"/>
      <c r="L3836" s="9"/>
      <c r="M3836" s="9"/>
    </row>
    <row r="3837" spans="9:13" x14ac:dyDescent="0.3">
      <c r="I3837" s="7"/>
      <c r="J3837" s="9"/>
      <c r="K3837" s="9"/>
      <c r="L3837" s="9"/>
      <c r="M3837" s="9"/>
    </row>
    <row r="3838" spans="9:13" x14ac:dyDescent="0.3">
      <c r="I3838" s="7"/>
      <c r="J3838" s="9"/>
      <c r="K3838" s="9"/>
      <c r="L3838" s="9"/>
      <c r="M3838" s="9"/>
    </row>
    <row r="3839" spans="9:13" x14ac:dyDescent="0.3">
      <c r="I3839" s="7"/>
      <c r="J3839" s="9"/>
      <c r="K3839" s="9"/>
      <c r="L3839" s="9"/>
      <c r="M3839" s="9"/>
    </row>
    <row r="3840" spans="9:13" x14ac:dyDescent="0.3">
      <c r="I3840" s="7"/>
      <c r="J3840" s="9"/>
      <c r="K3840" s="9"/>
      <c r="L3840" s="9"/>
      <c r="M3840" s="9"/>
    </row>
    <row r="3841" spans="9:13" x14ac:dyDescent="0.3">
      <c r="I3841" s="7"/>
      <c r="J3841" s="9"/>
      <c r="K3841" s="9"/>
      <c r="L3841" s="9"/>
      <c r="M3841" s="9"/>
    </row>
    <row r="3842" spans="9:13" x14ac:dyDescent="0.3">
      <c r="I3842" s="7"/>
      <c r="J3842" s="9"/>
      <c r="K3842" s="9"/>
      <c r="L3842" s="9"/>
      <c r="M3842" s="9"/>
    </row>
    <row r="3843" spans="9:13" x14ac:dyDescent="0.3">
      <c r="I3843" s="7"/>
      <c r="J3843" s="9"/>
      <c r="K3843" s="9"/>
      <c r="L3843" s="9"/>
      <c r="M3843" s="9"/>
    </row>
    <row r="3844" spans="9:13" x14ac:dyDescent="0.3">
      <c r="I3844" s="7"/>
      <c r="J3844" s="9"/>
      <c r="K3844" s="9"/>
      <c r="L3844" s="9"/>
      <c r="M3844" s="9"/>
    </row>
    <row r="3845" spans="9:13" x14ac:dyDescent="0.3">
      <c r="I3845" s="7"/>
      <c r="J3845" s="9"/>
      <c r="K3845" s="9"/>
      <c r="L3845" s="9"/>
      <c r="M3845" s="9"/>
    </row>
    <row r="3846" spans="9:13" x14ac:dyDescent="0.3">
      <c r="I3846" s="7"/>
      <c r="J3846" s="9"/>
      <c r="K3846" s="9"/>
      <c r="L3846" s="9"/>
      <c r="M3846" s="9"/>
    </row>
    <row r="3847" spans="9:13" x14ac:dyDescent="0.3">
      <c r="I3847" s="7"/>
      <c r="J3847" s="9"/>
      <c r="K3847" s="9"/>
      <c r="L3847" s="9"/>
      <c r="M3847" s="9"/>
    </row>
    <row r="3848" spans="9:13" x14ac:dyDescent="0.3">
      <c r="I3848" s="7"/>
      <c r="J3848" s="9"/>
      <c r="K3848" s="9"/>
      <c r="L3848" s="9"/>
      <c r="M3848" s="9"/>
    </row>
    <row r="3849" spans="9:13" x14ac:dyDescent="0.3">
      <c r="I3849" s="7"/>
      <c r="J3849" s="9"/>
      <c r="K3849" s="9"/>
      <c r="L3849" s="9"/>
      <c r="M3849" s="9"/>
    </row>
    <row r="3850" spans="9:13" x14ac:dyDescent="0.3">
      <c r="I3850" s="7"/>
      <c r="J3850" s="9"/>
      <c r="K3850" s="9"/>
      <c r="L3850" s="9"/>
      <c r="M3850" s="9"/>
    </row>
    <row r="3851" spans="9:13" x14ac:dyDescent="0.3">
      <c r="I3851" s="7"/>
      <c r="J3851" s="9"/>
      <c r="K3851" s="9"/>
      <c r="L3851" s="9"/>
      <c r="M3851" s="9"/>
    </row>
    <row r="3852" spans="9:13" x14ac:dyDescent="0.3">
      <c r="I3852" s="7"/>
      <c r="J3852" s="9"/>
      <c r="K3852" s="9"/>
      <c r="L3852" s="9"/>
      <c r="M3852" s="9"/>
    </row>
    <row r="3853" spans="9:13" x14ac:dyDescent="0.3">
      <c r="I3853" s="7"/>
      <c r="J3853" s="9"/>
      <c r="K3853" s="9"/>
      <c r="L3853" s="9"/>
      <c r="M3853" s="9"/>
    </row>
    <row r="3854" spans="9:13" x14ac:dyDescent="0.3">
      <c r="I3854" s="7"/>
      <c r="J3854" s="9"/>
      <c r="K3854" s="9"/>
      <c r="L3854" s="9"/>
      <c r="M3854" s="9"/>
    </row>
    <row r="3855" spans="9:13" x14ac:dyDescent="0.3">
      <c r="I3855" s="7"/>
      <c r="J3855" s="9"/>
      <c r="K3855" s="9"/>
      <c r="L3855" s="9"/>
      <c r="M3855" s="9"/>
    </row>
    <row r="3856" spans="9:13" x14ac:dyDescent="0.3">
      <c r="I3856" s="7"/>
      <c r="J3856" s="9"/>
      <c r="K3856" s="9"/>
      <c r="L3856" s="9"/>
      <c r="M3856" s="9"/>
    </row>
    <row r="3857" spans="9:13" x14ac:dyDescent="0.3">
      <c r="I3857" s="7"/>
      <c r="J3857" s="9"/>
      <c r="K3857" s="9"/>
      <c r="L3857" s="9"/>
      <c r="M3857" s="9"/>
    </row>
    <row r="3858" spans="9:13" x14ac:dyDescent="0.3">
      <c r="I3858" s="7"/>
      <c r="J3858" s="9"/>
      <c r="K3858" s="9"/>
      <c r="L3858" s="9"/>
      <c r="M3858" s="9"/>
    </row>
    <row r="3859" spans="9:13" x14ac:dyDescent="0.3">
      <c r="I3859" s="7"/>
      <c r="J3859" s="9"/>
      <c r="K3859" s="9"/>
      <c r="L3859" s="9"/>
      <c r="M3859" s="9"/>
    </row>
    <row r="3860" spans="9:13" x14ac:dyDescent="0.3">
      <c r="I3860" s="7"/>
      <c r="J3860" s="9"/>
      <c r="K3860" s="9"/>
      <c r="L3860" s="9"/>
      <c r="M3860" s="9"/>
    </row>
    <row r="3861" spans="9:13" x14ac:dyDescent="0.3">
      <c r="I3861" s="7"/>
      <c r="J3861" s="9"/>
      <c r="K3861" s="9"/>
      <c r="L3861" s="9"/>
      <c r="M3861" s="9"/>
    </row>
    <row r="3862" spans="9:13" x14ac:dyDescent="0.3">
      <c r="I3862" s="7"/>
      <c r="J3862" s="9"/>
      <c r="K3862" s="9"/>
      <c r="L3862" s="9"/>
      <c r="M3862" s="9"/>
    </row>
    <row r="3863" spans="9:13" x14ac:dyDescent="0.3">
      <c r="I3863" s="7"/>
      <c r="J3863" s="9"/>
      <c r="K3863" s="9"/>
      <c r="L3863" s="9"/>
      <c r="M3863" s="9"/>
    </row>
    <row r="3864" spans="9:13" x14ac:dyDescent="0.3">
      <c r="I3864" s="7"/>
      <c r="J3864" s="9"/>
      <c r="K3864" s="9"/>
      <c r="L3864" s="9"/>
      <c r="M3864" s="9"/>
    </row>
    <row r="3865" spans="9:13" x14ac:dyDescent="0.3">
      <c r="I3865" s="7"/>
      <c r="J3865" s="9"/>
      <c r="K3865" s="9"/>
      <c r="L3865" s="9"/>
      <c r="M3865" s="9"/>
    </row>
    <row r="3866" spans="9:13" x14ac:dyDescent="0.3">
      <c r="I3866" s="7"/>
      <c r="J3866" s="9"/>
      <c r="K3866" s="9"/>
      <c r="L3866" s="9"/>
      <c r="M3866" s="9"/>
    </row>
    <row r="3867" spans="9:13" x14ac:dyDescent="0.3">
      <c r="I3867" s="7"/>
      <c r="J3867" s="9"/>
      <c r="K3867" s="9"/>
      <c r="L3867" s="9"/>
      <c r="M3867" s="9"/>
    </row>
    <row r="3868" spans="9:13" x14ac:dyDescent="0.3">
      <c r="I3868" s="7"/>
      <c r="J3868" s="9"/>
      <c r="K3868" s="9"/>
      <c r="L3868" s="9"/>
      <c r="M3868" s="9"/>
    </row>
    <row r="3869" spans="9:13" x14ac:dyDescent="0.3">
      <c r="I3869" s="7"/>
      <c r="J3869" s="9"/>
      <c r="K3869" s="9"/>
      <c r="L3869" s="9"/>
      <c r="M3869" s="9"/>
    </row>
    <row r="3870" spans="9:13" x14ac:dyDescent="0.3">
      <c r="I3870" s="7"/>
      <c r="J3870" s="9"/>
      <c r="K3870" s="9"/>
      <c r="L3870" s="9"/>
      <c r="M3870" s="9"/>
    </row>
    <row r="3871" spans="9:13" x14ac:dyDescent="0.3">
      <c r="I3871" s="7"/>
      <c r="J3871" s="9"/>
      <c r="K3871" s="9"/>
      <c r="L3871" s="9"/>
      <c r="M3871" s="9"/>
    </row>
    <row r="3872" spans="9:13" x14ac:dyDescent="0.3">
      <c r="I3872" s="7"/>
      <c r="J3872" s="9"/>
      <c r="K3872" s="9"/>
      <c r="L3872" s="9"/>
      <c r="M3872" s="9"/>
    </row>
    <row r="3873" spans="9:13" x14ac:dyDescent="0.3">
      <c r="I3873" s="7"/>
      <c r="J3873" s="9"/>
      <c r="K3873" s="9"/>
      <c r="L3873" s="9"/>
      <c r="M3873" s="9"/>
    </row>
    <row r="3874" spans="9:13" x14ac:dyDescent="0.3">
      <c r="I3874" s="7"/>
      <c r="J3874" s="9"/>
      <c r="K3874" s="9"/>
      <c r="L3874" s="9"/>
      <c r="M3874" s="9"/>
    </row>
    <row r="3875" spans="9:13" x14ac:dyDescent="0.3">
      <c r="I3875" s="7"/>
      <c r="J3875" s="9"/>
      <c r="K3875" s="9"/>
      <c r="L3875" s="9"/>
      <c r="M3875" s="9"/>
    </row>
    <row r="3876" spans="9:13" x14ac:dyDescent="0.3">
      <c r="I3876" s="7"/>
      <c r="J3876" s="9"/>
      <c r="K3876" s="9"/>
      <c r="L3876" s="9"/>
      <c r="M3876" s="9"/>
    </row>
    <row r="3877" spans="9:13" x14ac:dyDescent="0.3">
      <c r="I3877" s="7"/>
      <c r="J3877" s="9"/>
      <c r="K3877" s="9"/>
      <c r="L3877" s="9"/>
      <c r="M3877" s="9"/>
    </row>
    <row r="3878" spans="9:13" x14ac:dyDescent="0.3">
      <c r="I3878" s="7"/>
      <c r="J3878" s="9"/>
      <c r="K3878" s="9"/>
      <c r="L3878" s="9"/>
      <c r="M3878" s="9"/>
    </row>
    <row r="3879" spans="9:13" x14ac:dyDescent="0.3">
      <c r="I3879" s="7"/>
      <c r="J3879" s="9"/>
      <c r="K3879" s="9"/>
      <c r="L3879" s="9"/>
      <c r="M3879" s="9"/>
    </row>
    <row r="3880" spans="9:13" x14ac:dyDescent="0.3">
      <c r="I3880" s="7"/>
      <c r="J3880" s="9"/>
      <c r="K3880" s="9"/>
      <c r="L3880" s="9"/>
      <c r="M3880" s="9"/>
    </row>
    <row r="3881" spans="9:13" x14ac:dyDescent="0.3">
      <c r="I3881" s="7"/>
      <c r="J3881" s="9"/>
      <c r="K3881" s="9"/>
      <c r="L3881" s="9"/>
      <c r="M3881" s="9"/>
    </row>
    <row r="3882" spans="9:13" x14ac:dyDescent="0.3">
      <c r="I3882" s="7"/>
      <c r="J3882" s="9"/>
      <c r="K3882" s="9"/>
      <c r="L3882" s="9"/>
      <c r="M3882" s="9"/>
    </row>
    <row r="3883" spans="9:13" x14ac:dyDescent="0.3">
      <c r="I3883" s="7"/>
      <c r="J3883" s="9"/>
      <c r="K3883" s="9"/>
      <c r="L3883" s="9"/>
      <c r="M3883" s="9"/>
    </row>
    <row r="3884" spans="9:13" x14ac:dyDescent="0.3">
      <c r="I3884" s="7"/>
      <c r="J3884" s="9"/>
      <c r="K3884" s="9"/>
      <c r="L3884" s="9"/>
      <c r="M3884" s="9"/>
    </row>
    <row r="3885" spans="9:13" x14ac:dyDescent="0.3">
      <c r="I3885" s="7"/>
      <c r="J3885" s="9"/>
      <c r="K3885" s="9"/>
      <c r="L3885" s="9"/>
      <c r="M3885" s="9"/>
    </row>
    <row r="3886" spans="9:13" x14ac:dyDescent="0.3">
      <c r="I3886" s="7"/>
      <c r="J3886" s="9"/>
      <c r="K3886" s="9"/>
      <c r="L3886" s="9"/>
      <c r="M3886" s="9"/>
    </row>
    <row r="3887" spans="9:13" x14ac:dyDescent="0.3">
      <c r="I3887" s="7"/>
      <c r="J3887" s="9"/>
      <c r="K3887" s="9"/>
      <c r="L3887" s="9"/>
      <c r="M3887" s="9"/>
    </row>
    <row r="3888" spans="9:13" x14ac:dyDescent="0.3">
      <c r="I3888" s="7"/>
      <c r="J3888" s="9"/>
      <c r="K3888" s="9"/>
      <c r="L3888" s="9"/>
      <c r="M3888" s="9"/>
    </row>
    <row r="3889" spans="9:13" x14ac:dyDescent="0.3">
      <c r="I3889" s="7"/>
      <c r="J3889" s="9"/>
      <c r="K3889" s="9"/>
      <c r="L3889" s="9"/>
      <c r="M3889" s="9"/>
    </row>
    <row r="3890" spans="9:13" x14ac:dyDescent="0.3">
      <c r="I3890" s="7"/>
      <c r="J3890" s="9"/>
      <c r="K3890" s="9"/>
      <c r="L3890" s="9"/>
      <c r="M3890" s="9"/>
    </row>
    <row r="3891" spans="9:13" x14ac:dyDescent="0.3">
      <c r="I3891" s="7"/>
      <c r="J3891" s="9"/>
      <c r="K3891" s="9"/>
      <c r="L3891" s="9"/>
      <c r="M3891" s="9"/>
    </row>
    <row r="3892" spans="9:13" x14ac:dyDescent="0.3">
      <c r="I3892" s="7"/>
      <c r="J3892" s="9"/>
      <c r="K3892" s="9"/>
      <c r="L3892" s="9"/>
      <c r="M3892" s="9"/>
    </row>
    <row r="3893" spans="9:13" x14ac:dyDescent="0.3">
      <c r="I3893" s="7"/>
      <c r="J3893" s="9"/>
      <c r="K3893" s="9"/>
      <c r="L3893" s="9"/>
      <c r="M3893" s="9"/>
    </row>
    <row r="3894" spans="9:13" x14ac:dyDescent="0.3">
      <c r="I3894" s="7"/>
      <c r="J3894" s="9"/>
      <c r="K3894" s="9"/>
      <c r="L3894" s="9"/>
      <c r="M3894" s="9"/>
    </row>
    <row r="3895" spans="9:13" x14ac:dyDescent="0.3">
      <c r="I3895" s="7"/>
      <c r="J3895" s="9"/>
      <c r="K3895" s="9"/>
      <c r="L3895" s="9"/>
      <c r="M3895" s="9"/>
    </row>
    <row r="3896" spans="9:13" x14ac:dyDescent="0.3">
      <c r="I3896" s="7"/>
      <c r="J3896" s="9"/>
      <c r="K3896" s="9"/>
      <c r="L3896" s="9"/>
      <c r="M3896" s="9"/>
    </row>
    <row r="3897" spans="9:13" x14ac:dyDescent="0.3">
      <c r="I3897" s="7"/>
      <c r="J3897" s="9"/>
      <c r="K3897" s="9"/>
      <c r="L3897" s="9"/>
      <c r="M3897" s="9"/>
    </row>
    <row r="3898" spans="9:13" x14ac:dyDescent="0.3">
      <c r="I3898" s="7"/>
      <c r="J3898" s="9"/>
      <c r="K3898" s="9"/>
      <c r="L3898" s="9"/>
      <c r="M3898" s="9"/>
    </row>
    <row r="3899" spans="9:13" x14ac:dyDescent="0.3">
      <c r="I3899" s="7"/>
      <c r="J3899" s="9"/>
      <c r="K3899" s="9"/>
      <c r="L3899" s="9"/>
      <c r="M3899" s="9"/>
    </row>
    <row r="3900" spans="9:13" x14ac:dyDescent="0.3">
      <c r="I3900" s="7"/>
      <c r="J3900" s="9"/>
      <c r="K3900" s="9"/>
      <c r="L3900" s="9"/>
      <c r="M3900" s="9"/>
    </row>
    <row r="3901" spans="9:13" x14ac:dyDescent="0.3">
      <c r="I3901" s="7"/>
      <c r="J3901" s="9"/>
      <c r="K3901" s="9"/>
      <c r="L3901" s="9"/>
      <c r="M3901" s="9"/>
    </row>
    <row r="3902" spans="9:13" x14ac:dyDescent="0.3">
      <c r="I3902" s="7"/>
      <c r="J3902" s="9"/>
      <c r="K3902" s="9"/>
      <c r="L3902" s="9"/>
      <c r="M3902" s="9"/>
    </row>
    <row r="3903" spans="9:13" x14ac:dyDescent="0.3">
      <c r="I3903" s="7"/>
      <c r="J3903" s="9"/>
      <c r="K3903" s="9"/>
      <c r="L3903" s="9"/>
      <c r="M3903" s="9"/>
    </row>
    <row r="3904" spans="9:13" x14ac:dyDescent="0.3">
      <c r="I3904" s="7"/>
      <c r="J3904" s="9"/>
      <c r="K3904" s="9"/>
      <c r="L3904" s="9"/>
      <c r="M3904" s="9"/>
    </row>
    <row r="3905" spans="9:13" x14ac:dyDescent="0.3">
      <c r="I3905" s="7"/>
      <c r="J3905" s="9"/>
      <c r="K3905" s="9"/>
      <c r="L3905" s="9"/>
      <c r="M3905" s="9"/>
    </row>
    <row r="3906" spans="9:13" x14ac:dyDescent="0.3">
      <c r="I3906" s="7"/>
      <c r="J3906" s="9"/>
      <c r="K3906" s="9"/>
      <c r="L3906" s="9"/>
      <c r="M3906" s="9"/>
    </row>
    <row r="3907" spans="9:13" x14ac:dyDescent="0.3">
      <c r="I3907" s="7"/>
      <c r="J3907" s="9"/>
      <c r="K3907" s="9"/>
      <c r="L3907" s="9"/>
      <c r="M3907" s="9"/>
    </row>
    <row r="3908" spans="9:13" x14ac:dyDescent="0.3">
      <c r="I3908" s="7"/>
      <c r="J3908" s="9"/>
      <c r="K3908" s="9"/>
      <c r="L3908" s="9"/>
      <c r="M3908" s="9"/>
    </row>
    <row r="3909" spans="9:13" x14ac:dyDescent="0.3">
      <c r="I3909" s="7"/>
      <c r="J3909" s="9"/>
      <c r="K3909" s="9"/>
      <c r="L3909" s="9"/>
      <c r="M3909" s="9"/>
    </row>
    <row r="3910" spans="9:13" x14ac:dyDescent="0.3">
      <c r="I3910" s="7"/>
      <c r="J3910" s="9"/>
      <c r="K3910" s="9"/>
      <c r="L3910" s="9"/>
      <c r="M3910" s="9"/>
    </row>
    <row r="3911" spans="9:13" x14ac:dyDescent="0.3">
      <c r="I3911" s="7"/>
      <c r="J3911" s="9"/>
      <c r="K3911" s="9"/>
      <c r="L3911" s="9"/>
      <c r="M3911" s="9"/>
    </row>
    <row r="3912" spans="9:13" x14ac:dyDescent="0.3">
      <c r="I3912" s="7"/>
      <c r="J3912" s="9"/>
      <c r="K3912" s="9"/>
      <c r="L3912" s="9"/>
      <c r="M3912" s="9"/>
    </row>
    <row r="3913" spans="9:13" x14ac:dyDescent="0.3">
      <c r="I3913" s="7"/>
      <c r="J3913" s="9"/>
      <c r="K3913" s="9"/>
      <c r="L3913" s="9"/>
      <c r="M3913" s="9"/>
    </row>
    <row r="3914" spans="9:13" x14ac:dyDescent="0.3">
      <c r="I3914" s="7"/>
      <c r="J3914" s="9"/>
      <c r="K3914" s="9"/>
      <c r="L3914" s="9"/>
      <c r="M3914" s="9"/>
    </row>
    <row r="3915" spans="9:13" x14ac:dyDescent="0.3">
      <c r="I3915" s="7"/>
      <c r="J3915" s="9"/>
      <c r="K3915" s="9"/>
      <c r="L3915" s="9"/>
      <c r="M3915" s="9"/>
    </row>
    <row r="3916" spans="9:13" x14ac:dyDescent="0.3">
      <c r="I3916" s="7"/>
      <c r="J3916" s="9"/>
      <c r="K3916" s="9"/>
      <c r="L3916" s="9"/>
      <c r="M3916" s="9"/>
    </row>
    <row r="3917" spans="9:13" x14ac:dyDescent="0.3">
      <c r="I3917" s="7"/>
      <c r="J3917" s="9"/>
      <c r="K3917" s="9"/>
      <c r="L3917" s="9"/>
      <c r="M3917" s="9"/>
    </row>
    <row r="3918" spans="9:13" x14ac:dyDescent="0.3">
      <c r="I3918" s="7"/>
      <c r="J3918" s="9"/>
      <c r="K3918" s="9"/>
      <c r="L3918" s="9"/>
      <c r="M3918" s="9"/>
    </row>
    <row r="3919" spans="9:13" x14ac:dyDescent="0.3">
      <c r="I3919" s="7"/>
      <c r="J3919" s="9"/>
      <c r="K3919" s="9"/>
      <c r="L3919" s="9"/>
      <c r="M3919" s="9"/>
    </row>
    <row r="3920" spans="9:13" x14ac:dyDescent="0.3">
      <c r="I3920" s="7"/>
      <c r="J3920" s="9"/>
      <c r="K3920" s="9"/>
      <c r="L3920" s="9"/>
      <c r="M3920" s="9"/>
    </row>
    <row r="3921" spans="9:13" x14ac:dyDescent="0.3">
      <c r="I3921" s="7"/>
      <c r="J3921" s="9"/>
      <c r="K3921" s="9"/>
      <c r="L3921" s="9"/>
      <c r="M3921" s="9"/>
    </row>
    <row r="3922" spans="9:13" x14ac:dyDescent="0.3">
      <c r="I3922" s="7"/>
      <c r="J3922" s="9"/>
      <c r="K3922" s="9"/>
      <c r="L3922" s="9"/>
      <c r="M3922" s="9"/>
    </row>
    <row r="3923" spans="9:13" x14ac:dyDescent="0.3">
      <c r="I3923" s="7"/>
      <c r="J3923" s="9"/>
      <c r="K3923" s="9"/>
      <c r="L3923" s="9"/>
      <c r="M3923" s="9"/>
    </row>
    <row r="3924" spans="9:13" x14ac:dyDescent="0.3">
      <c r="I3924" s="7"/>
      <c r="J3924" s="9"/>
      <c r="K3924" s="9"/>
      <c r="L3924" s="9"/>
      <c r="M3924" s="9"/>
    </row>
    <row r="3925" spans="9:13" x14ac:dyDescent="0.3">
      <c r="I3925" s="7"/>
      <c r="J3925" s="9"/>
      <c r="K3925" s="9"/>
      <c r="L3925" s="9"/>
      <c r="M3925" s="9"/>
    </row>
    <row r="3926" spans="9:13" x14ac:dyDescent="0.3">
      <c r="I3926" s="7"/>
      <c r="J3926" s="9"/>
      <c r="K3926" s="9"/>
      <c r="L3926" s="9"/>
      <c r="M3926" s="9"/>
    </row>
    <row r="3927" spans="9:13" x14ac:dyDescent="0.3">
      <c r="I3927" s="7"/>
      <c r="J3927" s="9"/>
      <c r="K3927" s="9"/>
      <c r="L3927" s="9"/>
      <c r="M3927" s="9"/>
    </row>
    <row r="3928" spans="9:13" x14ac:dyDescent="0.3">
      <c r="I3928" s="7"/>
      <c r="J3928" s="9"/>
      <c r="K3928" s="9"/>
      <c r="L3928" s="9"/>
      <c r="M3928" s="9"/>
    </row>
    <row r="3929" spans="9:13" x14ac:dyDescent="0.3">
      <c r="I3929" s="7"/>
      <c r="J3929" s="9"/>
      <c r="K3929" s="9"/>
      <c r="L3929" s="9"/>
      <c r="M3929" s="9"/>
    </row>
    <row r="3930" spans="9:13" x14ac:dyDescent="0.3">
      <c r="I3930" s="7"/>
      <c r="J3930" s="9"/>
      <c r="K3930" s="9"/>
      <c r="L3930" s="9"/>
      <c r="M3930" s="9"/>
    </row>
    <row r="3931" spans="9:13" x14ac:dyDescent="0.3">
      <c r="I3931" s="7"/>
      <c r="J3931" s="9"/>
      <c r="K3931" s="9"/>
      <c r="L3931" s="9"/>
      <c r="M3931" s="9"/>
    </row>
    <row r="3932" spans="9:13" x14ac:dyDescent="0.3">
      <c r="I3932" s="7"/>
      <c r="J3932" s="9"/>
      <c r="K3932" s="9"/>
      <c r="L3932" s="9"/>
      <c r="M3932" s="9"/>
    </row>
    <row r="3933" spans="9:13" x14ac:dyDescent="0.3">
      <c r="I3933" s="7"/>
      <c r="J3933" s="9"/>
      <c r="K3933" s="9"/>
      <c r="L3933" s="9"/>
      <c r="M3933" s="9"/>
    </row>
    <row r="3934" spans="9:13" x14ac:dyDescent="0.3">
      <c r="I3934" s="7"/>
      <c r="J3934" s="9"/>
      <c r="K3934" s="9"/>
      <c r="L3934" s="9"/>
      <c r="M3934" s="9"/>
    </row>
    <row r="3935" spans="9:13" x14ac:dyDescent="0.3">
      <c r="I3935" s="7"/>
      <c r="J3935" s="9"/>
      <c r="K3935" s="9"/>
      <c r="L3935" s="9"/>
      <c r="M3935" s="9"/>
    </row>
    <row r="3936" spans="9:13" x14ac:dyDescent="0.3">
      <c r="I3936" s="7"/>
      <c r="J3936" s="9"/>
      <c r="K3936" s="9"/>
      <c r="L3936" s="9"/>
      <c r="M3936" s="9"/>
    </row>
    <row r="3937" spans="9:13" x14ac:dyDescent="0.3">
      <c r="I3937" s="7"/>
      <c r="J3937" s="9"/>
      <c r="K3937" s="9"/>
      <c r="L3937" s="9"/>
      <c r="M3937" s="9"/>
    </row>
    <row r="3938" spans="9:13" x14ac:dyDescent="0.3">
      <c r="I3938" s="7"/>
      <c r="J3938" s="9"/>
      <c r="K3938" s="9"/>
      <c r="L3938" s="9"/>
      <c r="M3938" s="9"/>
    </row>
    <row r="3939" spans="9:13" x14ac:dyDescent="0.3">
      <c r="I3939" s="7"/>
      <c r="J3939" s="9"/>
      <c r="K3939" s="9"/>
      <c r="L3939" s="9"/>
      <c r="M3939" s="9"/>
    </row>
    <row r="3940" spans="9:13" x14ac:dyDescent="0.3">
      <c r="I3940" s="7"/>
      <c r="J3940" s="9"/>
      <c r="K3940" s="9"/>
      <c r="L3940" s="9"/>
      <c r="M3940" s="9"/>
    </row>
    <row r="3941" spans="9:13" x14ac:dyDescent="0.3">
      <c r="I3941" s="7"/>
      <c r="J3941" s="9"/>
      <c r="K3941" s="9"/>
      <c r="L3941" s="9"/>
      <c r="M3941" s="9"/>
    </row>
    <row r="3942" spans="9:13" x14ac:dyDescent="0.3">
      <c r="I3942" s="7"/>
      <c r="J3942" s="9"/>
      <c r="K3942" s="9"/>
      <c r="L3942" s="9"/>
      <c r="M3942" s="9"/>
    </row>
    <row r="3943" spans="9:13" x14ac:dyDescent="0.3">
      <c r="I3943" s="7"/>
      <c r="J3943" s="9"/>
      <c r="K3943" s="9"/>
      <c r="L3943" s="9"/>
      <c r="M3943" s="9"/>
    </row>
    <row r="3944" spans="9:13" x14ac:dyDescent="0.3">
      <c r="I3944" s="7"/>
      <c r="J3944" s="9"/>
      <c r="K3944" s="9"/>
      <c r="L3944" s="9"/>
      <c r="M3944" s="9"/>
    </row>
    <row r="3945" spans="9:13" x14ac:dyDescent="0.3">
      <c r="I3945" s="7"/>
      <c r="J3945" s="9"/>
      <c r="K3945" s="9"/>
      <c r="L3945" s="9"/>
      <c r="M3945" s="9"/>
    </row>
    <row r="3946" spans="9:13" x14ac:dyDescent="0.3">
      <c r="I3946" s="7"/>
      <c r="J3946" s="9"/>
      <c r="K3946" s="9"/>
      <c r="L3946" s="9"/>
      <c r="M3946" s="9"/>
    </row>
    <row r="3947" spans="9:13" x14ac:dyDescent="0.3">
      <c r="I3947" s="7"/>
      <c r="J3947" s="9"/>
      <c r="K3947" s="9"/>
      <c r="L3947" s="9"/>
      <c r="M3947" s="9"/>
    </row>
    <row r="3948" spans="9:13" x14ac:dyDescent="0.3">
      <c r="I3948" s="7"/>
      <c r="J3948" s="9"/>
      <c r="K3948" s="9"/>
      <c r="L3948" s="9"/>
      <c r="M3948" s="9"/>
    </row>
    <row r="3949" spans="9:13" x14ac:dyDescent="0.3">
      <c r="I3949" s="7"/>
      <c r="J3949" s="9"/>
      <c r="K3949" s="9"/>
      <c r="L3949" s="9"/>
      <c r="M3949" s="9"/>
    </row>
    <row r="3950" spans="9:13" x14ac:dyDescent="0.3">
      <c r="I3950" s="7"/>
      <c r="J3950" s="9"/>
      <c r="K3950" s="9"/>
      <c r="L3950" s="9"/>
      <c r="M3950" s="9"/>
    </row>
    <row r="3951" spans="9:13" x14ac:dyDescent="0.3">
      <c r="I3951" s="7"/>
      <c r="J3951" s="9"/>
      <c r="K3951" s="9"/>
      <c r="L3951" s="9"/>
      <c r="M3951" s="9"/>
    </row>
    <row r="3952" spans="9:13" x14ac:dyDescent="0.3">
      <c r="I3952" s="7"/>
      <c r="J3952" s="9"/>
      <c r="K3952" s="9"/>
      <c r="L3952" s="9"/>
      <c r="M3952" s="9"/>
    </row>
    <row r="3953" spans="9:13" x14ac:dyDescent="0.3">
      <c r="I3953" s="7"/>
      <c r="J3953" s="9"/>
      <c r="K3953" s="9"/>
      <c r="L3953" s="9"/>
      <c r="M3953" s="9"/>
    </row>
    <row r="3954" spans="9:13" x14ac:dyDescent="0.3">
      <c r="I3954" s="7"/>
      <c r="J3954" s="9"/>
      <c r="K3954" s="9"/>
      <c r="L3954" s="9"/>
      <c r="M3954" s="9"/>
    </row>
    <row r="3955" spans="9:13" x14ac:dyDescent="0.3">
      <c r="I3955" s="7"/>
      <c r="J3955" s="9"/>
      <c r="K3955" s="9"/>
      <c r="L3955" s="9"/>
      <c r="M3955" s="9"/>
    </row>
    <row r="3956" spans="9:13" x14ac:dyDescent="0.3">
      <c r="I3956" s="7"/>
      <c r="J3956" s="9"/>
      <c r="K3956" s="9"/>
      <c r="L3956" s="9"/>
      <c r="M3956" s="9"/>
    </row>
    <row r="3957" spans="9:13" x14ac:dyDescent="0.3">
      <c r="I3957" s="7"/>
      <c r="J3957" s="9"/>
      <c r="K3957" s="9"/>
      <c r="L3957" s="9"/>
      <c r="M3957" s="9"/>
    </row>
    <row r="3958" spans="9:13" x14ac:dyDescent="0.3">
      <c r="I3958" s="7"/>
      <c r="J3958" s="9"/>
      <c r="K3958" s="9"/>
      <c r="L3958" s="9"/>
      <c r="M3958" s="9"/>
    </row>
    <row r="3959" spans="9:13" x14ac:dyDescent="0.3">
      <c r="I3959" s="7"/>
      <c r="J3959" s="9"/>
      <c r="K3959" s="9"/>
      <c r="L3959" s="9"/>
      <c r="M3959" s="9"/>
    </row>
    <row r="3960" spans="9:13" x14ac:dyDescent="0.3">
      <c r="I3960" s="7"/>
      <c r="J3960" s="9"/>
      <c r="K3960" s="9"/>
      <c r="L3960" s="9"/>
      <c r="M3960" s="9"/>
    </row>
    <row r="3961" spans="9:13" x14ac:dyDescent="0.3">
      <c r="I3961" s="7"/>
      <c r="J3961" s="9"/>
      <c r="K3961" s="9"/>
      <c r="L3961" s="9"/>
      <c r="M3961" s="9"/>
    </row>
    <row r="3962" spans="9:13" x14ac:dyDescent="0.3">
      <c r="I3962" s="7"/>
      <c r="J3962" s="9"/>
      <c r="K3962" s="9"/>
      <c r="L3962" s="9"/>
      <c r="M3962" s="9"/>
    </row>
    <row r="3963" spans="9:13" x14ac:dyDescent="0.3">
      <c r="I3963" s="7"/>
      <c r="J3963" s="9"/>
      <c r="K3963" s="9"/>
      <c r="L3963" s="9"/>
      <c r="M3963" s="9"/>
    </row>
    <row r="3964" spans="9:13" x14ac:dyDescent="0.3">
      <c r="I3964" s="7"/>
      <c r="J3964" s="9"/>
      <c r="K3964" s="9"/>
      <c r="L3964" s="9"/>
      <c r="M3964" s="9"/>
    </row>
    <row r="3965" spans="9:13" x14ac:dyDescent="0.3">
      <c r="I3965" s="7"/>
      <c r="J3965" s="9"/>
      <c r="K3965" s="9"/>
      <c r="L3965" s="9"/>
      <c r="M3965" s="9"/>
    </row>
    <row r="3966" spans="9:13" x14ac:dyDescent="0.3">
      <c r="I3966" s="7"/>
      <c r="J3966" s="9"/>
      <c r="K3966" s="9"/>
      <c r="L3966" s="9"/>
      <c r="M3966" s="9"/>
    </row>
    <row r="3967" spans="9:13" x14ac:dyDescent="0.3">
      <c r="I3967" s="7"/>
      <c r="J3967" s="9"/>
      <c r="K3967" s="9"/>
      <c r="L3967" s="9"/>
      <c r="M3967" s="9"/>
    </row>
    <row r="3968" spans="9:13" x14ac:dyDescent="0.3">
      <c r="I3968" s="7"/>
      <c r="J3968" s="9"/>
      <c r="K3968" s="9"/>
      <c r="L3968" s="9"/>
      <c r="M3968" s="9"/>
    </row>
    <row r="3969" spans="9:13" x14ac:dyDescent="0.3">
      <c r="I3969" s="7"/>
      <c r="J3969" s="9"/>
      <c r="K3969" s="9"/>
      <c r="L3969" s="9"/>
      <c r="M3969" s="9"/>
    </row>
    <row r="3970" spans="9:13" x14ac:dyDescent="0.3">
      <c r="I3970" s="7"/>
      <c r="J3970" s="9"/>
      <c r="K3970" s="9"/>
      <c r="L3970" s="9"/>
      <c r="M3970" s="9"/>
    </row>
    <row r="3971" spans="9:13" x14ac:dyDescent="0.3">
      <c r="I3971" s="7"/>
      <c r="J3971" s="9"/>
      <c r="K3971" s="9"/>
      <c r="L3971" s="9"/>
      <c r="M3971" s="9"/>
    </row>
    <row r="3972" spans="9:13" x14ac:dyDescent="0.3">
      <c r="I3972" s="7"/>
      <c r="J3972" s="9"/>
      <c r="K3972" s="9"/>
      <c r="L3972" s="9"/>
      <c r="M3972" s="9"/>
    </row>
    <row r="3973" spans="9:13" x14ac:dyDescent="0.3">
      <c r="I3973" s="7"/>
      <c r="J3973" s="9"/>
      <c r="K3973" s="9"/>
      <c r="L3973" s="9"/>
      <c r="M3973" s="9"/>
    </row>
    <row r="3974" spans="9:13" x14ac:dyDescent="0.3">
      <c r="I3974" s="7"/>
      <c r="J3974" s="9"/>
      <c r="K3974" s="9"/>
      <c r="L3974" s="9"/>
      <c r="M3974" s="9"/>
    </row>
    <row r="3975" spans="9:13" x14ac:dyDescent="0.3">
      <c r="I3975" s="7"/>
      <c r="J3975" s="9"/>
      <c r="K3975" s="9"/>
      <c r="L3975" s="9"/>
      <c r="M3975" s="9"/>
    </row>
    <row r="3976" spans="9:13" x14ac:dyDescent="0.3">
      <c r="I3976" s="7"/>
      <c r="J3976" s="9"/>
      <c r="K3976" s="9"/>
      <c r="L3976" s="9"/>
      <c r="M3976" s="9"/>
    </row>
    <row r="3977" spans="9:13" x14ac:dyDescent="0.3">
      <c r="I3977" s="7"/>
      <c r="J3977" s="9"/>
      <c r="K3977" s="9"/>
      <c r="L3977" s="9"/>
      <c r="M3977" s="9"/>
    </row>
    <row r="3978" spans="9:13" x14ac:dyDescent="0.3">
      <c r="I3978" s="7"/>
      <c r="J3978" s="9"/>
      <c r="K3978" s="9"/>
      <c r="L3978" s="9"/>
      <c r="M3978" s="9"/>
    </row>
    <row r="3979" spans="9:13" x14ac:dyDescent="0.3">
      <c r="I3979" s="7"/>
      <c r="J3979" s="9"/>
      <c r="K3979" s="9"/>
      <c r="L3979" s="9"/>
      <c r="M3979" s="9"/>
    </row>
    <row r="3980" spans="9:13" x14ac:dyDescent="0.3">
      <c r="I3980" s="7"/>
      <c r="J3980" s="9"/>
      <c r="K3980" s="9"/>
      <c r="L3980" s="9"/>
      <c r="M3980" s="9"/>
    </row>
    <row r="3981" spans="9:13" x14ac:dyDescent="0.3">
      <c r="I3981" s="7"/>
      <c r="J3981" s="9"/>
      <c r="K3981" s="9"/>
      <c r="L3981" s="9"/>
      <c r="M3981" s="9"/>
    </row>
    <row r="3982" spans="9:13" x14ac:dyDescent="0.3">
      <c r="I3982" s="7"/>
      <c r="J3982" s="9"/>
      <c r="K3982" s="9"/>
      <c r="L3982" s="9"/>
      <c r="M3982" s="9"/>
    </row>
    <row r="3983" spans="9:13" x14ac:dyDescent="0.3">
      <c r="I3983" s="7"/>
      <c r="J3983" s="9"/>
      <c r="K3983" s="9"/>
      <c r="L3983" s="9"/>
      <c r="M3983" s="9"/>
    </row>
    <row r="3984" spans="9:13" x14ac:dyDescent="0.3">
      <c r="I3984" s="7"/>
      <c r="J3984" s="9"/>
      <c r="K3984" s="9"/>
      <c r="L3984" s="9"/>
      <c r="M3984" s="9"/>
    </row>
    <row r="3985" spans="9:13" x14ac:dyDescent="0.3">
      <c r="I3985" s="7"/>
      <c r="J3985" s="9"/>
      <c r="K3985" s="9"/>
      <c r="L3985" s="9"/>
      <c r="M3985" s="9"/>
    </row>
    <row r="3986" spans="9:13" x14ac:dyDescent="0.3">
      <c r="I3986" s="7"/>
      <c r="J3986" s="9"/>
      <c r="K3986" s="9"/>
      <c r="L3986" s="9"/>
      <c r="M3986" s="9"/>
    </row>
    <row r="3987" spans="9:13" x14ac:dyDescent="0.3">
      <c r="I3987" s="7"/>
      <c r="J3987" s="9"/>
      <c r="K3987" s="9"/>
      <c r="L3987" s="9"/>
      <c r="M3987" s="9"/>
    </row>
    <row r="3988" spans="9:13" x14ac:dyDescent="0.3">
      <c r="I3988" s="7"/>
      <c r="J3988" s="9"/>
      <c r="K3988" s="9"/>
      <c r="L3988" s="9"/>
      <c r="M3988" s="9"/>
    </row>
    <row r="3989" spans="9:13" x14ac:dyDescent="0.3">
      <c r="I3989" s="7"/>
      <c r="J3989" s="9"/>
      <c r="K3989" s="9"/>
      <c r="L3989" s="9"/>
      <c r="M3989" s="9"/>
    </row>
    <row r="3990" spans="9:13" x14ac:dyDescent="0.3">
      <c r="I3990" s="7"/>
      <c r="J3990" s="9"/>
      <c r="K3990" s="9"/>
      <c r="L3990" s="9"/>
      <c r="M3990" s="9"/>
    </row>
    <row r="3991" spans="9:13" x14ac:dyDescent="0.3">
      <c r="I3991" s="7"/>
      <c r="J3991" s="9"/>
      <c r="K3991" s="9"/>
      <c r="L3991" s="9"/>
      <c r="M3991" s="9"/>
    </row>
    <row r="3992" spans="9:13" x14ac:dyDescent="0.3">
      <c r="I3992" s="7"/>
      <c r="J3992" s="9"/>
      <c r="K3992" s="9"/>
      <c r="L3992" s="9"/>
      <c r="M3992" s="9"/>
    </row>
    <row r="3993" spans="9:13" x14ac:dyDescent="0.3">
      <c r="I3993" s="7"/>
      <c r="J3993" s="9"/>
      <c r="K3993" s="9"/>
      <c r="L3993" s="9"/>
      <c r="M3993" s="9"/>
    </row>
    <row r="3994" spans="9:13" x14ac:dyDescent="0.3">
      <c r="I3994" s="7"/>
      <c r="J3994" s="9"/>
      <c r="K3994" s="9"/>
      <c r="L3994" s="9"/>
      <c r="M3994" s="9"/>
    </row>
    <row r="3995" spans="9:13" x14ac:dyDescent="0.3">
      <c r="I3995" s="7"/>
      <c r="J3995" s="9"/>
      <c r="K3995" s="9"/>
      <c r="L3995" s="9"/>
      <c r="M3995" s="9"/>
    </row>
    <row r="3996" spans="9:13" x14ac:dyDescent="0.3">
      <c r="I3996" s="7"/>
      <c r="J3996" s="9"/>
      <c r="K3996" s="9"/>
      <c r="L3996" s="9"/>
      <c r="M3996" s="9"/>
    </row>
    <row r="3997" spans="9:13" x14ac:dyDescent="0.3">
      <c r="I3997" s="7"/>
      <c r="J3997" s="9"/>
      <c r="K3997" s="9"/>
      <c r="L3997" s="9"/>
      <c r="M3997" s="9"/>
    </row>
    <row r="3998" spans="9:13" x14ac:dyDescent="0.3">
      <c r="I3998" s="7"/>
      <c r="J3998" s="9"/>
      <c r="K3998" s="9"/>
      <c r="L3998" s="9"/>
      <c r="M3998" s="9"/>
    </row>
    <row r="3999" spans="9:13" x14ac:dyDescent="0.3">
      <c r="I3999" s="7"/>
      <c r="J3999" s="9"/>
      <c r="K3999" s="9"/>
      <c r="L3999" s="9"/>
      <c r="M3999" s="9"/>
    </row>
    <row r="4000" spans="9:13" x14ac:dyDescent="0.3">
      <c r="I4000" s="7"/>
      <c r="J4000" s="9"/>
      <c r="K4000" s="9"/>
      <c r="L4000" s="9"/>
      <c r="M4000" s="9"/>
    </row>
    <row r="4001" spans="9:13" x14ac:dyDescent="0.3">
      <c r="I4001" s="7"/>
      <c r="J4001" s="9"/>
      <c r="K4001" s="9"/>
      <c r="L4001" s="9"/>
      <c r="M4001" s="9"/>
    </row>
    <row r="4002" spans="9:13" x14ac:dyDescent="0.3">
      <c r="I4002" s="7"/>
      <c r="J4002" s="9"/>
      <c r="K4002" s="9"/>
      <c r="L4002" s="9"/>
      <c r="M4002" s="9"/>
    </row>
    <row r="4003" spans="9:13" x14ac:dyDescent="0.3">
      <c r="I4003" s="7"/>
      <c r="J4003" s="9"/>
      <c r="K4003" s="9"/>
      <c r="L4003" s="9"/>
      <c r="M4003" s="9"/>
    </row>
    <row r="4004" spans="9:13" x14ac:dyDescent="0.3">
      <c r="I4004" s="7"/>
      <c r="J4004" s="9"/>
      <c r="K4004" s="9"/>
      <c r="L4004" s="9"/>
      <c r="M4004" s="9"/>
    </row>
    <row r="4005" spans="9:13" x14ac:dyDescent="0.3">
      <c r="I4005" s="7"/>
      <c r="J4005" s="9"/>
      <c r="K4005" s="9"/>
      <c r="L4005" s="9"/>
      <c r="M4005" s="9"/>
    </row>
    <row r="4006" spans="9:13" x14ac:dyDescent="0.3">
      <c r="I4006" s="7"/>
      <c r="J4006" s="9"/>
      <c r="K4006" s="9"/>
      <c r="L4006" s="9"/>
      <c r="M4006" s="9"/>
    </row>
    <row r="4007" spans="9:13" x14ac:dyDescent="0.3">
      <c r="I4007" s="7"/>
      <c r="J4007" s="9"/>
      <c r="K4007" s="9"/>
      <c r="L4007" s="9"/>
      <c r="M4007" s="9"/>
    </row>
    <row r="4008" spans="9:13" x14ac:dyDescent="0.3">
      <c r="I4008" s="7"/>
      <c r="J4008" s="9"/>
      <c r="K4008" s="9"/>
      <c r="L4008" s="9"/>
      <c r="M4008" s="9"/>
    </row>
    <row r="4009" spans="9:13" x14ac:dyDescent="0.3">
      <c r="I4009" s="7"/>
      <c r="J4009" s="9"/>
      <c r="K4009" s="9"/>
      <c r="L4009" s="9"/>
      <c r="M4009" s="9"/>
    </row>
    <row r="4010" spans="9:13" x14ac:dyDescent="0.3">
      <c r="I4010" s="7"/>
      <c r="J4010" s="9"/>
      <c r="K4010" s="9"/>
      <c r="L4010" s="9"/>
      <c r="M4010" s="9"/>
    </row>
    <row r="4011" spans="9:13" x14ac:dyDescent="0.3">
      <c r="I4011" s="7"/>
      <c r="J4011" s="9"/>
      <c r="K4011" s="9"/>
      <c r="L4011" s="9"/>
      <c r="M4011" s="9"/>
    </row>
    <row r="4012" spans="9:13" x14ac:dyDescent="0.3">
      <c r="I4012" s="7"/>
      <c r="J4012" s="9"/>
      <c r="K4012" s="9"/>
      <c r="L4012" s="9"/>
      <c r="M4012" s="9"/>
    </row>
    <row r="4013" spans="9:13" x14ac:dyDescent="0.3">
      <c r="I4013" s="7"/>
      <c r="J4013" s="9"/>
      <c r="K4013" s="9"/>
      <c r="L4013" s="9"/>
      <c r="M4013" s="9"/>
    </row>
    <row r="4014" spans="9:13" x14ac:dyDescent="0.3">
      <c r="I4014" s="7"/>
      <c r="J4014" s="9"/>
      <c r="K4014" s="9"/>
      <c r="L4014" s="9"/>
      <c r="M4014" s="9"/>
    </row>
    <row r="4015" spans="9:13" x14ac:dyDescent="0.3">
      <c r="I4015" s="7"/>
      <c r="J4015" s="9"/>
      <c r="K4015" s="9"/>
      <c r="L4015" s="9"/>
      <c r="M4015" s="9"/>
    </row>
    <row r="4016" spans="9:13" x14ac:dyDescent="0.3">
      <c r="I4016" s="7"/>
      <c r="J4016" s="9"/>
      <c r="K4016" s="9"/>
      <c r="L4016" s="9"/>
      <c r="M4016" s="9"/>
    </row>
    <row r="4017" spans="9:13" x14ac:dyDescent="0.3">
      <c r="I4017" s="7"/>
      <c r="J4017" s="9"/>
      <c r="K4017" s="9"/>
      <c r="L4017" s="9"/>
      <c r="M4017" s="9"/>
    </row>
    <row r="4018" spans="9:13" x14ac:dyDescent="0.3">
      <c r="I4018" s="7"/>
      <c r="J4018" s="9"/>
      <c r="K4018" s="9"/>
      <c r="L4018" s="9"/>
      <c r="M4018" s="9"/>
    </row>
    <row r="4019" spans="9:13" x14ac:dyDescent="0.3">
      <c r="I4019" s="7"/>
      <c r="J4019" s="9"/>
      <c r="K4019" s="9"/>
      <c r="L4019" s="9"/>
      <c r="M4019" s="9"/>
    </row>
    <row r="4020" spans="9:13" x14ac:dyDescent="0.3">
      <c r="I4020" s="7"/>
      <c r="J4020" s="9"/>
      <c r="K4020" s="9"/>
      <c r="L4020" s="9"/>
      <c r="M4020" s="9"/>
    </row>
    <row r="4021" spans="9:13" x14ac:dyDescent="0.3">
      <c r="I4021" s="7"/>
      <c r="J4021" s="9"/>
      <c r="K4021" s="9"/>
      <c r="L4021" s="9"/>
      <c r="M4021" s="9"/>
    </row>
    <row r="4022" spans="9:13" x14ac:dyDescent="0.3">
      <c r="I4022" s="7"/>
      <c r="J4022" s="9"/>
      <c r="K4022" s="9"/>
      <c r="L4022" s="9"/>
      <c r="M4022" s="9"/>
    </row>
    <row r="4023" spans="9:13" x14ac:dyDescent="0.3">
      <c r="I4023" s="7"/>
      <c r="J4023" s="9"/>
      <c r="K4023" s="9"/>
      <c r="L4023" s="9"/>
      <c r="M4023" s="9"/>
    </row>
    <row r="4024" spans="9:13" x14ac:dyDescent="0.3">
      <c r="I4024" s="7"/>
      <c r="J4024" s="9"/>
      <c r="K4024" s="9"/>
      <c r="L4024" s="9"/>
      <c r="M4024" s="9"/>
    </row>
    <row r="4025" spans="9:13" x14ac:dyDescent="0.3">
      <c r="I4025" s="7"/>
      <c r="J4025" s="9"/>
      <c r="K4025" s="9"/>
      <c r="L4025" s="9"/>
      <c r="M4025" s="9"/>
    </row>
    <row r="4026" spans="9:13" x14ac:dyDescent="0.3">
      <c r="I4026" s="7"/>
      <c r="J4026" s="9"/>
      <c r="K4026" s="9"/>
      <c r="L4026" s="9"/>
      <c r="M4026" s="9"/>
    </row>
    <row r="4027" spans="9:13" x14ac:dyDescent="0.3">
      <c r="I4027" s="7"/>
      <c r="J4027" s="9"/>
      <c r="K4027" s="9"/>
      <c r="L4027" s="9"/>
      <c r="M4027" s="9"/>
    </row>
    <row r="4028" spans="9:13" x14ac:dyDescent="0.3">
      <c r="I4028" s="7"/>
      <c r="J4028" s="9"/>
      <c r="K4028" s="9"/>
      <c r="L4028" s="9"/>
      <c r="M4028" s="9"/>
    </row>
    <row r="4029" spans="9:13" x14ac:dyDescent="0.3">
      <c r="I4029" s="7"/>
      <c r="J4029" s="9"/>
      <c r="K4029" s="9"/>
      <c r="L4029" s="9"/>
      <c r="M4029" s="9"/>
    </row>
    <row r="4030" spans="9:13" x14ac:dyDescent="0.3">
      <c r="I4030" s="7"/>
      <c r="J4030" s="9"/>
      <c r="K4030" s="9"/>
      <c r="L4030" s="9"/>
      <c r="M4030" s="9"/>
    </row>
    <row r="4031" spans="9:13" x14ac:dyDescent="0.3">
      <c r="I4031" s="7"/>
      <c r="J4031" s="9"/>
      <c r="K4031" s="9"/>
      <c r="L4031" s="9"/>
      <c r="M4031" s="9"/>
    </row>
    <row r="4032" spans="9:13" x14ac:dyDescent="0.3">
      <c r="I4032" s="7"/>
      <c r="J4032" s="9"/>
      <c r="K4032" s="9"/>
      <c r="L4032" s="9"/>
      <c r="M4032" s="9"/>
    </row>
    <row r="4033" spans="9:13" x14ac:dyDescent="0.3">
      <c r="I4033" s="7"/>
      <c r="J4033" s="9"/>
      <c r="K4033" s="9"/>
      <c r="L4033" s="9"/>
      <c r="M4033" s="9"/>
    </row>
    <row r="4034" spans="9:13" x14ac:dyDescent="0.3">
      <c r="I4034" s="7"/>
      <c r="J4034" s="9"/>
      <c r="K4034" s="9"/>
      <c r="L4034" s="9"/>
      <c r="M4034" s="9"/>
    </row>
    <row r="4035" spans="9:13" x14ac:dyDescent="0.3">
      <c r="I4035" s="7"/>
      <c r="J4035" s="9"/>
      <c r="K4035" s="9"/>
      <c r="L4035" s="9"/>
      <c r="M4035" s="9"/>
    </row>
    <row r="4036" spans="9:13" x14ac:dyDescent="0.3">
      <c r="I4036" s="7"/>
      <c r="J4036" s="9"/>
      <c r="K4036" s="9"/>
      <c r="L4036" s="9"/>
      <c r="M4036" s="9"/>
    </row>
    <row r="4037" spans="9:13" x14ac:dyDescent="0.3">
      <c r="I4037" s="7"/>
      <c r="J4037" s="9"/>
      <c r="K4037" s="9"/>
      <c r="L4037" s="9"/>
      <c r="M4037" s="9"/>
    </row>
    <row r="4038" spans="9:13" x14ac:dyDescent="0.3">
      <c r="I4038" s="7"/>
      <c r="J4038" s="9"/>
      <c r="K4038" s="9"/>
      <c r="L4038" s="9"/>
      <c r="M4038" s="9"/>
    </row>
    <row r="4039" spans="9:13" x14ac:dyDescent="0.3">
      <c r="I4039" s="7"/>
      <c r="J4039" s="9"/>
      <c r="K4039" s="9"/>
      <c r="L4039" s="9"/>
      <c r="M4039" s="9"/>
    </row>
    <row r="4040" spans="9:13" x14ac:dyDescent="0.3">
      <c r="I4040" s="7"/>
      <c r="J4040" s="9"/>
      <c r="K4040" s="9"/>
      <c r="L4040" s="9"/>
      <c r="M4040" s="9"/>
    </row>
    <row r="4041" spans="9:13" x14ac:dyDescent="0.3">
      <c r="I4041" s="7"/>
      <c r="J4041" s="9"/>
      <c r="K4041" s="9"/>
      <c r="L4041" s="9"/>
      <c r="M4041" s="9"/>
    </row>
    <row r="4042" spans="9:13" x14ac:dyDescent="0.3">
      <c r="I4042" s="7"/>
      <c r="J4042" s="9"/>
      <c r="K4042" s="9"/>
      <c r="L4042" s="9"/>
      <c r="M4042" s="9"/>
    </row>
    <row r="4043" spans="9:13" x14ac:dyDescent="0.3">
      <c r="I4043" s="7"/>
      <c r="J4043" s="9"/>
      <c r="K4043" s="9"/>
      <c r="L4043" s="9"/>
      <c r="M4043" s="9"/>
    </row>
    <row r="4044" spans="9:13" x14ac:dyDescent="0.3">
      <c r="I4044" s="7"/>
      <c r="J4044" s="9"/>
      <c r="K4044" s="9"/>
      <c r="L4044" s="9"/>
      <c r="M4044" s="9"/>
    </row>
    <row r="4045" spans="9:13" x14ac:dyDescent="0.3">
      <c r="I4045" s="7"/>
      <c r="J4045" s="9"/>
      <c r="K4045" s="9"/>
      <c r="L4045" s="9"/>
      <c r="M4045" s="9"/>
    </row>
    <row r="4046" spans="9:13" x14ac:dyDescent="0.3">
      <c r="I4046" s="7"/>
      <c r="J4046" s="9"/>
      <c r="K4046" s="9"/>
      <c r="L4046" s="9"/>
      <c r="M4046" s="9"/>
    </row>
    <row r="4047" spans="9:13" x14ac:dyDescent="0.3">
      <c r="I4047" s="7"/>
      <c r="J4047" s="9"/>
      <c r="K4047" s="9"/>
      <c r="L4047" s="9"/>
      <c r="M4047" s="9"/>
    </row>
    <row r="4048" spans="9:13" x14ac:dyDescent="0.3">
      <c r="I4048" s="7"/>
      <c r="J4048" s="9"/>
      <c r="K4048" s="9"/>
      <c r="L4048" s="9"/>
      <c r="M4048" s="9"/>
    </row>
    <row r="4049" spans="9:13" x14ac:dyDescent="0.3">
      <c r="I4049" s="7"/>
      <c r="J4049" s="9"/>
      <c r="K4049" s="9"/>
      <c r="L4049" s="9"/>
      <c r="M4049" s="9"/>
    </row>
    <row r="4050" spans="9:13" x14ac:dyDescent="0.3">
      <c r="I4050" s="7"/>
      <c r="J4050" s="9"/>
      <c r="K4050" s="9"/>
      <c r="L4050" s="9"/>
      <c r="M4050" s="9"/>
    </row>
    <row r="4051" spans="9:13" x14ac:dyDescent="0.3">
      <c r="I4051" s="7"/>
      <c r="J4051" s="9"/>
      <c r="K4051" s="9"/>
      <c r="L4051" s="9"/>
      <c r="M4051" s="9"/>
    </row>
    <row r="4052" spans="9:13" x14ac:dyDescent="0.3">
      <c r="I4052" s="7"/>
      <c r="J4052" s="9"/>
      <c r="K4052" s="9"/>
      <c r="L4052" s="9"/>
      <c r="M4052" s="9"/>
    </row>
    <row r="4053" spans="9:13" x14ac:dyDescent="0.3">
      <c r="I4053" s="7"/>
      <c r="J4053" s="9"/>
      <c r="K4053" s="9"/>
      <c r="L4053" s="9"/>
      <c r="M4053" s="9"/>
    </row>
    <row r="4054" spans="9:13" x14ac:dyDescent="0.3">
      <c r="I4054" s="7"/>
      <c r="J4054" s="9"/>
      <c r="K4054" s="9"/>
      <c r="L4054" s="9"/>
      <c r="M4054" s="9"/>
    </row>
    <row r="4055" spans="9:13" x14ac:dyDescent="0.3">
      <c r="I4055" s="7"/>
      <c r="J4055" s="9"/>
      <c r="K4055" s="9"/>
      <c r="L4055" s="9"/>
      <c r="M4055" s="9"/>
    </row>
    <row r="4056" spans="9:13" x14ac:dyDescent="0.3">
      <c r="I4056" s="7"/>
      <c r="J4056" s="9"/>
      <c r="K4056" s="9"/>
      <c r="L4056" s="9"/>
      <c r="M4056" s="9"/>
    </row>
    <row r="4057" spans="9:13" x14ac:dyDescent="0.3">
      <c r="I4057" s="7"/>
      <c r="J4057" s="9"/>
      <c r="K4057" s="9"/>
      <c r="L4057" s="9"/>
      <c r="M4057" s="9"/>
    </row>
    <row r="4058" spans="9:13" x14ac:dyDescent="0.3">
      <c r="I4058" s="7"/>
      <c r="J4058" s="9"/>
      <c r="K4058" s="9"/>
      <c r="L4058" s="9"/>
      <c r="M4058" s="9"/>
    </row>
    <row r="4059" spans="9:13" x14ac:dyDescent="0.3">
      <c r="I4059" s="7"/>
      <c r="J4059" s="9"/>
      <c r="K4059" s="9"/>
      <c r="L4059" s="9"/>
      <c r="M4059" s="9"/>
    </row>
    <row r="4060" spans="9:13" x14ac:dyDescent="0.3">
      <c r="I4060" s="7"/>
      <c r="J4060" s="9"/>
      <c r="K4060" s="9"/>
      <c r="L4060" s="9"/>
      <c r="M4060" s="9"/>
    </row>
    <row r="4061" spans="9:13" x14ac:dyDescent="0.3">
      <c r="I4061" s="7"/>
      <c r="J4061" s="9"/>
      <c r="K4061" s="9"/>
      <c r="L4061" s="9"/>
      <c r="M4061" s="9"/>
    </row>
    <row r="4062" spans="9:13" x14ac:dyDescent="0.3">
      <c r="I4062" s="7"/>
      <c r="J4062" s="9"/>
      <c r="K4062" s="9"/>
      <c r="L4062" s="9"/>
      <c r="M4062" s="9"/>
    </row>
    <row r="4063" spans="9:13" x14ac:dyDescent="0.3">
      <c r="I4063" s="7"/>
      <c r="J4063" s="9"/>
      <c r="K4063" s="9"/>
      <c r="L4063" s="9"/>
      <c r="M4063" s="9"/>
    </row>
    <row r="4064" spans="9:13" x14ac:dyDescent="0.3">
      <c r="I4064" s="7"/>
      <c r="J4064" s="9"/>
      <c r="K4064" s="9"/>
      <c r="L4064" s="9"/>
      <c r="M4064" s="9"/>
    </row>
    <row r="4065" spans="9:13" x14ac:dyDescent="0.3">
      <c r="I4065" s="7"/>
      <c r="J4065" s="9"/>
      <c r="K4065" s="9"/>
      <c r="L4065" s="9"/>
      <c r="M4065" s="9"/>
    </row>
    <row r="4066" spans="9:13" x14ac:dyDescent="0.3">
      <c r="I4066" s="7"/>
      <c r="J4066" s="9"/>
      <c r="K4066" s="9"/>
      <c r="L4066" s="9"/>
      <c r="M4066" s="9"/>
    </row>
    <row r="4067" spans="9:13" x14ac:dyDescent="0.3">
      <c r="I4067" s="7"/>
      <c r="J4067" s="9"/>
      <c r="K4067" s="9"/>
      <c r="L4067" s="9"/>
      <c r="M4067" s="9"/>
    </row>
    <row r="4068" spans="9:13" x14ac:dyDescent="0.3">
      <c r="I4068" s="7"/>
      <c r="J4068" s="9"/>
      <c r="K4068" s="9"/>
      <c r="L4068" s="9"/>
      <c r="M4068" s="9"/>
    </row>
    <row r="4069" spans="9:13" x14ac:dyDescent="0.3">
      <c r="I4069" s="7"/>
      <c r="J4069" s="9"/>
      <c r="K4069" s="9"/>
      <c r="L4069" s="9"/>
      <c r="M4069" s="9"/>
    </row>
    <row r="4070" spans="9:13" x14ac:dyDescent="0.3">
      <c r="I4070" s="7"/>
      <c r="J4070" s="9"/>
      <c r="K4070" s="9"/>
      <c r="L4070" s="9"/>
      <c r="M4070" s="9"/>
    </row>
    <row r="4071" spans="9:13" x14ac:dyDescent="0.3">
      <c r="I4071" s="7"/>
      <c r="J4071" s="9"/>
      <c r="K4071" s="9"/>
      <c r="L4071" s="9"/>
      <c r="M4071" s="9"/>
    </row>
    <row r="4072" spans="9:13" x14ac:dyDescent="0.3">
      <c r="I4072" s="7"/>
      <c r="J4072" s="9"/>
      <c r="K4072" s="9"/>
      <c r="L4072" s="9"/>
      <c r="M4072" s="9"/>
    </row>
    <row r="4073" spans="9:13" x14ac:dyDescent="0.3">
      <c r="I4073" s="7"/>
      <c r="J4073" s="9"/>
      <c r="K4073" s="9"/>
      <c r="L4073" s="9"/>
      <c r="M4073" s="9"/>
    </row>
    <row r="4074" spans="9:13" x14ac:dyDescent="0.3">
      <c r="I4074" s="7"/>
      <c r="J4074" s="9"/>
      <c r="K4074" s="9"/>
      <c r="L4074" s="9"/>
      <c r="M4074" s="9"/>
    </row>
    <row r="4075" spans="9:13" x14ac:dyDescent="0.3">
      <c r="I4075" s="7"/>
      <c r="J4075" s="9"/>
      <c r="K4075" s="9"/>
      <c r="L4075" s="9"/>
      <c r="M4075" s="9"/>
    </row>
    <row r="4076" spans="9:13" x14ac:dyDescent="0.3">
      <c r="I4076" s="7"/>
      <c r="J4076" s="9"/>
      <c r="K4076" s="9"/>
      <c r="L4076" s="9"/>
      <c r="M4076" s="9"/>
    </row>
    <row r="4077" spans="9:13" x14ac:dyDescent="0.3">
      <c r="I4077" s="7"/>
      <c r="J4077" s="9"/>
      <c r="K4077" s="9"/>
      <c r="L4077" s="9"/>
      <c r="M4077" s="9"/>
    </row>
    <row r="4078" spans="9:13" x14ac:dyDescent="0.3">
      <c r="I4078" s="7"/>
      <c r="J4078" s="9"/>
      <c r="K4078" s="9"/>
      <c r="L4078" s="9"/>
      <c r="M4078" s="9"/>
    </row>
    <row r="4079" spans="9:13" x14ac:dyDescent="0.3">
      <c r="I4079" s="7"/>
      <c r="J4079" s="9"/>
      <c r="K4079" s="9"/>
      <c r="L4079" s="9"/>
      <c r="M4079" s="9"/>
    </row>
    <row r="4080" spans="9:13" x14ac:dyDescent="0.3">
      <c r="I4080" s="7"/>
      <c r="J4080" s="9"/>
      <c r="K4080" s="9"/>
      <c r="L4080" s="9"/>
      <c r="M4080" s="9"/>
    </row>
    <row r="4081" spans="9:13" x14ac:dyDescent="0.3">
      <c r="I4081" s="7"/>
      <c r="J4081" s="9"/>
      <c r="K4081" s="9"/>
      <c r="L4081" s="9"/>
      <c r="M4081" s="9"/>
    </row>
    <row r="4082" spans="9:13" x14ac:dyDescent="0.3">
      <c r="I4082" s="7"/>
      <c r="J4082" s="9"/>
      <c r="K4082" s="9"/>
      <c r="L4082" s="9"/>
      <c r="M4082" s="9"/>
    </row>
    <row r="4083" spans="9:13" x14ac:dyDescent="0.3">
      <c r="I4083" s="7"/>
      <c r="J4083" s="9"/>
      <c r="K4083" s="9"/>
      <c r="L4083" s="9"/>
      <c r="M4083" s="9"/>
    </row>
    <row r="4084" spans="9:13" x14ac:dyDescent="0.3">
      <c r="I4084" s="7"/>
      <c r="J4084" s="9"/>
      <c r="K4084" s="9"/>
      <c r="L4084" s="9"/>
      <c r="M4084" s="9"/>
    </row>
    <row r="4085" spans="9:13" x14ac:dyDescent="0.3">
      <c r="I4085" s="7"/>
      <c r="J4085" s="9"/>
      <c r="K4085" s="9"/>
      <c r="L4085" s="9"/>
      <c r="M4085" s="9"/>
    </row>
    <row r="4086" spans="9:13" x14ac:dyDescent="0.3">
      <c r="I4086" s="7"/>
      <c r="J4086" s="9"/>
      <c r="K4086" s="9"/>
      <c r="L4086" s="9"/>
      <c r="M4086" s="9"/>
    </row>
    <row r="4087" spans="9:13" x14ac:dyDescent="0.3">
      <c r="I4087" s="7"/>
      <c r="J4087" s="9"/>
      <c r="K4087" s="9"/>
      <c r="L4087" s="9"/>
      <c r="M4087" s="9"/>
    </row>
    <row r="4088" spans="9:13" x14ac:dyDescent="0.3">
      <c r="I4088" s="7"/>
      <c r="J4088" s="9"/>
      <c r="K4088" s="9"/>
      <c r="L4088" s="9"/>
      <c r="M4088" s="9"/>
    </row>
    <row r="4089" spans="9:13" x14ac:dyDescent="0.3">
      <c r="I4089" s="7"/>
      <c r="J4089" s="9"/>
      <c r="K4089" s="9"/>
      <c r="L4089" s="9"/>
      <c r="M4089" s="9"/>
    </row>
    <row r="4090" spans="9:13" x14ac:dyDescent="0.3">
      <c r="I4090" s="7"/>
      <c r="J4090" s="9"/>
      <c r="K4090" s="9"/>
      <c r="L4090" s="9"/>
      <c r="M4090" s="9"/>
    </row>
    <row r="4091" spans="9:13" x14ac:dyDescent="0.3">
      <c r="I4091" s="7"/>
      <c r="J4091" s="9"/>
      <c r="K4091" s="9"/>
      <c r="L4091" s="9"/>
      <c r="M4091" s="9"/>
    </row>
    <row r="4092" spans="9:13" x14ac:dyDescent="0.3">
      <c r="I4092" s="7"/>
      <c r="J4092" s="9"/>
      <c r="K4092" s="9"/>
      <c r="L4092" s="9"/>
      <c r="M4092" s="9"/>
    </row>
    <row r="4093" spans="9:13" x14ac:dyDescent="0.3">
      <c r="I4093" s="7"/>
      <c r="J4093" s="9"/>
      <c r="K4093" s="9"/>
      <c r="L4093" s="9"/>
      <c r="M4093" s="9"/>
    </row>
    <row r="4094" spans="9:13" x14ac:dyDescent="0.3">
      <c r="I4094" s="7"/>
      <c r="J4094" s="9"/>
      <c r="K4094" s="9"/>
      <c r="L4094" s="9"/>
      <c r="M4094" s="9"/>
    </row>
    <row r="4095" spans="9:13" x14ac:dyDescent="0.3">
      <c r="I4095" s="7"/>
      <c r="J4095" s="9"/>
      <c r="K4095" s="9"/>
      <c r="L4095" s="9"/>
      <c r="M4095" s="9"/>
    </row>
    <row r="4096" spans="9:13" x14ac:dyDescent="0.3">
      <c r="I4096" s="7"/>
      <c r="J4096" s="9"/>
      <c r="K4096" s="9"/>
      <c r="L4096" s="9"/>
      <c r="M4096" s="9"/>
    </row>
    <row r="4097" spans="9:13" x14ac:dyDescent="0.3">
      <c r="I4097" s="7"/>
      <c r="J4097" s="9"/>
      <c r="K4097" s="9"/>
      <c r="L4097" s="9"/>
      <c r="M4097" s="9"/>
    </row>
    <row r="4098" spans="9:13" x14ac:dyDescent="0.3">
      <c r="I4098" s="7"/>
      <c r="J4098" s="9"/>
      <c r="K4098" s="9"/>
      <c r="L4098" s="9"/>
      <c r="M4098" s="9"/>
    </row>
    <row r="4099" spans="9:13" x14ac:dyDescent="0.3">
      <c r="I4099" s="7"/>
      <c r="J4099" s="9"/>
      <c r="K4099" s="9"/>
      <c r="L4099" s="9"/>
      <c r="M4099" s="9"/>
    </row>
    <row r="4100" spans="9:13" x14ac:dyDescent="0.3">
      <c r="I4100" s="7"/>
      <c r="J4100" s="9"/>
      <c r="K4100" s="9"/>
      <c r="L4100" s="9"/>
      <c r="M4100" s="9"/>
    </row>
    <row r="4101" spans="9:13" x14ac:dyDescent="0.3">
      <c r="I4101" s="7"/>
      <c r="J4101" s="9"/>
      <c r="K4101" s="9"/>
      <c r="L4101" s="9"/>
      <c r="M4101" s="9"/>
    </row>
    <row r="4102" spans="9:13" x14ac:dyDescent="0.3">
      <c r="I4102" s="7"/>
      <c r="J4102" s="9"/>
      <c r="K4102" s="9"/>
      <c r="L4102" s="9"/>
      <c r="M4102" s="9"/>
    </row>
    <row r="4103" spans="9:13" x14ac:dyDescent="0.3">
      <c r="I4103" s="7"/>
      <c r="J4103" s="9"/>
      <c r="K4103" s="9"/>
      <c r="L4103" s="9"/>
      <c r="M4103" s="9"/>
    </row>
    <row r="4104" spans="9:13" x14ac:dyDescent="0.3">
      <c r="I4104" s="7"/>
      <c r="J4104" s="9"/>
      <c r="K4104" s="9"/>
      <c r="L4104" s="9"/>
      <c r="M4104" s="9"/>
    </row>
    <row r="4105" spans="9:13" x14ac:dyDescent="0.3">
      <c r="I4105" s="7"/>
      <c r="J4105" s="9"/>
      <c r="K4105" s="9"/>
      <c r="L4105" s="9"/>
      <c r="M4105" s="9"/>
    </row>
    <row r="4106" spans="9:13" x14ac:dyDescent="0.3">
      <c r="I4106" s="7"/>
      <c r="J4106" s="9"/>
      <c r="K4106" s="9"/>
      <c r="L4106" s="9"/>
      <c r="M4106" s="9"/>
    </row>
    <row r="4107" spans="9:13" x14ac:dyDescent="0.3">
      <c r="I4107" s="7"/>
      <c r="J4107" s="9"/>
      <c r="K4107" s="9"/>
      <c r="L4107" s="9"/>
      <c r="M4107" s="9"/>
    </row>
    <row r="4108" spans="9:13" x14ac:dyDescent="0.3">
      <c r="I4108" s="7"/>
      <c r="J4108" s="9"/>
      <c r="K4108" s="9"/>
      <c r="L4108" s="9"/>
      <c r="M4108" s="9"/>
    </row>
    <row r="4109" spans="9:13" x14ac:dyDescent="0.3">
      <c r="I4109" s="7"/>
      <c r="J4109" s="9"/>
      <c r="K4109" s="9"/>
      <c r="L4109" s="9"/>
      <c r="M4109" s="9"/>
    </row>
    <row r="4110" spans="9:13" x14ac:dyDescent="0.3">
      <c r="I4110" s="7"/>
      <c r="J4110" s="9"/>
      <c r="K4110" s="9"/>
      <c r="L4110" s="9"/>
      <c r="M4110" s="9"/>
    </row>
    <row r="4111" spans="9:13" x14ac:dyDescent="0.3">
      <c r="I4111" s="7"/>
      <c r="J4111" s="9"/>
      <c r="K4111" s="9"/>
      <c r="L4111" s="9"/>
      <c r="M4111" s="9"/>
    </row>
    <row r="4112" spans="9:13" x14ac:dyDescent="0.3">
      <c r="I4112" s="7"/>
      <c r="J4112" s="9"/>
      <c r="K4112" s="9"/>
      <c r="L4112" s="9"/>
      <c r="M4112" s="9"/>
    </row>
    <row r="4113" spans="9:13" x14ac:dyDescent="0.3">
      <c r="I4113" s="7"/>
      <c r="J4113" s="9"/>
      <c r="K4113" s="9"/>
      <c r="L4113" s="9"/>
      <c r="M4113" s="9"/>
    </row>
    <row r="4114" spans="9:13" x14ac:dyDescent="0.3">
      <c r="I4114" s="7"/>
      <c r="J4114" s="9"/>
      <c r="K4114" s="9"/>
      <c r="L4114" s="9"/>
      <c r="M4114" s="9"/>
    </row>
    <row r="4115" spans="9:13" x14ac:dyDescent="0.3">
      <c r="I4115" s="7"/>
      <c r="J4115" s="9"/>
      <c r="K4115" s="9"/>
      <c r="L4115" s="9"/>
      <c r="M4115" s="9"/>
    </row>
    <row r="4116" spans="9:13" x14ac:dyDescent="0.3">
      <c r="I4116" s="7"/>
      <c r="J4116" s="9"/>
      <c r="K4116" s="9"/>
      <c r="L4116" s="9"/>
      <c r="M4116" s="9"/>
    </row>
    <row r="4117" spans="9:13" x14ac:dyDescent="0.3">
      <c r="I4117" s="7"/>
      <c r="J4117" s="9"/>
      <c r="K4117" s="9"/>
      <c r="L4117" s="9"/>
      <c r="M4117" s="9"/>
    </row>
    <row r="4118" spans="9:13" x14ac:dyDescent="0.3">
      <c r="I4118" s="7"/>
      <c r="J4118" s="9"/>
      <c r="K4118" s="9"/>
      <c r="L4118" s="9"/>
      <c r="M4118" s="9"/>
    </row>
    <row r="4119" spans="9:13" x14ac:dyDescent="0.3">
      <c r="I4119" s="7"/>
      <c r="J4119" s="9"/>
      <c r="K4119" s="9"/>
      <c r="L4119" s="9"/>
      <c r="M4119" s="9"/>
    </row>
    <row r="4120" spans="9:13" x14ac:dyDescent="0.3">
      <c r="I4120" s="7"/>
      <c r="J4120" s="9"/>
      <c r="K4120" s="9"/>
      <c r="L4120" s="9"/>
      <c r="M4120" s="9"/>
    </row>
    <row r="4121" spans="9:13" x14ac:dyDescent="0.3">
      <c r="I4121" s="7"/>
      <c r="J4121" s="9"/>
      <c r="K4121" s="9"/>
      <c r="L4121" s="9"/>
      <c r="M4121" s="9"/>
    </row>
    <row r="4122" spans="9:13" x14ac:dyDescent="0.3">
      <c r="I4122" s="7"/>
      <c r="J4122" s="9"/>
      <c r="K4122" s="9"/>
      <c r="L4122" s="9"/>
      <c r="M4122" s="9"/>
    </row>
    <row r="4123" spans="9:13" x14ac:dyDescent="0.3">
      <c r="I4123" s="7"/>
      <c r="J4123" s="9"/>
      <c r="K4123" s="9"/>
      <c r="L4123" s="9"/>
      <c r="M4123" s="9"/>
    </row>
    <row r="4124" spans="9:13" x14ac:dyDescent="0.3">
      <c r="I4124" s="7"/>
      <c r="J4124" s="9"/>
      <c r="K4124" s="9"/>
      <c r="L4124" s="9"/>
      <c r="M4124" s="9"/>
    </row>
    <row r="4125" spans="9:13" x14ac:dyDescent="0.3">
      <c r="I4125" s="7"/>
      <c r="J4125" s="9"/>
      <c r="K4125" s="9"/>
      <c r="L4125" s="9"/>
      <c r="M4125" s="9"/>
    </row>
    <row r="4126" spans="9:13" x14ac:dyDescent="0.3">
      <c r="I4126" s="7"/>
      <c r="J4126" s="9"/>
      <c r="K4126" s="9"/>
      <c r="L4126" s="9"/>
      <c r="M4126" s="9"/>
    </row>
    <row r="4127" spans="9:13" x14ac:dyDescent="0.3">
      <c r="I4127" s="7"/>
      <c r="J4127" s="9"/>
      <c r="K4127" s="9"/>
      <c r="L4127" s="9"/>
      <c r="M4127" s="9"/>
    </row>
    <row r="4128" spans="9:13" x14ac:dyDescent="0.3">
      <c r="I4128" s="7"/>
      <c r="J4128" s="9"/>
      <c r="K4128" s="9"/>
      <c r="L4128" s="9"/>
      <c r="M4128" s="9"/>
    </row>
    <row r="4129" spans="9:13" x14ac:dyDescent="0.3">
      <c r="I4129" s="7"/>
      <c r="J4129" s="9"/>
      <c r="K4129" s="9"/>
      <c r="L4129" s="9"/>
      <c r="M4129" s="9"/>
    </row>
    <row r="4130" spans="9:13" x14ac:dyDescent="0.3">
      <c r="I4130" s="7"/>
      <c r="J4130" s="9"/>
      <c r="K4130" s="9"/>
      <c r="L4130" s="9"/>
      <c r="M4130" s="9"/>
    </row>
    <row r="4131" spans="9:13" x14ac:dyDescent="0.3">
      <c r="I4131" s="7"/>
      <c r="J4131" s="9"/>
      <c r="K4131" s="9"/>
      <c r="L4131" s="9"/>
      <c r="M4131" s="9"/>
    </row>
    <row r="4132" spans="9:13" x14ac:dyDescent="0.3">
      <c r="I4132" s="7"/>
      <c r="J4132" s="9"/>
      <c r="K4132" s="9"/>
      <c r="L4132" s="9"/>
      <c r="M4132" s="9"/>
    </row>
    <row r="4133" spans="9:13" x14ac:dyDescent="0.3">
      <c r="I4133" s="7"/>
      <c r="J4133" s="9"/>
      <c r="K4133" s="9"/>
      <c r="L4133" s="9"/>
      <c r="M4133" s="9"/>
    </row>
    <row r="4134" spans="9:13" x14ac:dyDescent="0.3">
      <c r="I4134" s="7"/>
      <c r="J4134" s="9"/>
      <c r="K4134" s="9"/>
      <c r="L4134" s="9"/>
      <c r="M4134" s="9"/>
    </row>
    <row r="4135" spans="9:13" x14ac:dyDescent="0.3">
      <c r="I4135" s="7"/>
      <c r="J4135" s="9"/>
      <c r="K4135" s="9"/>
      <c r="L4135" s="9"/>
      <c r="M4135" s="9"/>
    </row>
    <row r="4136" spans="9:13" x14ac:dyDescent="0.3">
      <c r="I4136" s="7"/>
      <c r="J4136" s="9"/>
      <c r="K4136" s="9"/>
      <c r="L4136" s="9"/>
      <c r="M4136" s="9"/>
    </row>
    <row r="4137" spans="9:13" x14ac:dyDescent="0.3">
      <c r="I4137" s="7"/>
      <c r="J4137" s="9"/>
      <c r="K4137" s="9"/>
      <c r="L4137" s="9"/>
      <c r="M4137" s="9"/>
    </row>
    <row r="4138" spans="9:13" x14ac:dyDescent="0.3">
      <c r="I4138" s="7"/>
      <c r="J4138" s="9"/>
      <c r="K4138" s="9"/>
      <c r="L4138" s="9"/>
      <c r="M4138" s="9"/>
    </row>
    <row r="4139" spans="9:13" x14ac:dyDescent="0.3">
      <c r="I4139" s="7"/>
      <c r="J4139" s="9"/>
      <c r="K4139" s="9"/>
      <c r="L4139" s="9"/>
      <c r="M4139" s="9"/>
    </row>
    <row r="4140" spans="9:13" x14ac:dyDescent="0.3">
      <c r="I4140" s="7"/>
      <c r="J4140" s="9"/>
      <c r="K4140" s="9"/>
      <c r="L4140" s="9"/>
      <c r="M4140" s="9"/>
    </row>
    <row r="4141" spans="9:13" x14ac:dyDescent="0.3">
      <c r="I4141" s="7"/>
      <c r="J4141" s="9"/>
      <c r="K4141" s="9"/>
      <c r="L4141" s="9"/>
      <c r="M4141" s="9"/>
    </row>
    <row r="4142" spans="9:13" x14ac:dyDescent="0.3">
      <c r="I4142" s="7"/>
      <c r="J4142" s="9"/>
      <c r="K4142" s="9"/>
      <c r="L4142" s="9"/>
      <c r="M4142" s="9"/>
    </row>
    <row r="4143" spans="9:13" x14ac:dyDescent="0.3">
      <c r="I4143" s="7"/>
      <c r="J4143" s="9"/>
      <c r="K4143" s="9"/>
      <c r="L4143" s="9"/>
      <c r="M4143" s="9"/>
    </row>
    <row r="4144" spans="9:13" x14ac:dyDescent="0.3">
      <c r="I4144" s="7"/>
      <c r="J4144" s="9"/>
      <c r="K4144" s="9"/>
      <c r="L4144" s="9"/>
      <c r="M4144" s="9"/>
    </row>
    <row r="4145" spans="9:13" x14ac:dyDescent="0.3">
      <c r="I4145" s="7"/>
      <c r="J4145" s="9"/>
      <c r="K4145" s="9"/>
      <c r="L4145" s="9"/>
      <c r="M4145" s="9"/>
    </row>
    <row r="4146" spans="9:13" x14ac:dyDescent="0.3">
      <c r="I4146" s="7"/>
      <c r="J4146" s="9"/>
      <c r="K4146" s="9"/>
      <c r="L4146" s="9"/>
      <c r="M4146" s="9"/>
    </row>
    <row r="4147" spans="9:13" x14ac:dyDescent="0.3">
      <c r="I4147" s="7"/>
      <c r="J4147" s="9"/>
      <c r="K4147" s="9"/>
      <c r="L4147" s="9"/>
      <c r="M4147" s="9"/>
    </row>
    <row r="4148" spans="9:13" x14ac:dyDescent="0.3">
      <c r="I4148" s="7"/>
      <c r="J4148" s="9"/>
      <c r="K4148" s="9"/>
      <c r="L4148" s="9"/>
      <c r="M4148" s="9"/>
    </row>
    <row r="4149" spans="9:13" x14ac:dyDescent="0.3">
      <c r="I4149" s="7"/>
      <c r="J4149" s="9"/>
      <c r="K4149" s="9"/>
      <c r="L4149" s="9"/>
      <c r="M4149" s="9"/>
    </row>
    <row r="4150" spans="9:13" x14ac:dyDescent="0.3">
      <c r="I4150" s="7"/>
      <c r="J4150" s="9"/>
      <c r="K4150" s="9"/>
      <c r="L4150" s="9"/>
      <c r="M4150" s="9"/>
    </row>
    <row r="4151" spans="9:13" x14ac:dyDescent="0.3">
      <c r="I4151" s="7"/>
      <c r="J4151" s="9"/>
      <c r="K4151" s="9"/>
      <c r="L4151" s="9"/>
      <c r="M4151" s="9"/>
    </row>
    <row r="4152" spans="9:13" x14ac:dyDescent="0.3">
      <c r="I4152" s="7"/>
      <c r="J4152" s="9"/>
      <c r="K4152" s="9"/>
      <c r="L4152" s="9"/>
      <c r="M4152" s="9"/>
    </row>
    <row r="4153" spans="9:13" x14ac:dyDescent="0.3">
      <c r="I4153" s="7"/>
      <c r="J4153" s="9"/>
      <c r="K4153" s="9"/>
      <c r="L4153" s="9"/>
      <c r="M4153" s="9"/>
    </row>
    <row r="4154" spans="9:13" x14ac:dyDescent="0.3">
      <c r="I4154" s="7"/>
      <c r="J4154" s="9"/>
      <c r="K4154" s="9"/>
      <c r="L4154" s="9"/>
      <c r="M4154" s="9"/>
    </row>
    <row r="4155" spans="9:13" x14ac:dyDescent="0.3">
      <c r="I4155" s="7"/>
      <c r="J4155" s="9"/>
      <c r="K4155" s="9"/>
      <c r="L4155" s="9"/>
      <c r="M4155" s="9"/>
    </row>
    <row r="4156" spans="9:13" x14ac:dyDescent="0.3">
      <c r="I4156" s="7"/>
      <c r="J4156" s="9"/>
      <c r="K4156" s="9"/>
      <c r="L4156" s="9"/>
      <c r="M4156" s="9"/>
    </row>
    <row r="4157" spans="9:13" x14ac:dyDescent="0.3">
      <c r="I4157" s="7"/>
      <c r="J4157" s="9"/>
      <c r="K4157" s="9"/>
      <c r="L4157" s="9"/>
      <c r="M4157" s="9"/>
    </row>
    <row r="4158" spans="9:13" x14ac:dyDescent="0.3">
      <c r="I4158" s="7"/>
      <c r="J4158" s="9"/>
      <c r="K4158" s="9"/>
      <c r="L4158" s="9"/>
      <c r="M4158" s="9"/>
    </row>
    <row r="4159" spans="9:13" x14ac:dyDescent="0.3">
      <c r="I4159" s="7"/>
      <c r="J4159" s="9"/>
      <c r="K4159" s="9"/>
      <c r="L4159" s="9"/>
      <c r="M4159" s="9"/>
    </row>
    <row r="4160" spans="9:13" x14ac:dyDescent="0.3">
      <c r="I4160" s="7"/>
      <c r="J4160" s="9"/>
      <c r="K4160" s="9"/>
      <c r="L4160" s="9"/>
      <c r="M4160" s="9"/>
    </row>
    <row r="4161" spans="9:13" x14ac:dyDescent="0.3">
      <c r="I4161" s="7"/>
      <c r="J4161" s="9"/>
      <c r="K4161" s="9"/>
      <c r="L4161" s="9"/>
      <c r="M4161" s="9"/>
    </row>
    <row r="4162" spans="9:13" x14ac:dyDescent="0.3">
      <c r="I4162" s="7"/>
      <c r="J4162" s="9"/>
      <c r="K4162" s="9"/>
      <c r="L4162" s="9"/>
      <c r="M4162" s="9"/>
    </row>
    <row r="4163" spans="9:13" x14ac:dyDescent="0.3">
      <c r="I4163" s="7"/>
      <c r="J4163" s="9"/>
      <c r="K4163" s="9"/>
      <c r="L4163" s="9"/>
      <c r="M4163" s="9"/>
    </row>
    <row r="4164" spans="9:13" x14ac:dyDescent="0.3">
      <c r="I4164" s="7"/>
      <c r="J4164" s="9"/>
      <c r="K4164" s="9"/>
      <c r="L4164" s="9"/>
      <c r="M4164" s="9"/>
    </row>
    <row r="4165" spans="9:13" x14ac:dyDescent="0.3">
      <c r="I4165" s="7"/>
      <c r="J4165" s="9"/>
      <c r="K4165" s="9"/>
      <c r="L4165" s="9"/>
      <c r="M4165" s="9"/>
    </row>
    <row r="4166" spans="9:13" x14ac:dyDescent="0.3">
      <c r="I4166" s="7"/>
      <c r="J4166" s="9"/>
      <c r="K4166" s="9"/>
      <c r="L4166" s="9"/>
      <c r="M4166" s="9"/>
    </row>
    <row r="4167" spans="9:13" x14ac:dyDescent="0.3">
      <c r="I4167" s="7"/>
      <c r="J4167" s="9"/>
      <c r="K4167" s="9"/>
      <c r="L4167" s="9"/>
      <c r="M4167" s="9"/>
    </row>
    <row r="4168" spans="9:13" x14ac:dyDescent="0.3">
      <c r="I4168" s="7"/>
      <c r="J4168" s="9"/>
      <c r="K4168" s="9"/>
      <c r="L4168" s="9"/>
      <c r="M4168" s="9"/>
    </row>
    <row r="4169" spans="9:13" x14ac:dyDescent="0.3">
      <c r="I4169" s="7"/>
      <c r="J4169" s="9"/>
      <c r="K4169" s="9"/>
      <c r="L4169" s="9"/>
      <c r="M4169" s="9"/>
    </row>
    <row r="4170" spans="9:13" x14ac:dyDescent="0.3">
      <c r="I4170" s="7"/>
      <c r="J4170" s="9"/>
      <c r="K4170" s="9"/>
      <c r="L4170" s="9"/>
      <c r="M4170" s="9"/>
    </row>
    <row r="4171" spans="9:13" x14ac:dyDescent="0.3">
      <c r="I4171" s="7"/>
      <c r="J4171" s="9"/>
      <c r="K4171" s="9"/>
      <c r="L4171" s="9"/>
      <c r="M4171" s="9"/>
    </row>
    <row r="4172" spans="9:13" x14ac:dyDescent="0.3">
      <c r="I4172" s="7"/>
      <c r="J4172" s="9"/>
      <c r="K4172" s="9"/>
      <c r="L4172" s="9"/>
      <c r="M4172" s="9"/>
    </row>
    <row r="4173" spans="9:13" x14ac:dyDescent="0.3">
      <c r="I4173" s="7"/>
      <c r="J4173" s="9"/>
      <c r="K4173" s="9"/>
      <c r="L4173" s="9"/>
      <c r="M4173" s="9"/>
    </row>
    <row r="4174" spans="9:13" x14ac:dyDescent="0.3">
      <c r="I4174" s="7"/>
      <c r="J4174" s="9"/>
      <c r="K4174" s="9"/>
      <c r="L4174" s="9"/>
      <c r="M4174" s="9"/>
    </row>
    <row r="4175" spans="9:13" x14ac:dyDescent="0.3">
      <c r="I4175" s="7"/>
      <c r="J4175" s="9"/>
      <c r="K4175" s="9"/>
      <c r="L4175" s="9"/>
      <c r="M4175" s="9"/>
    </row>
    <row r="4176" spans="9:13" x14ac:dyDescent="0.3">
      <c r="I4176" s="7"/>
      <c r="J4176" s="9"/>
      <c r="K4176" s="9"/>
      <c r="L4176" s="9"/>
      <c r="M4176" s="9"/>
    </row>
    <row r="4177" spans="9:13" x14ac:dyDescent="0.3">
      <c r="I4177" s="7"/>
      <c r="J4177" s="9"/>
      <c r="K4177" s="9"/>
      <c r="L4177" s="9"/>
      <c r="M4177" s="9"/>
    </row>
    <row r="4178" spans="9:13" x14ac:dyDescent="0.3">
      <c r="I4178" s="7"/>
      <c r="J4178" s="9"/>
      <c r="K4178" s="9"/>
      <c r="L4178" s="9"/>
      <c r="M4178" s="9"/>
    </row>
    <row r="4179" spans="9:13" x14ac:dyDescent="0.3">
      <c r="I4179" s="7"/>
      <c r="J4179" s="9"/>
      <c r="K4179" s="9"/>
      <c r="L4179" s="9"/>
      <c r="M4179" s="9"/>
    </row>
    <row r="4180" spans="9:13" x14ac:dyDescent="0.3">
      <c r="I4180" s="7"/>
      <c r="J4180" s="9"/>
      <c r="K4180" s="9"/>
      <c r="L4180" s="9"/>
      <c r="M4180" s="9"/>
    </row>
    <row r="4181" spans="9:13" x14ac:dyDescent="0.3">
      <c r="I4181" s="7"/>
      <c r="J4181" s="9"/>
      <c r="K4181" s="9"/>
      <c r="L4181" s="9"/>
      <c r="M4181" s="9"/>
    </row>
    <row r="4182" spans="9:13" x14ac:dyDescent="0.3">
      <c r="I4182" s="7"/>
      <c r="J4182" s="9"/>
      <c r="K4182" s="9"/>
      <c r="L4182" s="9"/>
      <c r="M4182" s="9"/>
    </row>
    <row r="4183" spans="9:13" x14ac:dyDescent="0.3">
      <c r="I4183" s="7"/>
      <c r="J4183" s="9"/>
      <c r="K4183" s="9"/>
      <c r="L4183" s="9"/>
      <c r="M4183" s="9"/>
    </row>
    <row r="4184" spans="9:13" x14ac:dyDescent="0.3">
      <c r="I4184" s="7"/>
      <c r="J4184" s="9"/>
      <c r="K4184" s="9"/>
      <c r="L4184" s="9"/>
      <c r="M4184" s="9"/>
    </row>
    <row r="4185" spans="9:13" x14ac:dyDescent="0.3">
      <c r="I4185" s="7"/>
      <c r="J4185" s="9"/>
      <c r="K4185" s="9"/>
      <c r="L4185" s="9"/>
      <c r="M4185" s="9"/>
    </row>
    <row r="4186" spans="9:13" x14ac:dyDescent="0.3">
      <c r="I4186" s="7"/>
      <c r="J4186" s="9"/>
      <c r="K4186" s="9"/>
      <c r="L4186" s="9"/>
      <c r="M4186" s="9"/>
    </row>
    <row r="4187" spans="9:13" x14ac:dyDescent="0.3">
      <c r="I4187" s="7"/>
      <c r="J4187" s="9"/>
      <c r="K4187" s="9"/>
      <c r="L4187" s="9"/>
      <c r="M4187" s="9"/>
    </row>
    <row r="4188" spans="9:13" x14ac:dyDescent="0.3">
      <c r="I4188" s="7"/>
      <c r="J4188" s="9"/>
      <c r="K4188" s="9"/>
      <c r="L4188" s="9"/>
      <c r="M4188" s="9"/>
    </row>
    <row r="4189" spans="9:13" x14ac:dyDescent="0.3">
      <c r="I4189" s="7"/>
      <c r="J4189" s="9"/>
      <c r="K4189" s="9"/>
      <c r="L4189" s="9"/>
      <c r="M4189" s="9"/>
    </row>
    <row r="4190" spans="9:13" x14ac:dyDescent="0.3">
      <c r="I4190" s="7"/>
      <c r="J4190" s="9"/>
      <c r="K4190" s="9"/>
      <c r="L4190" s="9"/>
      <c r="M4190" s="9"/>
    </row>
    <row r="4191" spans="9:13" x14ac:dyDescent="0.3">
      <c r="I4191" s="7"/>
      <c r="J4191" s="9"/>
      <c r="K4191" s="9"/>
      <c r="L4191" s="9"/>
      <c r="M4191" s="9"/>
    </row>
    <row r="4192" spans="9:13" x14ac:dyDescent="0.3">
      <c r="I4192" s="7"/>
      <c r="J4192" s="9"/>
      <c r="K4192" s="9"/>
      <c r="L4192" s="9"/>
      <c r="M4192" s="9"/>
    </row>
    <row r="4193" spans="9:13" x14ac:dyDescent="0.3">
      <c r="I4193" s="7"/>
      <c r="J4193" s="9"/>
      <c r="K4193" s="9"/>
      <c r="L4193" s="9"/>
      <c r="M4193" s="9"/>
    </row>
    <row r="4194" spans="9:13" x14ac:dyDescent="0.3">
      <c r="I4194" s="7"/>
      <c r="J4194" s="9"/>
      <c r="K4194" s="9"/>
      <c r="L4194" s="9"/>
      <c r="M4194" s="9"/>
    </row>
    <row r="4195" spans="9:13" x14ac:dyDescent="0.3">
      <c r="I4195" s="7"/>
      <c r="J4195" s="9"/>
      <c r="K4195" s="9"/>
      <c r="L4195" s="9"/>
      <c r="M4195" s="9"/>
    </row>
    <row r="4196" spans="9:13" x14ac:dyDescent="0.3">
      <c r="I4196" s="7"/>
      <c r="J4196" s="9"/>
      <c r="K4196" s="9"/>
      <c r="L4196" s="9"/>
      <c r="M4196" s="9"/>
    </row>
    <row r="4197" spans="9:13" x14ac:dyDescent="0.3">
      <c r="I4197" s="7"/>
      <c r="J4197" s="9"/>
      <c r="K4197" s="9"/>
      <c r="L4197" s="9"/>
      <c r="M4197" s="9"/>
    </row>
    <row r="4198" spans="9:13" x14ac:dyDescent="0.3">
      <c r="I4198" s="7"/>
      <c r="J4198" s="9"/>
      <c r="K4198" s="9"/>
      <c r="L4198" s="9"/>
      <c r="M4198" s="9"/>
    </row>
    <row r="4199" spans="9:13" x14ac:dyDescent="0.3">
      <c r="I4199" s="7"/>
      <c r="J4199" s="9"/>
      <c r="K4199" s="9"/>
      <c r="L4199" s="9"/>
      <c r="M4199" s="9"/>
    </row>
    <row r="4200" spans="9:13" x14ac:dyDescent="0.3">
      <c r="I4200" s="7"/>
      <c r="J4200" s="9"/>
      <c r="K4200" s="9"/>
      <c r="L4200" s="9"/>
      <c r="M4200" s="9"/>
    </row>
    <row r="4201" spans="9:13" x14ac:dyDescent="0.3">
      <c r="I4201" s="7"/>
      <c r="J4201" s="9"/>
      <c r="K4201" s="9"/>
      <c r="L4201" s="9"/>
      <c r="M4201" s="9"/>
    </row>
    <row r="4202" spans="9:13" x14ac:dyDescent="0.3">
      <c r="I4202" s="7"/>
      <c r="J4202" s="9"/>
      <c r="K4202" s="9"/>
      <c r="L4202" s="9"/>
      <c r="M4202" s="9"/>
    </row>
    <row r="4203" spans="9:13" x14ac:dyDescent="0.3">
      <c r="I4203" s="7"/>
      <c r="J4203" s="9"/>
      <c r="K4203" s="9"/>
      <c r="L4203" s="9"/>
      <c r="M4203" s="9"/>
    </row>
    <row r="4204" spans="9:13" x14ac:dyDescent="0.3">
      <c r="I4204" s="7"/>
      <c r="J4204" s="9"/>
      <c r="K4204" s="9"/>
      <c r="L4204" s="9"/>
      <c r="M4204" s="9"/>
    </row>
    <row r="4205" spans="9:13" x14ac:dyDescent="0.3">
      <c r="I4205" s="7"/>
      <c r="J4205" s="9"/>
      <c r="K4205" s="9"/>
      <c r="L4205" s="9"/>
      <c r="M4205" s="9"/>
    </row>
    <row r="4206" spans="9:13" x14ac:dyDescent="0.3">
      <c r="I4206" s="7"/>
      <c r="J4206" s="9"/>
      <c r="K4206" s="9"/>
      <c r="L4206" s="9"/>
      <c r="M4206" s="9"/>
    </row>
    <row r="4207" spans="9:13" x14ac:dyDescent="0.3">
      <c r="I4207" s="7"/>
      <c r="J4207" s="9"/>
      <c r="K4207" s="9"/>
      <c r="L4207" s="9"/>
      <c r="M4207" s="9"/>
    </row>
    <row r="4208" spans="9:13" x14ac:dyDescent="0.3">
      <c r="I4208" s="7"/>
      <c r="J4208" s="9"/>
      <c r="K4208" s="9"/>
      <c r="L4208" s="9"/>
      <c r="M4208" s="9"/>
    </row>
    <row r="4209" spans="9:13" x14ac:dyDescent="0.3">
      <c r="I4209" s="7"/>
      <c r="J4209" s="9"/>
      <c r="K4209" s="9"/>
      <c r="L4209" s="9"/>
      <c r="M4209" s="9"/>
    </row>
    <row r="4210" spans="9:13" x14ac:dyDescent="0.3">
      <c r="I4210" s="7"/>
      <c r="J4210" s="9"/>
      <c r="K4210" s="9"/>
      <c r="L4210" s="9"/>
      <c r="M4210" s="9"/>
    </row>
    <row r="4211" spans="9:13" x14ac:dyDescent="0.3">
      <c r="I4211" s="7"/>
      <c r="J4211" s="9"/>
      <c r="K4211" s="9"/>
      <c r="L4211" s="9"/>
      <c r="M4211" s="9"/>
    </row>
    <row r="4212" spans="9:13" x14ac:dyDescent="0.3">
      <c r="I4212" s="7"/>
      <c r="J4212" s="9"/>
      <c r="K4212" s="9"/>
      <c r="L4212" s="9"/>
      <c r="M4212" s="9"/>
    </row>
    <row r="4213" spans="9:13" x14ac:dyDescent="0.3">
      <c r="I4213" s="7"/>
      <c r="J4213" s="9"/>
      <c r="K4213" s="9"/>
      <c r="L4213" s="9"/>
      <c r="M4213" s="9"/>
    </row>
    <row r="4214" spans="9:13" x14ac:dyDescent="0.3">
      <c r="I4214" s="7"/>
      <c r="J4214" s="9"/>
      <c r="K4214" s="9"/>
      <c r="L4214" s="9"/>
      <c r="M4214" s="9"/>
    </row>
    <row r="4215" spans="9:13" x14ac:dyDescent="0.3">
      <c r="I4215" s="7"/>
      <c r="J4215" s="9"/>
      <c r="K4215" s="9"/>
      <c r="L4215" s="9"/>
      <c r="M4215" s="9"/>
    </row>
    <row r="4216" spans="9:13" x14ac:dyDescent="0.3">
      <c r="I4216" s="7"/>
      <c r="J4216" s="9"/>
      <c r="K4216" s="9"/>
      <c r="L4216" s="9"/>
      <c r="M4216" s="9"/>
    </row>
    <row r="4217" spans="9:13" x14ac:dyDescent="0.3">
      <c r="I4217" s="7"/>
      <c r="J4217" s="9"/>
      <c r="K4217" s="9"/>
      <c r="L4217" s="9"/>
      <c r="M4217" s="9"/>
    </row>
    <row r="4218" spans="9:13" x14ac:dyDescent="0.3">
      <c r="I4218" s="7"/>
      <c r="J4218" s="9"/>
      <c r="K4218" s="9"/>
      <c r="L4218" s="9"/>
      <c r="M4218" s="9"/>
    </row>
    <row r="4219" spans="9:13" x14ac:dyDescent="0.3">
      <c r="I4219" s="7"/>
      <c r="J4219" s="9"/>
      <c r="K4219" s="9"/>
      <c r="L4219" s="9"/>
      <c r="M4219" s="9"/>
    </row>
    <row r="4220" spans="9:13" x14ac:dyDescent="0.3">
      <c r="I4220" s="7"/>
      <c r="J4220" s="9"/>
      <c r="K4220" s="9"/>
      <c r="L4220" s="9"/>
      <c r="M4220" s="9"/>
    </row>
    <row r="4221" spans="9:13" x14ac:dyDescent="0.3">
      <c r="I4221" s="7"/>
      <c r="J4221" s="9"/>
      <c r="K4221" s="9"/>
      <c r="L4221" s="9"/>
      <c r="M4221" s="9"/>
    </row>
    <row r="4222" spans="9:13" x14ac:dyDescent="0.3">
      <c r="I4222" s="7"/>
      <c r="J4222" s="9"/>
      <c r="K4222" s="9"/>
      <c r="L4222" s="9"/>
      <c r="M4222" s="9"/>
    </row>
    <row r="4223" spans="9:13" x14ac:dyDescent="0.3">
      <c r="I4223" s="7"/>
      <c r="J4223" s="9"/>
      <c r="K4223" s="9"/>
      <c r="L4223" s="9"/>
      <c r="M4223" s="9"/>
    </row>
    <row r="4224" spans="9:13" x14ac:dyDescent="0.3">
      <c r="I4224" s="7"/>
      <c r="J4224" s="9"/>
      <c r="K4224" s="9"/>
      <c r="L4224" s="9"/>
      <c r="M4224" s="9"/>
    </row>
    <row r="4225" spans="9:13" x14ac:dyDescent="0.3">
      <c r="I4225" s="7"/>
      <c r="J4225" s="9"/>
      <c r="K4225" s="9"/>
      <c r="L4225" s="9"/>
      <c r="M4225" s="9"/>
    </row>
    <row r="4226" spans="9:13" x14ac:dyDescent="0.3">
      <c r="I4226" s="7"/>
      <c r="J4226" s="9"/>
      <c r="K4226" s="9"/>
      <c r="L4226" s="9"/>
      <c r="M4226" s="9"/>
    </row>
    <row r="4227" spans="9:13" x14ac:dyDescent="0.3">
      <c r="I4227" s="7"/>
      <c r="J4227" s="9"/>
      <c r="K4227" s="9"/>
      <c r="L4227" s="9"/>
      <c r="M4227" s="9"/>
    </row>
    <row r="4228" spans="9:13" x14ac:dyDescent="0.3">
      <c r="I4228" s="7"/>
      <c r="J4228" s="9"/>
      <c r="K4228" s="9"/>
      <c r="L4228" s="9"/>
      <c r="M4228" s="9"/>
    </row>
    <row r="4229" spans="9:13" x14ac:dyDescent="0.3">
      <c r="I4229" s="7"/>
      <c r="J4229" s="9"/>
      <c r="K4229" s="9"/>
      <c r="L4229" s="9"/>
      <c r="M4229" s="9"/>
    </row>
    <row r="4230" spans="9:13" x14ac:dyDescent="0.3">
      <c r="I4230" s="7"/>
      <c r="J4230" s="9"/>
      <c r="K4230" s="9"/>
      <c r="L4230" s="9"/>
      <c r="M4230" s="9"/>
    </row>
    <row r="4231" spans="9:13" x14ac:dyDescent="0.3">
      <c r="I4231" s="7"/>
      <c r="J4231" s="9"/>
      <c r="K4231" s="9"/>
      <c r="L4231" s="9"/>
      <c r="M4231" s="9"/>
    </row>
    <row r="4232" spans="9:13" x14ac:dyDescent="0.3">
      <c r="I4232" s="7"/>
      <c r="J4232" s="9"/>
      <c r="K4232" s="9"/>
      <c r="L4232" s="9"/>
      <c r="M4232" s="9"/>
    </row>
    <row r="4233" spans="9:13" x14ac:dyDescent="0.3">
      <c r="I4233" s="7"/>
      <c r="J4233" s="9"/>
      <c r="K4233" s="9"/>
      <c r="L4233" s="9"/>
      <c r="M4233" s="9"/>
    </row>
    <row r="4234" spans="9:13" x14ac:dyDescent="0.3">
      <c r="I4234" s="7"/>
      <c r="J4234" s="9"/>
      <c r="K4234" s="9"/>
      <c r="L4234" s="9"/>
      <c r="M4234" s="9"/>
    </row>
    <row r="4235" spans="9:13" x14ac:dyDescent="0.3">
      <c r="I4235" s="7"/>
      <c r="J4235" s="9"/>
      <c r="K4235" s="9"/>
      <c r="L4235" s="9"/>
      <c r="M4235" s="9"/>
    </row>
    <row r="4236" spans="9:13" x14ac:dyDescent="0.3">
      <c r="I4236" s="7"/>
      <c r="J4236" s="9"/>
      <c r="K4236" s="9"/>
      <c r="L4236" s="9"/>
      <c r="M4236" s="9"/>
    </row>
    <row r="4237" spans="9:13" x14ac:dyDescent="0.3">
      <c r="I4237" s="7"/>
      <c r="J4237" s="9"/>
      <c r="K4237" s="9"/>
      <c r="L4237" s="9"/>
      <c r="M4237" s="9"/>
    </row>
    <row r="4238" spans="9:13" x14ac:dyDescent="0.3">
      <c r="I4238" s="7"/>
      <c r="J4238" s="9"/>
      <c r="K4238" s="9"/>
      <c r="L4238" s="9"/>
      <c r="M4238" s="9"/>
    </row>
    <row r="4239" spans="9:13" x14ac:dyDescent="0.3">
      <c r="I4239" s="7"/>
      <c r="J4239" s="9"/>
      <c r="K4239" s="9"/>
      <c r="L4239" s="9"/>
      <c r="M4239" s="9"/>
    </row>
    <row r="4240" spans="9:13" x14ac:dyDescent="0.3">
      <c r="I4240" s="7"/>
      <c r="J4240" s="9"/>
      <c r="K4240" s="9"/>
      <c r="L4240" s="9"/>
      <c r="M4240" s="9"/>
    </row>
    <row r="4241" spans="9:13" x14ac:dyDescent="0.3">
      <c r="I4241" s="7"/>
      <c r="J4241" s="9"/>
      <c r="K4241" s="9"/>
      <c r="L4241" s="9"/>
      <c r="M4241" s="9"/>
    </row>
    <row r="4242" spans="9:13" x14ac:dyDescent="0.3">
      <c r="I4242" s="7"/>
      <c r="J4242" s="9"/>
      <c r="K4242" s="9"/>
      <c r="L4242" s="9"/>
      <c r="M4242" s="9"/>
    </row>
    <row r="4243" spans="9:13" x14ac:dyDescent="0.3">
      <c r="I4243" s="7"/>
      <c r="J4243" s="9"/>
      <c r="K4243" s="9"/>
      <c r="L4243" s="9"/>
      <c r="M4243" s="9"/>
    </row>
    <row r="4244" spans="9:13" x14ac:dyDescent="0.3">
      <c r="I4244" s="7"/>
      <c r="J4244" s="9"/>
      <c r="K4244" s="9"/>
      <c r="L4244" s="9"/>
      <c r="M4244" s="9"/>
    </row>
    <row r="4245" spans="9:13" x14ac:dyDescent="0.3">
      <c r="I4245" s="7"/>
      <c r="J4245" s="9"/>
      <c r="K4245" s="9"/>
      <c r="L4245" s="9"/>
      <c r="M4245" s="9"/>
    </row>
    <row r="4246" spans="9:13" x14ac:dyDescent="0.3">
      <c r="I4246" s="7"/>
      <c r="J4246" s="9"/>
      <c r="K4246" s="9"/>
      <c r="L4246" s="9"/>
      <c r="M4246" s="9"/>
    </row>
    <row r="4247" spans="9:13" x14ac:dyDescent="0.3">
      <c r="I4247" s="7"/>
      <c r="J4247" s="9"/>
      <c r="K4247" s="9"/>
      <c r="L4247" s="9"/>
      <c r="M4247" s="9"/>
    </row>
    <row r="4248" spans="9:13" x14ac:dyDescent="0.3">
      <c r="I4248" s="7"/>
      <c r="J4248" s="9"/>
      <c r="K4248" s="9"/>
      <c r="L4248" s="9"/>
      <c r="M4248" s="9"/>
    </row>
    <row r="4249" spans="9:13" x14ac:dyDescent="0.3">
      <c r="I4249" s="7"/>
      <c r="J4249" s="9"/>
      <c r="K4249" s="9"/>
      <c r="L4249" s="9"/>
      <c r="M4249" s="9"/>
    </row>
    <row r="4250" spans="9:13" x14ac:dyDescent="0.3">
      <c r="I4250" s="7"/>
      <c r="J4250" s="9"/>
      <c r="K4250" s="9"/>
      <c r="L4250" s="9"/>
      <c r="M4250" s="9"/>
    </row>
    <row r="4251" spans="9:13" x14ac:dyDescent="0.3">
      <c r="I4251" s="7"/>
      <c r="J4251" s="9"/>
      <c r="K4251" s="9"/>
      <c r="L4251" s="9"/>
      <c r="M4251" s="9"/>
    </row>
    <row r="4252" spans="9:13" x14ac:dyDescent="0.3">
      <c r="I4252" s="7"/>
      <c r="J4252" s="9"/>
      <c r="K4252" s="9"/>
      <c r="L4252" s="9"/>
      <c r="M4252" s="9"/>
    </row>
    <row r="4253" spans="9:13" x14ac:dyDescent="0.3">
      <c r="I4253" s="7"/>
      <c r="J4253" s="9"/>
      <c r="K4253" s="9"/>
      <c r="L4253" s="9"/>
      <c r="M4253" s="9"/>
    </row>
    <row r="4254" spans="9:13" x14ac:dyDescent="0.3">
      <c r="I4254" s="7"/>
      <c r="J4254" s="9"/>
      <c r="K4254" s="9"/>
      <c r="L4254" s="9"/>
      <c r="M4254" s="9"/>
    </row>
    <row r="4255" spans="9:13" x14ac:dyDescent="0.3">
      <c r="I4255" s="7"/>
      <c r="J4255" s="9"/>
      <c r="K4255" s="9"/>
      <c r="L4255" s="9"/>
      <c r="M4255" s="9"/>
    </row>
    <row r="4256" spans="9:13" x14ac:dyDescent="0.3">
      <c r="I4256" s="7"/>
      <c r="J4256" s="9"/>
      <c r="K4256" s="9"/>
      <c r="L4256" s="9"/>
      <c r="M4256" s="9"/>
    </row>
    <row r="4257" spans="9:13" x14ac:dyDescent="0.3">
      <c r="I4257" s="7"/>
      <c r="J4257" s="9"/>
      <c r="K4257" s="9"/>
      <c r="L4257" s="9"/>
      <c r="M4257" s="9"/>
    </row>
    <row r="4258" spans="9:13" x14ac:dyDescent="0.3">
      <c r="I4258" s="7"/>
      <c r="J4258" s="9"/>
      <c r="K4258" s="9"/>
      <c r="L4258" s="9"/>
      <c r="M4258" s="9"/>
    </row>
    <row r="4259" spans="9:13" x14ac:dyDescent="0.3">
      <c r="I4259" s="7"/>
      <c r="J4259" s="9"/>
      <c r="K4259" s="9"/>
      <c r="L4259" s="9"/>
      <c r="M4259" s="9"/>
    </row>
    <row r="4260" spans="9:13" x14ac:dyDescent="0.3">
      <c r="I4260" s="7"/>
      <c r="J4260" s="9"/>
      <c r="K4260" s="9"/>
      <c r="L4260" s="9"/>
      <c r="M4260" s="9"/>
    </row>
    <row r="4261" spans="9:13" x14ac:dyDescent="0.3">
      <c r="I4261" s="7"/>
      <c r="J4261" s="9"/>
      <c r="K4261" s="9"/>
      <c r="L4261" s="9"/>
      <c r="M4261" s="9"/>
    </row>
    <row r="4262" spans="9:13" x14ac:dyDescent="0.3">
      <c r="I4262" s="7"/>
      <c r="J4262" s="9"/>
      <c r="K4262" s="9"/>
      <c r="L4262" s="9"/>
      <c r="M4262" s="9"/>
    </row>
    <row r="4263" spans="9:13" x14ac:dyDescent="0.3">
      <c r="I4263" s="7"/>
      <c r="J4263" s="9"/>
      <c r="K4263" s="9"/>
      <c r="L4263" s="9"/>
      <c r="M4263" s="9"/>
    </row>
    <row r="4264" spans="9:13" x14ac:dyDescent="0.3">
      <c r="I4264" s="7"/>
      <c r="J4264" s="9"/>
      <c r="K4264" s="9"/>
      <c r="L4264" s="9"/>
      <c r="M4264" s="9"/>
    </row>
    <row r="4265" spans="9:13" x14ac:dyDescent="0.3">
      <c r="I4265" s="7"/>
      <c r="J4265" s="9"/>
      <c r="K4265" s="9"/>
      <c r="L4265" s="9"/>
      <c r="M4265" s="9"/>
    </row>
    <row r="4266" spans="9:13" x14ac:dyDescent="0.3">
      <c r="I4266" s="7"/>
      <c r="J4266" s="9"/>
      <c r="K4266" s="9"/>
      <c r="L4266" s="9"/>
      <c r="M4266" s="9"/>
    </row>
    <row r="4267" spans="9:13" x14ac:dyDescent="0.3">
      <c r="I4267" s="7"/>
      <c r="J4267" s="9"/>
      <c r="K4267" s="9"/>
      <c r="L4267" s="9"/>
      <c r="M4267" s="9"/>
    </row>
    <row r="4268" spans="9:13" x14ac:dyDescent="0.3">
      <c r="I4268" s="7"/>
      <c r="J4268" s="9"/>
      <c r="K4268" s="9"/>
      <c r="L4268" s="9"/>
      <c r="M4268" s="9"/>
    </row>
    <row r="4269" spans="9:13" x14ac:dyDescent="0.3">
      <c r="I4269" s="7"/>
      <c r="J4269" s="9"/>
      <c r="K4269" s="9"/>
      <c r="L4269" s="9"/>
      <c r="M4269" s="9"/>
    </row>
    <row r="4270" spans="9:13" x14ac:dyDescent="0.3">
      <c r="I4270" s="7"/>
      <c r="J4270" s="9"/>
      <c r="K4270" s="9"/>
      <c r="L4270" s="9"/>
      <c r="M4270" s="9"/>
    </row>
    <row r="4271" spans="9:13" x14ac:dyDescent="0.3">
      <c r="I4271" s="7"/>
      <c r="J4271" s="9"/>
      <c r="K4271" s="9"/>
      <c r="L4271" s="9"/>
      <c r="M4271" s="9"/>
    </row>
    <row r="4272" spans="9:13" x14ac:dyDescent="0.3">
      <c r="I4272" s="7"/>
      <c r="J4272" s="9"/>
      <c r="K4272" s="9"/>
      <c r="L4272" s="9"/>
      <c r="M4272" s="9"/>
    </row>
    <row r="4273" spans="9:13" x14ac:dyDescent="0.3">
      <c r="I4273" s="7"/>
      <c r="J4273" s="9"/>
      <c r="K4273" s="9"/>
      <c r="L4273" s="9"/>
      <c r="M4273" s="9"/>
    </row>
    <row r="4274" spans="9:13" x14ac:dyDescent="0.3">
      <c r="I4274" s="7"/>
      <c r="J4274" s="9"/>
      <c r="K4274" s="9"/>
      <c r="L4274" s="9"/>
      <c r="M4274" s="9"/>
    </row>
    <row r="4275" spans="9:13" x14ac:dyDescent="0.3">
      <c r="I4275" s="7"/>
      <c r="J4275" s="9"/>
      <c r="K4275" s="9"/>
      <c r="L4275" s="9"/>
      <c r="M4275" s="9"/>
    </row>
    <row r="4276" spans="9:13" x14ac:dyDescent="0.3">
      <c r="I4276" s="7"/>
      <c r="J4276" s="9"/>
      <c r="K4276" s="9"/>
      <c r="L4276" s="9"/>
      <c r="M4276" s="9"/>
    </row>
    <row r="4277" spans="9:13" x14ac:dyDescent="0.3">
      <c r="I4277" s="7"/>
      <c r="J4277" s="9"/>
      <c r="K4277" s="9"/>
      <c r="L4277" s="9"/>
      <c r="M4277" s="9"/>
    </row>
    <row r="4278" spans="9:13" x14ac:dyDescent="0.3">
      <c r="I4278" s="7"/>
      <c r="J4278" s="9"/>
      <c r="K4278" s="9"/>
      <c r="L4278" s="9"/>
      <c r="M4278" s="9"/>
    </row>
    <row r="4279" spans="9:13" x14ac:dyDescent="0.3">
      <c r="I4279" s="7"/>
      <c r="J4279" s="9"/>
      <c r="K4279" s="9"/>
      <c r="L4279" s="9"/>
      <c r="M4279" s="9"/>
    </row>
    <row r="4280" spans="9:13" x14ac:dyDescent="0.3">
      <c r="I4280" s="7"/>
      <c r="J4280" s="9"/>
      <c r="K4280" s="9"/>
      <c r="L4280" s="9"/>
      <c r="M4280" s="9"/>
    </row>
    <row r="4281" spans="9:13" x14ac:dyDescent="0.3">
      <c r="I4281" s="7"/>
      <c r="J4281" s="9"/>
      <c r="K4281" s="9"/>
      <c r="L4281" s="9"/>
      <c r="M4281" s="9"/>
    </row>
    <row r="4282" spans="9:13" x14ac:dyDescent="0.3">
      <c r="I4282" s="7"/>
      <c r="J4282" s="9"/>
      <c r="K4282" s="9"/>
      <c r="L4282" s="9"/>
      <c r="M4282" s="9"/>
    </row>
    <row r="4283" spans="9:13" x14ac:dyDescent="0.3">
      <c r="I4283" s="7"/>
      <c r="J4283" s="9"/>
      <c r="K4283" s="9"/>
      <c r="L4283" s="9"/>
      <c r="M4283" s="9"/>
    </row>
    <row r="4284" spans="9:13" x14ac:dyDescent="0.3">
      <c r="I4284" s="7"/>
      <c r="J4284" s="9"/>
      <c r="K4284" s="9"/>
      <c r="L4284" s="9"/>
      <c r="M4284" s="9"/>
    </row>
    <row r="4285" spans="9:13" x14ac:dyDescent="0.3">
      <c r="I4285" s="7"/>
      <c r="J4285" s="9"/>
      <c r="K4285" s="9"/>
      <c r="L4285" s="9"/>
      <c r="M4285" s="9"/>
    </row>
    <row r="4286" spans="9:13" x14ac:dyDescent="0.3">
      <c r="I4286" s="7"/>
      <c r="J4286" s="9"/>
      <c r="K4286" s="9"/>
      <c r="L4286" s="9"/>
      <c r="M4286" s="9"/>
    </row>
    <row r="4287" spans="9:13" x14ac:dyDescent="0.3">
      <c r="I4287" s="7"/>
      <c r="J4287" s="9"/>
      <c r="K4287" s="9"/>
      <c r="L4287" s="9"/>
      <c r="M4287" s="9"/>
    </row>
    <row r="4288" spans="9:13" x14ac:dyDescent="0.3">
      <c r="I4288" s="7"/>
      <c r="J4288" s="9"/>
      <c r="K4288" s="9"/>
      <c r="L4288" s="9"/>
      <c r="M4288" s="9"/>
    </row>
    <row r="4289" spans="9:13" x14ac:dyDescent="0.3">
      <c r="I4289" s="7"/>
      <c r="J4289" s="9"/>
      <c r="K4289" s="9"/>
      <c r="L4289" s="9"/>
      <c r="M4289" s="9"/>
    </row>
    <row r="4290" spans="9:13" x14ac:dyDescent="0.3">
      <c r="I4290" s="7"/>
      <c r="J4290" s="9"/>
      <c r="K4290" s="9"/>
      <c r="L4290" s="9"/>
      <c r="M4290" s="9"/>
    </row>
    <row r="4291" spans="9:13" x14ac:dyDescent="0.3">
      <c r="I4291" s="7"/>
      <c r="J4291" s="9"/>
      <c r="K4291" s="9"/>
      <c r="L4291" s="9"/>
      <c r="M4291" s="9"/>
    </row>
    <row r="4292" spans="9:13" x14ac:dyDescent="0.3">
      <c r="I4292" s="7"/>
      <c r="J4292" s="9"/>
      <c r="K4292" s="9"/>
      <c r="L4292" s="9"/>
      <c r="M4292" s="9"/>
    </row>
    <row r="4293" spans="9:13" x14ac:dyDescent="0.3">
      <c r="I4293" s="7"/>
      <c r="J4293" s="9"/>
      <c r="K4293" s="9"/>
      <c r="L4293" s="9"/>
      <c r="M4293" s="9"/>
    </row>
    <row r="4294" spans="9:13" x14ac:dyDescent="0.3">
      <c r="I4294" s="7"/>
      <c r="J4294" s="9"/>
      <c r="K4294" s="9"/>
      <c r="L4294" s="9"/>
      <c r="M4294" s="9"/>
    </row>
    <row r="4295" spans="9:13" x14ac:dyDescent="0.3">
      <c r="I4295" s="7"/>
      <c r="J4295" s="9"/>
      <c r="K4295" s="9"/>
      <c r="L4295" s="9"/>
      <c r="M4295" s="9"/>
    </row>
    <row r="4296" spans="9:13" x14ac:dyDescent="0.3">
      <c r="I4296" s="7"/>
      <c r="J4296" s="9"/>
      <c r="K4296" s="9"/>
      <c r="L4296" s="9"/>
      <c r="M4296" s="9"/>
    </row>
    <row r="4297" spans="9:13" x14ac:dyDescent="0.3">
      <c r="I4297" s="7"/>
      <c r="J4297" s="9"/>
      <c r="K4297" s="9"/>
      <c r="L4297" s="9"/>
      <c r="M4297" s="9"/>
    </row>
    <row r="4298" spans="9:13" x14ac:dyDescent="0.3">
      <c r="I4298" s="7"/>
      <c r="J4298" s="9"/>
      <c r="K4298" s="9"/>
      <c r="L4298" s="9"/>
      <c r="M4298" s="9"/>
    </row>
    <row r="4299" spans="9:13" x14ac:dyDescent="0.3">
      <c r="I4299" s="7"/>
      <c r="J4299" s="9"/>
      <c r="K4299" s="9"/>
      <c r="L4299" s="9"/>
      <c r="M4299" s="9"/>
    </row>
    <row r="4300" spans="9:13" x14ac:dyDescent="0.3">
      <c r="I4300" s="7"/>
      <c r="J4300" s="9"/>
      <c r="K4300" s="9"/>
      <c r="L4300" s="9"/>
      <c r="M4300" s="9"/>
    </row>
    <row r="4301" spans="9:13" x14ac:dyDescent="0.3">
      <c r="I4301" s="7"/>
      <c r="J4301" s="9"/>
      <c r="K4301" s="9"/>
      <c r="L4301" s="9"/>
      <c r="M4301" s="9"/>
    </row>
    <row r="4302" spans="9:13" x14ac:dyDescent="0.3">
      <c r="I4302" s="7"/>
      <c r="J4302" s="9"/>
      <c r="K4302" s="9"/>
      <c r="L4302" s="9"/>
      <c r="M4302" s="9"/>
    </row>
    <row r="4303" spans="9:13" x14ac:dyDescent="0.3">
      <c r="I4303" s="7"/>
      <c r="J4303" s="9"/>
      <c r="K4303" s="9"/>
      <c r="L4303" s="9"/>
      <c r="M4303" s="9"/>
    </row>
    <row r="4304" spans="9:13" x14ac:dyDescent="0.3">
      <c r="I4304" s="7"/>
      <c r="J4304" s="9"/>
      <c r="K4304" s="9"/>
      <c r="L4304" s="9"/>
      <c r="M4304" s="9"/>
    </row>
    <row r="4305" spans="9:13" x14ac:dyDescent="0.3">
      <c r="I4305" s="7"/>
      <c r="J4305" s="9"/>
      <c r="K4305" s="9"/>
      <c r="L4305" s="9"/>
      <c r="M4305" s="9"/>
    </row>
    <row r="4306" spans="9:13" x14ac:dyDescent="0.3">
      <c r="I4306" s="7"/>
      <c r="J4306" s="9"/>
      <c r="K4306" s="9"/>
      <c r="L4306" s="9"/>
      <c r="M4306" s="9"/>
    </row>
    <row r="4307" spans="9:13" x14ac:dyDescent="0.3">
      <c r="I4307" s="7"/>
      <c r="J4307" s="9"/>
      <c r="K4307" s="9"/>
      <c r="L4307" s="9"/>
      <c r="M4307" s="9"/>
    </row>
    <row r="4308" spans="9:13" x14ac:dyDescent="0.3">
      <c r="I4308" s="7"/>
      <c r="J4308" s="9"/>
      <c r="K4308" s="9"/>
      <c r="L4308" s="9"/>
      <c r="M4308" s="9"/>
    </row>
    <row r="4309" spans="9:13" x14ac:dyDescent="0.3">
      <c r="I4309" s="7"/>
      <c r="J4309" s="9"/>
      <c r="K4309" s="9"/>
      <c r="L4309" s="9"/>
      <c r="M4309" s="9"/>
    </row>
    <row r="4310" spans="9:13" x14ac:dyDescent="0.3">
      <c r="I4310" s="7"/>
      <c r="J4310" s="9"/>
      <c r="K4310" s="9"/>
      <c r="L4310" s="9"/>
      <c r="M4310" s="9"/>
    </row>
    <row r="4311" spans="9:13" x14ac:dyDescent="0.3">
      <c r="I4311" s="7"/>
      <c r="J4311" s="9"/>
      <c r="K4311" s="9"/>
      <c r="L4311" s="9"/>
      <c r="M4311" s="9"/>
    </row>
    <row r="4312" spans="9:13" x14ac:dyDescent="0.3">
      <c r="I4312" s="7"/>
      <c r="J4312" s="9"/>
      <c r="K4312" s="9"/>
      <c r="L4312" s="9"/>
      <c r="M4312" s="9"/>
    </row>
    <row r="4313" spans="9:13" x14ac:dyDescent="0.3">
      <c r="I4313" s="7"/>
      <c r="J4313" s="9"/>
      <c r="K4313" s="9"/>
      <c r="L4313" s="9"/>
      <c r="M4313" s="9"/>
    </row>
    <row r="4314" spans="9:13" x14ac:dyDescent="0.3">
      <c r="I4314" s="7"/>
      <c r="J4314" s="9"/>
      <c r="K4314" s="9"/>
      <c r="L4314" s="9"/>
      <c r="M4314" s="9"/>
    </row>
    <row r="4315" spans="9:13" x14ac:dyDescent="0.3">
      <c r="I4315" s="7"/>
      <c r="J4315" s="9"/>
      <c r="K4315" s="9"/>
      <c r="L4315" s="9"/>
      <c r="M4315" s="9"/>
    </row>
    <row r="4316" spans="9:13" x14ac:dyDescent="0.3">
      <c r="I4316" s="7"/>
      <c r="J4316" s="9"/>
      <c r="K4316" s="9"/>
      <c r="L4316" s="9"/>
      <c r="M4316" s="9"/>
    </row>
    <row r="4317" spans="9:13" x14ac:dyDescent="0.3">
      <c r="I4317" s="7"/>
      <c r="J4317" s="9"/>
      <c r="K4317" s="9"/>
      <c r="L4317" s="9"/>
      <c r="M4317" s="9"/>
    </row>
    <row r="4318" spans="9:13" x14ac:dyDescent="0.3">
      <c r="I4318" s="7"/>
      <c r="J4318" s="9"/>
      <c r="K4318" s="9"/>
      <c r="L4318" s="9"/>
      <c r="M4318" s="9"/>
    </row>
    <row r="4319" spans="9:13" x14ac:dyDescent="0.3">
      <c r="I4319" s="7"/>
      <c r="J4319" s="9"/>
      <c r="K4319" s="9"/>
      <c r="L4319" s="9"/>
      <c r="M4319" s="9"/>
    </row>
    <row r="4320" spans="9:13" x14ac:dyDescent="0.3">
      <c r="I4320" s="7"/>
      <c r="J4320" s="9"/>
      <c r="K4320" s="9"/>
      <c r="L4320" s="9"/>
      <c r="M4320" s="9"/>
    </row>
    <row r="4321" spans="9:13" x14ac:dyDescent="0.3">
      <c r="I4321" s="7"/>
      <c r="J4321" s="9"/>
      <c r="K4321" s="9"/>
      <c r="L4321" s="9"/>
      <c r="M4321" s="9"/>
    </row>
    <row r="4322" spans="9:13" x14ac:dyDescent="0.3">
      <c r="I4322" s="7"/>
      <c r="J4322" s="9"/>
      <c r="K4322" s="9"/>
      <c r="L4322" s="9"/>
      <c r="M4322" s="9"/>
    </row>
    <row r="4323" spans="9:13" x14ac:dyDescent="0.3">
      <c r="I4323" s="7"/>
      <c r="J4323" s="9"/>
      <c r="K4323" s="9"/>
      <c r="L4323" s="9"/>
      <c r="M4323" s="9"/>
    </row>
    <row r="4324" spans="9:13" x14ac:dyDescent="0.3">
      <c r="I4324" s="7"/>
      <c r="J4324" s="9"/>
      <c r="K4324" s="9"/>
      <c r="L4324" s="9"/>
      <c r="M4324" s="9"/>
    </row>
    <row r="4325" spans="9:13" x14ac:dyDescent="0.3">
      <c r="I4325" s="7"/>
      <c r="J4325" s="9"/>
      <c r="K4325" s="9"/>
      <c r="L4325" s="9"/>
      <c r="M4325" s="9"/>
    </row>
    <row r="4326" spans="9:13" x14ac:dyDescent="0.3">
      <c r="I4326" s="7"/>
      <c r="J4326" s="9"/>
      <c r="K4326" s="9"/>
      <c r="L4326" s="9"/>
      <c r="M4326" s="9"/>
    </row>
    <row r="4327" spans="9:13" x14ac:dyDescent="0.3">
      <c r="I4327" s="7"/>
      <c r="J4327" s="9"/>
      <c r="K4327" s="9"/>
      <c r="L4327" s="9"/>
      <c r="M4327" s="9"/>
    </row>
    <row r="4328" spans="9:13" x14ac:dyDescent="0.3">
      <c r="I4328" s="7"/>
      <c r="J4328" s="9"/>
      <c r="K4328" s="9"/>
      <c r="L4328" s="9"/>
      <c r="M4328" s="9"/>
    </row>
    <row r="4329" spans="9:13" x14ac:dyDescent="0.3">
      <c r="I4329" s="7"/>
      <c r="J4329" s="9"/>
      <c r="K4329" s="9"/>
      <c r="L4329" s="9"/>
      <c r="M4329" s="9"/>
    </row>
    <row r="4330" spans="9:13" x14ac:dyDescent="0.3">
      <c r="I4330" s="7"/>
      <c r="J4330" s="9"/>
      <c r="K4330" s="9"/>
      <c r="L4330" s="9"/>
      <c r="M4330" s="9"/>
    </row>
    <row r="4331" spans="9:13" x14ac:dyDescent="0.3">
      <c r="I4331" s="7"/>
      <c r="J4331" s="9"/>
      <c r="K4331" s="9"/>
      <c r="L4331" s="9"/>
      <c r="M4331" s="9"/>
    </row>
    <row r="4332" spans="9:13" x14ac:dyDescent="0.3">
      <c r="I4332" s="7"/>
      <c r="J4332" s="9"/>
      <c r="K4332" s="9"/>
      <c r="L4332" s="9"/>
      <c r="M4332" s="9"/>
    </row>
    <row r="4333" spans="9:13" x14ac:dyDescent="0.3">
      <c r="I4333" s="7"/>
      <c r="J4333" s="9"/>
      <c r="K4333" s="9"/>
      <c r="L4333" s="9"/>
      <c r="M4333" s="9"/>
    </row>
    <row r="4334" spans="9:13" x14ac:dyDescent="0.3">
      <c r="I4334" s="7"/>
      <c r="J4334" s="9"/>
      <c r="K4334" s="9"/>
      <c r="L4334" s="9"/>
      <c r="M4334" s="9"/>
    </row>
    <row r="4335" spans="9:13" x14ac:dyDescent="0.3">
      <c r="I4335" s="7"/>
      <c r="J4335" s="9"/>
      <c r="K4335" s="9"/>
      <c r="L4335" s="9"/>
      <c r="M4335" s="9"/>
    </row>
    <row r="4336" spans="9:13" x14ac:dyDescent="0.3">
      <c r="I4336" s="7"/>
      <c r="J4336" s="9"/>
      <c r="K4336" s="9"/>
      <c r="L4336" s="9"/>
      <c r="M4336" s="9"/>
    </row>
    <row r="4337" spans="9:13" x14ac:dyDescent="0.3">
      <c r="I4337" s="7"/>
      <c r="J4337" s="9"/>
      <c r="K4337" s="9"/>
      <c r="L4337" s="9"/>
      <c r="M4337" s="9"/>
    </row>
    <row r="4338" spans="9:13" x14ac:dyDescent="0.3">
      <c r="I4338" s="7"/>
      <c r="J4338" s="9"/>
      <c r="K4338" s="9"/>
      <c r="L4338" s="9"/>
      <c r="M4338" s="9"/>
    </row>
    <row r="4339" spans="9:13" x14ac:dyDescent="0.3">
      <c r="I4339" s="7"/>
      <c r="J4339" s="9"/>
      <c r="K4339" s="9"/>
      <c r="L4339" s="9"/>
      <c r="M4339" s="9"/>
    </row>
    <row r="4340" spans="9:13" x14ac:dyDescent="0.3">
      <c r="I4340" s="7"/>
      <c r="J4340" s="9"/>
      <c r="K4340" s="9"/>
      <c r="L4340" s="9"/>
      <c r="M4340" s="9"/>
    </row>
    <row r="4341" spans="9:13" x14ac:dyDescent="0.3">
      <c r="I4341" s="7"/>
      <c r="J4341" s="9"/>
      <c r="K4341" s="9"/>
      <c r="L4341" s="9"/>
      <c r="M4341" s="9"/>
    </row>
    <row r="4342" spans="9:13" x14ac:dyDescent="0.3">
      <c r="I4342" s="7"/>
      <c r="J4342" s="9"/>
      <c r="K4342" s="9"/>
      <c r="L4342" s="9"/>
      <c r="M4342" s="9"/>
    </row>
    <row r="4343" spans="9:13" x14ac:dyDescent="0.3">
      <c r="I4343" s="7"/>
      <c r="J4343" s="9"/>
      <c r="K4343" s="9"/>
      <c r="L4343" s="9"/>
      <c r="M4343" s="9"/>
    </row>
    <row r="4344" spans="9:13" x14ac:dyDescent="0.3">
      <c r="I4344" s="7"/>
      <c r="J4344" s="9"/>
      <c r="K4344" s="9"/>
      <c r="L4344" s="9"/>
      <c r="M4344" s="9"/>
    </row>
    <row r="4345" spans="9:13" x14ac:dyDescent="0.3">
      <c r="I4345" s="7"/>
      <c r="J4345" s="9"/>
      <c r="K4345" s="9"/>
      <c r="L4345" s="9"/>
      <c r="M4345" s="9"/>
    </row>
    <row r="4346" spans="9:13" x14ac:dyDescent="0.3">
      <c r="I4346" s="7"/>
      <c r="J4346" s="9"/>
      <c r="K4346" s="9"/>
      <c r="L4346" s="9"/>
      <c r="M4346" s="9"/>
    </row>
    <row r="4347" spans="9:13" x14ac:dyDescent="0.3">
      <c r="I4347" s="7"/>
      <c r="J4347" s="9"/>
      <c r="K4347" s="9"/>
      <c r="L4347" s="9"/>
      <c r="M4347" s="9"/>
    </row>
    <row r="4348" spans="9:13" x14ac:dyDescent="0.3">
      <c r="I4348" s="7"/>
      <c r="J4348" s="9"/>
      <c r="K4348" s="9"/>
      <c r="L4348" s="9"/>
      <c r="M4348" s="9"/>
    </row>
    <row r="4349" spans="9:13" x14ac:dyDescent="0.3">
      <c r="I4349" s="7"/>
      <c r="J4349" s="9"/>
      <c r="K4349" s="9"/>
      <c r="L4349" s="9"/>
      <c r="M4349" s="9"/>
    </row>
    <row r="4350" spans="9:13" x14ac:dyDescent="0.3">
      <c r="I4350" s="7"/>
      <c r="J4350" s="9"/>
      <c r="K4350" s="9"/>
      <c r="L4350" s="9"/>
      <c r="M4350" s="9"/>
    </row>
    <row r="4351" spans="9:13" x14ac:dyDescent="0.3">
      <c r="I4351" s="7"/>
      <c r="J4351" s="9"/>
      <c r="K4351" s="9"/>
      <c r="L4351" s="9"/>
      <c r="M4351" s="9"/>
    </row>
    <row r="4352" spans="9:13" x14ac:dyDescent="0.3">
      <c r="I4352" s="7"/>
      <c r="J4352" s="9"/>
      <c r="K4352" s="9"/>
      <c r="L4352" s="9"/>
      <c r="M4352" s="9"/>
    </row>
    <row r="4353" spans="9:13" x14ac:dyDescent="0.3">
      <c r="I4353" s="7"/>
      <c r="J4353" s="9"/>
      <c r="K4353" s="9"/>
      <c r="L4353" s="9"/>
      <c r="M4353" s="9"/>
    </row>
    <row r="4354" spans="9:13" x14ac:dyDescent="0.3">
      <c r="I4354" s="7"/>
      <c r="J4354" s="9"/>
      <c r="K4354" s="9"/>
      <c r="L4354" s="9"/>
      <c r="M4354" s="9"/>
    </row>
    <row r="4355" spans="9:13" x14ac:dyDescent="0.3">
      <c r="I4355" s="7"/>
      <c r="J4355" s="9"/>
      <c r="K4355" s="9"/>
      <c r="L4355" s="9"/>
      <c r="M4355" s="9"/>
    </row>
    <row r="4356" spans="9:13" x14ac:dyDescent="0.3">
      <c r="I4356" s="7"/>
      <c r="J4356" s="9"/>
      <c r="K4356" s="9"/>
      <c r="L4356" s="9"/>
      <c r="M4356" s="9"/>
    </row>
    <row r="4357" spans="9:13" x14ac:dyDescent="0.3">
      <c r="I4357" s="7"/>
      <c r="J4357" s="9"/>
      <c r="K4357" s="9"/>
      <c r="L4357" s="9"/>
      <c r="M4357" s="9"/>
    </row>
    <row r="4358" spans="9:13" x14ac:dyDescent="0.3">
      <c r="I4358" s="7"/>
      <c r="J4358" s="9"/>
      <c r="K4358" s="9"/>
      <c r="L4358" s="9"/>
      <c r="M4358" s="9"/>
    </row>
    <row r="4359" spans="9:13" x14ac:dyDescent="0.3">
      <c r="I4359" s="7"/>
      <c r="J4359" s="9"/>
      <c r="K4359" s="9"/>
      <c r="L4359" s="9"/>
      <c r="M4359" s="9"/>
    </row>
    <row r="4360" spans="9:13" x14ac:dyDescent="0.3">
      <c r="I4360" s="7"/>
      <c r="J4360" s="9"/>
      <c r="K4360" s="9"/>
      <c r="L4360" s="9"/>
      <c r="M4360" s="9"/>
    </row>
    <row r="4361" spans="9:13" x14ac:dyDescent="0.3">
      <c r="I4361" s="7"/>
      <c r="J4361" s="9"/>
      <c r="K4361" s="9"/>
      <c r="L4361" s="9"/>
      <c r="M4361" s="9"/>
    </row>
    <row r="4362" spans="9:13" x14ac:dyDescent="0.3">
      <c r="I4362" s="7"/>
      <c r="J4362" s="9"/>
      <c r="K4362" s="9"/>
      <c r="L4362" s="9"/>
      <c r="M4362" s="9"/>
    </row>
    <row r="4363" spans="9:13" x14ac:dyDescent="0.3">
      <c r="I4363" s="7"/>
      <c r="J4363" s="9"/>
      <c r="K4363" s="9"/>
      <c r="L4363" s="9"/>
      <c r="M4363" s="9"/>
    </row>
    <row r="4364" spans="9:13" x14ac:dyDescent="0.3">
      <c r="I4364" s="7"/>
      <c r="J4364" s="9"/>
      <c r="K4364" s="9"/>
      <c r="L4364" s="9"/>
      <c r="M4364" s="9"/>
    </row>
    <row r="4365" spans="9:13" x14ac:dyDescent="0.3">
      <c r="I4365" s="7"/>
      <c r="J4365" s="9"/>
      <c r="K4365" s="9"/>
      <c r="L4365" s="9"/>
      <c r="M4365" s="9"/>
    </row>
    <row r="4366" spans="9:13" x14ac:dyDescent="0.3">
      <c r="I4366" s="7"/>
      <c r="J4366" s="9"/>
      <c r="K4366" s="9"/>
      <c r="L4366" s="9"/>
      <c r="M4366" s="9"/>
    </row>
    <row r="4367" spans="9:13" x14ac:dyDescent="0.3">
      <c r="I4367" s="7"/>
      <c r="J4367" s="9"/>
      <c r="K4367" s="9"/>
      <c r="L4367" s="9"/>
      <c r="M4367" s="9"/>
    </row>
    <row r="4368" spans="9:13" x14ac:dyDescent="0.3">
      <c r="I4368" s="7"/>
      <c r="J4368" s="9"/>
      <c r="K4368" s="9"/>
      <c r="L4368" s="9"/>
      <c r="M4368" s="9"/>
    </row>
    <row r="4369" spans="9:13" x14ac:dyDescent="0.3">
      <c r="I4369" s="7"/>
      <c r="J4369" s="9"/>
      <c r="K4369" s="9"/>
      <c r="L4369" s="9"/>
      <c r="M4369" s="9"/>
    </row>
    <row r="4370" spans="9:13" x14ac:dyDescent="0.3">
      <c r="I4370" s="7"/>
      <c r="J4370" s="9"/>
      <c r="K4370" s="9"/>
      <c r="L4370" s="9"/>
      <c r="M4370" s="9"/>
    </row>
    <row r="4371" spans="9:13" x14ac:dyDescent="0.3">
      <c r="I4371" s="7"/>
      <c r="J4371" s="9"/>
      <c r="K4371" s="9"/>
      <c r="L4371" s="9"/>
      <c r="M4371" s="9"/>
    </row>
    <row r="4372" spans="9:13" x14ac:dyDescent="0.3">
      <c r="I4372" s="7"/>
      <c r="J4372" s="9"/>
      <c r="K4372" s="9"/>
      <c r="L4372" s="9"/>
      <c r="M4372" s="9"/>
    </row>
    <row r="4373" spans="9:13" x14ac:dyDescent="0.3">
      <c r="I4373" s="7"/>
      <c r="J4373" s="9"/>
      <c r="K4373" s="9"/>
      <c r="L4373" s="9"/>
      <c r="M4373" s="9"/>
    </row>
    <row r="4374" spans="9:13" x14ac:dyDescent="0.3">
      <c r="I4374" s="7"/>
      <c r="J4374" s="9"/>
      <c r="K4374" s="9"/>
      <c r="L4374" s="9"/>
      <c r="M4374" s="9"/>
    </row>
    <row r="4375" spans="9:13" x14ac:dyDescent="0.3">
      <c r="I4375" s="7"/>
      <c r="J4375" s="9"/>
      <c r="K4375" s="9"/>
      <c r="L4375" s="9"/>
      <c r="M4375" s="9"/>
    </row>
    <row r="4376" spans="9:13" x14ac:dyDescent="0.3">
      <c r="I4376" s="7"/>
      <c r="J4376" s="9"/>
      <c r="K4376" s="9"/>
      <c r="L4376" s="9"/>
      <c r="M4376" s="9"/>
    </row>
    <row r="4377" spans="9:13" x14ac:dyDescent="0.3">
      <c r="I4377" s="7"/>
      <c r="J4377" s="9"/>
      <c r="K4377" s="9"/>
      <c r="L4377" s="9"/>
      <c r="M4377" s="9"/>
    </row>
    <row r="4378" spans="9:13" x14ac:dyDescent="0.3">
      <c r="I4378" s="7"/>
      <c r="J4378" s="9"/>
      <c r="K4378" s="9"/>
      <c r="L4378" s="9"/>
      <c r="M4378" s="9"/>
    </row>
    <row r="4379" spans="9:13" x14ac:dyDescent="0.3">
      <c r="I4379" s="7"/>
      <c r="J4379" s="9"/>
      <c r="K4379" s="9"/>
      <c r="L4379" s="9"/>
      <c r="M4379" s="9"/>
    </row>
    <row r="4380" spans="9:13" x14ac:dyDescent="0.3">
      <c r="I4380" s="7"/>
      <c r="J4380" s="9"/>
      <c r="K4380" s="9"/>
      <c r="L4380" s="9"/>
      <c r="M4380" s="9"/>
    </row>
    <row r="4381" spans="9:13" x14ac:dyDescent="0.3">
      <c r="I4381" s="7"/>
      <c r="J4381" s="9"/>
      <c r="K4381" s="9"/>
      <c r="L4381" s="9"/>
      <c r="M4381" s="9"/>
    </row>
    <row r="4382" spans="9:13" x14ac:dyDescent="0.3">
      <c r="I4382" s="7"/>
      <c r="J4382" s="9"/>
      <c r="K4382" s="9"/>
      <c r="L4382" s="9"/>
      <c r="M4382" s="9"/>
    </row>
    <row r="4383" spans="9:13" x14ac:dyDescent="0.3">
      <c r="I4383" s="7"/>
      <c r="J4383" s="9"/>
      <c r="K4383" s="9"/>
      <c r="L4383" s="9"/>
      <c r="M4383" s="9"/>
    </row>
    <row r="4384" spans="9:13" x14ac:dyDescent="0.3">
      <c r="I4384" s="7"/>
      <c r="J4384" s="9"/>
      <c r="K4384" s="9"/>
      <c r="L4384" s="9"/>
      <c r="M4384" s="9"/>
    </row>
    <row r="4385" spans="9:13" x14ac:dyDescent="0.3">
      <c r="I4385" s="7"/>
      <c r="J4385" s="9"/>
      <c r="K4385" s="9"/>
      <c r="L4385" s="9"/>
      <c r="M4385" s="9"/>
    </row>
    <row r="4386" spans="9:13" x14ac:dyDescent="0.3">
      <c r="I4386" s="7"/>
      <c r="J4386" s="9"/>
      <c r="K4386" s="9"/>
      <c r="L4386" s="9"/>
      <c r="M4386" s="9"/>
    </row>
    <row r="4387" spans="9:13" x14ac:dyDescent="0.3">
      <c r="I4387" s="7"/>
      <c r="J4387" s="9"/>
      <c r="K4387" s="9"/>
      <c r="L4387" s="9"/>
      <c r="M4387" s="9"/>
    </row>
    <row r="4388" spans="9:13" x14ac:dyDescent="0.3">
      <c r="I4388" s="7"/>
      <c r="J4388" s="9"/>
      <c r="K4388" s="9"/>
      <c r="L4388" s="9"/>
      <c r="M4388" s="9"/>
    </row>
    <row r="4389" spans="9:13" x14ac:dyDescent="0.3">
      <c r="I4389" s="7"/>
      <c r="J4389" s="9"/>
      <c r="K4389" s="9"/>
      <c r="L4389" s="9"/>
      <c r="M4389" s="9"/>
    </row>
    <row r="4390" spans="9:13" x14ac:dyDescent="0.3">
      <c r="I4390" s="7"/>
      <c r="J4390" s="9"/>
      <c r="K4390" s="9"/>
      <c r="L4390" s="9"/>
      <c r="M4390" s="9"/>
    </row>
    <row r="4391" spans="9:13" x14ac:dyDescent="0.3">
      <c r="I4391" s="7"/>
      <c r="J4391" s="9"/>
      <c r="K4391" s="9"/>
      <c r="L4391" s="9"/>
      <c r="M4391" s="9"/>
    </row>
    <row r="4392" spans="9:13" x14ac:dyDescent="0.3">
      <c r="I4392" s="7"/>
      <c r="J4392" s="9"/>
      <c r="K4392" s="9"/>
      <c r="L4392" s="9"/>
      <c r="M4392" s="9"/>
    </row>
    <row r="4393" spans="9:13" x14ac:dyDescent="0.3">
      <c r="I4393" s="7"/>
      <c r="J4393" s="9"/>
      <c r="K4393" s="9"/>
      <c r="L4393" s="9"/>
      <c r="M4393" s="9"/>
    </row>
    <row r="4394" spans="9:13" x14ac:dyDescent="0.3">
      <c r="I4394" s="7"/>
      <c r="J4394" s="9"/>
      <c r="K4394" s="9"/>
      <c r="L4394" s="9"/>
      <c r="M4394" s="9"/>
    </row>
    <row r="4395" spans="9:13" x14ac:dyDescent="0.3">
      <c r="I4395" s="7"/>
      <c r="J4395" s="9"/>
      <c r="K4395" s="9"/>
      <c r="L4395" s="9"/>
      <c r="M4395" s="9"/>
    </row>
    <row r="4396" spans="9:13" x14ac:dyDescent="0.3">
      <c r="I4396" s="7"/>
      <c r="J4396" s="9"/>
      <c r="K4396" s="9"/>
      <c r="L4396" s="9"/>
      <c r="M4396" s="9"/>
    </row>
    <row r="4397" spans="9:13" x14ac:dyDescent="0.3">
      <c r="I4397" s="7"/>
      <c r="J4397" s="9"/>
      <c r="K4397" s="9"/>
      <c r="L4397" s="9"/>
      <c r="M4397" s="9"/>
    </row>
    <row r="4398" spans="9:13" x14ac:dyDescent="0.3">
      <c r="I4398" s="7"/>
      <c r="J4398" s="9"/>
      <c r="K4398" s="9"/>
      <c r="L4398" s="9"/>
      <c r="M4398" s="9"/>
    </row>
    <row r="4399" spans="9:13" x14ac:dyDescent="0.3">
      <c r="I4399" s="7"/>
      <c r="J4399" s="9"/>
      <c r="K4399" s="9"/>
      <c r="L4399" s="9"/>
      <c r="M4399" s="9"/>
    </row>
    <row r="4400" spans="9:13" x14ac:dyDescent="0.3">
      <c r="I4400" s="7"/>
      <c r="J4400" s="9"/>
      <c r="K4400" s="9"/>
      <c r="L4400" s="9"/>
      <c r="M4400" s="9"/>
    </row>
    <row r="4401" spans="9:13" x14ac:dyDescent="0.3">
      <c r="I4401" s="7"/>
      <c r="J4401" s="9"/>
      <c r="K4401" s="9"/>
      <c r="L4401" s="9"/>
      <c r="M4401" s="9"/>
    </row>
    <row r="4402" spans="9:13" x14ac:dyDescent="0.3">
      <c r="I4402" s="7"/>
      <c r="J4402" s="9"/>
      <c r="K4402" s="9"/>
      <c r="L4402" s="9"/>
      <c r="M4402" s="9"/>
    </row>
    <row r="4403" spans="9:13" x14ac:dyDescent="0.3">
      <c r="I4403" s="7"/>
      <c r="J4403" s="9"/>
      <c r="K4403" s="9"/>
      <c r="L4403" s="9"/>
      <c r="M4403" s="9"/>
    </row>
    <row r="4404" spans="9:13" x14ac:dyDescent="0.3">
      <c r="I4404" s="7"/>
      <c r="J4404" s="9"/>
      <c r="K4404" s="9"/>
      <c r="L4404" s="9"/>
      <c r="M4404" s="9"/>
    </row>
    <row r="4405" spans="9:13" x14ac:dyDescent="0.3">
      <c r="I4405" s="7"/>
      <c r="J4405" s="9"/>
      <c r="K4405" s="9"/>
      <c r="L4405" s="9"/>
      <c r="M4405" s="9"/>
    </row>
    <row r="4406" spans="9:13" x14ac:dyDescent="0.3">
      <c r="I4406" s="7"/>
      <c r="J4406" s="9"/>
      <c r="K4406" s="9"/>
      <c r="L4406" s="9"/>
      <c r="M4406" s="9"/>
    </row>
    <row r="4407" spans="9:13" x14ac:dyDescent="0.3">
      <c r="I4407" s="7"/>
      <c r="J4407" s="9"/>
      <c r="K4407" s="9"/>
      <c r="L4407" s="9"/>
      <c r="M4407" s="9"/>
    </row>
    <row r="4408" spans="9:13" x14ac:dyDescent="0.3">
      <c r="I4408" s="7"/>
      <c r="J4408" s="9"/>
      <c r="K4408" s="9"/>
      <c r="L4408" s="9"/>
      <c r="M4408" s="9"/>
    </row>
    <row r="4409" spans="9:13" x14ac:dyDescent="0.3">
      <c r="I4409" s="7"/>
      <c r="J4409" s="9"/>
      <c r="K4409" s="9"/>
      <c r="L4409" s="9"/>
      <c r="M4409" s="9"/>
    </row>
    <row r="4410" spans="9:13" x14ac:dyDescent="0.3">
      <c r="I4410" s="7"/>
      <c r="J4410" s="9"/>
      <c r="K4410" s="9"/>
      <c r="L4410" s="9"/>
      <c r="M4410" s="9"/>
    </row>
    <row r="4411" spans="9:13" x14ac:dyDescent="0.3">
      <c r="I4411" s="7"/>
      <c r="J4411" s="9"/>
      <c r="K4411" s="9"/>
      <c r="L4411" s="9"/>
      <c r="M4411" s="9"/>
    </row>
    <row r="4412" spans="9:13" x14ac:dyDescent="0.3">
      <c r="I4412" s="7"/>
      <c r="J4412" s="9"/>
      <c r="K4412" s="9"/>
      <c r="L4412" s="9"/>
      <c r="M4412" s="9"/>
    </row>
    <row r="4413" spans="9:13" x14ac:dyDescent="0.3">
      <c r="I4413" s="7"/>
      <c r="J4413" s="9"/>
      <c r="K4413" s="9"/>
      <c r="L4413" s="9"/>
      <c r="M4413" s="9"/>
    </row>
    <row r="4414" spans="9:13" x14ac:dyDescent="0.3">
      <c r="I4414" s="7"/>
      <c r="J4414" s="9"/>
      <c r="K4414" s="9"/>
      <c r="L4414" s="9"/>
      <c r="M4414" s="9"/>
    </row>
    <row r="4415" spans="9:13" x14ac:dyDescent="0.3">
      <c r="I4415" s="7"/>
      <c r="J4415" s="9"/>
      <c r="K4415" s="9"/>
      <c r="L4415" s="9"/>
      <c r="M4415" s="9"/>
    </row>
    <row r="4416" spans="9:13" x14ac:dyDescent="0.3">
      <c r="I4416" s="7"/>
      <c r="J4416" s="9"/>
      <c r="K4416" s="9"/>
      <c r="L4416" s="9"/>
      <c r="M4416" s="9"/>
    </row>
    <row r="4417" spans="9:13" x14ac:dyDescent="0.3">
      <c r="I4417" s="7"/>
      <c r="J4417" s="9"/>
      <c r="K4417" s="9"/>
      <c r="L4417" s="9"/>
      <c r="M4417" s="9"/>
    </row>
    <row r="4418" spans="9:13" x14ac:dyDescent="0.3">
      <c r="I4418" s="7"/>
      <c r="J4418" s="9"/>
      <c r="K4418" s="9"/>
      <c r="L4418" s="9"/>
      <c r="M4418" s="9"/>
    </row>
    <row r="4419" spans="9:13" x14ac:dyDescent="0.3">
      <c r="I4419" s="7"/>
      <c r="J4419" s="9"/>
      <c r="K4419" s="9"/>
      <c r="L4419" s="9"/>
      <c r="M4419" s="9"/>
    </row>
    <row r="4420" spans="9:13" x14ac:dyDescent="0.3">
      <c r="I4420" s="7"/>
      <c r="J4420" s="9"/>
      <c r="K4420" s="9"/>
      <c r="L4420" s="9"/>
      <c r="M4420" s="9"/>
    </row>
    <row r="4421" spans="9:13" x14ac:dyDescent="0.3">
      <c r="I4421" s="7"/>
      <c r="J4421" s="9"/>
      <c r="K4421" s="9"/>
      <c r="L4421" s="9"/>
      <c r="M4421" s="9"/>
    </row>
    <row r="4422" spans="9:13" x14ac:dyDescent="0.3">
      <c r="I4422" s="7"/>
      <c r="J4422" s="9"/>
      <c r="K4422" s="9"/>
      <c r="L4422" s="9"/>
      <c r="M4422" s="9"/>
    </row>
    <row r="4423" spans="9:13" x14ac:dyDescent="0.3">
      <c r="I4423" s="7"/>
      <c r="J4423" s="9"/>
      <c r="K4423" s="9"/>
      <c r="L4423" s="9"/>
      <c r="M4423" s="9"/>
    </row>
    <row r="4424" spans="9:13" x14ac:dyDescent="0.3">
      <c r="I4424" s="7"/>
      <c r="J4424" s="9"/>
      <c r="K4424" s="9"/>
      <c r="L4424" s="9"/>
      <c r="M4424" s="9"/>
    </row>
    <row r="4425" spans="9:13" x14ac:dyDescent="0.3">
      <c r="I4425" s="7"/>
      <c r="J4425" s="9"/>
      <c r="K4425" s="9"/>
      <c r="L4425" s="9"/>
      <c r="M4425" s="9"/>
    </row>
    <row r="4426" spans="9:13" x14ac:dyDescent="0.3">
      <c r="I4426" s="7"/>
      <c r="J4426" s="9"/>
      <c r="K4426" s="9"/>
      <c r="L4426" s="9"/>
      <c r="M4426" s="9"/>
    </row>
    <row r="4427" spans="9:13" x14ac:dyDescent="0.3">
      <c r="I4427" s="7"/>
      <c r="J4427" s="9"/>
      <c r="K4427" s="9"/>
      <c r="L4427" s="9"/>
      <c r="M4427" s="9"/>
    </row>
    <row r="4428" spans="9:13" x14ac:dyDescent="0.3">
      <c r="I4428" s="7"/>
      <c r="J4428" s="9"/>
      <c r="K4428" s="9"/>
      <c r="L4428" s="9"/>
      <c r="M4428" s="9"/>
    </row>
    <row r="4429" spans="9:13" x14ac:dyDescent="0.3">
      <c r="I4429" s="7"/>
      <c r="J4429" s="9"/>
      <c r="K4429" s="9"/>
      <c r="L4429" s="9"/>
      <c r="M4429" s="9"/>
    </row>
    <row r="4430" spans="9:13" x14ac:dyDescent="0.3">
      <c r="I4430" s="7"/>
      <c r="J4430" s="9"/>
      <c r="K4430" s="9"/>
      <c r="L4430" s="9"/>
      <c r="M4430" s="9"/>
    </row>
    <row r="4431" spans="9:13" x14ac:dyDescent="0.3">
      <c r="I4431" s="7"/>
      <c r="J4431" s="9"/>
      <c r="K4431" s="9"/>
      <c r="L4431" s="9"/>
      <c r="M4431" s="9"/>
    </row>
    <row r="4432" spans="9:13" x14ac:dyDescent="0.3">
      <c r="I4432" s="7"/>
      <c r="J4432" s="9"/>
      <c r="K4432" s="9"/>
      <c r="L4432" s="9"/>
      <c r="M4432" s="9"/>
    </row>
    <row r="4433" spans="9:13" x14ac:dyDescent="0.3">
      <c r="I4433" s="7"/>
      <c r="J4433" s="9"/>
      <c r="K4433" s="9"/>
      <c r="L4433" s="9"/>
      <c r="M4433" s="9"/>
    </row>
    <row r="4434" spans="9:13" x14ac:dyDescent="0.3">
      <c r="I4434" s="7"/>
      <c r="J4434" s="9"/>
      <c r="K4434" s="9"/>
      <c r="L4434" s="9"/>
      <c r="M4434" s="9"/>
    </row>
    <row r="4435" spans="9:13" x14ac:dyDescent="0.3">
      <c r="I4435" s="7"/>
      <c r="J4435" s="9"/>
      <c r="K4435" s="9"/>
      <c r="L4435" s="9"/>
      <c r="M4435" s="9"/>
    </row>
    <row r="4436" spans="9:13" x14ac:dyDescent="0.3">
      <c r="I4436" s="7"/>
      <c r="J4436" s="9"/>
      <c r="K4436" s="9"/>
      <c r="L4436" s="9"/>
      <c r="M4436" s="9"/>
    </row>
    <row r="4437" spans="9:13" x14ac:dyDescent="0.3">
      <c r="I4437" s="7"/>
      <c r="J4437" s="9"/>
      <c r="K4437" s="9"/>
      <c r="L4437" s="9"/>
      <c r="M4437" s="9"/>
    </row>
    <row r="4438" spans="9:13" x14ac:dyDescent="0.3">
      <c r="I4438" s="7"/>
      <c r="J4438" s="9"/>
      <c r="K4438" s="9"/>
      <c r="L4438" s="9"/>
      <c r="M4438" s="9"/>
    </row>
    <row r="4439" spans="9:13" x14ac:dyDescent="0.3">
      <c r="I4439" s="7"/>
      <c r="J4439" s="9"/>
      <c r="K4439" s="9"/>
      <c r="L4439" s="9"/>
      <c r="M4439" s="9"/>
    </row>
    <row r="4440" spans="9:13" x14ac:dyDescent="0.3">
      <c r="I4440" s="7"/>
      <c r="J4440" s="9"/>
      <c r="K4440" s="9"/>
      <c r="L4440" s="9"/>
      <c r="M4440" s="9"/>
    </row>
    <row r="4441" spans="9:13" x14ac:dyDescent="0.3">
      <c r="I4441" s="7"/>
      <c r="J4441" s="9"/>
      <c r="K4441" s="9"/>
      <c r="L4441" s="9"/>
      <c r="M4441" s="9"/>
    </row>
    <row r="4442" spans="9:13" x14ac:dyDescent="0.3">
      <c r="I4442" s="7"/>
      <c r="J4442" s="9"/>
      <c r="K4442" s="9"/>
      <c r="L4442" s="9"/>
      <c r="M4442" s="9"/>
    </row>
    <row r="4443" spans="9:13" x14ac:dyDescent="0.3">
      <c r="I4443" s="7"/>
      <c r="J4443" s="9"/>
      <c r="K4443" s="9"/>
      <c r="L4443" s="9"/>
      <c r="M4443" s="9"/>
    </row>
    <row r="4444" spans="9:13" x14ac:dyDescent="0.3">
      <c r="I4444" s="7"/>
      <c r="J4444" s="9"/>
      <c r="K4444" s="9"/>
      <c r="L4444" s="9"/>
      <c r="M4444" s="9"/>
    </row>
    <row r="4445" spans="9:13" x14ac:dyDescent="0.3">
      <c r="I4445" s="7"/>
      <c r="J4445" s="9"/>
      <c r="K4445" s="9"/>
      <c r="L4445" s="9"/>
      <c r="M4445" s="9"/>
    </row>
    <row r="4446" spans="9:13" x14ac:dyDescent="0.3">
      <c r="I4446" s="7"/>
      <c r="J4446" s="9"/>
      <c r="K4446" s="9"/>
      <c r="L4446" s="9"/>
      <c r="M4446" s="9"/>
    </row>
    <row r="4447" spans="9:13" x14ac:dyDescent="0.3">
      <c r="I4447" s="7"/>
      <c r="J4447" s="9"/>
      <c r="K4447" s="9"/>
      <c r="L4447" s="9"/>
      <c r="M4447" s="9"/>
    </row>
    <row r="4448" spans="9:13" x14ac:dyDescent="0.3">
      <c r="I4448" s="7"/>
      <c r="J4448" s="9"/>
      <c r="K4448" s="9"/>
      <c r="L4448" s="9"/>
      <c r="M4448" s="9"/>
    </row>
    <row r="4449" spans="9:13" x14ac:dyDescent="0.3">
      <c r="I4449" s="7"/>
      <c r="J4449" s="9"/>
      <c r="K4449" s="9"/>
      <c r="L4449" s="9"/>
      <c r="M4449" s="9"/>
    </row>
    <row r="4450" spans="9:13" x14ac:dyDescent="0.3">
      <c r="I4450" s="7"/>
      <c r="J4450" s="9"/>
      <c r="K4450" s="9"/>
      <c r="L4450" s="9"/>
      <c r="M4450" s="9"/>
    </row>
    <row r="4451" spans="9:13" x14ac:dyDescent="0.3">
      <c r="I4451" s="7"/>
      <c r="J4451" s="9"/>
      <c r="K4451" s="9"/>
      <c r="L4451" s="9"/>
      <c r="M4451" s="9"/>
    </row>
    <row r="4452" spans="9:13" x14ac:dyDescent="0.3">
      <c r="I4452" s="7"/>
      <c r="J4452" s="9"/>
      <c r="K4452" s="9"/>
      <c r="L4452" s="9"/>
      <c r="M4452" s="9"/>
    </row>
    <row r="4453" spans="9:13" x14ac:dyDescent="0.3">
      <c r="I4453" s="7"/>
      <c r="J4453" s="9"/>
      <c r="K4453" s="9"/>
      <c r="L4453" s="9"/>
      <c r="M4453" s="9"/>
    </row>
    <row r="4454" spans="9:13" x14ac:dyDescent="0.3">
      <c r="I4454" s="7"/>
      <c r="J4454" s="9"/>
      <c r="K4454" s="9"/>
      <c r="L4454" s="9"/>
      <c r="M4454" s="9"/>
    </row>
    <row r="4455" spans="9:13" x14ac:dyDescent="0.3">
      <c r="I4455" s="7"/>
      <c r="J4455" s="9"/>
      <c r="K4455" s="9"/>
      <c r="L4455" s="9"/>
      <c r="M4455" s="9"/>
    </row>
    <row r="4456" spans="9:13" x14ac:dyDescent="0.3">
      <c r="I4456" s="7"/>
      <c r="J4456" s="9"/>
      <c r="K4456" s="9"/>
      <c r="L4456" s="9"/>
      <c r="M4456" s="9"/>
    </row>
    <row r="4457" spans="9:13" x14ac:dyDescent="0.3">
      <c r="I4457" s="7"/>
      <c r="J4457" s="9"/>
      <c r="K4457" s="9"/>
      <c r="L4457" s="9"/>
      <c r="M4457" s="9"/>
    </row>
    <row r="4458" spans="9:13" x14ac:dyDescent="0.3">
      <c r="I4458" s="7"/>
      <c r="J4458" s="9"/>
      <c r="K4458" s="9"/>
      <c r="L4458" s="9"/>
      <c r="M4458" s="9"/>
    </row>
    <row r="4459" spans="9:13" x14ac:dyDescent="0.3">
      <c r="I4459" s="7"/>
      <c r="J4459" s="9"/>
      <c r="K4459" s="9"/>
      <c r="L4459" s="9"/>
      <c r="M4459" s="9"/>
    </row>
    <row r="4460" spans="9:13" x14ac:dyDescent="0.3">
      <c r="I4460" s="7"/>
      <c r="J4460" s="9"/>
      <c r="K4460" s="9"/>
      <c r="L4460" s="9"/>
      <c r="M4460" s="9"/>
    </row>
    <row r="4461" spans="9:13" x14ac:dyDescent="0.3">
      <c r="I4461" s="7"/>
      <c r="J4461" s="9"/>
      <c r="K4461" s="9"/>
      <c r="L4461" s="9"/>
      <c r="M4461" s="9"/>
    </row>
    <row r="4462" spans="9:13" x14ac:dyDescent="0.3">
      <c r="I4462" s="7"/>
      <c r="J4462" s="9"/>
      <c r="K4462" s="9"/>
      <c r="L4462" s="9"/>
      <c r="M4462" s="9"/>
    </row>
    <row r="4463" spans="9:13" x14ac:dyDescent="0.3">
      <c r="I4463" s="7"/>
      <c r="J4463" s="9"/>
      <c r="K4463" s="9"/>
      <c r="L4463" s="9"/>
      <c r="M4463" s="9"/>
    </row>
    <row r="4464" spans="9:13" x14ac:dyDescent="0.3">
      <c r="I4464" s="7"/>
      <c r="J4464" s="9"/>
      <c r="K4464" s="9"/>
      <c r="L4464" s="9"/>
      <c r="M4464" s="9"/>
    </row>
    <row r="4465" spans="9:13" x14ac:dyDescent="0.3">
      <c r="I4465" s="7"/>
      <c r="J4465" s="9"/>
      <c r="K4465" s="9"/>
      <c r="L4465" s="9"/>
      <c r="M4465" s="9"/>
    </row>
    <row r="4466" spans="9:13" x14ac:dyDescent="0.3">
      <c r="I4466" s="7"/>
      <c r="J4466" s="9"/>
      <c r="K4466" s="9"/>
      <c r="L4466" s="9"/>
      <c r="M4466" s="9"/>
    </row>
    <row r="4467" spans="9:13" x14ac:dyDescent="0.3">
      <c r="I4467" s="7"/>
      <c r="J4467" s="9"/>
      <c r="K4467" s="9"/>
      <c r="L4467" s="9"/>
      <c r="M4467" s="9"/>
    </row>
    <row r="4468" spans="9:13" x14ac:dyDescent="0.3">
      <c r="I4468" s="7"/>
      <c r="J4468" s="9"/>
      <c r="K4468" s="9"/>
      <c r="L4468" s="9"/>
      <c r="M4468" s="9"/>
    </row>
    <row r="4469" spans="9:13" x14ac:dyDescent="0.3">
      <c r="I4469" s="7"/>
      <c r="J4469" s="9"/>
      <c r="K4469" s="9"/>
      <c r="L4469" s="9"/>
      <c r="M4469" s="9"/>
    </row>
    <row r="4470" spans="9:13" x14ac:dyDescent="0.3">
      <c r="I4470" s="7"/>
      <c r="J4470" s="9"/>
      <c r="K4470" s="9"/>
      <c r="L4470" s="9"/>
      <c r="M4470" s="9"/>
    </row>
    <row r="4471" spans="9:13" x14ac:dyDescent="0.3">
      <c r="I4471" s="7"/>
      <c r="J4471" s="9"/>
      <c r="K4471" s="9"/>
      <c r="L4471" s="9"/>
      <c r="M4471" s="9"/>
    </row>
    <row r="4472" spans="9:13" x14ac:dyDescent="0.3">
      <c r="I4472" s="7"/>
      <c r="J4472" s="9"/>
      <c r="K4472" s="9"/>
      <c r="L4472" s="9"/>
      <c r="M4472" s="9"/>
    </row>
    <row r="4473" spans="9:13" x14ac:dyDescent="0.3">
      <c r="I4473" s="7"/>
      <c r="J4473" s="9"/>
      <c r="K4473" s="9"/>
      <c r="L4473" s="9"/>
      <c r="M4473" s="9"/>
    </row>
    <row r="4474" spans="9:13" x14ac:dyDescent="0.3">
      <c r="I4474" s="7"/>
      <c r="J4474" s="9"/>
      <c r="K4474" s="9"/>
      <c r="L4474" s="9"/>
      <c r="M4474" s="9"/>
    </row>
    <row r="4475" spans="9:13" x14ac:dyDescent="0.3">
      <c r="I4475" s="7"/>
      <c r="J4475" s="9"/>
      <c r="K4475" s="9"/>
      <c r="L4475" s="9"/>
      <c r="M4475" s="9"/>
    </row>
    <row r="4476" spans="9:13" x14ac:dyDescent="0.3">
      <c r="I4476" s="7"/>
      <c r="J4476" s="9"/>
      <c r="K4476" s="9"/>
      <c r="L4476" s="9"/>
      <c r="M4476" s="9"/>
    </row>
    <row r="4477" spans="9:13" x14ac:dyDescent="0.3">
      <c r="I4477" s="7"/>
      <c r="J4477" s="9"/>
      <c r="K4477" s="9"/>
      <c r="L4477" s="9"/>
      <c r="M4477" s="9"/>
    </row>
    <row r="4478" spans="9:13" x14ac:dyDescent="0.3">
      <c r="I4478" s="7"/>
      <c r="J4478" s="9"/>
      <c r="K4478" s="9"/>
      <c r="L4478" s="9"/>
      <c r="M4478" s="9"/>
    </row>
    <row r="4479" spans="9:13" x14ac:dyDescent="0.3">
      <c r="I4479" s="7"/>
      <c r="J4479" s="9"/>
      <c r="K4479" s="9"/>
      <c r="L4479" s="9"/>
      <c r="M4479" s="9"/>
    </row>
    <row r="4480" spans="9:13" x14ac:dyDescent="0.3">
      <c r="I4480" s="7"/>
      <c r="J4480" s="9"/>
      <c r="K4480" s="9"/>
      <c r="L4480" s="9"/>
      <c r="M4480" s="9"/>
    </row>
    <row r="4481" spans="9:13" x14ac:dyDescent="0.3">
      <c r="I4481" s="7"/>
      <c r="J4481" s="9"/>
      <c r="K4481" s="9"/>
      <c r="L4481" s="9"/>
      <c r="M4481" s="9"/>
    </row>
    <row r="4482" spans="9:13" x14ac:dyDescent="0.3">
      <c r="I4482" s="7"/>
      <c r="J4482" s="9"/>
      <c r="K4482" s="9"/>
      <c r="L4482" s="9"/>
      <c r="M4482" s="9"/>
    </row>
    <row r="4483" spans="9:13" x14ac:dyDescent="0.3">
      <c r="I4483" s="7"/>
      <c r="J4483" s="9"/>
      <c r="K4483" s="9"/>
      <c r="L4483" s="9"/>
      <c r="M4483" s="9"/>
    </row>
    <row r="4484" spans="9:13" x14ac:dyDescent="0.3">
      <c r="I4484" s="7"/>
      <c r="J4484" s="9"/>
      <c r="K4484" s="9"/>
      <c r="L4484" s="9"/>
      <c r="M4484" s="9"/>
    </row>
    <row r="4485" spans="9:13" x14ac:dyDescent="0.3">
      <c r="I4485" s="7"/>
      <c r="J4485" s="9"/>
      <c r="K4485" s="9"/>
      <c r="L4485" s="9"/>
      <c r="M4485" s="9"/>
    </row>
    <row r="4486" spans="9:13" x14ac:dyDescent="0.3">
      <c r="I4486" s="7"/>
      <c r="J4486" s="9"/>
      <c r="K4486" s="9"/>
      <c r="L4486" s="9"/>
      <c r="M4486" s="9"/>
    </row>
    <row r="4487" spans="9:13" x14ac:dyDescent="0.3">
      <c r="I4487" s="7"/>
      <c r="J4487" s="9"/>
      <c r="K4487" s="9"/>
      <c r="L4487" s="9"/>
      <c r="M4487" s="9"/>
    </row>
    <row r="4488" spans="9:13" x14ac:dyDescent="0.3">
      <c r="I4488" s="7"/>
      <c r="J4488" s="9"/>
      <c r="K4488" s="9"/>
      <c r="L4488" s="9"/>
      <c r="M4488" s="9"/>
    </row>
    <row r="4489" spans="9:13" x14ac:dyDescent="0.3">
      <c r="I4489" s="7"/>
      <c r="J4489" s="9"/>
      <c r="K4489" s="9"/>
      <c r="L4489" s="9"/>
      <c r="M4489" s="9"/>
    </row>
    <row r="4490" spans="9:13" x14ac:dyDescent="0.3">
      <c r="I4490" s="7"/>
      <c r="J4490" s="9"/>
      <c r="K4490" s="9"/>
      <c r="L4490" s="9"/>
      <c r="M4490" s="9"/>
    </row>
    <row r="4491" spans="9:13" x14ac:dyDescent="0.3">
      <c r="I4491" s="7"/>
      <c r="J4491" s="9"/>
      <c r="K4491" s="9"/>
      <c r="L4491" s="9"/>
      <c r="M4491" s="9"/>
    </row>
    <row r="4492" spans="9:13" x14ac:dyDescent="0.3">
      <c r="I4492" s="7"/>
      <c r="J4492" s="9"/>
      <c r="K4492" s="9"/>
      <c r="L4492" s="9"/>
      <c r="M4492" s="9"/>
    </row>
    <row r="4493" spans="9:13" x14ac:dyDescent="0.3">
      <c r="I4493" s="7"/>
      <c r="J4493" s="9"/>
      <c r="K4493" s="9"/>
      <c r="L4493" s="9"/>
      <c r="M4493" s="9"/>
    </row>
    <row r="4494" spans="9:13" x14ac:dyDescent="0.3">
      <c r="I4494" s="7"/>
      <c r="J4494" s="9"/>
      <c r="K4494" s="9"/>
      <c r="L4494" s="9"/>
      <c r="M4494" s="9"/>
    </row>
    <row r="4495" spans="9:13" x14ac:dyDescent="0.3">
      <c r="I4495" s="7"/>
      <c r="J4495" s="9"/>
      <c r="K4495" s="9"/>
      <c r="L4495" s="9"/>
      <c r="M4495" s="9"/>
    </row>
    <row r="4496" spans="9:13" x14ac:dyDescent="0.3">
      <c r="I4496" s="7"/>
      <c r="J4496" s="9"/>
      <c r="K4496" s="9"/>
      <c r="L4496" s="9"/>
      <c r="M4496" s="9"/>
    </row>
    <row r="4497" spans="9:13" x14ac:dyDescent="0.3">
      <c r="I4497" s="7"/>
      <c r="J4497" s="9"/>
      <c r="K4497" s="9"/>
      <c r="L4497" s="9"/>
      <c r="M4497" s="9"/>
    </row>
    <row r="4498" spans="9:13" x14ac:dyDescent="0.3">
      <c r="I4498" s="7"/>
      <c r="J4498" s="9"/>
      <c r="K4498" s="9"/>
      <c r="L4498" s="9"/>
      <c r="M4498" s="9"/>
    </row>
    <row r="4499" spans="9:13" x14ac:dyDescent="0.3">
      <c r="I4499" s="7"/>
      <c r="J4499" s="9"/>
      <c r="K4499" s="9"/>
      <c r="L4499" s="9"/>
      <c r="M4499" s="9"/>
    </row>
    <row r="4500" spans="9:13" x14ac:dyDescent="0.3">
      <c r="I4500" s="7"/>
      <c r="J4500" s="9"/>
      <c r="K4500" s="9"/>
      <c r="L4500" s="9"/>
      <c r="M4500" s="9"/>
    </row>
    <row r="4501" spans="9:13" x14ac:dyDescent="0.3">
      <c r="I4501" s="7"/>
      <c r="J4501" s="9"/>
      <c r="K4501" s="9"/>
      <c r="L4501" s="9"/>
      <c r="M4501" s="9"/>
    </row>
    <row r="4502" spans="9:13" x14ac:dyDescent="0.3">
      <c r="I4502" s="7"/>
      <c r="J4502" s="9"/>
      <c r="K4502" s="9"/>
      <c r="L4502" s="9"/>
      <c r="M4502" s="9"/>
    </row>
    <row r="4503" spans="9:13" x14ac:dyDescent="0.3">
      <c r="I4503" s="7"/>
      <c r="J4503" s="9"/>
      <c r="K4503" s="9"/>
      <c r="L4503" s="9"/>
      <c r="M4503" s="9"/>
    </row>
    <row r="4504" spans="9:13" x14ac:dyDescent="0.3">
      <c r="I4504" s="7"/>
      <c r="J4504" s="9"/>
      <c r="K4504" s="9"/>
      <c r="L4504" s="9"/>
      <c r="M4504" s="9"/>
    </row>
    <row r="4505" spans="9:13" x14ac:dyDescent="0.3">
      <c r="I4505" s="7"/>
      <c r="J4505" s="9"/>
      <c r="K4505" s="9"/>
      <c r="L4505" s="9"/>
      <c r="M4505" s="9"/>
    </row>
    <row r="4506" spans="9:13" x14ac:dyDescent="0.3">
      <c r="I4506" s="7"/>
      <c r="J4506" s="9"/>
      <c r="K4506" s="9"/>
      <c r="L4506" s="9"/>
      <c r="M4506" s="9"/>
    </row>
    <row r="4507" spans="9:13" x14ac:dyDescent="0.3">
      <c r="I4507" s="7"/>
      <c r="J4507" s="9"/>
      <c r="K4507" s="9"/>
      <c r="L4507" s="9"/>
      <c r="M4507" s="9"/>
    </row>
    <row r="4508" spans="9:13" x14ac:dyDescent="0.3">
      <c r="I4508" s="7"/>
      <c r="J4508" s="9"/>
      <c r="K4508" s="9"/>
      <c r="L4508" s="9"/>
      <c r="M4508" s="9"/>
    </row>
    <row r="4509" spans="9:13" x14ac:dyDescent="0.3">
      <c r="I4509" s="7"/>
      <c r="J4509" s="9"/>
      <c r="K4509" s="9"/>
      <c r="L4509" s="9"/>
      <c r="M4509" s="9"/>
    </row>
    <row r="4510" spans="9:13" x14ac:dyDescent="0.3">
      <c r="I4510" s="7"/>
      <c r="J4510" s="9"/>
      <c r="K4510" s="9"/>
      <c r="L4510" s="9"/>
      <c r="M4510" s="9"/>
    </row>
    <row r="4511" spans="9:13" x14ac:dyDescent="0.3">
      <c r="I4511" s="7"/>
      <c r="J4511" s="9"/>
      <c r="K4511" s="9"/>
      <c r="L4511" s="9"/>
      <c r="M4511" s="9"/>
    </row>
    <row r="4512" spans="9:13" x14ac:dyDescent="0.3">
      <c r="I4512" s="7"/>
      <c r="J4512" s="9"/>
      <c r="K4512" s="9"/>
      <c r="L4512" s="9"/>
      <c r="M4512" s="9"/>
    </row>
    <row r="4513" spans="9:13" x14ac:dyDescent="0.3">
      <c r="I4513" s="7"/>
      <c r="J4513" s="9"/>
      <c r="K4513" s="9"/>
      <c r="L4513" s="9"/>
      <c r="M4513" s="9"/>
    </row>
    <row r="4514" spans="9:13" x14ac:dyDescent="0.3">
      <c r="I4514" s="7"/>
      <c r="J4514" s="9"/>
      <c r="K4514" s="9"/>
      <c r="L4514" s="9"/>
      <c r="M4514" s="9"/>
    </row>
    <row r="4515" spans="9:13" x14ac:dyDescent="0.3">
      <c r="I4515" s="7"/>
      <c r="J4515" s="9"/>
      <c r="K4515" s="9"/>
      <c r="L4515" s="9"/>
      <c r="M4515" s="9"/>
    </row>
    <row r="4516" spans="9:13" x14ac:dyDescent="0.3">
      <c r="I4516" s="7"/>
      <c r="J4516" s="9"/>
      <c r="K4516" s="9"/>
      <c r="L4516" s="9"/>
      <c r="M4516" s="9"/>
    </row>
    <row r="4517" spans="9:13" x14ac:dyDescent="0.3">
      <c r="I4517" s="7"/>
      <c r="J4517" s="9"/>
      <c r="K4517" s="9"/>
      <c r="L4517" s="9"/>
      <c r="M4517" s="9"/>
    </row>
    <row r="4518" spans="9:13" x14ac:dyDescent="0.3">
      <c r="I4518" s="7"/>
      <c r="J4518" s="9"/>
      <c r="K4518" s="9"/>
      <c r="L4518" s="9"/>
      <c r="M4518" s="9"/>
    </row>
    <row r="4519" spans="9:13" x14ac:dyDescent="0.3">
      <c r="I4519" s="7"/>
      <c r="J4519" s="9"/>
      <c r="K4519" s="9"/>
      <c r="L4519" s="9"/>
      <c r="M4519" s="9"/>
    </row>
    <row r="4520" spans="9:13" x14ac:dyDescent="0.3">
      <c r="I4520" s="7"/>
      <c r="J4520" s="9"/>
      <c r="K4520" s="9"/>
      <c r="L4520" s="9"/>
      <c r="M4520" s="9"/>
    </row>
    <row r="4521" spans="9:13" x14ac:dyDescent="0.3">
      <c r="I4521" s="7"/>
      <c r="J4521" s="9"/>
      <c r="K4521" s="9"/>
      <c r="L4521" s="9"/>
      <c r="M4521" s="9"/>
    </row>
    <row r="4522" spans="9:13" x14ac:dyDescent="0.3">
      <c r="I4522" s="7"/>
      <c r="J4522" s="9"/>
      <c r="K4522" s="9"/>
      <c r="L4522" s="9"/>
      <c r="M4522" s="9"/>
    </row>
    <row r="4523" spans="9:13" x14ac:dyDescent="0.3">
      <c r="I4523" s="7"/>
      <c r="J4523" s="9"/>
      <c r="K4523" s="9"/>
      <c r="L4523" s="9"/>
      <c r="M4523" s="9"/>
    </row>
    <row r="4524" spans="9:13" x14ac:dyDescent="0.3">
      <c r="I4524" s="7"/>
      <c r="J4524" s="9"/>
      <c r="K4524" s="9"/>
      <c r="L4524" s="9"/>
      <c r="M4524" s="9"/>
    </row>
    <row r="4525" spans="9:13" x14ac:dyDescent="0.3">
      <c r="I4525" s="7"/>
      <c r="J4525" s="9"/>
      <c r="K4525" s="9"/>
      <c r="L4525" s="9"/>
      <c r="M4525" s="9"/>
    </row>
    <row r="4526" spans="9:13" x14ac:dyDescent="0.3">
      <c r="I4526" s="7"/>
      <c r="J4526" s="9"/>
      <c r="K4526" s="9"/>
      <c r="L4526" s="9"/>
      <c r="M4526" s="9"/>
    </row>
    <row r="4527" spans="9:13" x14ac:dyDescent="0.3">
      <c r="I4527" s="7"/>
      <c r="J4527" s="9"/>
      <c r="K4527" s="9"/>
      <c r="L4527" s="9"/>
      <c r="M4527" s="9"/>
    </row>
    <row r="4528" spans="9:13" x14ac:dyDescent="0.3">
      <c r="I4528" s="7"/>
      <c r="J4528" s="9"/>
      <c r="K4528" s="9"/>
      <c r="L4528" s="9"/>
      <c r="M4528" s="9"/>
    </row>
    <row r="4529" spans="9:13" x14ac:dyDescent="0.3">
      <c r="I4529" s="7"/>
      <c r="J4529" s="9"/>
      <c r="K4529" s="9"/>
      <c r="L4529" s="9"/>
      <c r="M4529" s="9"/>
    </row>
    <row r="4530" spans="9:13" x14ac:dyDescent="0.3">
      <c r="I4530" s="7"/>
      <c r="J4530" s="9"/>
      <c r="K4530" s="9"/>
      <c r="L4530" s="9"/>
      <c r="M4530" s="9"/>
    </row>
    <row r="4531" spans="9:13" x14ac:dyDescent="0.3">
      <c r="I4531" s="7"/>
      <c r="J4531" s="9"/>
      <c r="K4531" s="9"/>
      <c r="L4531" s="9"/>
      <c r="M4531" s="9"/>
    </row>
    <row r="4532" spans="9:13" x14ac:dyDescent="0.3">
      <c r="I4532" s="7"/>
      <c r="J4532" s="9"/>
      <c r="K4532" s="9"/>
      <c r="L4532" s="9"/>
      <c r="M4532" s="9"/>
    </row>
    <row r="4533" spans="9:13" x14ac:dyDescent="0.3">
      <c r="I4533" s="7"/>
      <c r="J4533" s="9"/>
      <c r="K4533" s="9"/>
      <c r="L4533" s="9"/>
      <c r="M4533" s="9"/>
    </row>
    <row r="4534" spans="9:13" x14ac:dyDescent="0.3">
      <c r="I4534" s="7"/>
      <c r="J4534" s="9"/>
      <c r="K4534" s="9"/>
      <c r="L4534" s="9"/>
      <c r="M4534" s="9"/>
    </row>
    <row r="4535" spans="9:13" x14ac:dyDescent="0.3">
      <c r="I4535" s="7"/>
      <c r="J4535" s="9"/>
      <c r="K4535" s="9"/>
      <c r="L4535" s="9"/>
      <c r="M4535" s="9"/>
    </row>
    <row r="4536" spans="9:13" x14ac:dyDescent="0.3">
      <c r="I4536" s="7"/>
      <c r="J4536" s="9"/>
      <c r="K4536" s="9"/>
      <c r="L4536" s="9"/>
      <c r="M4536" s="9"/>
    </row>
    <row r="4537" spans="9:13" x14ac:dyDescent="0.3">
      <c r="I4537" s="7"/>
      <c r="J4537" s="9"/>
      <c r="K4537" s="9"/>
      <c r="L4537" s="9"/>
      <c r="M4537" s="9"/>
    </row>
    <row r="4538" spans="9:13" x14ac:dyDescent="0.3">
      <c r="I4538" s="7"/>
      <c r="J4538" s="9"/>
      <c r="K4538" s="9"/>
      <c r="L4538" s="9"/>
      <c r="M4538" s="9"/>
    </row>
    <row r="4539" spans="9:13" x14ac:dyDescent="0.3">
      <c r="I4539" s="7"/>
      <c r="J4539" s="9"/>
      <c r="K4539" s="9"/>
      <c r="L4539" s="9"/>
      <c r="M4539" s="9"/>
    </row>
    <row r="4540" spans="9:13" x14ac:dyDescent="0.3">
      <c r="I4540" s="7"/>
      <c r="J4540" s="9"/>
      <c r="K4540" s="9"/>
      <c r="L4540" s="9"/>
      <c r="M4540" s="9"/>
    </row>
    <row r="4541" spans="9:13" x14ac:dyDescent="0.3">
      <c r="I4541" s="7"/>
      <c r="J4541" s="9"/>
      <c r="K4541" s="9"/>
      <c r="L4541" s="9"/>
      <c r="M4541" s="9"/>
    </row>
    <row r="4542" spans="9:13" x14ac:dyDescent="0.3">
      <c r="I4542" s="7"/>
      <c r="J4542" s="9"/>
      <c r="K4542" s="9"/>
      <c r="L4542" s="9"/>
      <c r="M4542" s="9"/>
    </row>
    <row r="4543" spans="9:13" x14ac:dyDescent="0.3">
      <c r="I4543" s="7"/>
      <c r="J4543" s="9"/>
      <c r="K4543" s="9"/>
      <c r="L4543" s="9"/>
      <c r="M4543" s="9"/>
    </row>
    <row r="4544" spans="9:13" x14ac:dyDescent="0.3">
      <c r="I4544" s="7"/>
      <c r="J4544" s="9"/>
      <c r="K4544" s="9"/>
      <c r="L4544" s="9"/>
      <c r="M4544" s="9"/>
    </row>
    <row r="4545" spans="9:13" x14ac:dyDescent="0.3">
      <c r="I4545" s="7"/>
      <c r="J4545" s="9"/>
      <c r="K4545" s="9"/>
      <c r="L4545" s="9"/>
      <c r="M4545" s="9"/>
    </row>
    <row r="4546" spans="9:13" x14ac:dyDescent="0.3">
      <c r="I4546" s="7"/>
      <c r="J4546" s="9"/>
      <c r="K4546" s="9"/>
      <c r="L4546" s="9"/>
      <c r="M4546" s="9"/>
    </row>
    <row r="4547" spans="9:13" x14ac:dyDescent="0.3">
      <c r="I4547" s="7"/>
      <c r="J4547" s="9"/>
      <c r="K4547" s="9"/>
      <c r="L4547" s="9"/>
      <c r="M4547" s="9"/>
    </row>
    <row r="4548" spans="9:13" x14ac:dyDescent="0.3">
      <c r="I4548" s="7"/>
      <c r="J4548" s="9"/>
      <c r="K4548" s="9"/>
      <c r="L4548" s="9"/>
      <c r="M4548" s="9"/>
    </row>
    <row r="4549" spans="9:13" x14ac:dyDescent="0.3">
      <c r="I4549" s="7"/>
      <c r="J4549" s="9"/>
      <c r="K4549" s="9"/>
      <c r="L4549" s="9"/>
      <c r="M4549" s="9"/>
    </row>
    <row r="4550" spans="9:13" x14ac:dyDescent="0.3">
      <c r="I4550" s="7"/>
      <c r="J4550" s="9"/>
      <c r="K4550" s="9"/>
      <c r="L4550" s="9"/>
      <c r="M4550" s="9"/>
    </row>
    <row r="4551" spans="9:13" x14ac:dyDescent="0.3">
      <c r="I4551" s="7"/>
      <c r="J4551" s="9"/>
      <c r="K4551" s="9"/>
      <c r="L4551" s="9"/>
      <c r="M4551" s="9"/>
    </row>
    <row r="4552" spans="9:13" x14ac:dyDescent="0.3">
      <c r="I4552" s="7"/>
      <c r="J4552" s="9"/>
      <c r="K4552" s="9"/>
      <c r="L4552" s="9"/>
      <c r="M4552" s="9"/>
    </row>
    <row r="4553" spans="9:13" x14ac:dyDescent="0.3">
      <c r="I4553" s="7"/>
      <c r="J4553" s="9"/>
      <c r="K4553" s="9"/>
      <c r="L4553" s="9"/>
      <c r="M4553" s="9"/>
    </row>
    <row r="4554" spans="9:13" x14ac:dyDescent="0.3">
      <c r="I4554" s="7"/>
      <c r="J4554" s="9"/>
      <c r="K4554" s="9"/>
      <c r="L4554" s="9"/>
      <c r="M4554" s="9"/>
    </row>
    <row r="4555" spans="9:13" x14ac:dyDescent="0.3">
      <c r="I4555" s="7"/>
      <c r="J4555" s="9"/>
      <c r="K4555" s="9"/>
      <c r="L4555" s="9"/>
      <c r="M4555" s="9"/>
    </row>
    <row r="4556" spans="9:13" x14ac:dyDescent="0.3">
      <c r="I4556" s="7"/>
      <c r="J4556" s="9"/>
      <c r="K4556" s="9"/>
      <c r="L4556" s="9"/>
      <c r="M4556" s="9"/>
    </row>
    <row r="4557" spans="9:13" x14ac:dyDescent="0.3">
      <c r="I4557" s="7"/>
      <c r="J4557" s="9"/>
      <c r="K4557" s="9"/>
      <c r="L4557" s="9"/>
      <c r="M4557" s="9"/>
    </row>
    <row r="4558" spans="9:13" x14ac:dyDescent="0.3">
      <c r="I4558" s="7"/>
      <c r="J4558" s="9"/>
      <c r="K4558" s="9"/>
      <c r="L4558" s="9"/>
      <c r="M4558" s="9"/>
    </row>
    <row r="4559" spans="9:13" x14ac:dyDescent="0.3">
      <c r="I4559" s="7"/>
      <c r="J4559" s="9"/>
      <c r="K4559" s="9"/>
      <c r="L4559" s="9"/>
      <c r="M4559" s="9"/>
    </row>
    <row r="4560" spans="9:13" x14ac:dyDescent="0.3">
      <c r="I4560" s="7"/>
      <c r="J4560" s="9"/>
      <c r="K4560" s="9"/>
      <c r="L4560" s="9"/>
      <c r="M4560" s="9"/>
    </row>
    <row r="4561" spans="9:13" x14ac:dyDescent="0.3">
      <c r="I4561" s="7"/>
      <c r="J4561" s="9"/>
      <c r="K4561" s="9"/>
      <c r="L4561" s="9"/>
      <c r="M4561" s="9"/>
    </row>
    <row r="4562" spans="9:13" x14ac:dyDescent="0.3">
      <c r="I4562" s="7"/>
      <c r="J4562" s="9"/>
      <c r="K4562" s="9"/>
      <c r="L4562" s="9"/>
      <c r="M4562" s="9"/>
    </row>
    <row r="4563" spans="9:13" x14ac:dyDescent="0.3">
      <c r="I4563" s="7"/>
      <c r="J4563" s="9"/>
      <c r="K4563" s="9"/>
      <c r="L4563" s="9"/>
      <c r="M4563" s="9"/>
    </row>
    <row r="4564" spans="9:13" x14ac:dyDescent="0.3">
      <c r="I4564" s="7"/>
      <c r="J4564" s="9"/>
      <c r="K4564" s="9"/>
      <c r="L4564" s="9"/>
      <c r="M4564" s="9"/>
    </row>
    <row r="4565" spans="9:13" x14ac:dyDescent="0.3">
      <c r="I4565" s="7"/>
      <c r="J4565" s="9"/>
      <c r="K4565" s="9"/>
      <c r="L4565" s="9"/>
      <c r="M4565" s="9"/>
    </row>
    <row r="4566" spans="9:13" x14ac:dyDescent="0.3">
      <c r="I4566" s="7"/>
      <c r="J4566" s="9"/>
      <c r="K4566" s="9"/>
      <c r="L4566" s="9"/>
      <c r="M4566" s="9"/>
    </row>
    <row r="4567" spans="9:13" x14ac:dyDescent="0.3">
      <c r="I4567" s="7"/>
      <c r="J4567" s="9"/>
      <c r="K4567" s="9"/>
      <c r="L4567" s="9"/>
      <c r="M4567" s="9"/>
    </row>
    <row r="4568" spans="9:13" x14ac:dyDescent="0.3">
      <c r="I4568" s="7"/>
      <c r="J4568" s="9"/>
      <c r="K4568" s="9"/>
      <c r="L4568" s="9"/>
      <c r="M4568" s="9"/>
    </row>
    <row r="4569" spans="9:13" x14ac:dyDescent="0.3">
      <c r="I4569" s="7"/>
      <c r="J4569" s="9"/>
      <c r="K4569" s="9"/>
      <c r="L4569" s="9"/>
      <c r="M4569" s="9"/>
    </row>
    <row r="4570" spans="9:13" x14ac:dyDescent="0.3">
      <c r="I4570" s="7"/>
      <c r="J4570" s="9"/>
      <c r="K4570" s="9"/>
      <c r="L4570" s="9"/>
      <c r="M4570" s="9"/>
    </row>
    <row r="4571" spans="9:13" x14ac:dyDescent="0.3">
      <c r="I4571" s="7"/>
      <c r="J4571" s="9"/>
      <c r="K4571" s="9"/>
      <c r="L4571" s="9"/>
      <c r="M4571" s="9"/>
    </row>
    <row r="4572" spans="9:13" x14ac:dyDescent="0.3">
      <c r="I4572" s="7"/>
      <c r="J4572" s="9"/>
      <c r="K4572" s="9"/>
      <c r="L4572" s="9"/>
      <c r="M4572" s="9"/>
    </row>
    <row r="4573" spans="9:13" x14ac:dyDescent="0.3">
      <c r="I4573" s="7"/>
      <c r="J4573" s="9"/>
      <c r="K4573" s="9"/>
      <c r="L4573" s="9"/>
      <c r="M4573" s="9"/>
    </row>
    <row r="4574" spans="9:13" x14ac:dyDescent="0.3">
      <c r="I4574" s="7"/>
      <c r="J4574" s="9"/>
      <c r="K4574" s="9"/>
      <c r="L4574" s="9"/>
      <c r="M4574" s="9"/>
    </row>
    <row r="4575" spans="9:13" x14ac:dyDescent="0.3">
      <c r="I4575" s="7"/>
      <c r="J4575" s="9"/>
      <c r="K4575" s="9"/>
      <c r="L4575" s="9"/>
      <c r="M4575" s="9"/>
    </row>
    <row r="4576" spans="9:13" x14ac:dyDescent="0.3">
      <c r="I4576" s="7"/>
      <c r="J4576" s="9"/>
      <c r="K4576" s="9"/>
      <c r="L4576" s="9"/>
      <c r="M4576" s="9"/>
    </row>
    <row r="4577" spans="9:13" x14ac:dyDescent="0.3">
      <c r="I4577" s="7"/>
      <c r="J4577" s="9"/>
      <c r="K4577" s="9"/>
      <c r="L4577" s="9"/>
      <c r="M4577" s="9"/>
    </row>
    <row r="4578" spans="9:13" x14ac:dyDescent="0.3">
      <c r="I4578" s="7"/>
      <c r="J4578" s="9"/>
      <c r="K4578" s="9"/>
      <c r="L4578" s="9"/>
      <c r="M4578" s="9"/>
    </row>
    <row r="4579" spans="9:13" x14ac:dyDescent="0.3">
      <c r="I4579" s="7"/>
      <c r="J4579" s="9"/>
      <c r="K4579" s="9"/>
      <c r="L4579" s="9"/>
      <c r="M4579" s="9"/>
    </row>
    <row r="4580" spans="9:13" x14ac:dyDescent="0.3">
      <c r="I4580" s="7"/>
      <c r="J4580" s="9"/>
      <c r="K4580" s="9"/>
      <c r="L4580" s="9"/>
      <c r="M4580" s="9"/>
    </row>
    <row r="4581" spans="9:13" x14ac:dyDescent="0.3">
      <c r="I4581" s="7"/>
      <c r="J4581" s="9"/>
      <c r="K4581" s="9"/>
      <c r="L4581" s="9"/>
      <c r="M4581" s="9"/>
    </row>
    <row r="4582" spans="9:13" x14ac:dyDescent="0.3">
      <c r="I4582" s="7"/>
      <c r="J4582" s="9"/>
      <c r="K4582" s="9"/>
      <c r="L4582" s="9"/>
      <c r="M4582" s="9"/>
    </row>
    <row r="4583" spans="9:13" x14ac:dyDescent="0.3">
      <c r="I4583" s="7"/>
      <c r="J4583" s="9"/>
      <c r="K4583" s="9"/>
      <c r="L4583" s="9"/>
      <c r="M4583" s="9"/>
    </row>
    <row r="4584" spans="9:13" x14ac:dyDescent="0.3">
      <c r="I4584" s="7"/>
      <c r="J4584" s="9"/>
      <c r="K4584" s="9"/>
      <c r="L4584" s="9"/>
      <c r="M4584" s="9"/>
    </row>
    <row r="4585" spans="9:13" x14ac:dyDescent="0.3">
      <c r="I4585" s="7"/>
      <c r="J4585" s="9"/>
      <c r="K4585" s="9"/>
      <c r="L4585" s="9"/>
      <c r="M4585" s="9"/>
    </row>
    <row r="4586" spans="9:13" x14ac:dyDescent="0.3">
      <c r="I4586" s="7"/>
      <c r="J4586" s="9"/>
      <c r="K4586" s="9"/>
      <c r="L4586" s="9"/>
      <c r="M4586" s="9"/>
    </row>
    <row r="4587" spans="9:13" x14ac:dyDescent="0.3">
      <c r="I4587" s="7"/>
      <c r="J4587" s="9"/>
      <c r="K4587" s="9"/>
      <c r="L4587" s="9"/>
      <c r="M4587" s="9"/>
    </row>
    <row r="4588" spans="9:13" x14ac:dyDescent="0.3">
      <c r="I4588" s="7"/>
      <c r="J4588" s="9"/>
      <c r="K4588" s="9"/>
      <c r="L4588" s="9"/>
      <c r="M4588" s="9"/>
    </row>
    <row r="4589" spans="9:13" x14ac:dyDescent="0.3">
      <c r="I4589" s="7"/>
      <c r="J4589" s="9"/>
      <c r="K4589" s="9"/>
      <c r="L4589" s="9"/>
      <c r="M4589" s="9"/>
    </row>
    <row r="4590" spans="9:13" x14ac:dyDescent="0.3">
      <c r="I4590" s="7"/>
      <c r="J4590" s="9"/>
      <c r="K4590" s="9"/>
      <c r="L4590" s="9"/>
      <c r="M4590" s="9"/>
    </row>
    <row r="4591" spans="9:13" x14ac:dyDescent="0.3">
      <c r="I4591" s="7"/>
      <c r="J4591" s="9"/>
      <c r="K4591" s="9"/>
      <c r="L4591" s="9"/>
      <c r="M4591" s="9"/>
    </row>
    <row r="4592" spans="9:13" x14ac:dyDescent="0.3">
      <c r="I4592" s="7"/>
      <c r="J4592" s="9"/>
      <c r="K4592" s="9"/>
      <c r="L4592" s="9"/>
      <c r="M4592" s="9"/>
    </row>
    <row r="4593" spans="9:13" x14ac:dyDescent="0.3">
      <c r="I4593" s="7"/>
      <c r="J4593" s="9"/>
      <c r="K4593" s="9"/>
      <c r="L4593" s="9"/>
      <c r="M4593" s="9"/>
    </row>
    <row r="4594" spans="9:13" x14ac:dyDescent="0.3">
      <c r="I4594" s="7"/>
      <c r="J4594" s="9"/>
      <c r="K4594" s="9"/>
      <c r="L4594" s="9"/>
      <c r="M4594" s="9"/>
    </row>
    <row r="4595" spans="9:13" x14ac:dyDescent="0.3">
      <c r="I4595" s="7"/>
      <c r="J4595" s="9"/>
      <c r="K4595" s="9"/>
      <c r="L4595" s="9"/>
      <c r="M4595" s="9"/>
    </row>
    <row r="4596" spans="9:13" x14ac:dyDescent="0.3">
      <c r="I4596" s="7"/>
      <c r="J4596" s="9"/>
      <c r="K4596" s="9"/>
      <c r="L4596" s="9"/>
      <c r="M4596" s="9"/>
    </row>
    <row r="4597" spans="9:13" x14ac:dyDescent="0.3">
      <c r="I4597" s="7"/>
      <c r="J4597" s="9"/>
      <c r="K4597" s="9"/>
      <c r="L4597" s="9"/>
      <c r="M4597" s="9"/>
    </row>
    <row r="4598" spans="9:13" x14ac:dyDescent="0.3">
      <c r="I4598" s="7"/>
      <c r="J4598" s="9"/>
      <c r="K4598" s="9"/>
      <c r="L4598" s="9"/>
      <c r="M4598" s="9"/>
    </row>
    <row r="4599" spans="9:13" x14ac:dyDescent="0.3">
      <c r="I4599" s="7"/>
      <c r="J4599" s="9"/>
      <c r="K4599" s="9"/>
      <c r="L4599" s="9"/>
      <c r="M4599" s="9"/>
    </row>
    <row r="4600" spans="9:13" x14ac:dyDescent="0.3">
      <c r="I4600" s="7"/>
      <c r="J4600" s="9"/>
      <c r="K4600" s="9"/>
      <c r="L4600" s="9"/>
      <c r="M4600" s="9"/>
    </row>
    <row r="4601" spans="9:13" x14ac:dyDescent="0.3">
      <c r="I4601" s="7"/>
      <c r="J4601" s="9"/>
      <c r="K4601" s="9"/>
      <c r="L4601" s="9"/>
      <c r="M4601" s="9"/>
    </row>
    <row r="4602" spans="9:13" x14ac:dyDescent="0.3">
      <c r="I4602" s="7"/>
      <c r="J4602" s="9"/>
      <c r="K4602" s="9"/>
      <c r="L4602" s="9"/>
      <c r="M4602" s="9"/>
    </row>
    <row r="4603" spans="9:13" x14ac:dyDescent="0.3">
      <c r="I4603" s="7"/>
      <c r="J4603" s="9"/>
      <c r="K4603" s="9"/>
      <c r="L4603" s="9"/>
      <c r="M4603" s="9"/>
    </row>
    <row r="4604" spans="9:13" x14ac:dyDescent="0.3">
      <c r="I4604" s="7"/>
      <c r="J4604" s="9"/>
      <c r="K4604" s="9"/>
      <c r="L4604" s="9"/>
      <c r="M4604" s="9"/>
    </row>
    <row r="4605" spans="9:13" x14ac:dyDescent="0.3">
      <c r="I4605" s="7"/>
      <c r="J4605" s="9"/>
      <c r="K4605" s="9"/>
      <c r="L4605" s="9"/>
      <c r="M4605" s="9"/>
    </row>
    <row r="4606" spans="9:13" x14ac:dyDescent="0.3">
      <c r="I4606" s="7"/>
      <c r="J4606" s="9"/>
      <c r="K4606" s="9"/>
      <c r="L4606" s="9"/>
      <c r="M4606" s="9"/>
    </row>
    <row r="4607" spans="9:13" x14ac:dyDescent="0.3">
      <c r="I4607" s="7"/>
      <c r="J4607" s="9"/>
      <c r="K4607" s="9"/>
      <c r="L4607" s="9"/>
      <c r="M4607" s="9"/>
    </row>
    <row r="4608" spans="9:13" x14ac:dyDescent="0.3">
      <c r="I4608" s="7"/>
      <c r="J4608" s="9"/>
      <c r="K4608" s="9"/>
      <c r="L4608" s="9"/>
      <c r="M4608" s="9"/>
    </row>
    <row r="4609" spans="9:13" x14ac:dyDescent="0.3">
      <c r="I4609" s="7"/>
      <c r="J4609" s="9"/>
      <c r="K4609" s="9"/>
      <c r="L4609" s="9"/>
      <c r="M4609" s="9"/>
    </row>
    <row r="4610" spans="9:13" x14ac:dyDescent="0.3">
      <c r="I4610" s="7"/>
      <c r="J4610" s="9"/>
      <c r="K4610" s="9"/>
      <c r="L4610" s="9"/>
      <c r="M4610" s="9"/>
    </row>
    <row r="4611" spans="9:13" x14ac:dyDescent="0.3">
      <c r="I4611" s="7"/>
      <c r="J4611" s="9"/>
      <c r="K4611" s="9"/>
      <c r="L4611" s="9"/>
      <c r="M4611" s="9"/>
    </row>
    <row r="4612" spans="9:13" x14ac:dyDescent="0.3">
      <c r="I4612" s="7"/>
      <c r="J4612" s="9"/>
      <c r="K4612" s="9"/>
      <c r="L4612" s="9"/>
      <c r="M4612" s="9"/>
    </row>
    <row r="4613" spans="9:13" x14ac:dyDescent="0.3">
      <c r="I4613" s="7"/>
      <c r="J4613" s="9"/>
      <c r="K4613" s="9"/>
      <c r="L4613" s="9"/>
      <c r="M4613" s="9"/>
    </row>
    <row r="4614" spans="9:13" x14ac:dyDescent="0.3">
      <c r="I4614" s="7"/>
      <c r="J4614" s="9"/>
      <c r="K4614" s="9"/>
      <c r="L4614" s="9"/>
      <c r="M4614" s="9"/>
    </row>
    <row r="4615" spans="9:13" x14ac:dyDescent="0.3">
      <c r="I4615" s="7"/>
      <c r="J4615" s="9"/>
      <c r="K4615" s="9"/>
      <c r="L4615" s="9"/>
      <c r="M4615" s="9"/>
    </row>
    <row r="4616" spans="9:13" x14ac:dyDescent="0.3">
      <c r="I4616" s="7"/>
      <c r="J4616" s="9"/>
      <c r="K4616" s="9"/>
      <c r="L4616" s="9"/>
      <c r="M4616" s="9"/>
    </row>
    <row r="4617" spans="9:13" x14ac:dyDescent="0.3">
      <c r="I4617" s="7"/>
      <c r="J4617" s="9"/>
      <c r="K4617" s="9"/>
      <c r="L4617" s="9"/>
      <c r="M4617" s="9"/>
    </row>
    <row r="4618" spans="9:13" x14ac:dyDescent="0.3">
      <c r="I4618" s="7"/>
      <c r="J4618" s="9"/>
      <c r="K4618" s="9"/>
      <c r="L4618" s="9"/>
      <c r="M4618" s="9"/>
    </row>
    <row r="4619" spans="9:13" x14ac:dyDescent="0.3">
      <c r="I4619" s="7"/>
      <c r="J4619" s="9"/>
      <c r="K4619" s="9"/>
      <c r="L4619" s="9"/>
      <c r="M4619" s="9"/>
    </row>
    <row r="4620" spans="9:13" x14ac:dyDescent="0.3">
      <c r="I4620" s="7"/>
      <c r="J4620" s="9"/>
      <c r="K4620" s="9"/>
      <c r="L4620" s="9"/>
      <c r="M4620" s="9"/>
    </row>
    <row r="4621" spans="9:13" x14ac:dyDescent="0.3">
      <c r="I4621" s="7"/>
      <c r="J4621" s="9"/>
      <c r="K4621" s="9"/>
      <c r="L4621" s="9"/>
      <c r="M4621" s="9"/>
    </row>
    <row r="4622" spans="9:13" x14ac:dyDescent="0.3">
      <c r="I4622" s="7"/>
      <c r="J4622" s="9"/>
      <c r="K4622" s="9"/>
      <c r="L4622" s="9"/>
      <c r="M4622" s="9"/>
    </row>
    <row r="4623" spans="9:13" x14ac:dyDescent="0.3">
      <c r="I4623" s="7"/>
      <c r="J4623" s="9"/>
      <c r="K4623" s="9"/>
      <c r="L4623" s="9"/>
      <c r="M4623" s="9"/>
    </row>
    <row r="4624" spans="9:13" x14ac:dyDescent="0.3">
      <c r="I4624" s="7"/>
      <c r="J4624" s="9"/>
      <c r="K4624" s="9"/>
      <c r="L4624" s="9"/>
      <c r="M4624" s="9"/>
    </row>
    <row r="4625" spans="9:13" x14ac:dyDescent="0.3">
      <c r="I4625" s="7"/>
      <c r="J4625" s="9"/>
      <c r="K4625" s="9"/>
      <c r="L4625" s="9"/>
      <c r="M4625" s="9"/>
    </row>
    <row r="4626" spans="9:13" x14ac:dyDescent="0.3">
      <c r="I4626" s="7"/>
      <c r="J4626" s="9"/>
      <c r="K4626" s="9"/>
      <c r="L4626" s="9"/>
      <c r="M4626" s="9"/>
    </row>
    <row r="4627" spans="9:13" x14ac:dyDescent="0.3">
      <c r="I4627" s="7"/>
      <c r="J4627" s="9"/>
      <c r="K4627" s="9"/>
      <c r="L4627" s="9"/>
      <c r="M4627" s="9"/>
    </row>
    <row r="4628" spans="9:13" x14ac:dyDescent="0.3">
      <c r="I4628" s="7"/>
      <c r="J4628" s="9"/>
      <c r="K4628" s="9"/>
      <c r="L4628" s="9"/>
      <c r="M4628" s="9"/>
    </row>
    <row r="4629" spans="9:13" x14ac:dyDescent="0.3">
      <c r="I4629" s="7"/>
      <c r="J4629" s="9"/>
      <c r="K4629" s="9"/>
      <c r="L4629" s="9"/>
      <c r="M4629" s="9"/>
    </row>
    <row r="4630" spans="9:13" x14ac:dyDescent="0.3">
      <c r="I4630" s="7"/>
      <c r="J4630" s="9"/>
      <c r="K4630" s="9"/>
      <c r="L4630" s="9"/>
      <c r="M4630" s="9"/>
    </row>
    <row r="4631" spans="9:13" x14ac:dyDescent="0.3">
      <c r="I4631" s="7"/>
      <c r="J4631" s="9"/>
      <c r="K4631" s="9"/>
      <c r="L4631" s="9"/>
      <c r="M4631" s="9"/>
    </row>
    <row r="4632" spans="9:13" x14ac:dyDescent="0.3">
      <c r="I4632" s="7"/>
      <c r="J4632" s="9"/>
      <c r="K4632" s="9"/>
      <c r="L4632" s="9"/>
      <c r="M4632" s="9"/>
    </row>
    <row r="4633" spans="9:13" x14ac:dyDescent="0.3">
      <c r="I4633" s="7"/>
      <c r="J4633" s="9"/>
      <c r="K4633" s="9"/>
      <c r="L4633" s="9"/>
      <c r="M4633" s="9"/>
    </row>
    <row r="4634" spans="9:13" x14ac:dyDescent="0.3">
      <c r="I4634" s="7"/>
      <c r="J4634" s="9"/>
      <c r="K4634" s="9"/>
      <c r="L4634" s="9"/>
      <c r="M4634" s="9"/>
    </row>
    <row r="4635" spans="9:13" x14ac:dyDescent="0.3">
      <c r="I4635" s="7"/>
      <c r="J4635" s="9"/>
      <c r="K4635" s="9"/>
      <c r="L4635" s="9"/>
      <c r="M4635" s="9"/>
    </row>
    <row r="4636" spans="9:13" x14ac:dyDescent="0.3">
      <c r="I4636" s="7"/>
      <c r="J4636" s="9"/>
      <c r="K4636" s="9"/>
      <c r="L4636" s="9"/>
      <c r="M4636" s="9"/>
    </row>
    <row r="4637" spans="9:13" x14ac:dyDescent="0.3">
      <c r="I4637" s="7"/>
      <c r="J4637" s="9"/>
      <c r="K4637" s="9"/>
      <c r="L4637" s="9"/>
      <c r="M4637" s="9"/>
    </row>
    <row r="4638" spans="9:13" x14ac:dyDescent="0.3">
      <c r="I4638" s="7"/>
      <c r="J4638" s="9"/>
      <c r="K4638" s="9"/>
      <c r="L4638" s="9"/>
      <c r="M4638" s="9"/>
    </row>
    <row r="4639" spans="9:13" x14ac:dyDescent="0.3">
      <c r="I4639" s="7"/>
      <c r="J4639" s="9"/>
      <c r="K4639" s="9"/>
      <c r="L4639" s="9"/>
      <c r="M4639" s="9"/>
    </row>
    <row r="4640" spans="9:13" x14ac:dyDescent="0.3">
      <c r="I4640" s="7"/>
      <c r="J4640" s="9"/>
      <c r="K4640" s="9"/>
      <c r="L4640" s="9"/>
      <c r="M4640" s="9"/>
    </row>
    <row r="4641" spans="9:13" x14ac:dyDescent="0.3">
      <c r="I4641" s="7"/>
      <c r="J4641" s="9"/>
      <c r="K4641" s="9"/>
      <c r="L4641" s="9"/>
      <c r="M4641" s="9"/>
    </row>
    <row r="4642" spans="9:13" x14ac:dyDescent="0.3">
      <c r="I4642" s="7"/>
      <c r="J4642" s="9"/>
      <c r="K4642" s="9"/>
      <c r="L4642" s="9"/>
      <c r="M4642" s="9"/>
    </row>
    <row r="4643" spans="9:13" x14ac:dyDescent="0.3">
      <c r="I4643" s="7"/>
      <c r="J4643" s="9"/>
      <c r="K4643" s="9"/>
      <c r="L4643" s="9"/>
      <c r="M4643" s="9"/>
    </row>
    <row r="4644" spans="9:13" x14ac:dyDescent="0.3">
      <c r="I4644" s="7"/>
      <c r="J4644" s="9"/>
      <c r="K4644" s="9"/>
      <c r="L4644" s="9"/>
      <c r="M4644" s="9"/>
    </row>
    <row r="4645" spans="9:13" x14ac:dyDescent="0.3">
      <c r="I4645" s="7"/>
      <c r="J4645" s="9"/>
      <c r="K4645" s="9"/>
      <c r="L4645" s="9"/>
      <c r="M4645" s="9"/>
    </row>
    <row r="4646" spans="9:13" x14ac:dyDescent="0.3">
      <c r="I4646" s="7"/>
      <c r="J4646" s="9"/>
      <c r="K4646" s="9"/>
      <c r="L4646" s="9"/>
      <c r="M4646" s="9"/>
    </row>
    <row r="4647" spans="9:13" x14ac:dyDescent="0.3">
      <c r="I4647" s="7"/>
      <c r="J4647" s="9"/>
      <c r="K4647" s="9"/>
      <c r="L4647" s="9"/>
      <c r="M4647" s="9"/>
    </row>
    <row r="4648" spans="9:13" x14ac:dyDescent="0.3">
      <c r="I4648" s="7"/>
      <c r="J4648" s="9"/>
      <c r="K4648" s="9"/>
      <c r="L4648" s="9"/>
      <c r="M4648" s="9"/>
    </row>
    <row r="4649" spans="9:13" x14ac:dyDescent="0.3">
      <c r="I4649" s="7"/>
      <c r="J4649" s="9"/>
      <c r="K4649" s="9"/>
      <c r="L4649" s="9"/>
      <c r="M4649" s="9"/>
    </row>
    <row r="4650" spans="9:13" x14ac:dyDescent="0.3">
      <c r="I4650" s="7"/>
      <c r="J4650" s="9"/>
      <c r="K4650" s="9"/>
      <c r="L4650" s="9"/>
      <c r="M4650" s="9"/>
    </row>
    <row r="4651" spans="9:13" x14ac:dyDescent="0.3">
      <c r="I4651" s="7"/>
      <c r="J4651" s="9"/>
      <c r="K4651" s="9"/>
      <c r="L4651" s="9"/>
      <c r="M4651" s="9"/>
    </row>
    <row r="4652" spans="9:13" x14ac:dyDescent="0.3">
      <c r="I4652" s="7"/>
      <c r="J4652" s="9"/>
      <c r="K4652" s="9"/>
      <c r="L4652" s="9"/>
      <c r="M4652" s="9"/>
    </row>
    <row r="4653" spans="9:13" x14ac:dyDescent="0.3">
      <c r="I4653" s="7"/>
      <c r="J4653" s="9"/>
      <c r="K4653" s="9"/>
      <c r="L4653" s="9"/>
      <c r="M4653" s="9"/>
    </row>
    <row r="4654" spans="9:13" x14ac:dyDescent="0.3">
      <c r="I4654" s="7"/>
      <c r="J4654" s="9"/>
      <c r="K4654" s="9"/>
      <c r="L4654" s="9"/>
      <c r="M4654" s="9"/>
    </row>
    <row r="4655" spans="9:13" x14ac:dyDescent="0.3">
      <c r="I4655" s="7"/>
      <c r="J4655" s="9"/>
      <c r="K4655" s="9"/>
      <c r="L4655" s="9"/>
      <c r="M4655" s="9"/>
    </row>
    <row r="4656" spans="9:13" x14ac:dyDescent="0.3">
      <c r="I4656" s="7"/>
      <c r="J4656" s="9"/>
      <c r="K4656" s="9"/>
      <c r="L4656" s="9"/>
      <c r="M4656" s="9"/>
    </row>
    <row r="4657" spans="9:13" x14ac:dyDescent="0.3">
      <c r="I4657" s="7"/>
      <c r="J4657" s="9"/>
      <c r="K4657" s="9"/>
      <c r="L4657" s="9"/>
      <c r="M4657" s="9"/>
    </row>
    <row r="4658" spans="9:13" x14ac:dyDescent="0.3">
      <c r="I4658" s="7"/>
      <c r="J4658" s="9"/>
      <c r="K4658" s="9"/>
      <c r="L4658" s="9"/>
      <c r="M4658" s="9"/>
    </row>
    <row r="4659" spans="9:13" x14ac:dyDescent="0.3">
      <c r="I4659" s="7"/>
      <c r="J4659" s="9"/>
      <c r="K4659" s="9"/>
      <c r="L4659" s="9"/>
      <c r="M4659" s="9"/>
    </row>
    <row r="4660" spans="9:13" x14ac:dyDescent="0.3">
      <c r="I4660" s="7"/>
      <c r="J4660" s="9"/>
      <c r="K4660" s="9"/>
      <c r="L4660" s="9"/>
      <c r="M4660" s="9"/>
    </row>
    <row r="4661" spans="9:13" x14ac:dyDescent="0.3">
      <c r="I4661" s="7"/>
      <c r="J4661" s="9"/>
      <c r="K4661" s="9"/>
      <c r="L4661" s="9"/>
      <c r="M4661" s="9"/>
    </row>
    <row r="4662" spans="9:13" x14ac:dyDescent="0.3">
      <c r="I4662" s="7"/>
      <c r="J4662" s="9"/>
      <c r="K4662" s="9"/>
      <c r="L4662" s="9"/>
      <c r="M4662" s="9"/>
    </row>
    <row r="4663" spans="9:13" x14ac:dyDescent="0.3">
      <c r="I4663" s="7"/>
      <c r="J4663" s="9"/>
      <c r="K4663" s="9"/>
      <c r="L4663" s="9"/>
      <c r="M4663" s="9"/>
    </row>
    <row r="4664" spans="9:13" x14ac:dyDescent="0.3">
      <c r="I4664" s="7"/>
      <c r="J4664" s="9"/>
      <c r="K4664" s="9"/>
      <c r="L4664" s="9"/>
      <c r="M4664" s="9"/>
    </row>
    <row r="4665" spans="9:13" x14ac:dyDescent="0.3">
      <c r="I4665" s="7"/>
      <c r="J4665" s="9"/>
      <c r="K4665" s="9"/>
      <c r="L4665" s="9"/>
      <c r="M4665" s="9"/>
    </row>
    <row r="4666" spans="9:13" x14ac:dyDescent="0.3">
      <c r="I4666" s="7"/>
      <c r="J4666" s="9"/>
      <c r="K4666" s="9"/>
      <c r="L4666" s="9"/>
      <c r="M4666" s="9"/>
    </row>
    <row r="4667" spans="9:13" x14ac:dyDescent="0.3">
      <c r="I4667" s="7"/>
      <c r="J4667" s="9"/>
      <c r="K4667" s="9"/>
      <c r="L4667" s="9"/>
      <c r="M4667" s="9"/>
    </row>
    <row r="4668" spans="9:13" x14ac:dyDescent="0.3">
      <c r="I4668" s="7"/>
      <c r="J4668" s="9"/>
      <c r="K4668" s="9"/>
      <c r="L4668" s="9"/>
      <c r="M4668" s="9"/>
    </row>
    <row r="4669" spans="9:13" x14ac:dyDescent="0.3">
      <c r="I4669" s="7"/>
      <c r="J4669" s="9"/>
      <c r="K4669" s="9"/>
      <c r="L4669" s="9"/>
      <c r="M4669" s="9"/>
    </row>
    <row r="4670" spans="9:13" x14ac:dyDescent="0.3">
      <c r="I4670" s="7"/>
      <c r="J4670" s="9"/>
      <c r="K4670" s="9"/>
      <c r="L4670" s="9"/>
      <c r="M4670" s="9"/>
    </row>
    <row r="4671" spans="9:13" x14ac:dyDescent="0.3">
      <c r="I4671" s="7"/>
      <c r="J4671" s="9"/>
      <c r="K4671" s="9"/>
      <c r="L4671" s="9"/>
      <c r="M4671" s="9"/>
    </row>
    <row r="4672" spans="9:13" x14ac:dyDescent="0.3">
      <c r="I4672" s="7"/>
      <c r="J4672" s="9"/>
      <c r="K4672" s="9"/>
      <c r="L4672" s="9"/>
      <c r="M4672" s="9"/>
    </row>
    <row r="4673" spans="9:13" x14ac:dyDescent="0.3">
      <c r="I4673" s="7"/>
      <c r="J4673" s="9"/>
      <c r="K4673" s="9"/>
      <c r="L4673" s="9"/>
      <c r="M4673" s="9"/>
    </row>
    <row r="4674" spans="9:13" x14ac:dyDescent="0.3">
      <c r="I4674" s="7"/>
      <c r="J4674" s="9"/>
      <c r="K4674" s="9"/>
      <c r="L4674" s="9"/>
      <c r="M4674" s="9"/>
    </row>
    <row r="4675" spans="9:13" x14ac:dyDescent="0.3">
      <c r="I4675" s="7"/>
      <c r="J4675" s="9"/>
      <c r="K4675" s="9"/>
      <c r="L4675" s="9"/>
      <c r="M4675" s="9"/>
    </row>
    <row r="4676" spans="9:13" x14ac:dyDescent="0.3">
      <c r="I4676" s="7"/>
      <c r="J4676" s="9"/>
      <c r="K4676" s="9"/>
      <c r="L4676" s="9"/>
      <c r="M4676" s="9"/>
    </row>
    <row r="4677" spans="9:13" x14ac:dyDescent="0.3">
      <c r="I4677" s="7"/>
      <c r="J4677" s="9"/>
      <c r="K4677" s="9"/>
      <c r="L4677" s="9"/>
      <c r="M4677" s="9"/>
    </row>
    <row r="4678" spans="9:13" x14ac:dyDescent="0.3">
      <c r="I4678" s="7"/>
      <c r="J4678" s="9"/>
      <c r="K4678" s="9"/>
      <c r="L4678" s="9"/>
      <c r="M4678" s="9"/>
    </row>
    <row r="4679" spans="9:13" x14ac:dyDescent="0.3">
      <c r="I4679" s="7"/>
      <c r="J4679" s="9"/>
      <c r="K4679" s="9"/>
      <c r="L4679" s="9"/>
      <c r="M4679" s="9"/>
    </row>
    <row r="4680" spans="9:13" x14ac:dyDescent="0.3">
      <c r="I4680" s="7"/>
      <c r="J4680" s="9"/>
      <c r="K4680" s="9"/>
      <c r="L4680" s="9"/>
      <c r="M4680" s="9"/>
    </row>
    <row r="4681" spans="9:13" x14ac:dyDescent="0.3">
      <c r="I4681" s="7"/>
      <c r="J4681" s="9"/>
      <c r="K4681" s="9"/>
      <c r="L4681" s="9"/>
      <c r="M4681" s="9"/>
    </row>
    <row r="4682" spans="9:13" x14ac:dyDescent="0.3">
      <c r="I4682" s="7"/>
      <c r="J4682" s="9"/>
      <c r="K4682" s="9"/>
      <c r="L4682" s="9"/>
      <c r="M4682" s="9"/>
    </row>
    <row r="4683" spans="9:13" x14ac:dyDescent="0.3">
      <c r="I4683" s="7"/>
      <c r="J4683" s="9"/>
      <c r="K4683" s="9"/>
      <c r="L4683" s="9"/>
      <c r="M4683" s="9"/>
    </row>
    <row r="4684" spans="9:13" x14ac:dyDescent="0.3">
      <c r="I4684" s="7"/>
      <c r="J4684" s="9"/>
      <c r="K4684" s="9"/>
      <c r="L4684" s="9"/>
      <c r="M4684" s="9"/>
    </row>
    <row r="4685" spans="9:13" x14ac:dyDescent="0.3">
      <c r="I4685" s="7"/>
      <c r="J4685" s="9"/>
      <c r="K4685" s="9"/>
      <c r="L4685" s="9"/>
      <c r="M4685" s="9"/>
    </row>
    <row r="4686" spans="9:13" x14ac:dyDescent="0.3">
      <c r="I4686" s="7"/>
      <c r="J4686" s="9"/>
      <c r="K4686" s="9"/>
      <c r="L4686" s="9"/>
      <c r="M4686" s="9"/>
    </row>
    <row r="4687" spans="9:13" x14ac:dyDescent="0.3">
      <c r="I4687" s="7"/>
      <c r="J4687" s="9"/>
      <c r="K4687" s="9"/>
      <c r="L4687" s="9"/>
      <c r="M4687" s="9"/>
    </row>
    <row r="4688" spans="9:13" x14ac:dyDescent="0.3">
      <c r="I4688" s="7"/>
      <c r="J4688" s="9"/>
      <c r="K4688" s="9"/>
      <c r="L4688" s="9"/>
      <c r="M4688" s="9"/>
    </row>
    <row r="4689" spans="9:13" x14ac:dyDescent="0.3">
      <c r="I4689" s="7"/>
      <c r="J4689" s="9"/>
      <c r="K4689" s="9"/>
      <c r="L4689" s="9"/>
      <c r="M4689" s="9"/>
    </row>
    <row r="4690" spans="9:13" x14ac:dyDescent="0.3">
      <c r="I4690" s="7"/>
      <c r="J4690" s="9"/>
      <c r="K4690" s="9"/>
      <c r="L4690" s="9"/>
      <c r="M4690" s="9"/>
    </row>
    <row r="4691" spans="9:13" x14ac:dyDescent="0.3">
      <c r="I4691" s="7"/>
      <c r="J4691" s="9"/>
      <c r="K4691" s="9"/>
      <c r="L4691" s="9"/>
      <c r="M4691" s="9"/>
    </row>
    <row r="4692" spans="9:13" x14ac:dyDescent="0.3">
      <c r="I4692" s="7"/>
      <c r="J4692" s="9"/>
      <c r="K4692" s="9"/>
      <c r="L4692" s="9"/>
      <c r="M4692" s="9"/>
    </row>
    <row r="4693" spans="9:13" x14ac:dyDescent="0.3">
      <c r="I4693" s="7"/>
      <c r="J4693" s="9"/>
      <c r="K4693" s="9"/>
      <c r="L4693" s="9"/>
      <c r="M4693" s="9"/>
    </row>
    <row r="4694" spans="9:13" x14ac:dyDescent="0.3">
      <c r="I4694" s="7"/>
      <c r="J4694" s="9"/>
      <c r="K4694" s="9"/>
      <c r="L4694" s="9"/>
      <c r="M4694" s="9"/>
    </row>
    <row r="4695" spans="9:13" x14ac:dyDescent="0.3">
      <c r="I4695" s="7"/>
      <c r="J4695" s="9"/>
      <c r="K4695" s="9"/>
      <c r="L4695" s="9"/>
      <c r="M4695" s="9"/>
    </row>
    <row r="4696" spans="9:13" x14ac:dyDescent="0.3">
      <c r="I4696" s="7"/>
      <c r="J4696" s="9"/>
      <c r="K4696" s="9"/>
      <c r="L4696" s="9"/>
      <c r="M4696" s="9"/>
    </row>
    <row r="4697" spans="9:13" x14ac:dyDescent="0.3">
      <c r="I4697" s="7"/>
      <c r="J4697" s="9"/>
      <c r="K4697" s="9"/>
      <c r="L4697" s="9"/>
      <c r="M4697" s="9"/>
    </row>
    <row r="4698" spans="9:13" x14ac:dyDescent="0.3">
      <c r="I4698" s="7"/>
      <c r="J4698" s="9"/>
      <c r="K4698" s="9"/>
      <c r="L4698" s="9"/>
      <c r="M4698" s="9"/>
    </row>
    <row r="4699" spans="9:13" x14ac:dyDescent="0.3">
      <c r="I4699" s="7"/>
      <c r="J4699" s="9"/>
      <c r="K4699" s="9"/>
      <c r="L4699" s="9"/>
      <c r="M4699" s="9"/>
    </row>
    <row r="4700" spans="9:13" x14ac:dyDescent="0.3">
      <c r="I4700" s="7"/>
      <c r="J4700" s="9"/>
      <c r="K4700" s="9"/>
      <c r="L4700" s="9"/>
      <c r="M4700" s="9"/>
    </row>
    <row r="4701" spans="9:13" x14ac:dyDescent="0.3">
      <c r="I4701" s="7"/>
      <c r="J4701" s="9"/>
      <c r="K4701" s="9"/>
      <c r="L4701" s="9"/>
      <c r="M4701" s="9"/>
    </row>
    <row r="4702" spans="9:13" x14ac:dyDescent="0.3">
      <c r="I4702" s="7"/>
      <c r="J4702" s="9"/>
      <c r="K4702" s="9"/>
      <c r="L4702" s="9"/>
      <c r="M4702" s="9"/>
    </row>
    <row r="4703" spans="9:13" x14ac:dyDescent="0.3">
      <c r="I4703" s="7"/>
      <c r="J4703" s="9"/>
      <c r="K4703" s="9"/>
      <c r="L4703" s="9"/>
      <c r="M4703" s="9"/>
    </row>
    <row r="4704" spans="9:13" x14ac:dyDescent="0.3">
      <c r="I4704" s="7"/>
      <c r="J4704" s="9"/>
      <c r="K4704" s="9"/>
      <c r="L4704" s="9"/>
      <c r="M4704" s="9"/>
    </row>
  </sheetData>
  <mergeCells count="4">
    <mergeCell ref="J1:K1"/>
    <mergeCell ref="L1:M1"/>
    <mergeCell ref="O1:P1"/>
    <mergeCell ref="Q1:R1"/>
  </mergeCells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6BFE-95D8-4395-9A75-D3CDA4CCA6D9}">
  <sheetPr codeName="Hoja3"/>
  <dimension ref="A1:L168"/>
  <sheetViews>
    <sheetView topLeftCell="A141" workbookViewId="0">
      <selection activeCell="L2" sqref="L2:L168"/>
    </sheetView>
  </sheetViews>
  <sheetFormatPr baseColWidth="10" defaultRowHeight="14.4" x14ac:dyDescent="0.3"/>
  <cols>
    <col min="3" max="3" width="16.21875" bestFit="1" customWidth="1"/>
    <col min="6" max="6" width="16.6640625" bestFit="1" customWidth="1"/>
  </cols>
  <sheetData>
    <row r="1" spans="1:12" x14ac:dyDescent="0.3">
      <c r="A1" s="1" t="s">
        <v>315</v>
      </c>
      <c r="B1" s="1" t="s">
        <v>316</v>
      </c>
      <c r="C1" s="105" t="s">
        <v>280</v>
      </c>
      <c r="D1" s="105" t="s">
        <v>281</v>
      </c>
      <c r="E1" s="105" t="s">
        <v>282</v>
      </c>
      <c r="F1" s="105" t="s">
        <v>283</v>
      </c>
      <c r="G1" s="105" t="s">
        <v>284</v>
      </c>
      <c r="H1" s="85" t="s">
        <v>280</v>
      </c>
      <c r="I1" s="85" t="s">
        <v>281</v>
      </c>
      <c r="J1" s="85" t="s">
        <v>282</v>
      </c>
      <c r="K1" s="85" t="s">
        <v>283</v>
      </c>
      <c r="L1" s="85" t="s">
        <v>284</v>
      </c>
    </row>
    <row r="2" spans="1:12" x14ac:dyDescent="0.3">
      <c r="C2">
        <v>241.06536476084119</v>
      </c>
      <c r="D2">
        <v>262.87260919946158</v>
      </c>
      <c r="E2">
        <v>250.47084958219071</v>
      </c>
      <c r="F2">
        <v>239.75</v>
      </c>
      <c r="G2">
        <v>243.60704999999999</v>
      </c>
      <c r="H2">
        <v>241.06536476084119</v>
      </c>
      <c r="I2">
        <v>250.8457427075839</v>
      </c>
      <c r="J2">
        <v>238.21859372822431</v>
      </c>
      <c r="K2">
        <v>239.75</v>
      </c>
      <c r="L2">
        <v>239.75</v>
      </c>
    </row>
    <row r="3" spans="1:12" x14ac:dyDescent="0.3">
      <c r="C3">
        <v>231.0569825410081</v>
      </c>
      <c r="D3">
        <v>262.87256256127529</v>
      </c>
      <c r="E3">
        <v>250.57612443712651</v>
      </c>
      <c r="F3">
        <v>229.15</v>
      </c>
      <c r="G3">
        <v>235.74950000000021</v>
      </c>
      <c r="H3">
        <v>231.0569825410081</v>
      </c>
      <c r="I3">
        <v>185.02332046257581</v>
      </c>
      <c r="J3">
        <v>234.75260202476659</v>
      </c>
      <c r="K3">
        <v>225.45500000000001</v>
      </c>
      <c r="L3">
        <v>229.15</v>
      </c>
    </row>
    <row r="4" spans="1:12" x14ac:dyDescent="0.3">
      <c r="C4">
        <v>229.2301136569499</v>
      </c>
      <c r="D4">
        <v>262.87212293374978</v>
      </c>
      <c r="E4">
        <v>250.46095737786689</v>
      </c>
      <c r="F4">
        <v>229.15</v>
      </c>
      <c r="G4">
        <v>232.59330000000011</v>
      </c>
      <c r="H4">
        <v>229.2301136569499</v>
      </c>
      <c r="I4">
        <v>185.38433399878011</v>
      </c>
      <c r="J4">
        <v>233.38327732818519</v>
      </c>
      <c r="K4">
        <v>225.45500000000001</v>
      </c>
      <c r="L4">
        <v>225.45500000000001</v>
      </c>
    </row>
    <row r="5" spans="1:12" x14ac:dyDescent="0.3">
      <c r="C5">
        <v>226.9750280063235</v>
      </c>
      <c r="D5">
        <v>262.87203472927439</v>
      </c>
      <c r="E5">
        <v>250.63306473105141</v>
      </c>
      <c r="F5">
        <v>214.255</v>
      </c>
      <c r="G5">
        <v>225.50649999999999</v>
      </c>
      <c r="H5">
        <v>226.9750280063235</v>
      </c>
      <c r="I5">
        <v>184.0458899487806</v>
      </c>
      <c r="J5">
        <v>232.24516196133791</v>
      </c>
      <c r="K5">
        <v>214.255</v>
      </c>
      <c r="L5">
        <v>221.46</v>
      </c>
    </row>
    <row r="6" spans="1:12" x14ac:dyDescent="0.3">
      <c r="C6">
        <v>228.78130089702239</v>
      </c>
      <c r="D6">
        <v>262.87194230372899</v>
      </c>
      <c r="E6">
        <v>250.41896997775191</v>
      </c>
      <c r="F6">
        <v>214.255</v>
      </c>
      <c r="G6">
        <v>225.70694999999989</v>
      </c>
      <c r="H6">
        <v>228.78130089702239</v>
      </c>
      <c r="I6">
        <v>210.4856853780951</v>
      </c>
      <c r="J6">
        <v>229.5934789976184</v>
      </c>
      <c r="K6">
        <v>214.255</v>
      </c>
      <c r="L6">
        <v>221.46</v>
      </c>
    </row>
    <row r="7" spans="1:12" x14ac:dyDescent="0.3">
      <c r="C7">
        <v>229.2913432276263</v>
      </c>
      <c r="D7">
        <v>262.87200589219242</v>
      </c>
      <c r="E7">
        <v>250.67851994045969</v>
      </c>
      <c r="F7">
        <v>214.255</v>
      </c>
      <c r="G7">
        <v>225.13865000000001</v>
      </c>
      <c r="H7">
        <v>229.2913432276263</v>
      </c>
      <c r="I7">
        <v>218.161287523688</v>
      </c>
      <c r="J7">
        <v>229.2373367052474</v>
      </c>
      <c r="K7">
        <v>214.255</v>
      </c>
      <c r="L7">
        <v>221.46</v>
      </c>
    </row>
    <row r="8" spans="1:12" x14ac:dyDescent="0.3">
      <c r="C8">
        <v>232.82777780044341</v>
      </c>
      <c r="D8">
        <v>262.87196730322091</v>
      </c>
      <c r="E8">
        <v>250.36043347540669</v>
      </c>
      <c r="F8">
        <v>227.97</v>
      </c>
      <c r="G8">
        <v>229.71934999999999</v>
      </c>
      <c r="H8">
        <v>232.82777780044341</v>
      </c>
      <c r="I8">
        <v>234.98664332707099</v>
      </c>
      <c r="J8">
        <v>231.50930971767721</v>
      </c>
      <c r="K8">
        <v>227.97</v>
      </c>
      <c r="L8">
        <v>230.785</v>
      </c>
    </row>
    <row r="9" spans="1:12" x14ac:dyDescent="0.3">
      <c r="C9">
        <v>234.14944007778891</v>
      </c>
      <c r="D9">
        <v>262.87210950727678</v>
      </c>
      <c r="E9">
        <v>250.4480352070895</v>
      </c>
      <c r="F9">
        <v>227.97</v>
      </c>
      <c r="G9">
        <v>229.2838499999998</v>
      </c>
      <c r="H9">
        <v>234.14944007778891</v>
      </c>
      <c r="I9">
        <v>237.09962157060741</v>
      </c>
      <c r="J9">
        <v>232.5391723896935</v>
      </c>
      <c r="K9">
        <v>227.97</v>
      </c>
      <c r="L9">
        <v>230.785</v>
      </c>
    </row>
    <row r="10" spans="1:12" x14ac:dyDescent="0.3">
      <c r="C10">
        <v>235.7228892632892</v>
      </c>
      <c r="D10">
        <v>262.87207077996112</v>
      </c>
      <c r="E10">
        <v>250.3743392236043</v>
      </c>
      <c r="F10">
        <v>241.61500000000001</v>
      </c>
      <c r="G10">
        <v>238.58779999999999</v>
      </c>
      <c r="H10">
        <v>235.7228892632892</v>
      </c>
      <c r="I10">
        <v>239.71911372566291</v>
      </c>
      <c r="J10">
        <v>233.93992841448741</v>
      </c>
      <c r="K10">
        <v>230.745</v>
      </c>
      <c r="L10">
        <v>241.61500000000001</v>
      </c>
    </row>
    <row r="11" spans="1:12" x14ac:dyDescent="0.3">
      <c r="C11">
        <v>238.52485858261929</v>
      </c>
      <c r="D11">
        <v>262.87308521617018</v>
      </c>
      <c r="E11">
        <v>250.66886152851589</v>
      </c>
      <c r="F11">
        <v>241.61500000000001</v>
      </c>
      <c r="G11">
        <v>239.64694999999989</v>
      </c>
      <c r="H11">
        <v>238.52485858261929</v>
      </c>
      <c r="I11">
        <v>244.69445004030121</v>
      </c>
      <c r="J11">
        <v>237.09056766382071</v>
      </c>
      <c r="K11">
        <v>230.745</v>
      </c>
      <c r="L11">
        <v>241.61500000000001</v>
      </c>
    </row>
    <row r="12" spans="1:12" x14ac:dyDescent="0.3">
      <c r="C12">
        <v>240.34457587553189</v>
      </c>
      <c r="D12">
        <v>262.87329076344622</v>
      </c>
      <c r="E12">
        <v>250.64719526673599</v>
      </c>
      <c r="F12">
        <v>230.745</v>
      </c>
      <c r="G12">
        <v>238.43815000000001</v>
      </c>
      <c r="H12">
        <v>240.34457587553189</v>
      </c>
      <c r="I12">
        <v>246.91379615801461</v>
      </c>
      <c r="J12">
        <v>238.75289480171131</v>
      </c>
      <c r="K12">
        <v>230.745</v>
      </c>
      <c r="L12">
        <v>230.745</v>
      </c>
    </row>
    <row r="13" spans="1:12" x14ac:dyDescent="0.3">
      <c r="C13">
        <v>237.87976760270649</v>
      </c>
      <c r="D13">
        <v>262.87333802475598</v>
      </c>
      <c r="E13">
        <v>250.6914481262134</v>
      </c>
      <c r="F13">
        <v>237.47499999999999</v>
      </c>
      <c r="G13">
        <v>238.95199999999991</v>
      </c>
      <c r="H13">
        <v>237.87976760270649</v>
      </c>
      <c r="I13">
        <v>242.14162330117469</v>
      </c>
      <c r="J13">
        <v>236.17053456188401</v>
      </c>
      <c r="K13">
        <v>237.125</v>
      </c>
      <c r="L13">
        <v>237.125</v>
      </c>
    </row>
    <row r="14" spans="1:12" x14ac:dyDescent="0.3">
      <c r="C14">
        <v>238.0722099093631</v>
      </c>
      <c r="D14">
        <v>262.87316551803758</v>
      </c>
      <c r="E14">
        <v>250.65492894861609</v>
      </c>
      <c r="F14">
        <v>242.10499999999999</v>
      </c>
      <c r="G14">
        <v>239.21974999999989</v>
      </c>
      <c r="H14">
        <v>238.0722099093631</v>
      </c>
      <c r="I14">
        <v>243.0501378143536</v>
      </c>
      <c r="J14">
        <v>236.82662274162519</v>
      </c>
      <c r="K14">
        <v>242.10499999999999</v>
      </c>
      <c r="L14">
        <v>242.10499999999999</v>
      </c>
    </row>
    <row r="15" spans="1:12" x14ac:dyDescent="0.3">
      <c r="C15">
        <v>240.1392849271061</v>
      </c>
      <c r="D15">
        <v>262.87358573937968</v>
      </c>
      <c r="E15">
        <v>250.68197266366511</v>
      </c>
      <c r="F15">
        <v>247.28</v>
      </c>
      <c r="G15">
        <v>242.24975000000001</v>
      </c>
      <c r="H15">
        <v>240.1392849271061</v>
      </c>
      <c r="I15">
        <v>246.6338380796609</v>
      </c>
      <c r="J15">
        <v>239.24757854033851</v>
      </c>
      <c r="K15">
        <v>249.03</v>
      </c>
      <c r="L15">
        <v>247.28</v>
      </c>
    </row>
    <row r="16" spans="1:12" x14ac:dyDescent="0.3">
      <c r="C16">
        <v>239.99612522440569</v>
      </c>
      <c r="D16">
        <v>262.87243572108491</v>
      </c>
      <c r="E16">
        <v>250.4310128127882</v>
      </c>
      <c r="F16">
        <v>247.28</v>
      </c>
      <c r="G16">
        <v>243.66014999999999</v>
      </c>
      <c r="H16">
        <v>239.99612522440569</v>
      </c>
      <c r="I16">
        <v>244.98675513294529</v>
      </c>
      <c r="J16">
        <v>239.01506955246811</v>
      </c>
      <c r="K16">
        <v>241.98</v>
      </c>
      <c r="L16">
        <v>247.28</v>
      </c>
    </row>
    <row r="17" spans="3:12" x14ac:dyDescent="0.3">
      <c r="C17">
        <v>239.50514944829621</v>
      </c>
      <c r="D17">
        <v>262.872806226205</v>
      </c>
      <c r="E17">
        <v>250.5357094527605</v>
      </c>
      <c r="F17">
        <v>247.28</v>
      </c>
      <c r="G17">
        <v>243.80479999999989</v>
      </c>
      <c r="H17">
        <v>239.50514944829621</v>
      </c>
      <c r="I17">
        <v>245.9804029693089</v>
      </c>
      <c r="J17">
        <v>239.28249383135679</v>
      </c>
      <c r="K17">
        <v>241.98</v>
      </c>
      <c r="L17">
        <v>247.28</v>
      </c>
    </row>
    <row r="18" spans="3:12" x14ac:dyDescent="0.3">
      <c r="C18">
        <v>245.24244206488569</v>
      </c>
      <c r="D18">
        <v>262.87395764902618</v>
      </c>
      <c r="E18">
        <v>250.65941687374499</v>
      </c>
      <c r="F18">
        <v>254.89</v>
      </c>
      <c r="G18">
        <v>247.14744999999999</v>
      </c>
      <c r="H18">
        <v>245.24244206488569</v>
      </c>
      <c r="I18">
        <v>249.69496614890801</v>
      </c>
      <c r="J18">
        <v>245.53729186288081</v>
      </c>
      <c r="K18">
        <v>254.89</v>
      </c>
      <c r="L18">
        <v>254.89</v>
      </c>
    </row>
    <row r="19" spans="3:12" x14ac:dyDescent="0.3">
      <c r="C19">
        <v>249.37713139194301</v>
      </c>
      <c r="D19">
        <v>262.87444474670951</v>
      </c>
      <c r="E19">
        <v>250.65965591537409</v>
      </c>
      <c r="F19">
        <v>254.89</v>
      </c>
      <c r="G19">
        <v>248.62299999999999</v>
      </c>
      <c r="H19">
        <v>249.37713139194301</v>
      </c>
      <c r="I19">
        <v>247.53428952858289</v>
      </c>
      <c r="J19">
        <v>248.9302416129253</v>
      </c>
      <c r="K19">
        <v>254.89</v>
      </c>
      <c r="L19">
        <v>254.89</v>
      </c>
    </row>
    <row r="20" spans="3:12" x14ac:dyDescent="0.3">
      <c r="C20">
        <v>247.10629261983871</v>
      </c>
      <c r="D20">
        <v>262.8739971943628</v>
      </c>
      <c r="E20">
        <v>250.61867278344391</v>
      </c>
      <c r="F20">
        <v>254.89</v>
      </c>
      <c r="G20">
        <v>248.61004999999989</v>
      </c>
      <c r="H20">
        <v>247.10629261983871</v>
      </c>
      <c r="I20">
        <v>253.74348255268589</v>
      </c>
      <c r="J20">
        <v>247.47954957199539</v>
      </c>
      <c r="K20">
        <v>254.89</v>
      </c>
      <c r="L20">
        <v>254.89</v>
      </c>
    </row>
    <row r="21" spans="3:12" x14ac:dyDescent="0.3">
      <c r="C21">
        <v>246.82095888459961</v>
      </c>
      <c r="D21">
        <v>262.87325117449188</v>
      </c>
      <c r="E21">
        <v>250.5218480364255</v>
      </c>
      <c r="F21">
        <v>254.89</v>
      </c>
      <c r="G21">
        <v>248.8484499999999</v>
      </c>
      <c r="H21">
        <v>246.82095888459961</v>
      </c>
      <c r="I21">
        <v>254.74777781144479</v>
      </c>
      <c r="J21">
        <v>247.4448996661319</v>
      </c>
      <c r="K21">
        <v>254.89</v>
      </c>
      <c r="L21">
        <v>254.89</v>
      </c>
    </row>
    <row r="22" spans="3:12" x14ac:dyDescent="0.3">
      <c r="C22">
        <v>247.85167124353151</v>
      </c>
      <c r="D22">
        <v>262.87589527528928</v>
      </c>
      <c r="E22">
        <v>250.7780310387443</v>
      </c>
      <c r="F22">
        <v>254.89</v>
      </c>
      <c r="G22">
        <v>251.0189499999999</v>
      </c>
      <c r="H22">
        <v>247.85167124353151</v>
      </c>
      <c r="I22">
        <v>256.14312514853759</v>
      </c>
      <c r="J22">
        <v>248.45565300587401</v>
      </c>
      <c r="K22">
        <v>254.89</v>
      </c>
      <c r="L22">
        <v>254.89</v>
      </c>
    </row>
    <row r="23" spans="3:12" x14ac:dyDescent="0.3">
      <c r="C23">
        <v>251.96219149008249</v>
      </c>
      <c r="D23">
        <v>262.87877866615821</v>
      </c>
      <c r="E23">
        <v>250.89739096225921</v>
      </c>
      <c r="F23">
        <v>254.72499999999999</v>
      </c>
      <c r="G23">
        <v>253.6261999999999</v>
      </c>
      <c r="H23">
        <v>251.96219149008249</v>
      </c>
      <c r="I23">
        <v>258.66594307661092</v>
      </c>
      <c r="J23">
        <v>252.03927969793551</v>
      </c>
      <c r="K23">
        <v>254.89</v>
      </c>
      <c r="L23">
        <v>254.89</v>
      </c>
    </row>
    <row r="24" spans="3:12" x14ac:dyDescent="0.3">
      <c r="C24">
        <v>253.90037878815841</v>
      </c>
      <c r="D24">
        <v>262.87898535129563</v>
      </c>
      <c r="E24">
        <v>250.86449418604479</v>
      </c>
      <c r="F24">
        <v>256.98500000000001</v>
      </c>
      <c r="G24">
        <v>254.01515000000009</v>
      </c>
      <c r="H24">
        <v>253.90037878815841</v>
      </c>
      <c r="I24">
        <v>261.1232548162659</v>
      </c>
      <c r="J24">
        <v>254.03044653554039</v>
      </c>
      <c r="K24">
        <v>256.98500000000001</v>
      </c>
      <c r="L24">
        <v>256.98500000000001</v>
      </c>
    </row>
    <row r="25" spans="3:12" x14ac:dyDescent="0.3">
      <c r="C25">
        <v>253.88567501589151</v>
      </c>
      <c r="D25">
        <v>262.87443700748958</v>
      </c>
      <c r="E25">
        <v>250.5613698208978</v>
      </c>
      <c r="F25">
        <v>256.98500000000001</v>
      </c>
      <c r="G25">
        <v>254.53395</v>
      </c>
      <c r="H25">
        <v>253.88567501589151</v>
      </c>
      <c r="I25">
        <v>261.71820083894471</v>
      </c>
      <c r="J25">
        <v>254.3707374511728</v>
      </c>
      <c r="K25">
        <v>256.98500000000001</v>
      </c>
      <c r="L25">
        <v>256.98500000000001</v>
      </c>
    </row>
    <row r="26" spans="3:12" x14ac:dyDescent="0.3">
      <c r="C26">
        <v>255.39687850933589</v>
      </c>
      <c r="D26">
        <v>262.87630492424739</v>
      </c>
      <c r="E26">
        <v>250.6777532476811</v>
      </c>
      <c r="F26">
        <v>258.43</v>
      </c>
      <c r="G26">
        <v>255.8479499999998</v>
      </c>
      <c r="H26">
        <v>255.39687850933589</v>
      </c>
      <c r="I26">
        <v>263.07081047327722</v>
      </c>
      <c r="J26">
        <v>256.01918290353501</v>
      </c>
      <c r="K26">
        <v>259.54500000000002</v>
      </c>
      <c r="L26">
        <v>258.43</v>
      </c>
    </row>
    <row r="27" spans="3:12" x14ac:dyDescent="0.3">
      <c r="C27">
        <v>263.36610195657488</v>
      </c>
      <c r="D27">
        <v>262.87698263033519</v>
      </c>
      <c r="E27">
        <v>250.66138240068989</v>
      </c>
      <c r="F27">
        <v>259.87</v>
      </c>
      <c r="G27">
        <v>259.25044999999989</v>
      </c>
      <c r="H27">
        <v>263.36610195657488</v>
      </c>
      <c r="I27">
        <v>267.36742316668528</v>
      </c>
      <c r="J27">
        <v>262.8767513799487</v>
      </c>
      <c r="K27">
        <v>257.82499999999999</v>
      </c>
      <c r="L27">
        <v>261.005</v>
      </c>
    </row>
    <row r="28" spans="3:12" x14ac:dyDescent="0.3">
      <c r="C28">
        <v>266.14376804016553</v>
      </c>
      <c r="D28">
        <v>262.87678072100499</v>
      </c>
      <c r="E28">
        <v>250.62637957781951</v>
      </c>
      <c r="F28">
        <v>259.87</v>
      </c>
      <c r="G28">
        <v>259.6339499999998</v>
      </c>
      <c r="H28">
        <v>266.14376804016553</v>
      </c>
      <c r="I28">
        <v>271.09438301855272</v>
      </c>
      <c r="J28">
        <v>266.06168017054603</v>
      </c>
      <c r="K28">
        <v>257.82499999999999</v>
      </c>
      <c r="L28">
        <v>261.04500000000002</v>
      </c>
    </row>
    <row r="29" spans="3:12" x14ac:dyDescent="0.3">
      <c r="C29">
        <v>261.31377368882858</v>
      </c>
      <c r="D29">
        <v>262.87592701012261</v>
      </c>
      <c r="E29">
        <v>250.5957552443534</v>
      </c>
      <c r="F29">
        <v>259.87</v>
      </c>
      <c r="G29">
        <v>258.70739999999978</v>
      </c>
      <c r="H29">
        <v>261.31377368882858</v>
      </c>
      <c r="I29">
        <v>267.0853944858813</v>
      </c>
      <c r="J29">
        <v>262.50413827595793</v>
      </c>
      <c r="K29">
        <v>258.64499999999998</v>
      </c>
      <c r="L29">
        <v>261.04500000000002</v>
      </c>
    </row>
    <row r="30" spans="3:12" x14ac:dyDescent="0.3">
      <c r="C30">
        <v>262.95234015991127</v>
      </c>
      <c r="D30">
        <v>262.87498044739061</v>
      </c>
      <c r="E30">
        <v>250.5308080546651</v>
      </c>
      <c r="F30">
        <v>259.87</v>
      </c>
      <c r="G30">
        <v>260.23549999999989</v>
      </c>
      <c r="H30">
        <v>262.95234015991127</v>
      </c>
      <c r="I30">
        <v>269.66298791163928</v>
      </c>
      <c r="J30">
        <v>264.42045700558361</v>
      </c>
      <c r="K30">
        <v>258.64499999999998</v>
      </c>
      <c r="L30">
        <v>261.67500000000001</v>
      </c>
    </row>
    <row r="31" spans="3:12" x14ac:dyDescent="0.3">
      <c r="C31">
        <v>268.16428790968803</v>
      </c>
      <c r="D31">
        <v>262.87754073069613</v>
      </c>
      <c r="E31">
        <v>250.64738103638851</v>
      </c>
      <c r="F31">
        <v>254.76</v>
      </c>
      <c r="G31">
        <v>263.45274999999998</v>
      </c>
      <c r="H31">
        <v>268.16428790968803</v>
      </c>
      <c r="I31">
        <v>275.56463308967773</v>
      </c>
      <c r="J31">
        <v>269.57524182992017</v>
      </c>
      <c r="K31">
        <v>258.64499999999998</v>
      </c>
      <c r="L31">
        <v>261.99</v>
      </c>
    </row>
    <row r="32" spans="3:12" x14ac:dyDescent="0.3">
      <c r="C32">
        <v>266.22604401228068</v>
      </c>
      <c r="D32">
        <v>262.87916104949682</v>
      </c>
      <c r="E32">
        <v>250.7213382327426</v>
      </c>
      <c r="F32">
        <v>252.45</v>
      </c>
      <c r="G32">
        <v>262.47285000000011</v>
      </c>
      <c r="H32">
        <v>266.22604401228068</v>
      </c>
      <c r="I32">
        <v>273.91503128308511</v>
      </c>
      <c r="J32">
        <v>268.06107731567448</v>
      </c>
      <c r="K32">
        <v>258.64499999999998</v>
      </c>
      <c r="L32">
        <v>261.99</v>
      </c>
    </row>
    <row r="33" spans="3:12" x14ac:dyDescent="0.3">
      <c r="C33">
        <v>263.64137430655131</v>
      </c>
      <c r="D33">
        <v>262.88183579127542</v>
      </c>
      <c r="E33">
        <v>250.8383230955248</v>
      </c>
      <c r="F33">
        <v>252.45</v>
      </c>
      <c r="G33">
        <v>262.51695000000001</v>
      </c>
      <c r="H33">
        <v>263.64137430655131</v>
      </c>
      <c r="I33">
        <v>269.69088352987802</v>
      </c>
      <c r="J33">
        <v>265.07192452337688</v>
      </c>
      <c r="K33">
        <v>258.64499999999998</v>
      </c>
      <c r="L33">
        <v>261.99</v>
      </c>
    </row>
    <row r="34" spans="3:12" x14ac:dyDescent="0.3">
      <c r="C34">
        <v>262.77043325000568</v>
      </c>
      <c r="D34">
        <v>262.87990598354207</v>
      </c>
      <c r="E34">
        <v>250.77997067398701</v>
      </c>
      <c r="F34">
        <v>252.45</v>
      </c>
      <c r="G34">
        <v>262.4006</v>
      </c>
      <c r="H34">
        <v>262.77043325000568</v>
      </c>
      <c r="I34">
        <v>270.48623423636428</v>
      </c>
      <c r="J34">
        <v>264.26179941126378</v>
      </c>
      <c r="K34">
        <v>258.64499999999998</v>
      </c>
      <c r="L34">
        <v>261.99</v>
      </c>
    </row>
    <row r="35" spans="3:12" x14ac:dyDescent="0.3">
      <c r="C35">
        <v>260.10381701232478</v>
      </c>
      <c r="D35">
        <v>262.87497669341781</v>
      </c>
      <c r="E35">
        <v>250.55153073180401</v>
      </c>
      <c r="F35">
        <v>252.45</v>
      </c>
      <c r="G35">
        <v>259.81150000000002</v>
      </c>
      <c r="H35">
        <v>260.10381701232478</v>
      </c>
      <c r="I35">
        <v>268.44544463444942</v>
      </c>
      <c r="J35">
        <v>261.14264794650472</v>
      </c>
      <c r="K35">
        <v>252.45</v>
      </c>
      <c r="L35">
        <v>252.45</v>
      </c>
    </row>
    <row r="36" spans="3:12" x14ac:dyDescent="0.3">
      <c r="C36">
        <v>257.99928808330208</v>
      </c>
      <c r="D36">
        <v>262.8775949830852</v>
      </c>
      <c r="E36">
        <v>250.7242444690547</v>
      </c>
      <c r="F36">
        <v>252.45</v>
      </c>
      <c r="G36">
        <v>258.71634999999992</v>
      </c>
      <c r="H36">
        <v>257.99928808330208</v>
      </c>
      <c r="I36">
        <v>267.00477451073613</v>
      </c>
      <c r="J36">
        <v>258.46412168866181</v>
      </c>
      <c r="K36">
        <v>252.45</v>
      </c>
      <c r="L36">
        <v>252.45</v>
      </c>
    </row>
    <row r="37" spans="3:12" x14ac:dyDescent="0.3">
      <c r="C37">
        <v>254.94567742825899</v>
      </c>
      <c r="D37">
        <v>262.87989516252048</v>
      </c>
      <c r="E37">
        <v>250.86227138561841</v>
      </c>
      <c r="F37">
        <v>268.60500000000002</v>
      </c>
      <c r="G37">
        <v>256.41084999999993</v>
      </c>
      <c r="H37">
        <v>254.94567742825899</v>
      </c>
      <c r="I37">
        <v>259.71575179208247</v>
      </c>
      <c r="J37">
        <v>254.2759381339942</v>
      </c>
      <c r="K37">
        <v>268.60500000000002</v>
      </c>
      <c r="L37">
        <v>251.745</v>
      </c>
    </row>
    <row r="38" spans="3:12" x14ac:dyDescent="0.3">
      <c r="C38">
        <v>252.16842432496429</v>
      </c>
      <c r="D38">
        <v>262.87747964884431</v>
      </c>
      <c r="E38">
        <v>250.77369780006029</v>
      </c>
      <c r="F38">
        <v>268.60500000000002</v>
      </c>
      <c r="G38">
        <v>255.85390000000001</v>
      </c>
      <c r="H38">
        <v>252.16842432496429</v>
      </c>
      <c r="I38">
        <v>255.18289464471869</v>
      </c>
      <c r="J38">
        <v>250.94801346052861</v>
      </c>
      <c r="K38">
        <v>268.60500000000002</v>
      </c>
      <c r="L38">
        <v>251.745</v>
      </c>
    </row>
    <row r="39" spans="3:12" x14ac:dyDescent="0.3">
      <c r="C39">
        <v>253.41580035323071</v>
      </c>
      <c r="D39">
        <v>262.87526560154748</v>
      </c>
      <c r="E39">
        <v>250.63186712785071</v>
      </c>
      <c r="F39">
        <v>268.60500000000002</v>
      </c>
      <c r="G39">
        <v>255.56400000000011</v>
      </c>
      <c r="H39">
        <v>253.41580035323071</v>
      </c>
      <c r="I39">
        <v>262.84131008232538</v>
      </c>
      <c r="J39">
        <v>251.8089638764167</v>
      </c>
      <c r="K39">
        <v>268.60500000000002</v>
      </c>
      <c r="L39">
        <v>254.405</v>
      </c>
    </row>
    <row r="40" spans="3:12" x14ac:dyDescent="0.3">
      <c r="C40">
        <v>250.638872084518</v>
      </c>
      <c r="D40">
        <v>262.87532922094238</v>
      </c>
      <c r="E40">
        <v>250.66147979260171</v>
      </c>
      <c r="F40">
        <v>268.60500000000002</v>
      </c>
      <c r="G40">
        <v>253.76605000000009</v>
      </c>
      <c r="H40">
        <v>250.638872084518</v>
      </c>
      <c r="I40">
        <v>256.36245789393979</v>
      </c>
      <c r="J40">
        <v>248.23610296640291</v>
      </c>
      <c r="K40">
        <v>268.60500000000002</v>
      </c>
      <c r="L40">
        <v>267.77999999999997</v>
      </c>
    </row>
    <row r="41" spans="3:12" x14ac:dyDescent="0.3">
      <c r="C41">
        <v>246.63222096856919</v>
      </c>
      <c r="D41">
        <v>262.8757035690474</v>
      </c>
      <c r="E41">
        <v>250.71915666925051</v>
      </c>
      <c r="F41">
        <v>268.60500000000002</v>
      </c>
      <c r="G41">
        <v>249.47055000000009</v>
      </c>
      <c r="H41">
        <v>246.63222096856919</v>
      </c>
      <c r="I41">
        <v>235.3369759984931</v>
      </c>
      <c r="J41">
        <v>244.62050142838839</v>
      </c>
      <c r="K41">
        <v>268.60500000000002</v>
      </c>
      <c r="L41">
        <v>267.77999999999997</v>
      </c>
    </row>
    <row r="42" spans="3:12" x14ac:dyDescent="0.3">
      <c r="C42">
        <v>244.65864119964019</v>
      </c>
      <c r="D42">
        <v>262.87496476311588</v>
      </c>
      <c r="E42">
        <v>250.68499606314171</v>
      </c>
      <c r="F42">
        <v>268.60500000000002</v>
      </c>
      <c r="G42">
        <v>249.1284000000002</v>
      </c>
      <c r="H42">
        <v>244.65864119964019</v>
      </c>
      <c r="I42">
        <v>228.5212691493191</v>
      </c>
      <c r="J42">
        <v>242.9758988785469</v>
      </c>
      <c r="K42">
        <v>268.60500000000002</v>
      </c>
      <c r="L42">
        <v>267.77999999999997</v>
      </c>
    </row>
    <row r="43" spans="3:12" x14ac:dyDescent="0.3">
      <c r="C43">
        <v>250.0657713798191</v>
      </c>
      <c r="D43">
        <v>262.87437472065022</v>
      </c>
      <c r="E43">
        <v>250.5994020385491</v>
      </c>
      <c r="F43">
        <v>268.60500000000002</v>
      </c>
      <c r="G43">
        <v>253.53869999999989</v>
      </c>
      <c r="H43">
        <v>250.0657713798191</v>
      </c>
      <c r="I43">
        <v>258.46943854560789</v>
      </c>
      <c r="J43">
        <v>245.63617533826579</v>
      </c>
      <c r="K43">
        <v>268.60500000000002</v>
      </c>
      <c r="L43">
        <v>267.77999999999997</v>
      </c>
    </row>
    <row r="44" spans="3:12" x14ac:dyDescent="0.3">
      <c r="C44">
        <v>250.55770570171109</v>
      </c>
      <c r="D44">
        <v>262.87520642663372</v>
      </c>
      <c r="E44">
        <v>250.66017827380179</v>
      </c>
      <c r="F44">
        <v>268.60500000000002</v>
      </c>
      <c r="G44">
        <v>252.5979999999999</v>
      </c>
      <c r="H44">
        <v>250.55770570171109</v>
      </c>
      <c r="I44">
        <v>255.87836556919311</v>
      </c>
      <c r="J44">
        <v>245.3664171655729</v>
      </c>
      <c r="K44">
        <v>268.60500000000002</v>
      </c>
      <c r="L44">
        <v>267.77999999999997</v>
      </c>
    </row>
    <row r="45" spans="3:12" x14ac:dyDescent="0.3">
      <c r="C45">
        <v>249.07650091895201</v>
      </c>
      <c r="D45">
        <v>262.87661742541638</v>
      </c>
      <c r="E45">
        <v>250.76460251549079</v>
      </c>
      <c r="F45">
        <v>268.60500000000002</v>
      </c>
      <c r="G45">
        <v>250.59260000000009</v>
      </c>
      <c r="H45">
        <v>249.07650091895201</v>
      </c>
      <c r="I45">
        <v>243.67290642468831</v>
      </c>
      <c r="J45">
        <v>243.82487838283919</v>
      </c>
      <c r="K45">
        <v>268.60500000000002</v>
      </c>
      <c r="L45">
        <v>267.77999999999997</v>
      </c>
    </row>
    <row r="46" spans="3:12" x14ac:dyDescent="0.3">
      <c r="C46">
        <v>249.7437923942648</v>
      </c>
      <c r="D46">
        <v>262.87610939530998</v>
      </c>
      <c r="E46">
        <v>250.7241155794228</v>
      </c>
      <c r="F46">
        <v>268.60500000000002</v>
      </c>
      <c r="G46">
        <v>250.13640000000001</v>
      </c>
      <c r="H46">
        <v>249.7437923942648</v>
      </c>
      <c r="I46">
        <v>246.52350319609309</v>
      </c>
      <c r="J46">
        <v>243.9621793625324</v>
      </c>
      <c r="K46">
        <v>268.60500000000002</v>
      </c>
      <c r="L46">
        <v>267.77999999999997</v>
      </c>
    </row>
    <row r="47" spans="3:12" x14ac:dyDescent="0.3">
      <c r="C47">
        <v>252.5514987598537</v>
      </c>
      <c r="D47">
        <v>262.87530438855129</v>
      </c>
      <c r="E47">
        <v>250.64678833929619</v>
      </c>
      <c r="F47">
        <v>252.42</v>
      </c>
      <c r="G47">
        <v>252.80834999999999</v>
      </c>
      <c r="H47">
        <v>252.5514987598537</v>
      </c>
      <c r="I47">
        <v>258.28101683527461</v>
      </c>
      <c r="J47">
        <v>246.15030263769719</v>
      </c>
      <c r="K47">
        <v>252.42</v>
      </c>
      <c r="L47">
        <v>252.42</v>
      </c>
    </row>
    <row r="48" spans="3:12" x14ac:dyDescent="0.3">
      <c r="C48">
        <v>251.93309077148189</v>
      </c>
      <c r="D48">
        <v>262.88009642432121</v>
      </c>
      <c r="E48">
        <v>250.94807416211759</v>
      </c>
      <c r="F48">
        <v>252.42</v>
      </c>
      <c r="G48">
        <v>251.38439999999991</v>
      </c>
      <c r="H48">
        <v>251.93309077148189</v>
      </c>
      <c r="I48">
        <v>258.54463242560149</v>
      </c>
      <c r="J48">
        <v>245.57913941506209</v>
      </c>
      <c r="K48">
        <v>252.42</v>
      </c>
      <c r="L48">
        <v>252.42</v>
      </c>
    </row>
    <row r="49" spans="3:12" x14ac:dyDescent="0.3">
      <c r="C49">
        <v>251.38431885382479</v>
      </c>
      <c r="D49">
        <v>262.88186033051602</v>
      </c>
      <c r="E49">
        <v>251.0589592740518</v>
      </c>
      <c r="F49">
        <v>252.42</v>
      </c>
      <c r="G49">
        <v>251.46315000000001</v>
      </c>
      <c r="H49">
        <v>251.38431885382479</v>
      </c>
      <c r="I49">
        <v>261.05125563224033</v>
      </c>
      <c r="J49">
        <v>245.15798058681639</v>
      </c>
      <c r="K49">
        <v>252.42</v>
      </c>
      <c r="L49">
        <v>252.42</v>
      </c>
    </row>
    <row r="50" spans="3:12" x14ac:dyDescent="0.3">
      <c r="C50">
        <v>256.17285778985138</v>
      </c>
      <c r="D50">
        <v>262.8787236454358</v>
      </c>
      <c r="E50">
        <v>250.85080347339459</v>
      </c>
      <c r="F50">
        <v>262.58999999999997</v>
      </c>
      <c r="G50">
        <v>258.07549999999998</v>
      </c>
      <c r="H50">
        <v>256.17285778985138</v>
      </c>
      <c r="I50">
        <v>270.4138510431037</v>
      </c>
      <c r="J50">
        <v>250.43573998897591</v>
      </c>
      <c r="K50">
        <v>262.58999999999997</v>
      </c>
      <c r="L50">
        <v>262.97000000000003</v>
      </c>
    </row>
    <row r="51" spans="3:12" x14ac:dyDescent="0.3">
      <c r="C51">
        <v>257.69217396735343</v>
      </c>
      <c r="D51">
        <v>262.8806556578042</v>
      </c>
      <c r="E51">
        <v>250.9214410826622</v>
      </c>
      <c r="F51">
        <v>262.58999999999997</v>
      </c>
      <c r="G51">
        <v>258.4568000000001</v>
      </c>
      <c r="H51">
        <v>257.69217396735343</v>
      </c>
      <c r="I51">
        <v>271.14975539086811</v>
      </c>
      <c r="J51">
        <v>251.80905706355259</v>
      </c>
      <c r="K51">
        <v>262.58999999999997</v>
      </c>
      <c r="L51">
        <v>262.97000000000003</v>
      </c>
    </row>
    <row r="52" spans="3:12" x14ac:dyDescent="0.3">
      <c r="C52">
        <v>263.26380697875601</v>
      </c>
      <c r="D52">
        <v>262.87978195876121</v>
      </c>
      <c r="E52">
        <v>250.82866926356311</v>
      </c>
      <c r="F52">
        <v>262.58999999999997</v>
      </c>
      <c r="G52">
        <v>261.98505000000017</v>
      </c>
      <c r="H52">
        <v>263.26380697875601</v>
      </c>
      <c r="I52">
        <v>272.6746391615556</v>
      </c>
      <c r="J52">
        <v>257.38099316027848</v>
      </c>
      <c r="K52">
        <v>262.58999999999997</v>
      </c>
      <c r="L52">
        <v>262.97000000000003</v>
      </c>
    </row>
    <row r="53" spans="3:12" x14ac:dyDescent="0.3">
      <c r="C53">
        <v>269.0420312862426</v>
      </c>
      <c r="D53">
        <v>262.88244679914982</v>
      </c>
      <c r="E53">
        <v>250.87114195388509</v>
      </c>
      <c r="F53">
        <v>268.745</v>
      </c>
      <c r="G53">
        <v>264.70780000000002</v>
      </c>
      <c r="H53">
        <v>269.0420312862426</v>
      </c>
      <c r="I53">
        <v>273.41379882069992</v>
      </c>
      <c r="J53">
        <v>262.67329614889002</v>
      </c>
      <c r="K53">
        <v>266.64</v>
      </c>
      <c r="L53">
        <v>266.24</v>
      </c>
    </row>
    <row r="54" spans="3:12" x14ac:dyDescent="0.3">
      <c r="C54">
        <v>272.92261093136102</v>
      </c>
      <c r="D54">
        <v>262.8792715966751</v>
      </c>
      <c r="E54">
        <v>250.7169487484137</v>
      </c>
      <c r="F54">
        <v>268.745</v>
      </c>
      <c r="G54">
        <v>266.12229999999983</v>
      </c>
      <c r="H54">
        <v>272.92261093136102</v>
      </c>
      <c r="I54">
        <v>274.36477268991268</v>
      </c>
      <c r="J54">
        <v>266.52692829952912</v>
      </c>
      <c r="K54">
        <v>265.08499999999998</v>
      </c>
      <c r="L54">
        <v>264.66500000000002</v>
      </c>
    </row>
    <row r="55" spans="3:12" x14ac:dyDescent="0.3">
      <c r="C55">
        <v>273.23937087453322</v>
      </c>
      <c r="D55">
        <v>262.87742578074813</v>
      </c>
      <c r="E55">
        <v>250.62898614934451</v>
      </c>
      <c r="F55">
        <v>260.39999999999998</v>
      </c>
      <c r="G55">
        <v>266.03620000000001</v>
      </c>
      <c r="H55">
        <v>273.23937087453322</v>
      </c>
      <c r="I55">
        <v>276.382016385577</v>
      </c>
      <c r="J55">
        <v>267.50549089777752</v>
      </c>
      <c r="K55">
        <v>253.75</v>
      </c>
      <c r="L55">
        <v>258.815</v>
      </c>
    </row>
    <row r="56" spans="3:12" x14ac:dyDescent="0.3">
      <c r="C56">
        <v>275.79974618357562</v>
      </c>
      <c r="D56">
        <v>262.88204901591843</v>
      </c>
      <c r="E56">
        <v>250.7908635935074</v>
      </c>
      <c r="F56">
        <v>277.61</v>
      </c>
      <c r="G56">
        <v>273.85214999999988</v>
      </c>
      <c r="H56">
        <v>275.79974618357562</v>
      </c>
      <c r="I56">
        <v>276.71274848238852</v>
      </c>
      <c r="J56">
        <v>270.37886794802421</v>
      </c>
      <c r="K56">
        <v>277.61</v>
      </c>
      <c r="L56">
        <v>277.61</v>
      </c>
    </row>
    <row r="57" spans="3:12" x14ac:dyDescent="0.3">
      <c r="C57">
        <v>277.14904029453379</v>
      </c>
      <c r="D57">
        <v>262.88314834023259</v>
      </c>
      <c r="E57">
        <v>250.8117549078444</v>
      </c>
      <c r="F57">
        <v>277.61</v>
      </c>
      <c r="G57">
        <v>275.72120000000001</v>
      </c>
      <c r="H57">
        <v>277.14904029453379</v>
      </c>
      <c r="I57">
        <v>277.9852220741339</v>
      </c>
      <c r="J57">
        <v>272.20851851062741</v>
      </c>
      <c r="K57">
        <v>277.61</v>
      </c>
      <c r="L57">
        <v>277.61</v>
      </c>
    </row>
    <row r="58" spans="3:12" x14ac:dyDescent="0.3">
      <c r="C58">
        <v>277.34309048813719</v>
      </c>
      <c r="D58">
        <v>262.88423315548982</v>
      </c>
      <c r="E58">
        <v>250.83709257444519</v>
      </c>
      <c r="F58">
        <v>289.11</v>
      </c>
      <c r="G58">
        <v>278.1618499999999</v>
      </c>
      <c r="H58">
        <v>277.34309048813719</v>
      </c>
      <c r="I58">
        <v>278.82356260590092</v>
      </c>
      <c r="J58">
        <v>272.85070892872727</v>
      </c>
      <c r="K58">
        <v>277.87</v>
      </c>
      <c r="L58">
        <v>286.185</v>
      </c>
    </row>
    <row r="59" spans="3:12" x14ac:dyDescent="0.3">
      <c r="C59">
        <v>279.55313594231581</v>
      </c>
      <c r="D59">
        <v>262.87742488497707</v>
      </c>
      <c r="E59">
        <v>250.59375802004621</v>
      </c>
      <c r="F59">
        <v>277.11</v>
      </c>
      <c r="G59">
        <v>278.09415000000013</v>
      </c>
      <c r="H59">
        <v>279.55313594231581</v>
      </c>
      <c r="I59">
        <v>279.79731544873857</v>
      </c>
      <c r="J59">
        <v>275.45070470149727</v>
      </c>
      <c r="K59">
        <v>277.87</v>
      </c>
      <c r="L59">
        <v>277.11</v>
      </c>
    </row>
    <row r="60" spans="3:12" x14ac:dyDescent="0.3">
      <c r="C60">
        <v>278.66906782843591</v>
      </c>
      <c r="D60">
        <v>262.87575529123342</v>
      </c>
      <c r="E60">
        <v>250.52010139718061</v>
      </c>
      <c r="F60">
        <v>277.11</v>
      </c>
      <c r="G60">
        <v>277.37725000000012</v>
      </c>
      <c r="H60">
        <v>278.66906782843591</v>
      </c>
      <c r="I60">
        <v>279.77589804591003</v>
      </c>
      <c r="J60">
        <v>274.91520181158808</v>
      </c>
      <c r="K60">
        <v>277.87</v>
      </c>
      <c r="L60">
        <v>277.11</v>
      </c>
    </row>
    <row r="61" spans="3:12" x14ac:dyDescent="0.3">
      <c r="C61">
        <v>279.82751490780362</v>
      </c>
      <c r="D61">
        <v>262.87543287202533</v>
      </c>
      <c r="E61">
        <v>250.50034012646219</v>
      </c>
      <c r="F61">
        <v>277.11</v>
      </c>
      <c r="G61">
        <v>279.95195000000001</v>
      </c>
      <c r="H61">
        <v>279.82751490780362</v>
      </c>
      <c r="I61">
        <v>280.3526753762124</v>
      </c>
      <c r="J61">
        <v>276.44639271137203</v>
      </c>
      <c r="K61">
        <v>277.11</v>
      </c>
      <c r="L61">
        <v>277.11</v>
      </c>
    </row>
    <row r="62" spans="3:12" x14ac:dyDescent="0.3">
      <c r="C62">
        <v>284.35501891262612</v>
      </c>
      <c r="D62">
        <v>262.87522795555338</v>
      </c>
      <c r="E62">
        <v>250.47954048335379</v>
      </c>
      <c r="F62">
        <v>281.05500000000001</v>
      </c>
      <c r="G62">
        <v>280.47235000000012</v>
      </c>
      <c r="H62">
        <v>284.35501891262612</v>
      </c>
      <c r="I62">
        <v>281.63243721582592</v>
      </c>
      <c r="J62">
        <v>281.33484213023252</v>
      </c>
      <c r="K62">
        <v>281.05500000000001</v>
      </c>
      <c r="L62">
        <v>280.82499999999999</v>
      </c>
    </row>
    <row r="63" spans="3:12" x14ac:dyDescent="0.3">
      <c r="C63">
        <v>287.18765080896537</v>
      </c>
      <c r="D63">
        <v>262.87510298986967</v>
      </c>
      <c r="E63">
        <v>250.46715950543609</v>
      </c>
      <c r="F63">
        <v>277.87</v>
      </c>
      <c r="G63">
        <v>280.29190000000023</v>
      </c>
      <c r="H63">
        <v>287.18765080896537</v>
      </c>
      <c r="I63">
        <v>282.40743485273367</v>
      </c>
      <c r="J63">
        <v>284.09656066535649</v>
      </c>
      <c r="K63">
        <v>282.85500000000002</v>
      </c>
      <c r="L63">
        <v>277.31</v>
      </c>
    </row>
    <row r="64" spans="3:12" x14ac:dyDescent="0.3">
      <c r="C64">
        <v>287.82823182162127</v>
      </c>
      <c r="D64">
        <v>262.87588549985043</v>
      </c>
      <c r="E64">
        <v>250.501182744804</v>
      </c>
      <c r="F64">
        <v>282.85500000000002</v>
      </c>
      <c r="G64">
        <v>282.94445000000007</v>
      </c>
      <c r="H64">
        <v>287.82823182162127</v>
      </c>
      <c r="I64">
        <v>283.51691840059289</v>
      </c>
      <c r="J64">
        <v>285.02587312215542</v>
      </c>
      <c r="K64">
        <v>282.85500000000002</v>
      </c>
      <c r="L64">
        <v>282.85500000000002</v>
      </c>
    </row>
    <row r="65" spans="3:12" x14ac:dyDescent="0.3">
      <c r="C65">
        <v>288.87962099332179</v>
      </c>
      <c r="D65">
        <v>262.87836501065448</v>
      </c>
      <c r="E65">
        <v>250.59599058949269</v>
      </c>
      <c r="F65">
        <v>292.68</v>
      </c>
      <c r="G65">
        <v>288.01069999999999</v>
      </c>
      <c r="H65">
        <v>288.87962099332179</v>
      </c>
      <c r="I65">
        <v>284.30246178565483</v>
      </c>
      <c r="J65">
        <v>286.11099455263007</v>
      </c>
      <c r="K65">
        <v>293.53500000000003</v>
      </c>
      <c r="L65">
        <v>293.53500000000003</v>
      </c>
    </row>
    <row r="66" spans="3:12" x14ac:dyDescent="0.3">
      <c r="C66">
        <v>288.22625387598453</v>
      </c>
      <c r="D66">
        <v>262.87760290945351</v>
      </c>
      <c r="E66">
        <v>250.567678040874</v>
      </c>
      <c r="F66">
        <v>291.77499999999998</v>
      </c>
      <c r="G66">
        <v>287.82175000000001</v>
      </c>
      <c r="H66">
        <v>288.22625387598453</v>
      </c>
      <c r="I66">
        <v>284.12523128341621</v>
      </c>
      <c r="J66">
        <v>285.23022237303769</v>
      </c>
      <c r="K66">
        <v>291.33999999999997</v>
      </c>
      <c r="L66">
        <v>291.77499999999998</v>
      </c>
    </row>
    <row r="67" spans="3:12" x14ac:dyDescent="0.3">
      <c r="C67">
        <v>282.0663152261821</v>
      </c>
      <c r="D67">
        <v>262.87556964957412</v>
      </c>
      <c r="E67">
        <v>250.49193889290149</v>
      </c>
      <c r="F67">
        <v>290.27</v>
      </c>
      <c r="G67">
        <v>285.3124499999999</v>
      </c>
      <c r="H67">
        <v>282.0663152261821</v>
      </c>
      <c r="I67">
        <v>279.5024104027957</v>
      </c>
      <c r="J67">
        <v>276.71580964136359</v>
      </c>
      <c r="K67">
        <v>290.27</v>
      </c>
      <c r="L67">
        <v>290.27</v>
      </c>
    </row>
    <row r="68" spans="3:12" x14ac:dyDescent="0.3">
      <c r="C68">
        <v>286.66635370370233</v>
      </c>
      <c r="D68">
        <v>262.87693616503702</v>
      </c>
      <c r="E68">
        <v>250.54270677758711</v>
      </c>
      <c r="F68">
        <v>290.27</v>
      </c>
      <c r="G68">
        <v>287.52429999999993</v>
      </c>
      <c r="H68">
        <v>286.66635370370233</v>
      </c>
      <c r="I68">
        <v>282.8186749834781</v>
      </c>
      <c r="J68">
        <v>282.33238531107509</v>
      </c>
      <c r="K68">
        <v>290.27</v>
      </c>
      <c r="L68">
        <v>290.27</v>
      </c>
    </row>
    <row r="69" spans="3:12" x14ac:dyDescent="0.3">
      <c r="C69">
        <v>286.57279503278062</v>
      </c>
      <c r="D69">
        <v>262.87539080326849</v>
      </c>
      <c r="E69">
        <v>250.47527073382059</v>
      </c>
      <c r="F69">
        <v>290.27</v>
      </c>
      <c r="G69">
        <v>287.7885</v>
      </c>
      <c r="H69">
        <v>286.57279503278062</v>
      </c>
      <c r="I69">
        <v>282.4785852919685</v>
      </c>
      <c r="J69">
        <v>282.02303698186518</v>
      </c>
      <c r="K69">
        <v>290.27</v>
      </c>
      <c r="L69">
        <v>290.27</v>
      </c>
    </row>
    <row r="70" spans="3:12" x14ac:dyDescent="0.3">
      <c r="C70">
        <v>286.93516789746087</v>
      </c>
      <c r="D70">
        <v>262.87910887948777</v>
      </c>
      <c r="E70">
        <v>250.62396279613341</v>
      </c>
      <c r="F70">
        <v>290.27</v>
      </c>
      <c r="G70">
        <v>287.24769999999978</v>
      </c>
      <c r="H70">
        <v>286.93516789746087</v>
      </c>
      <c r="I70">
        <v>282.43895638078533</v>
      </c>
      <c r="J70">
        <v>282.55281519078773</v>
      </c>
      <c r="K70">
        <v>290.27</v>
      </c>
      <c r="L70">
        <v>290.27</v>
      </c>
    </row>
    <row r="71" spans="3:12" x14ac:dyDescent="0.3">
      <c r="C71">
        <v>284.63706812211831</v>
      </c>
      <c r="D71">
        <v>262.87557443506881</v>
      </c>
      <c r="E71">
        <v>250.4892445808498</v>
      </c>
      <c r="F71">
        <v>289.03500000000003</v>
      </c>
      <c r="G71">
        <v>285.56944999999968</v>
      </c>
      <c r="H71">
        <v>284.63706812211831</v>
      </c>
      <c r="I71">
        <v>280.91022748660811</v>
      </c>
      <c r="J71">
        <v>279.59898430249609</v>
      </c>
      <c r="K71">
        <v>289.03500000000003</v>
      </c>
      <c r="L71">
        <v>289.03500000000003</v>
      </c>
    </row>
    <row r="72" spans="3:12" x14ac:dyDescent="0.3">
      <c r="C72">
        <v>286.85703675216268</v>
      </c>
      <c r="D72">
        <v>262.8781242536848</v>
      </c>
      <c r="E72">
        <v>250.59120343106889</v>
      </c>
      <c r="F72">
        <v>286.495</v>
      </c>
      <c r="G72">
        <v>285.51144999999968</v>
      </c>
      <c r="H72">
        <v>286.85703675216268</v>
      </c>
      <c r="I72">
        <v>281.95182872981349</v>
      </c>
      <c r="J72">
        <v>282.25175196016602</v>
      </c>
      <c r="K72">
        <v>286.495</v>
      </c>
      <c r="L72">
        <v>285.09500000000003</v>
      </c>
    </row>
    <row r="73" spans="3:12" x14ac:dyDescent="0.3">
      <c r="C73">
        <v>287.86210853506992</v>
      </c>
      <c r="D73">
        <v>262.87523923886698</v>
      </c>
      <c r="E73">
        <v>250.46704087175851</v>
      </c>
      <c r="F73">
        <v>286.495</v>
      </c>
      <c r="G73">
        <v>285.69359999999972</v>
      </c>
      <c r="H73">
        <v>287.86210853506992</v>
      </c>
      <c r="I73">
        <v>282.2062180602282</v>
      </c>
      <c r="J73">
        <v>282.98110070134328</v>
      </c>
      <c r="K73">
        <v>286.495</v>
      </c>
      <c r="L73">
        <v>284.85000000000002</v>
      </c>
    </row>
    <row r="74" spans="3:12" x14ac:dyDescent="0.3">
      <c r="C74">
        <v>292.51534541990588</v>
      </c>
      <c r="D74">
        <v>262.8758856770242</v>
      </c>
      <c r="E74">
        <v>250.4895894876627</v>
      </c>
      <c r="F74">
        <v>286.495</v>
      </c>
      <c r="G74">
        <v>286.28559999999982</v>
      </c>
      <c r="H74">
        <v>292.51534541990588</v>
      </c>
      <c r="I74">
        <v>283.97873794544688</v>
      </c>
      <c r="J74">
        <v>288.51432815789889</v>
      </c>
      <c r="K74">
        <v>286.495</v>
      </c>
      <c r="L74">
        <v>284.85000000000002</v>
      </c>
    </row>
    <row r="75" spans="3:12" x14ac:dyDescent="0.3">
      <c r="C75">
        <v>287.74731711035162</v>
      </c>
      <c r="D75">
        <v>262.87529039244367</v>
      </c>
      <c r="E75">
        <v>250.46963568071999</v>
      </c>
      <c r="F75">
        <v>288.33499999999998</v>
      </c>
      <c r="G75">
        <v>286.07994999999983</v>
      </c>
      <c r="H75">
        <v>287.74731711035162</v>
      </c>
      <c r="I75">
        <v>281.82983183647588</v>
      </c>
      <c r="J75">
        <v>282.5127546493764</v>
      </c>
      <c r="K75">
        <v>286.495</v>
      </c>
      <c r="L75">
        <v>288.33499999999998</v>
      </c>
    </row>
    <row r="76" spans="3:12" x14ac:dyDescent="0.3">
      <c r="C76">
        <v>285.13082911117891</v>
      </c>
      <c r="D76">
        <v>262.87630873937741</v>
      </c>
      <c r="E76">
        <v>250.5219292267162</v>
      </c>
      <c r="F76">
        <v>288.33499999999998</v>
      </c>
      <c r="G76">
        <v>284.1622999999999</v>
      </c>
      <c r="H76">
        <v>285.13082911117891</v>
      </c>
      <c r="I76">
        <v>280.54673505093172</v>
      </c>
      <c r="J76">
        <v>279.77388101538253</v>
      </c>
      <c r="K76">
        <v>286.495</v>
      </c>
      <c r="L76">
        <v>288.33499999999998</v>
      </c>
    </row>
    <row r="77" spans="3:12" x14ac:dyDescent="0.3">
      <c r="C77">
        <v>285.07859489581989</v>
      </c>
      <c r="D77">
        <v>262.87710384495318</v>
      </c>
      <c r="E77">
        <v>250.55731766116921</v>
      </c>
      <c r="F77">
        <v>288.33499999999998</v>
      </c>
      <c r="G77">
        <v>284.18214999999981</v>
      </c>
      <c r="H77">
        <v>285.07859489581989</v>
      </c>
      <c r="I77">
        <v>280.57836253847972</v>
      </c>
      <c r="J77">
        <v>279.99032365254311</v>
      </c>
      <c r="K77">
        <v>286.495</v>
      </c>
      <c r="L77">
        <v>288.33499999999998</v>
      </c>
    </row>
    <row r="78" spans="3:12" x14ac:dyDescent="0.3">
      <c r="C78">
        <v>281.59347347324342</v>
      </c>
      <c r="D78">
        <v>262.87532860117739</v>
      </c>
      <c r="E78">
        <v>250.48602198773489</v>
      </c>
      <c r="F78">
        <v>275.815</v>
      </c>
      <c r="G78">
        <v>277.83509999999973</v>
      </c>
      <c r="H78">
        <v>281.59347347324342</v>
      </c>
      <c r="I78">
        <v>278.76115878352482</v>
      </c>
      <c r="J78">
        <v>276.96266832195278</v>
      </c>
      <c r="K78">
        <v>268.22500000000002</v>
      </c>
      <c r="L78">
        <v>268.22500000000002</v>
      </c>
    </row>
    <row r="79" spans="3:12" x14ac:dyDescent="0.3">
      <c r="C79">
        <v>279.27696900740801</v>
      </c>
      <c r="D79">
        <v>262.87494109327218</v>
      </c>
      <c r="E79">
        <v>250.47277452246661</v>
      </c>
      <c r="F79">
        <v>275.815</v>
      </c>
      <c r="G79">
        <v>277.63909999999981</v>
      </c>
      <c r="H79">
        <v>279.27696900740801</v>
      </c>
      <c r="I79">
        <v>277.55447108085991</v>
      </c>
      <c r="J79">
        <v>275.25561688102982</v>
      </c>
      <c r="K79">
        <v>268.22500000000002</v>
      </c>
      <c r="L79">
        <v>268.22500000000002</v>
      </c>
    </row>
    <row r="80" spans="3:12" x14ac:dyDescent="0.3">
      <c r="C80">
        <v>289.23276435732078</v>
      </c>
      <c r="D80">
        <v>262.8768873331868</v>
      </c>
      <c r="E80">
        <v>250.54259911725029</v>
      </c>
      <c r="F80">
        <v>288.33499999999998</v>
      </c>
      <c r="G80">
        <v>286.42034999999959</v>
      </c>
      <c r="H80">
        <v>289.23276435732078</v>
      </c>
      <c r="I80">
        <v>281.66595315991498</v>
      </c>
      <c r="J80">
        <v>284.1245643969516</v>
      </c>
      <c r="K80">
        <v>289.42500000000001</v>
      </c>
      <c r="L80">
        <v>288.33499999999998</v>
      </c>
    </row>
    <row r="81" spans="3:12" x14ac:dyDescent="0.3">
      <c r="C81">
        <v>292.33023980751813</v>
      </c>
      <c r="D81">
        <v>262.87615187663528</v>
      </c>
      <c r="E81">
        <v>250.50294701029611</v>
      </c>
      <c r="F81">
        <v>290.91000000000003</v>
      </c>
      <c r="G81">
        <v>288.2084499999998</v>
      </c>
      <c r="H81">
        <v>292.33023980751813</v>
      </c>
      <c r="I81">
        <v>282.41380435411412</v>
      </c>
      <c r="J81">
        <v>286.64836117067739</v>
      </c>
      <c r="K81">
        <v>290.91000000000003</v>
      </c>
      <c r="L81">
        <v>290.91000000000003</v>
      </c>
    </row>
    <row r="82" spans="3:12" x14ac:dyDescent="0.3">
      <c r="C82">
        <v>295.48926920576088</v>
      </c>
      <c r="D82">
        <v>262.87797615716931</v>
      </c>
      <c r="E82">
        <v>250.56167890478309</v>
      </c>
      <c r="F82">
        <v>290.91000000000003</v>
      </c>
      <c r="G82">
        <v>292.68099999999981</v>
      </c>
      <c r="H82">
        <v>295.48926920576088</v>
      </c>
      <c r="I82">
        <v>283.48520833809772</v>
      </c>
      <c r="J82">
        <v>288.94777331021021</v>
      </c>
      <c r="K82">
        <v>290.91000000000003</v>
      </c>
      <c r="L82">
        <v>290.91000000000003</v>
      </c>
    </row>
    <row r="83" spans="3:12" x14ac:dyDescent="0.3">
      <c r="C83">
        <v>300.56631741588347</v>
      </c>
      <c r="D83">
        <v>262.87674977518418</v>
      </c>
      <c r="E83">
        <v>250.50384456801689</v>
      </c>
      <c r="F83">
        <v>302.01499999999999</v>
      </c>
      <c r="G83">
        <v>301.66815000000003</v>
      </c>
      <c r="H83">
        <v>300.56631741588347</v>
      </c>
      <c r="I83">
        <v>286.02085395705672</v>
      </c>
      <c r="J83">
        <v>293.99502958572248</v>
      </c>
      <c r="K83">
        <v>301.91000000000003</v>
      </c>
      <c r="L83">
        <v>302.01499999999999</v>
      </c>
    </row>
    <row r="84" spans="3:12" x14ac:dyDescent="0.3">
      <c r="C84">
        <v>303.74944071492962</v>
      </c>
      <c r="D84">
        <v>262.87709480808951</v>
      </c>
      <c r="E84">
        <v>250.50794941295769</v>
      </c>
      <c r="F84">
        <v>302.01499999999999</v>
      </c>
      <c r="G84">
        <v>302.33584999999988</v>
      </c>
      <c r="H84">
        <v>303.74944071492962</v>
      </c>
      <c r="I84">
        <v>288.25214085845943</v>
      </c>
      <c r="J84">
        <v>297.21229460682417</v>
      </c>
      <c r="K84">
        <v>301.91000000000003</v>
      </c>
      <c r="L84">
        <v>302.01499999999999</v>
      </c>
    </row>
    <row r="85" spans="3:12" x14ac:dyDescent="0.3">
      <c r="C85">
        <v>305.61469978942978</v>
      </c>
      <c r="D85">
        <v>262.87905042313253</v>
      </c>
      <c r="E85">
        <v>250.56624543822369</v>
      </c>
      <c r="F85">
        <v>302.01499999999999</v>
      </c>
      <c r="G85">
        <v>302.47464999999988</v>
      </c>
      <c r="H85">
        <v>305.61469978942978</v>
      </c>
      <c r="I85">
        <v>289.70619529413131</v>
      </c>
      <c r="J85">
        <v>299.18382302702008</v>
      </c>
      <c r="K85">
        <v>302.01499999999999</v>
      </c>
      <c r="L85">
        <v>302.01499999999999</v>
      </c>
    </row>
    <row r="86" spans="3:12" x14ac:dyDescent="0.3">
      <c r="C86">
        <v>305.90722815409629</v>
      </c>
      <c r="D86">
        <v>262.88137068749381</v>
      </c>
      <c r="E86">
        <v>250.6283847244666</v>
      </c>
      <c r="F86">
        <v>301.91000000000003</v>
      </c>
      <c r="G86">
        <v>302.38374999999991</v>
      </c>
      <c r="H86">
        <v>305.90722815409629</v>
      </c>
      <c r="I86">
        <v>289.81715626027562</v>
      </c>
      <c r="J86">
        <v>299.25289014001493</v>
      </c>
      <c r="K86">
        <v>301.91000000000003</v>
      </c>
      <c r="L86">
        <v>301.91000000000003</v>
      </c>
    </row>
    <row r="87" spans="3:12" x14ac:dyDescent="0.3">
      <c r="C87">
        <v>305.55537221213649</v>
      </c>
      <c r="D87">
        <v>262.87599344161401</v>
      </c>
      <c r="E87">
        <v>250.45963768642051</v>
      </c>
      <c r="F87">
        <v>301.91000000000003</v>
      </c>
      <c r="G87">
        <v>302.03004999999979</v>
      </c>
      <c r="H87">
        <v>305.55537221213649</v>
      </c>
      <c r="I87">
        <v>289.64692450002849</v>
      </c>
      <c r="J87">
        <v>298.66885276264111</v>
      </c>
      <c r="K87">
        <v>301.23</v>
      </c>
      <c r="L87">
        <v>301.91000000000003</v>
      </c>
    </row>
    <row r="88" spans="3:12" x14ac:dyDescent="0.3">
      <c r="C88">
        <v>307.84130431299042</v>
      </c>
      <c r="D88">
        <v>262.87618446911449</v>
      </c>
      <c r="E88">
        <v>250.4629122536733</v>
      </c>
      <c r="F88">
        <v>301.91000000000003</v>
      </c>
      <c r="G88">
        <v>300.76420000000007</v>
      </c>
      <c r="H88">
        <v>307.84130431299042</v>
      </c>
      <c r="I88">
        <v>291.50056705932877</v>
      </c>
      <c r="J88">
        <v>301.43512568441218</v>
      </c>
      <c r="K88">
        <v>301.91000000000003</v>
      </c>
      <c r="L88">
        <v>301.91000000000003</v>
      </c>
    </row>
    <row r="89" spans="3:12" x14ac:dyDescent="0.3">
      <c r="C89">
        <v>310.5496812940662</v>
      </c>
      <c r="D89">
        <v>262.87486593460869</v>
      </c>
      <c r="E89">
        <v>250.40607986514121</v>
      </c>
      <c r="F89">
        <v>301.23</v>
      </c>
      <c r="G89">
        <v>304.47913499999999</v>
      </c>
      <c r="H89">
        <v>310.5496812940662</v>
      </c>
      <c r="I89">
        <v>294.21008535566449</v>
      </c>
      <c r="J89">
        <v>305.3679300342219</v>
      </c>
      <c r="K89">
        <v>302.01499999999999</v>
      </c>
      <c r="L89">
        <v>301.23</v>
      </c>
    </row>
    <row r="90" spans="3:12" x14ac:dyDescent="0.3">
      <c r="C90">
        <v>312.00302129195592</v>
      </c>
      <c r="D90">
        <v>262.87886578283218</v>
      </c>
      <c r="E90">
        <v>250.5461370925546</v>
      </c>
      <c r="F90">
        <v>302.69499999999999</v>
      </c>
      <c r="G90">
        <v>306.19318500000003</v>
      </c>
      <c r="H90">
        <v>312.00302129195592</v>
      </c>
      <c r="I90">
        <v>295.95892168518799</v>
      </c>
      <c r="J90">
        <v>307.45070067447728</v>
      </c>
      <c r="K90">
        <v>310.70999999999998</v>
      </c>
      <c r="L90">
        <v>304.7</v>
      </c>
    </row>
    <row r="91" spans="3:12" x14ac:dyDescent="0.3">
      <c r="C91">
        <v>313.38406821212499</v>
      </c>
      <c r="D91">
        <v>262.87733242753143</v>
      </c>
      <c r="E91">
        <v>250.49622850120869</v>
      </c>
      <c r="F91">
        <v>302.69499999999999</v>
      </c>
      <c r="G91">
        <v>307.164085</v>
      </c>
      <c r="H91">
        <v>313.38406821212499</v>
      </c>
      <c r="I91">
        <v>297.81070220774097</v>
      </c>
      <c r="J91">
        <v>309.21644186113099</v>
      </c>
      <c r="K91">
        <v>310.70999999999998</v>
      </c>
      <c r="L91">
        <v>304.7</v>
      </c>
    </row>
    <row r="92" spans="3:12" x14ac:dyDescent="0.3">
      <c r="C92">
        <v>316.12255582115131</v>
      </c>
      <c r="D92">
        <v>262.87611329538697</v>
      </c>
      <c r="E92">
        <v>250.45074319571739</v>
      </c>
      <c r="F92">
        <v>302.69499999999999</v>
      </c>
      <c r="G92">
        <v>314.93991999999997</v>
      </c>
      <c r="H92">
        <v>316.12255582115131</v>
      </c>
      <c r="I92">
        <v>303.50591225905788</v>
      </c>
      <c r="J92">
        <v>312.3251498224119</v>
      </c>
      <c r="K92">
        <v>315.42849999999999</v>
      </c>
      <c r="L92">
        <v>302.69499999999999</v>
      </c>
    </row>
    <row r="93" spans="3:12" x14ac:dyDescent="0.3">
      <c r="C93">
        <v>317.78056567966752</v>
      </c>
      <c r="D93">
        <v>262.87446644089141</v>
      </c>
      <c r="E93">
        <v>250.38148601228301</v>
      </c>
      <c r="F93">
        <v>302.69499999999999</v>
      </c>
      <c r="G93">
        <v>318.29513500000002</v>
      </c>
      <c r="H93">
        <v>317.78056567966752</v>
      </c>
      <c r="I93">
        <v>308.02753180391022</v>
      </c>
      <c r="J93">
        <v>313.80129303159782</v>
      </c>
      <c r="K93">
        <v>315.42849999999999</v>
      </c>
      <c r="L93">
        <v>302.69499999999999</v>
      </c>
    </row>
    <row r="94" spans="3:12" x14ac:dyDescent="0.3">
      <c r="C94">
        <v>315.12150490212758</v>
      </c>
      <c r="D94">
        <v>262.87543426412458</v>
      </c>
      <c r="E94">
        <v>250.42529991532729</v>
      </c>
      <c r="F94">
        <v>307.26</v>
      </c>
      <c r="G94">
        <v>309.95405000000011</v>
      </c>
      <c r="H94">
        <v>315.12150490212758</v>
      </c>
      <c r="I94">
        <v>299.02667661151389</v>
      </c>
      <c r="J94">
        <v>311.14773743510602</v>
      </c>
      <c r="K94">
        <v>299.875</v>
      </c>
      <c r="L94">
        <v>299.875</v>
      </c>
    </row>
    <row r="95" spans="3:12" x14ac:dyDescent="0.3">
      <c r="C95">
        <v>317.36763520418327</v>
      </c>
      <c r="D95">
        <v>262.87494345995708</v>
      </c>
      <c r="E95">
        <v>250.40250471784199</v>
      </c>
      <c r="F95">
        <v>302.69499999999999</v>
      </c>
      <c r="G95">
        <v>316.77030000000008</v>
      </c>
      <c r="H95">
        <v>317.36763520418327</v>
      </c>
      <c r="I95">
        <v>303.00294291799429</v>
      </c>
      <c r="J95">
        <v>313.28546816661111</v>
      </c>
      <c r="K95">
        <v>310.70999999999998</v>
      </c>
      <c r="L95">
        <v>302.69499999999999</v>
      </c>
    </row>
    <row r="96" spans="3:12" x14ac:dyDescent="0.3">
      <c r="C96">
        <v>316.89874028384861</v>
      </c>
      <c r="D96">
        <v>262.87683049094568</v>
      </c>
      <c r="E96">
        <v>250.47342150529789</v>
      </c>
      <c r="F96">
        <v>299.875</v>
      </c>
      <c r="G96">
        <v>312.95720000000011</v>
      </c>
      <c r="H96">
        <v>316.89874028384861</v>
      </c>
      <c r="I96">
        <v>299.99893915260782</v>
      </c>
      <c r="J96">
        <v>312.41639780203838</v>
      </c>
      <c r="K96">
        <v>299.875</v>
      </c>
      <c r="L96">
        <v>299.875</v>
      </c>
    </row>
    <row r="97" spans="3:12" x14ac:dyDescent="0.3">
      <c r="C97">
        <v>318.22021529550659</v>
      </c>
      <c r="D97">
        <v>262.8782477426974</v>
      </c>
      <c r="E97">
        <v>250.51540607556129</v>
      </c>
      <c r="F97">
        <v>301.09500000000003</v>
      </c>
      <c r="G97">
        <v>313.86505000000022</v>
      </c>
      <c r="H97">
        <v>318.22021529550659</v>
      </c>
      <c r="I97">
        <v>301.2247214880245</v>
      </c>
      <c r="J97">
        <v>313.47305108931221</v>
      </c>
      <c r="K97">
        <v>301.09500000000003</v>
      </c>
      <c r="L97">
        <v>301.09500000000003</v>
      </c>
    </row>
    <row r="98" spans="3:12" x14ac:dyDescent="0.3">
      <c r="C98">
        <v>319.71034121111637</v>
      </c>
      <c r="D98">
        <v>262.87528833796398</v>
      </c>
      <c r="E98">
        <v>250.41166530432389</v>
      </c>
      <c r="F98">
        <v>301.09500000000003</v>
      </c>
      <c r="G98">
        <v>320.10025000000019</v>
      </c>
      <c r="H98">
        <v>319.71034121111637</v>
      </c>
      <c r="I98">
        <v>303.0874709138202</v>
      </c>
      <c r="J98">
        <v>314.75318914641838</v>
      </c>
      <c r="K98">
        <v>301.09500000000003</v>
      </c>
      <c r="L98">
        <v>301.09500000000003</v>
      </c>
    </row>
    <row r="99" spans="3:12" x14ac:dyDescent="0.3">
      <c r="C99">
        <v>323.14401174834251</v>
      </c>
      <c r="D99">
        <v>262.87680898247208</v>
      </c>
      <c r="E99">
        <v>250.462774527585</v>
      </c>
      <c r="F99">
        <v>331.59500000000003</v>
      </c>
      <c r="G99">
        <v>327.68515000000042</v>
      </c>
      <c r="H99">
        <v>323.14401174834251</v>
      </c>
      <c r="I99">
        <v>310.36589511536079</v>
      </c>
      <c r="J99">
        <v>318.07608016879482</v>
      </c>
      <c r="K99">
        <v>331.59500000000003</v>
      </c>
      <c r="L99">
        <v>331.59500000000003</v>
      </c>
    </row>
    <row r="100" spans="3:12" x14ac:dyDescent="0.3">
      <c r="C100">
        <v>318.11018427246393</v>
      </c>
      <c r="D100">
        <v>262.87579795143472</v>
      </c>
      <c r="E100">
        <v>250.4320071652543</v>
      </c>
      <c r="F100">
        <v>301.09500000000003</v>
      </c>
      <c r="G100">
        <v>320.16565000000031</v>
      </c>
      <c r="H100">
        <v>318.11018427246393</v>
      </c>
      <c r="I100">
        <v>300.79507551287747</v>
      </c>
      <c r="J100">
        <v>313.31346365817689</v>
      </c>
      <c r="K100">
        <v>301.09500000000003</v>
      </c>
      <c r="L100">
        <v>301.09500000000003</v>
      </c>
    </row>
    <row r="101" spans="3:12" x14ac:dyDescent="0.3">
      <c r="C101">
        <v>323.73127711089921</v>
      </c>
      <c r="D101">
        <v>262.87880492731853</v>
      </c>
      <c r="E101">
        <v>250.52120345203451</v>
      </c>
      <c r="F101">
        <v>332.51</v>
      </c>
      <c r="G101">
        <v>326.66460000000018</v>
      </c>
      <c r="H101">
        <v>323.73127711089921</v>
      </c>
      <c r="I101">
        <v>309.66094100397612</v>
      </c>
      <c r="J101">
        <v>318.9223302888808</v>
      </c>
      <c r="K101">
        <v>332.51</v>
      </c>
      <c r="L101">
        <v>332.51</v>
      </c>
    </row>
    <row r="102" spans="3:12" x14ac:dyDescent="0.3">
      <c r="C102">
        <v>323.98027449109111</v>
      </c>
      <c r="D102">
        <v>262.8775470177826</v>
      </c>
      <c r="E102">
        <v>250.4827732349203</v>
      </c>
      <c r="F102">
        <v>332.51</v>
      </c>
      <c r="G102">
        <v>326.25600000000009</v>
      </c>
      <c r="H102">
        <v>323.98027449109111</v>
      </c>
      <c r="I102">
        <v>309.16356523819331</v>
      </c>
      <c r="J102">
        <v>319.09496230192809</v>
      </c>
      <c r="K102">
        <v>332.51</v>
      </c>
      <c r="L102">
        <v>339.21499999999997</v>
      </c>
    </row>
    <row r="103" spans="3:12" x14ac:dyDescent="0.3">
      <c r="C103">
        <v>331.43317093053008</v>
      </c>
      <c r="D103">
        <v>262.87963931054298</v>
      </c>
      <c r="E103">
        <v>250.5293655934353</v>
      </c>
      <c r="F103">
        <v>333.95499999999998</v>
      </c>
      <c r="G103">
        <v>334.03825000000012</v>
      </c>
      <c r="H103">
        <v>331.43317093053008</v>
      </c>
      <c r="I103">
        <v>329.69705138454168</v>
      </c>
      <c r="J103">
        <v>324.20252509860302</v>
      </c>
      <c r="K103">
        <v>337.005</v>
      </c>
      <c r="L103">
        <v>333.95499999999998</v>
      </c>
    </row>
    <row r="104" spans="3:12" x14ac:dyDescent="0.3">
      <c r="C104">
        <v>330.84770405983119</v>
      </c>
      <c r="D104">
        <v>262.87932995962183</v>
      </c>
      <c r="E104">
        <v>250.519548484826</v>
      </c>
      <c r="F104">
        <v>337.005</v>
      </c>
      <c r="G104">
        <v>334.16100000000012</v>
      </c>
      <c r="H104">
        <v>330.84770405983119</v>
      </c>
      <c r="I104">
        <v>323.83400578563078</v>
      </c>
      <c r="J104">
        <v>323.99246349651048</v>
      </c>
      <c r="K104">
        <v>337.005</v>
      </c>
      <c r="L104">
        <v>336.79</v>
      </c>
    </row>
    <row r="105" spans="3:12" x14ac:dyDescent="0.3">
      <c r="C105">
        <v>327.53937398750418</v>
      </c>
      <c r="D105">
        <v>262.87841956791851</v>
      </c>
      <c r="E105">
        <v>250.49846001632659</v>
      </c>
      <c r="F105">
        <v>332.51</v>
      </c>
      <c r="G105">
        <v>335.2562999999999</v>
      </c>
      <c r="H105">
        <v>327.53937398750418</v>
      </c>
      <c r="I105">
        <v>317.40186984610779</v>
      </c>
      <c r="J105">
        <v>321.48981028423509</v>
      </c>
      <c r="K105">
        <v>332.51</v>
      </c>
      <c r="L105">
        <v>339.23</v>
      </c>
    </row>
    <row r="106" spans="3:12" x14ac:dyDescent="0.3">
      <c r="C106">
        <v>331.04165854714188</v>
      </c>
      <c r="D106">
        <v>262.87838410168189</v>
      </c>
      <c r="E106">
        <v>250.4925636641747</v>
      </c>
      <c r="F106">
        <v>332.51</v>
      </c>
      <c r="G106">
        <v>335.19109999999972</v>
      </c>
      <c r="H106">
        <v>331.04165854714188</v>
      </c>
      <c r="I106">
        <v>324.23394254363689</v>
      </c>
      <c r="J106">
        <v>324.35920344262689</v>
      </c>
      <c r="K106">
        <v>332.51</v>
      </c>
      <c r="L106">
        <v>339.23</v>
      </c>
    </row>
    <row r="107" spans="3:12" x14ac:dyDescent="0.3">
      <c r="C107">
        <v>333.38463718429591</v>
      </c>
      <c r="D107">
        <v>262.87718965075243</v>
      </c>
      <c r="E107">
        <v>250.45516686859119</v>
      </c>
      <c r="F107">
        <v>332.51</v>
      </c>
      <c r="G107">
        <v>334.98044999999968</v>
      </c>
      <c r="H107">
        <v>333.38463718429591</v>
      </c>
      <c r="I107">
        <v>330.26895872937939</v>
      </c>
      <c r="J107">
        <v>325.92424861883069</v>
      </c>
      <c r="K107">
        <v>332.51</v>
      </c>
      <c r="L107">
        <v>339.23</v>
      </c>
    </row>
    <row r="108" spans="3:12" x14ac:dyDescent="0.3">
      <c r="C108">
        <v>334.56329153287959</v>
      </c>
      <c r="D108">
        <v>262.87725743721029</v>
      </c>
      <c r="E108">
        <v>250.45537718477649</v>
      </c>
      <c r="F108">
        <v>332.51</v>
      </c>
      <c r="G108">
        <v>334.7652999999998</v>
      </c>
      <c r="H108">
        <v>334.56329153287959</v>
      </c>
      <c r="I108">
        <v>333.70244146533332</v>
      </c>
      <c r="J108">
        <v>326.67719471511379</v>
      </c>
      <c r="K108">
        <v>332.51</v>
      </c>
      <c r="L108">
        <v>339.23</v>
      </c>
    </row>
    <row r="109" spans="3:12" x14ac:dyDescent="0.3">
      <c r="C109">
        <v>332.86625043057518</v>
      </c>
      <c r="D109">
        <v>262.88045402001597</v>
      </c>
      <c r="E109">
        <v>250.54103034652499</v>
      </c>
      <c r="F109">
        <v>332.51</v>
      </c>
      <c r="G109">
        <v>335.02264999999971</v>
      </c>
      <c r="H109">
        <v>332.86625043057518</v>
      </c>
      <c r="I109">
        <v>330.96258102117417</v>
      </c>
      <c r="J109">
        <v>326.07083744621139</v>
      </c>
      <c r="K109">
        <v>332.51</v>
      </c>
      <c r="L109">
        <v>339.23</v>
      </c>
    </row>
    <row r="110" spans="3:12" x14ac:dyDescent="0.3">
      <c r="C110">
        <v>328.48227140423961</v>
      </c>
      <c r="D110">
        <v>262.87658101528149</v>
      </c>
      <c r="E110">
        <v>250.44150608577871</v>
      </c>
      <c r="F110">
        <v>332.51</v>
      </c>
      <c r="G110">
        <v>335.48209999999989</v>
      </c>
      <c r="H110">
        <v>328.48227140423961</v>
      </c>
      <c r="I110">
        <v>327.77098464626812</v>
      </c>
      <c r="J110">
        <v>324.13439887736411</v>
      </c>
      <c r="K110">
        <v>332.51</v>
      </c>
      <c r="L110">
        <v>339.21499999999997</v>
      </c>
    </row>
    <row r="111" spans="3:12" x14ac:dyDescent="0.3">
      <c r="C111">
        <v>327.58327703204702</v>
      </c>
      <c r="D111">
        <v>262.87874000023669</v>
      </c>
      <c r="E111">
        <v>250.5077038588112</v>
      </c>
      <c r="F111">
        <v>332.51</v>
      </c>
      <c r="G111">
        <v>335.17924999999991</v>
      </c>
      <c r="H111">
        <v>327.58327703204702</v>
      </c>
      <c r="I111">
        <v>326.0267224883832</v>
      </c>
      <c r="J111">
        <v>325.19155687703528</v>
      </c>
      <c r="K111">
        <v>332.51</v>
      </c>
      <c r="L111">
        <v>339.21499999999997</v>
      </c>
    </row>
    <row r="112" spans="3:12" x14ac:dyDescent="0.3">
      <c r="C112">
        <v>328.5128881510438</v>
      </c>
      <c r="D112">
        <v>262.87745122405028</v>
      </c>
      <c r="E112">
        <v>250.4709332523461</v>
      </c>
      <c r="F112">
        <v>339.52499999999998</v>
      </c>
      <c r="G112">
        <v>335.70704999999992</v>
      </c>
      <c r="H112">
        <v>328.5128881510438</v>
      </c>
      <c r="I112">
        <v>325.86080140054821</v>
      </c>
      <c r="J112">
        <v>326.81364192603093</v>
      </c>
      <c r="K112">
        <v>339.52499999999998</v>
      </c>
      <c r="L112">
        <v>339.21499999999997</v>
      </c>
    </row>
    <row r="113" spans="3:12" x14ac:dyDescent="0.3">
      <c r="C113">
        <v>330.83195776984712</v>
      </c>
      <c r="D113">
        <v>262.87742777900252</v>
      </c>
      <c r="E113">
        <v>250.46730875160759</v>
      </c>
      <c r="F113">
        <v>339.52499999999998</v>
      </c>
      <c r="G113">
        <v>336.16334999999992</v>
      </c>
      <c r="H113">
        <v>330.83195776984712</v>
      </c>
      <c r="I113">
        <v>328.71950213693458</v>
      </c>
      <c r="J113">
        <v>328.420520184895</v>
      </c>
      <c r="K113">
        <v>339.52499999999998</v>
      </c>
      <c r="L113">
        <v>339.21499999999997</v>
      </c>
    </row>
    <row r="114" spans="3:12" x14ac:dyDescent="0.3">
      <c r="C114">
        <v>333.98485240853842</v>
      </c>
      <c r="D114">
        <v>262.87678587175338</v>
      </c>
      <c r="E114">
        <v>250.4446966096047</v>
      </c>
      <c r="F114">
        <v>339.52499999999998</v>
      </c>
      <c r="G114">
        <v>336.42919999999981</v>
      </c>
      <c r="H114">
        <v>333.98485240853842</v>
      </c>
      <c r="I114">
        <v>333.80615499342377</v>
      </c>
      <c r="J114">
        <v>330.45054719841733</v>
      </c>
      <c r="K114">
        <v>339.52499999999998</v>
      </c>
      <c r="L114">
        <v>339.21499999999997</v>
      </c>
    </row>
    <row r="115" spans="3:12" x14ac:dyDescent="0.3">
      <c r="C115">
        <v>334.20941149534139</v>
      </c>
      <c r="D115">
        <v>262.8766059875814</v>
      </c>
      <c r="E115">
        <v>250.4376057478168</v>
      </c>
      <c r="F115">
        <v>339.52499999999998</v>
      </c>
      <c r="G115">
        <v>337.01034999999968</v>
      </c>
      <c r="H115">
        <v>334.20941149534139</v>
      </c>
      <c r="I115">
        <v>335.12210966739582</v>
      </c>
      <c r="J115">
        <v>330.29000932392529</v>
      </c>
      <c r="K115">
        <v>339.52499999999998</v>
      </c>
      <c r="L115">
        <v>339.21499999999997</v>
      </c>
    </row>
    <row r="116" spans="3:12" x14ac:dyDescent="0.3">
      <c r="C116">
        <v>340.61874815039221</v>
      </c>
      <c r="D116">
        <v>262.87846697707039</v>
      </c>
      <c r="E116">
        <v>250.48198414048551</v>
      </c>
      <c r="F116">
        <v>339.21499999999997</v>
      </c>
      <c r="G116">
        <v>338.66324999999989</v>
      </c>
      <c r="H116">
        <v>340.61874815039221</v>
      </c>
      <c r="I116">
        <v>349.71659764073928</v>
      </c>
      <c r="J116">
        <v>331.61461978675533</v>
      </c>
      <c r="K116">
        <v>339.21499999999997</v>
      </c>
      <c r="L116">
        <v>339.21499999999997</v>
      </c>
    </row>
    <row r="117" spans="3:12" x14ac:dyDescent="0.3">
      <c r="C117">
        <v>335.2370883803585</v>
      </c>
      <c r="D117">
        <v>262.87557060437479</v>
      </c>
      <c r="E117">
        <v>250.39823697045171</v>
      </c>
      <c r="F117">
        <v>339.21499999999997</v>
      </c>
      <c r="G117">
        <v>337.54689999999982</v>
      </c>
      <c r="H117">
        <v>335.2370883803585</v>
      </c>
      <c r="I117">
        <v>349.67168081755472</v>
      </c>
      <c r="J117">
        <v>327.20161462325638</v>
      </c>
      <c r="K117">
        <v>339.21499999999997</v>
      </c>
      <c r="L117">
        <v>339.21499999999997</v>
      </c>
    </row>
    <row r="118" spans="3:12" x14ac:dyDescent="0.3">
      <c r="C118">
        <v>335.48532889257689</v>
      </c>
      <c r="D118">
        <v>262.87709932080861</v>
      </c>
      <c r="E118">
        <v>250.44791071608799</v>
      </c>
      <c r="F118">
        <v>339.21499999999997</v>
      </c>
      <c r="G118">
        <v>337.75794999999982</v>
      </c>
      <c r="H118">
        <v>335.48532889257689</v>
      </c>
      <c r="I118">
        <v>349.60717881560021</v>
      </c>
      <c r="J118">
        <v>328.49613618651949</v>
      </c>
      <c r="K118">
        <v>339.21499999999997</v>
      </c>
      <c r="L118">
        <v>339.21499999999997</v>
      </c>
    </row>
    <row r="119" spans="3:12" x14ac:dyDescent="0.3">
      <c r="C119">
        <v>336.4421930494953</v>
      </c>
      <c r="D119">
        <v>262.87913911989767</v>
      </c>
      <c r="E119">
        <v>250.50426267016039</v>
      </c>
      <c r="F119">
        <v>339.21499999999997</v>
      </c>
      <c r="G119">
        <v>338.8426</v>
      </c>
      <c r="H119">
        <v>336.4421930494953</v>
      </c>
      <c r="I119">
        <v>347.19364276093251</v>
      </c>
      <c r="J119">
        <v>331.02832959754312</v>
      </c>
      <c r="K119">
        <v>339.21499999999997</v>
      </c>
      <c r="L119">
        <v>339.21499999999997</v>
      </c>
    </row>
    <row r="120" spans="3:12" x14ac:dyDescent="0.3">
      <c r="C120">
        <v>334.34037964241139</v>
      </c>
      <c r="D120">
        <v>262.87808335764998</v>
      </c>
      <c r="E120">
        <v>250.47910005249599</v>
      </c>
      <c r="F120">
        <v>326.44</v>
      </c>
      <c r="G120">
        <v>336.34259999999978</v>
      </c>
      <c r="H120">
        <v>334.34037964241139</v>
      </c>
      <c r="I120">
        <v>349.52550658827539</v>
      </c>
      <c r="J120">
        <v>329.8071203086505</v>
      </c>
      <c r="K120">
        <v>326.44</v>
      </c>
      <c r="L120">
        <v>326.44</v>
      </c>
    </row>
    <row r="121" spans="3:12" x14ac:dyDescent="0.3">
      <c r="C121">
        <v>333.70781694761109</v>
      </c>
      <c r="D121">
        <v>262.87983129248738</v>
      </c>
      <c r="E121">
        <v>250.52616169183329</v>
      </c>
      <c r="F121">
        <v>326.44</v>
      </c>
      <c r="G121">
        <v>336.31479999999982</v>
      </c>
      <c r="H121">
        <v>333.70781694761109</v>
      </c>
      <c r="I121">
        <v>349.66134910963632</v>
      </c>
      <c r="J121">
        <v>330.16710678628152</v>
      </c>
      <c r="K121">
        <v>326.44</v>
      </c>
      <c r="L121">
        <v>326.44</v>
      </c>
    </row>
    <row r="122" spans="3:12" x14ac:dyDescent="0.3">
      <c r="C122">
        <v>332.78544033305258</v>
      </c>
      <c r="D122">
        <v>262.8786827940429</v>
      </c>
      <c r="E122">
        <v>250.49925377789029</v>
      </c>
      <c r="F122">
        <v>326.44</v>
      </c>
      <c r="G122">
        <v>335.63974999999982</v>
      </c>
      <c r="H122">
        <v>332.78544033305258</v>
      </c>
      <c r="I122">
        <v>349.25000659772252</v>
      </c>
      <c r="J122">
        <v>330.34613518906588</v>
      </c>
      <c r="K122">
        <v>326.44</v>
      </c>
      <c r="L122">
        <v>326.44</v>
      </c>
    </row>
    <row r="123" spans="3:12" x14ac:dyDescent="0.3">
      <c r="C123">
        <v>334.8263998304505</v>
      </c>
      <c r="D123">
        <v>262.87889613523561</v>
      </c>
      <c r="E123">
        <v>250.5038637434877</v>
      </c>
      <c r="F123">
        <v>336.26</v>
      </c>
      <c r="G123">
        <v>336.65664999999967</v>
      </c>
      <c r="H123">
        <v>334.8263998304505</v>
      </c>
      <c r="I123">
        <v>346.58818570081303</v>
      </c>
      <c r="J123">
        <v>333.01412542861749</v>
      </c>
      <c r="K123">
        <v>337.86</v>
      </c>
      <c r="L123">
        <v>337.86</v>
      </c>
    </row>
    <row r="124" spans="3:12" x14ac:dyDescent="0.3">
      <c r="C124">
        <v>338.03927058901468</v>
      </c>
      <c r="D124">
        <v>262.87844328273269</v>
      </c>
      <c r="E124">
        <v>250.48975045117109</v>
      </c>
      <c r="F124">
        <v>336.26</v>
      </c>
      <c r="G124">
        <v>338.15365000000003</v>
      </c>
      <c r="H124">
        <v>338.03927058901468</v>
      </c>
      <c r="I124">
        <v>350.08759243772619</v>
      </c>
      <c r="J124">
        <v>335.05971354603662</v>
      </c>
      <c r="K124">
        <v>337.86</v>
      </c>
      <c r="L124">
        <v>338.05</v>
      </c>
    </row>
    <row r="125" spans="3:12" x14ac:dyDescent="0.3">
      <c r="C125">
        <v>339.39610930258891</v>
      </c>
      <c r="D125">
        <v>262.87749743151983</v>
      </c>
      <c r="E125">
        <v>250.46197113347719</v>
      </c>
      <c r="F125">
        <v>336.26</v>
      </c>
      <c r="G125">
        <v>338.00984999999997</v>
      </c>
      <c r="H125">
        <v>339.39610930258891</v>
      </c>
      <c r="I125">
        <v>353.84741116463829</v>
      </c>
      <c r="J125">
        <v>335.34866348171442</v>
      </c>
      <c r="K125">
        <v>337.86</v>
      </c>
      <c r="L125">
        <v>338.05</v>
      </c>
    </row>
    <row r="126" spans="3:12" x14ac:dyDescent="0.3">
      <c r="C126">
        <v>339.65185361493673</v>
      </c>
      <c r="D126">
        <v>262.87400845995842</v>
      </c>
      <c r="E126">
        <v>250.33719284162501</v>
      </c>
      <c r="F126">
        <v>336.26</v>
      </c>
      <c r="G126">
        <v>337.61344999999989</v>
      </c>
      <c r="H126">
        <v>339.65185361493673</v>
      </c>
      <c r="I126">
        <v>354.47265158709308</v>
      </c>
      <c r="J126">
        <v>335.35359844560361</v>
      </c>
      <c r="K126">
        <v>336.26</v>
      </c>
      <c r="L126">
        <v>336.26</v>
      </c>
    </row>
    <row r="127" spans="3:12" x14ac:dyDescent="0.3">
      <c r="C127">
        <v>336.14966967996918</v>
      </c>
      <c r="D127">
        <v>262.87757772315632</v>
      </c>
      <c r="E127">
        <v>250.46653245399369</v>
      </c>
      <c r="F127">
        <v>326.44</v>
      </c>
      <c r="G127">
        <v>334.7967499999998</v>
      </c>
      <c r="H127">
        <v>336.14966967996918</v>
      </c>
      <c r="I127">
        <v>351.10438838846341</v>
      </c>
      <c r="J127">
        <v>333.60673054134583</v>
      </c>
      <c r="K127">
        <v>326.44</v>
      </c>
      <c r="L127">
        <v>326.44</v>
      </c>
    </row>
    <row r="128" spans="3:12" x14ac:dyDescent="0.3">
      <c r="C128">
        <v>337.52469707549591</v>
      </c>
      <c r="D128">
        <v>262.87642618819888</v>
      </c>
      <c r="E128">
        <v>250.43041884777469</v>
      </c>
      <c r="F128">
        <v>336.26</v>
      </c>
      <c r="G128">
        <v>335.85554999999971</v>
      </c>
      <c r="H128">
        <v>337.52469707549591</v>
      </c>
      <c r="I128">
        <v>352.14268664933849</v>
      </c>
      <c r="J128">
        <v>334.46957673510713</v>
      </c>
      <c r="K128">
        <v>336.26</v>
      </c>
      <c r="L128">
        <v>336.26</v>
      </c>
    </row>
    <row r="129" spans="3:12" x14ac:dyDescent="0.3">
      <c r="C129">
        <v>338.2494831674652</v>
      </c>
      <c r="D129">
        <v>262.8747590098165</v>
      </c>
      <c r="E129">
        <v>250.3699510354308</v>
      </c>
      <c r="F129">
        <v>336.26</v>
      </c>
      <c r="G129">
        <v>335.74094999999983</v>
      </c>
      <c r="H129">
        <v>338.2494831674652</v>
      </c>
      <c r="I129">
        <v>354.19550904036498</v>
      </c>
      <c r="J129">
        <v>334.44591399528292</v>
      </c>
      <c r="K129">
        <v>336.26</v>
      </c>
      <c r="L129">
        <v>336.26</v>
      </c>
    </row>
    <row r="130" spans="3:12" x14ac:dyDescent="0.3">
      <c r="C130">
        <v>329.62229840607648</v>
      </c>
      <c r="D130">
        <v>262.87772349189493</v>
      </c>
      <c r="E130">
        <v>250.4758144424344</v>
      </c>
      <c r="F130">
        <v>326.44</v>
      </c>
      <c r="G130">
        <v>330.99929999999978</v>
      </c>
      <c r="H130">
        <v>329.62229840607648</v>
      </c>
      <c r="I130">
        <v>378.70427110375778</v>
      </c>
      <c r="J130">
        <v>321.36808862470423</v>
      </c>
      <c r="K130">
        <v>326.44</v>
      </c>
      <c r="L130">
        <v>326.44</v>
      </c>
    </row>
    <row r="131" spans="3:12" x14ac:dyDescent="0.3">
      <c r="C131">
        <v>331.57991885023227</v>
      </c>
      <c r="D131">
        <v>262.87711925915158</v>
      </c>
      <c r="E131">
        <v>250.45825308663251</v>
      </c>
      <c r="F131">
        <v>326.44</v>
      </c>
      <c r="G131">
        <v>332.24324999999988</v>
      </c>
      <c r="H131">
        <v>331.57991885023227</v>
      </c>
      <c r="I131">
        <v>360.54715312802358</v>
      </c>
      <c r="J131">
        <v>327.48492863443289</v>
      </c>
      <c r="K131">
        <v>326.44</v>
      </c>
      <c r="L131">
        <v>326.44</v>
      </c>
    </row>
    <row r="132" spans="3:12" x14ac:dyDescent="0.3">
      <c r="C132">
        <v>336.63107589512452</v>
      </c>
      <c r="D132">
        <v>262.8811141632417</v>
      </c>
      <c r="E132">
        <v>250.55877256477751</v>
      </c>
      <c r="F132">
        <v>326.44</v>
      </c>
      <c r="G132">
        <v>334.86049999999972</v>
      </c>
      <c r="H132">
        <v>336.63107589512452</v>
      </c>
      <c r="I132">
        <v>352.5075730613155</v>
      </c>
      <c r="J132">
        <v>334.08974206595587</v>
      </c>
      <c r="K132">
        <v>326.44</v>
      </c>
      <c r="L132">
        <v>326.44</v>
      </c>
    </row>
    <row r="133" spans="3:12" x14ac:dyDescent="0.3">
      <c r="C133">
        <v>339.93238921667779</v>
      </c>
      <c r="D133">
        <v>262.87857979061471</v>
      </c>
      <c r="E133">
        <v>250.4927821535876</v>
      </c>
      <c r="F133">
        <v>336.26</v>
      </c>
      <c r="G133">
        <v>337.26644999999991</v>
      </c>
      <c r="H133">
        <v>339.93238921667779</v>
      </c>
      <c r="I133">
        <v>358.60108317475152</v>
      </c>
      <c r="J133">
        <v>335.44261856743032</v>
      </c>
      <c r="K133">
        <v>336.26</v>
      </c>
      <c r="L133">
        <v>336.26</v>
      </c>
    </row>
    <row r="134" spans="3:12" x14ac:dyDescent="0.3">
      <c r="C134">
        <v>344.49970667156089</v>
      </c>
      <c r="D134">
        <v>262.8859558884368</v>
      </c>
      <c r="E134">
        <v>250.6443895079328</v>
      </c>
      <c r="F134">
        <v>336.26</v>
      </c>
      <c r="G134">
        <v>337.16469999999993</v>
      </c>
      <c r="H134">
        <v>344.49970667156089</v>
      </c>
      <c r="I134">
        <v>373.222564697113</v>
      </c>
      <c r="J134">
        <v>335.72213709155233</v>
      </c>
      <c r="K134">
        <v>336.26</v>
      </c>
      <c r="L134">
        <v>336.26</v>
      </c>
    </row>
    <row r="135" spans="3:12" x14ac:dyDescent="0.3">
      <c r="C135">
        <v>345.03510515278941</v>
      </c>
      <c r="D135">
        <v>262.87787436851522</v>
      </c>
      <c r="E135">
        <v>250.4659311273775</v>
      </c>
      <c r="F135">
        <v>336.26</v>
      </c>
      <c r="G135">
        <v>337.01004999999992</v>
      </c>
      <c r="H135">
        <v>345.03510515278941</v>
      </c>
      <c r="I135">
        <v>373.61872625637977</v>
      </c>
      <c r="J135">
        <v>335.96907219648062</v>
      </c>
      <c r="K135">
        <v>336.26</v>
      </c>
      <c r="L135">
        <v>336.26</v>
      </c>
    </row>
    <row r="136" spans="3:12" x14ac:dyDescent="0.3">
      <c r="C136">
        <v>346.94743995230311</v>
      </c>
      <c r="D136">
        <v>262.8795999602296</v>
      </c>
      <c r="E136">
        <v>250.5076232825339</v>
      </c>
      <c r="F136">
        <v>336.26</v>
      </c>
      <c r="G136">
        <v>336.87394999999992</v>
      </c>
      <c r="H136">
        <v>346.94743995230311</v>
      </c>
      <c r="I136">
        <v>381.76185389883352</v>
      </c>
      <c r="J136">
        <v>335.74737170399737</v>
      </c>
      <c r="K136">
        <v>336.26</v>
      </c>
      <c r="L136">
        <v>336.26</v>
      </c>
    </row>
    <row r="137" spans="3:12" x14ac:dyDescent="0.3">
      <c r="C137">
        <v>353.3623842672655</v>
      </c>
      <c r="D137">
        <v>262.87742285690831</v>
      </c>
      <c r="E137">
        <v>250.4428509912714</v>
      </c>
      <c r="F137">
        <v>336.26</v>
      </c>
      <c r="G137">
        <v>336.10524999999978</v>
      </c>
      <c r="H137">
        <v>353.3623842672655</v>
      </c>
      <c r="I137">
        <v>409.91532499630591</v>
      </c>
      <c r="J137">
        <v>333.591595553714</v>
      </c>
      <c r="K137">
        <v>336.26</v>
      </c>
      <c r="L137">
        <v>332.51</v>
      </c>
    </row>
    <row r="138" spans="3:12" x14ac:dyDescent="0.3">
      <c r="C138">
        <v>351.27618687796598</v>
      </c>
      <c r="D138">
        <v>262.87733148028627</v>
      </c>
      <c r="E138">
        <v>250.4402988266404</v>
      </c>
      <c r="F138">
        <v>336.26</v>
      </c>
      <c r="G138">
        <v>336.89204999999993</v>
      </c>
      <c r="H138">
        <v>351.27618687796598</v>
      </c>
      <c r="I138">
        <v>393.70032921747583</v>
      </c>
      <c r="J138">
        <v>334.9703601185642</v>
      </c>
      <c r="K138">
        <v>336.26</v>
      </c>
      <c r="L138">
        <v>336.26</v>
      </c>
    </row>
    <row r="139" spans="3:12" x14ac:dyDescent="0.3">
      <c r="C139">
        <v>349.36611957262011</v>
      </c>
      <c r="D139">
        <v>262.8764653539414</v>
      </c>
      <c r="E139">
        <v>250.4163982924043</v>
      </c>
      <c r="F139">
        <v>336.26</v>
      </c>
      <c r="G139">
        <v>336.80160000000001</v>
      </c>
      <c r="H139">
        <v>349.36611957262011</v>
      </c>
      <c r="I139">
        <v>390.03578165872801</v>
      </c>
      <c r="J139">
        <v>334.45853713826261</v>
      </c>
      <c r="K139">
        <v>336.26</v>
      </c>
      <c r="L139">
        <v>336.26</v>
      </c>
    </row>
    <row r="140" spans="3:12" x14ac:dyDescent="0.3">
      <c r="C140">
        <v>347.63897737456159</v>
      </c>
      <c r="D140">
        <v>262.87592826192781</v>
      </c>
      <c r="E140">
        <v>250.4013347815243</v>
      </c>
      <c r="F140">
        <v>336.26</v>
      </c>
      <c r="G140">
        <v>336.5293999999999</v>
      </c>
      <c r="H140">
        <v>347.63897737456159</v>
      </c>
      <c r="I140">
        <v>389.24365361536172</v>
      </c>
      <c r="J140">
        <v>333.87903713822072</v>
      </c>
      <c r="K140">
        <v>336.26</v>
      </c>
      <c r="L140">
        <v>336.26</v>
      </c>
    </row>
    <row r="141" spans="3:12" x14ac:dyDescent="0.3">
      <c r="C141">
        <v>349.13029443832681</v>
      </c>
      <c r="D141">
        <v>262.8739030626665</v>
      </c>
      <c r="E141">
        <v>250.3242957152404</v>
      </c>
      <c r="F141">
        <v>336.26</v>
      </c>
      <c r="G141">
        <v>336.81709999999998</v>
      </c>
      <c r="H141">
        <v>349.13029443832681</v>
      </c>
      <c r="I141">
        <v>394.41153813129051</v>
      </c>
      <c r="J141">
        <v>334.51235391287628</v>
      </c>
      <c r="K141">
        <v>336.26</v>
      </c>
      <c r="L141">
        <v>336.26</v>
      </c>
    </row>
    <row r="142" spans="3:12" x14ac:dyDescent="0.3">
      <c r="C142">
        <v>345.7429423859308</v>
      </c>
      <c r="D142">
        <v>262.87655663183682</v>
      </c>
      <c r="E142">
        <v>250.42433434639841</v>
      </c>
      <c r="F142">
        <v>336.26</v>
      </c>
      <c r="G142">
        <v>335.24039999999979</v>
      </c>
      <c r="H142">
        <v>345.7429423859308</v>
      </c>
      <c r="I142">
        <v>389.04233385571939</v>
      </c>
      <c r="J142">
        <v>333.73923606959153</v>
      </c>
      <c r="K142">
        <v>336.26</v>
      </c>
      <c r="L142">
        <v>336.26</v>
      </c>
    </row>
    <row r="143" spans="3:12" x14ac:dyDescent="0.3">
      <c r="C143">
        <v>343.74609018882052</v>
      </c>
      <c r="D143">
        <v>262.87734036495829</v>
      </c>
      <c r="E143">
        <v>250.45053676119119</v>
      </c>
      <c r="F143">
        <v>326.44</v>
      </c>
      <c r="G143">
        <v>334.39744999999971</v>
      </c>
      <c r="H143">
        <v>343.74609018882052</v>
      </c>
      <c r="I143">
        <v>386.85279867594249</v>
      </c>
      <c r="J143">
        <v>333.14304054928948</v>
      </c>
      <c r="K143">
        <v>326.44</v>
      </c>
      <c r="L143">
        <v>326.44</v>
      </c>
    </row>
    <row r="144" spans="3:12" x14ac:dyDescent="0.3">
      <c r="C144">
        <v>341.47995770421278</v>
      </c>
      <c r="D144">
        <v>262.87551210020371</v>
      </c>
      <c r="E144">
        <v>250.39682354120069</v>
      </c>
      <c r="F144">
        <v>326.44</v>
      </c>
      <c r="G144">
        <v>334.47659999999968</v>
      </c>
      <c r="H144">
        <v>341.47995770421278</v>
      </c>
      <c r="I144">
        <v>382.21864916918071</v>
      </c>
      <c r="J144">
        <v>332.86944279339139</v>
      </c>
      <c r="K144">
        <v>326.44</v>
      </c>
      <c r="L144">
        <v>326.44</v>
      </c>
    </row>
    <row r="145" spans="3:12" x14ac:dyDescent="0.3">
      <c r="C145">
        <v>342.47338183000488</v>
      </c>
      <c r="D145">
        <v>262.87448724729632</v>
      </c>
      <c r="E145">
        <v>250.3581510948529</v>
      </c>
      <c r="F145">
        <v>336.26</v>
      </c>
      <c r="G145">
        <v>336.10604999999981</v>
      </c>
      <c r="H145">
        <v>342.47338183000488</v>
      </c>
      <c r="I145">
        <v>383.773961932492</v>
      </c>
      <c r="J145">
        <v>333.75712826860803</v>
      </c>
      <c r="K145">
        <v>336.26</v>
      </c>
      <c r="L145">
        <v>336.26</v>
      </c>
    </row>
    <row r="146" spans="3:12" x14ac:dyDescent="0.3">
      <c r="C146">
        <v>339.52879127896381</v>
      </c>
      <c r="D146">
        <v>262.87416039186593</v>
      </c>
      <c r="E146">
        <v>250.34648172103789</v>
      </c>
      <c r="F146">
        <v>326.44</v>
      </c>
      <c r="G146">
        <v>334.19039999999978</v>
      </c>
      <c r="H146">
        <v>339.52879127896381</v>
      </c>
      <c r="I146">
        <v>377.34283213358498</v>
      </c>
      <c r="J146">
        <v>331.98969395838247</v>
      </c>
      <c r="K146">
        <v>326.44</v>
      </c>
      <c r="L146">
        <v>326.44</v>
      </c>
    </row>
    <row r="147" spans="3:12" x14ac:dyDescent="0.3">
      <c r="C147">
        <v>337.21576711640222</v>
      </c>
      <c r="D147">
        <v>262.87670784302941</v>
      </c>
      <c r="E147">
        <v>250.44437943746081</v>
      </c>
      <c r="F147">
        <v>326.44</v>
      </c>
      <c r="G147">
        <v>333.42814999999968</v>
      </c>
      <c r="H147">
        <v>337.21576711640222</v>
      </c>
      <c r="I147">
        <v>372.94993703148242</v>
      </c>
      <c r="J147">
        <v>330.04850836270128</v>
      </c>
      <c r="K147">
        <v>326.44</v>
      </c>
      <c r="L147">
        <v>326.44</v>
      </c>
    </row>
    <row r="148" spans="3:12" x14ac:dyDescent="0.3">
      <c r="C148">
        <v>330.79774319705791</v>
      </c>
      <c r="D148">
        <v>262.87425557003218</v>
      </c>
      <c r="E148">
        <v>250.35869830781141</v>
      </c>
      <c r="F148">
        <v>326.44</v>
      </c>
      <c r="G148">
        <v>330.39174999999989</v>
      </c>
      <c r="H148">
        <v>330.79774319705791</v>
      </c>
      <c r="I148">
        <v>372.38210109792311</v>
      </c>
      <c r="J148">
        <v>321.88624806902448</v>
      </c>
      <c r="K148">
        <v>326.44</v>
      </c>
      <c r="L148">
        <v>326.44</v>
      </c>
    </row>
    <row r="149" spans="3:12" x14ac:dyDescent="0.3">
      <c r="C149">
        <v>332.89617861103108</v>
      </c>
      <c r="D149">
        <v>262.87497344193582</v>
      </c>
      <c r="E149">
        <v>250.38924425670609</v>
      </c>
      <c r="F149">
        <v>326.44</v>
      </c>
      <c r="G149">
        <v>329.79745000000003</v>
      </c>
      <c r="H149">
        <v>332.89617861103108</v>
      </c>
      <c r="I149">
        <v>363.75179479280888</v>
      </c>
      <c r="J149">
        <v>325.44155055673701</v>
      </c>
      <c r="K149">
        <v>326.44</v>
      </c>
      <c r="L149">
        <v>326.44</v>
      </c>
    </row>
    <row r="150" spans="3:12" x14ac:dyDescent="0.3">
      <c r="C150">
        <v>331.38394982793812</v>
      </c>
      <c r="D150">
        <v>262.87476532158269</v>
      </c>
      <c r="E150">
        <v>250.38276482674729</v>
      </c>
      <c r="F150">
        <v>326.44</v>
      </c>
      <c r="G150">
        <v>326.54795000000001</v>
      </c>
      <c r="H150">
        <v>331.38394982793812</v>
      </c>
      <c r="I150">
        <v>359.93553940961789</v>
      </c>
      <c r="J150">
        <v>323.48259062559038</v>
      </c>
      <c r="K150">
        <v>326.44</v>
      </c>
      <c r="L150">
        <v>326.44</v>
      </c>
    </row>
    <row r="151" spans="3:12" x14ac:dyDescent="0.3">
      <c r="C151">
        <v>323.51123070551569</v>
      </c>
      <c r="D151">
        <v>262.87537066989438</v>
      </c>
      <c r="E151">
        <v>250.4140602195242</v>
      </c>
      <c r="F151">
        <v>326.44</v>
      </c>
      <c r="G151">
        <v>325.23340000000002</v>
      </c>
      <c r="H151">
        <v>323.51123070551569</v>
      </c>
      <c r="I151">
        <v>378.97788556136658</v>
      </c>
      <c r="J151">
        <v>309.93662110094442</v>
      </c>
      <c r="K151">
        <v>326.44</v>
      </c>
      <c r="L151">
        <v>326.44</v>
      </c>
    </row>
    <row r="152" spans="3:12" x14ac:dyDescent="0.3">
      <c r="C152">
        <v>323.65710103565561</v>
      </c>
      <c r="D152">
        <v>262.87542942343867</v>
      </c>
      <c r="E152">
        <v>250.4176685513572</v>
      </c>
      <c r="F152">
        <v>326.44</v>
      </c>
      <c r="G152">
        <v>324.23919999999998</v>
      </c>
      <c r="H152">
        <v>323.65710103565561</v>
      </c>
      <c r="I152">
        <v>366.80868226471438</v>
      </c>
      <c r="J152">
        <v>311.43438890295272</v>
      </c>
      <c r="K152">
        <v>326.44</v>
      </c>
      <c r="L152">
        <v>326.44</v>
      </c>
    </row>
    <row r="153" spans="3:12" x14ac:dyDescent="0.3">
      <c r="C153">
        <v>323.50879489306362</v>
      </c>
      <c r="D153">
        <v>262.87460116069519</v>
      </c>
      <c r="E153">
        <v>250.38410465144059</v>
      </c>
      <c r="F153">
        <v>326.44</v>
      </c>
      <c r="G153">
        <v>324.14335</v>
      </c>
      <c r="H153">
        <v>323.50879489306362</v>
      </c>
      <c r="I153">
        <v>358.35472321345111</v>
      </c>
      <c r="J153">
        <v>312.13316317178982</v>
      </c>
      <c r="K153">
        <v>326.44</v>
      </c>
      <c r="L153">
        <v>326.44</v>
      </c>
    </row>
    <row r="154" spans="3:12" x14ac:dyDescent="0.3">
      <c r="C154">
        <v>321.27538502808522</v>
      </c>
      <c r="D154">
        <v>262.87737712089898</v>
      </c>
      <c r="E154">
        <v>250.49317696935461</v>
      </c>
      <c r="F154">
        <v>326.44</v>
      </c>
      <c r="G154">
        <v>324.14229999999998</v>
      </c>
      <c r="H154">
        <v>321.27538502808522</v>
      </c>
      <c r="I154">
        <v>352.16100578313501</v>
      </c>
      <c r="J154">
        <v>309.96900323289219</v>
      </c>
      <c r="K154">
        <v>326.44</v>
      </c>
      <c r="L154">
        <v>326.44</v>
      </c>
    </row>
    <row r="155" spans="3:12" x14ac:dyDescent="0.3">
      <c r="C155">
        <v>319.94861289146581</v>
      </c>
      <c r="D155">
        <v>262.87534763774732</v>
      </c>
      <c r="E155">
        <v>250.42271628436109</v>
      </c>
      <c r="F155">
        <v>326.44</v>
      </c>
      <c r="G155">
        <v>324.28705000000002</v>
      </c>
      <c r="H155">
        <v>319.94861289146581</v>
      </c>
      <c r="I155">
        <v>346.68458587657238</v>
      </c>
      <c r="J155">
        <v>308.81836415863779</v>
      </c>
      <c r="K155">
        <v>326.44</v>
      </c>
      <c r="L155">
        <v>326.44</v>
      </c>
    </row>
    <row r="156" spans="3:12" x14ac:dyDescent="0.3">
      <c r="C156">
        <v>321.333320621393</v>
      </c>
      <c r="D156">
        <v>262.87695166690878</v>
      </c>
      <c r="E156">
        <v>250.48217183713751</v>
      </c>
      <c r="F156">
        <v>326.44</v>
      </c>
      <c r="G156">
        <v>324.34325000000013</v>
      </c>
      <c r="H156">
        <v>321.333320621393</v>
      </c>
      <c r="I156">
        <v>336.61031366863699</v>
      </c>
      <c r="J156">
        <v>311.74725606997669</v>
      </c>
      <c r="K156">
        <v>326.44</v>
      </c>
      <c r="L156">
        <v>326.44</v>
      </c>
    </row>
    <row r="157" spans="3:12" x14ac:dyDescent="0.3">
      <c r="C157">
        <v>320.0712065111469</v>
      </c>
      <c r="D157">
        <v>262.8753939761844</v>
      </c>
      <c r="E157">
        <v>250.4266663288864</v>
      </c>
      <c r="F157">
        <v>326.44</v>
      </c>
      <c r="G157">
        <v>324.35145000000011</v>
      </c>
      <c r="H157">
        <v>320.0712065111469</v>
      </c>
      <c r="I157">
        <v>333.08922939517868</v>
      </c>
      <c r="J157">
        <v>310.58679726007063</v>
      </c>
      <c r="K157">
        <v>326.44</v>
      </c>
      <c r="L157">
        <v>326.44</v>
      </c>
    </row>
    <row r="158" spans="3:12" x14ac:dyDescent="0.3">
      <c r="C158">
        <v>320.97752486513411</v>
      </c>
      <c r="D158">
        <v>262.87566675657592</v>
      </c>
      <c r="E158">
        <v>250.437911324872</v>
      </c>
      <c r="F158">
        <v>326.44</v>
      </c>
      <c r="G158">
        <v>324.14150000000012</v>
      </c>
      <c r="H158">
        <v>320.97752486513411</v>
      </c>
      <c r="I158">
        <v>327.22109354702673</v>
      </c>
      <c r="J158">
        <v>312.46376324083531</v>
      </c>
      <c r="K158">
        <v>326.44</v>
      </c>
      <c r="L158">
        <v>326.44</v>
      </c>
    </row>
    <row r="159" spans="3:12" x14ac:dyDescent="0.3">
      <c r="C159">
        <v>315.1623530682283</v>
      </c>
      <c r="D159">
        <v>262.87607033618582</v>
      </c>
      <c r="E159">
        <v>250.461779846762</v>
      </c>
      <c r="F159">
        <v>326.44</v>
      </c>
      <c r="G159">
        <v>322.42529999999999</v>
      </c>
      <c r="H159">
        <v>315.1623530682283</v>
      </c>
      <c r="I159">
        <v>328.54751029466229</v>
      </c>
      <c r="J159">
        <v>305.30634244379002</v>
      </c>
      <c r="K159">
        <v>326.44</v>
      </c>
      <c r="L159">
        <v>326.44</v>
      </c>
    </row>
    <row r="160" spans="3:12" x14ac:dyDescent="0.3">
      <c r="C160">
        <v>316.99771206325232</v>
      </c>
      <c r="D160">
        <v>262.8758138093782</v>
      </c>
      <c r="E160">
        <v>250.45099933147711</v>
      </c>
      <c r="F160">
        <v>326.44</v>
      </c>
      <c r="G160">
        <v>322.46260000000001</v>
      </c>
      <c r="H160">
        <v>316.99771206325232</v>
      </c>
      <c r="I160">
        <v>319.3464299059288</v>
      </c>
      <c r="J160">
        <v>308.52102107028782</v>
      </c>
      <c r="K160">
        <v>326.44</v>
      </c>
      <c r="L160">
        <v>326.44</v>
      </c>
    </row>
    <row r="161" spans="3:12" x14ac:dyDescent="0.3">
      <c r="C161">
        <v>322.10326548363929</v>
      </c>
      <c r="D161">
        <v>262.87508026653671</v>
      </c>
      <c r="E161">
        <v>250.41458273254889</v>
      </c>
      <c r="F161">
        <v>326.44</v>
      </c>
      <c r="G161">
        <v>323.94475</v>
      </c>
      <c r="H161">
        <v>322.10326548363929</v>
      </c>
      <c r="I161">
        <v>321.26050326122009</v>
      </c>
      <c r="J161">
        <v>314.77785206698769</v>
      </c>
      <c r="K161">
        <v>326.44</v>
      </c>
      <c r="L161">
        <v>326.44</v>
      </c>
    </row>
    <row r="162" spans="3:12" x14ac:dyDescent="0.3">
      <c r="C162">
        <v>324.22007234150118</v>
      </c>
      <c r="D162">
        <v>262.87348846575588</v>
      </c>
      <c r="E162">
        <v>250.33257517980019</v>
      </c>
      <c r="F162">
        <v>326.44</v>
      </c>
      <c r="G162">
        <v>324.86160000000001</v>
      </c>
      <c r="H162">
        <v>324.22007234150118</v>
      </c>
      <c r="I162">
        <v>325.75853842107858</v>
      </c>
      <c r="J162">
        <v>316.95335216639882</v>
      </c>
      <c r="K162">
        <v>326.44</v>
      </c>
      <c r="L162">
        <v>326.44</v>
      </c>
    </row>
    <row r="163" spans="3:12" x14ac:dyDescent="0.3">
      <c r="C163">
        <v>327.0219269393483</v>
      </c>
      <c r="D163">
        <v>262.87512086909152</v>
      </c>
      <c r="E163">
        <v>250.40882086402169</v>
      </c>
      <c r="F163">
        <v>326.44</v>
      </c>
      <c r="G163">
        <v>326.90679999999992</v>
      </c>
      <c r="H163">
        <v>327.0219269393483</v>
      </c>
      <c r="I163">
        <v>331.46729005453659</v>
      </c>
      <c r="J163">
        <v>320.23567804611798</v>
      </c>
      <c r="K163">
        <v>326.44</v>
      </c>
      <c r="L163">
        <v>326.44</v>
      </c>
    </row>
    <row r="164" spans="3:12" x14ac:dyDescent="0.3">
      <c r="C164">
        <v>323.25338017434689</v>
      </c>
      <c r="D164">
        <v>262.877048084769</v>
      </c>
      <c r="E164">
        <v>250.48448564804181</v>
      </c>
      <c r="F164">
        <v>326.44</v>
      </c>
      <c r="G164">
        <v>325.26909999999998</v>
      </c>
      <c r="H164">
        <v>323.25338017434689</v>
      </c>
      <c r="I164">
        <v>322.24300062477693</v>
      </c>
      <c r="J164">
        <v>318.21757962469519</v>
      </c>
      <c r="K164">
        <v>326.44</v>
      </c>
      <c r="L164">
        <v>326.44</v>
      </c>
    </row>
    <row r="165" spans="3:12" x14ac:dyDescent="0.3">
      <c r="C165">
        <v>325.25878665508242</v>
      </c>
      <c r="D165">
        <v>262.87529429281602</v>
      </c>
      <c r="E165">
        <v>250.41745493058491</v>
      </c>
      <c r="F165">
        <v>326.44</v>
      </c>
      <c r="G165">
        <v>326.68574999999981</v>
      </c>
      <c r="H165">
        <v>325.25878665508242</v>
      </c>
      <c r="I165">
        <v>326.42213371488799</v>
      </c>
      <c r="J165">
        <v>320.32988281642457</v>
      </c>
      <c r="K165">
        <v>326.44</v>
      </c>
      <c r="L165">
        <v>326.44</v>
      </c>
    </row>
    <row r="166" spans="3:12" x14ac:dyDescent="0.3">
      <c r="C166">
        <v>323.66452054863811</v>
      </c>
      <c r="D166">
        <v>262.87385181416238</v>
      </c>
      <c r="E166">
        <v>250.35184047642309</v>
      </c>
      <c r="F166">
        <v>326.44</v>
      </c>
      <c r="G166">
        <v>326.37979999999988</v>
      </c>
      <c r="H166">
        <v>323.66452054863811</v>
      </c>
      <c r="I166">
        <v>323.10384677566691</v>
      </c>
      <c r="J166">
        <v>319.66192706350643</v>
      </c>
      <c r="K166">
        <v>326.44</v>
      </c>
      <c r="L166">
        <v>326.44</v>
      </c>
    </row>
    <row r="167" spans="3:12" x14ac:dyDescent="0.3">
      <c r="C167">
        <v>326.31310487623318</v>
      </c>
      <c r="D167">
        <v>262.87374244331289</v>
      </c>
      <c r="E167">
        <v>250.3433759421269</v>
      </c>
      <c r="F167">
        <v>339.52499999999998</v>
      </c>
      <c r="G167">
        <v>326.97624999999982</v>
      </c>
      <c r="H167">
        <v>326.31310487623318</v>
      </c>
      <c r="I167">
        <v>329.58896034781418</v>
      </c>
      <c r="J167">
        <v>322.05875837588832</v>
      </c>
      <c r="K167">
        <v>339.52499999999998</v>
      </c>
      <c r="L167">
        <v>339.52499999999998</v>
      </c>
    </row>
    <row r="168" spans="3:12" x14ac:dyDescent="0.3">
      <c r="C168">
        <v>328.81680388020709</v>
      </c>
      <c r="D168">
        <v>262.87375340448318</v>
      </c>
      <c r="E168">
        <v>250.3417815363172</v>
      </c>
      <c r="F168">
        <v>339.52499999999998</v>
      </c>
      <c r="G168">
        <v>328.42279999999982</v>
      </c>
      <c r="H168">
        <v>328.81680388020709</v>
      </c>
      <c r="I168">
        <v>338.56250780026488</v>
      </c>
      <c r="J168">
        <v>323.40660894999479</v>
      </c>
      <c r="K168">
        <v>339.52499999999998</v>
      </c>
      <c r="L168">
        <v>339.52499999999998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ED182-81B8-4F3C-A9EF-75B9B15D8B6D}">
  <sheetPr codeName="Hoja11"/>
  <dimension ref="A2:XFD12"/>
  <sheetViews>
    <sheetView workbookViewId="0">
      <selection activeCell="A12" sqref="A2:O12"/>
    </sheetView>
  </sheetViews>
  <sheetFormatPr baseColWidth="10" defaultRowHeight="14.4" x14ac:dyDescent="0.3"/>
  <cols>
    <col min="1" max="1" width="13.33203125" bestFit="1" customWidth="1"/>
    <col min="2" max="2" width="6.88671875" bestFit="1" customWidth="1"/>
    <col min="3" max="3" width="17.5546875" bestFit="1" customWidth="1"/>
    <col min="4" max="4" width="21.5546875" bestFit="1" customWidth="1"/>
    <col min="5" max="5" width="13.33203125" bestFit="1" customWidth="1"/>
    <col min="6" max="6" width="6.88671875" bestFit="1" customWidth="1"/>
    <col min="7" max="7" width="17.5546875" bestFit="1" customWidth="1"/>
    <col min="8" max="8" width="21.5546875" bestFit="1" customWidth="1"/>
    <col min="9" max="15" width="12" bestFit="1" customWidth="1"/>
    <col min="16" max="16" width="8.21875" bestFit="1" customWidth="1"/>
    <col min="17" max="23" width="2" bestFit="1" customWidth="1"/>
  </cols>
  <sheetData>
    <row r="2" spans="1:1024 1026:4095 4098:5119 5121:8190 8193:15360 15363:16384" x14ac:dyDescent="0.3">
      <c r="A2" s="61" t="s">
        <v>212</v>
      </c>
      <c r="B2" s="61" t="s">
        <v>198</v>
      </c>
      <c r="C2" s="61" t="s">
        <v>9</v>
      </c>
      <c r="D2" s="61" t="s">
        <v>10</v>
      </c>
      <c r="E2" s="70" t="s">
        <v>212</v>
      </c>
      <c r="F2" s="61" t="s">
        <v>198</v>
      </c>
      <c r="G2" s="61" t="s">
        <v>9</v>
      </c>
      <c r="H2" s="71" t="s">
        <v>10</v>
      </c>
      <c r="I2" s="66" t="s">
        <v>231</v>
      </c>
      <c r="J2" s="66" t="s">
        <v>232</v>
      </c>
      <c r="K2" s="66" t="s">
        <v>233</v>
      </c>
      <c r="L2" s="66" t="s">
        <v>234</v>
      </c>
      <c r="M2" s="66" t="s">
        <v>232</v>
      </c>
      <c r="N2" s="66" t="s">
        <v>233</v>
      </c>
      <c r="O2" s="67" t="s">
        <v>234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</row>
    <row r="3" spans="1:1024 1026:4095 4098:5119 5121:8190 8193:15360 15363:16384" x14ac:dyDescent="0.3">
      <c r="A3">
        <v>0</v>
      </c>
      <c r="B3">
        <v>0</v>
      </c>
      <c r="C3" s="34">
        <v>0.34128910331000051</v>
      </c>
      <c r="D3" s="34">
        <v>0.38708358673024368</v>
      </c>
      <c r="E3">
        <v>6</v>
      </c>
      <c r="F3" s="75">
        <v>1.9300000000000001E-3</v>
      </c>
      <c r="G3" s="90">
        <v>1.0949103310000501E-2</v>
      </c>
      <c r="H3" s="34">
        <v>-5.0820484591374403E-3</v>
      </c>
      <c r="I3" s="34">
        <v>0.6227544910179641</v>
      </c>
      <c r="J3" s="64">
        <v>0.62790697674418605</v>
      </c>
      <c r="K3" s="4">
        <v>0.63529411764705879</v>
      </c>
      <c r="L3" s="65">
        <v>0.63157894736842102</v>
      </c>
      <c r="M3" s="4">
        <v>0.61728395061728392</v>
      </c>
      <c r="N3" s="4">
        <v>0.6097560975609756</v>
      </c>
      <c r="O3" s="4">
        <v>0.61349693251533743</v>
      </c>
      <c r="P3" s="4"/>
      <c r="Q3" s="85"/>
    </row>
    <row r="4" spans="1:1024 1026:4095 4098:5119 5121:8190 8193:15360 15363:16384" x14ac:dyDescent="0.3">
      <c r="A4">
        <v>0</v>
      </c>
      <c r="B4">
        <v>0</v>
      </c>
      <c r="C4" s="34">
        <v>8.1040354323447542E-2</v>
      </c>
      <c r="D4" s="34">
        <v>6.8853062630683859E-2</v>
      </c>
      <c r="E4">
        <v>6</v>
      </c>
      <c r="F4" s="63">
        <v>1.9300000000000001E-3</v>
      </c>
      <c r="G4" s="90">
        <v>-0.24929964567655261</v>
      </c>
      <c r="H4" s="34">
        <v>-0.23422033284445293</v>
      </c>
      <c r="I4" s="34">
        <v>0.51497005988023947</v>
      </c>
      <c r="J4" s="64">
        <v>0.54545454545454541</v>
      </c>
      <c r="K4" s="4">
        <v>0.28235294117647058</v>
      </c>
      <c r="L4" s="65">
        <v>0.37209302325581395</v>
      </c>
      <c r="M4" s="4">
        <v>0.50406504065040647</v>
      </c>
      <c r="N4" s="4">
        <v>0.75609756097560976</v>
      </c>
      <c r="O4" s="4">
        <v>0.60487804878048768</v>
      </c>
      <c r="P4" s="4"/>
      <c r="Q4" s="85"/>
    </row>
    <row r="5" spans="1:1024 1026:4095 4098:5119 5121:8190 8193:15360 15363:16384" x14ac:dyDescent="0.3">
      <c r="A5">
        <v>0</v>
      </c>
      <c r="B5">
        <v>0</v>
      </c>
      <c r="C5" s="34">
        <v>5.72701149250225E-2</v>
      </c>
      <c r="D5" s="34">
        <v>4.3494060043455102E-2</v>
      </c>
      <c r="E5">
        <v>6</v>
      </c>
      <c r="F5" s="63">
        <v>1.9300000000000001E-3</v>
      </c>
      <c r="G5" s="90">
        <v>-0.27306988507497765</v>
      </c>
      <c r="H5" s="34">
        <v>-0.25265607520650679</v>
      </c>
      <c r="I5" s="34">
        <v>0.53293413173652693</v>
      </c>
      <c r="J5" s="64">
        <v>0.64</v>
      </c>
      <c r="K5" s="4">
        <v>0.18823529411764706</v>
      </c>
      <c r="L5" s="65">
        <v>0.29090909090909089</v>
      </c>
      <c r="M5" s="4">
        <v>0.5140845070422535</v>
      </c>
      <c r="N5" s="4">
        <v>0.8902439024390244</v>
      </c>
      <c r="O5" s="4">
        <v>0.6517857142857143</v>
      </c>
      <c r="P5" s="4"/>
      <c r="Q5" s="85"/>
    </row>
    <row r="6" spans="1:1024 1026:4095 4098:5119 5121:8190 8193:15360 15363:16384" x14ac:dyDescent="0.3">
      <c r="A6">
        <v>0</v>
      </c>
      <c r="B6">
        <v>0</v>
      </c>
      <c r="C6" s="34">
        <v>0.40485818171737281</v>
      </c>
      <c r="D6" s="34">
        <v>0.47913098165972623</v>
      </c>
      <c r="E6">
        <v>6</v>
      </c>
      <c r="F6" s="63">
        <v>1.9300000000000001E-3</v>
      </c>
      <c r="G6" s="90">
        <v>7.4518181717372789E-2</v>
      </c>
      <c r="H6" s="34">
        <v>6.2078805640650533E-2</v>
      </c>
      <c r="I6" s="34">
        <v>0.58083832335329344</v>
      </c>
      <c r="J6" s="64">
        <v>0.60273972602739723</v>
      </c>
      <c r="K6" s="4">
        <v>0.51764705882352946</v>
      </c>
      <c r="L6" s="65">
        <v>0.55696202531645567</v>
      </c>
      <c r="M6" s="4">
        <v>0.56382978723404253</v>
      </c>
      <c r="N6" s="4">
        <v>0.64634146341463417</v>
      </c>
      <c r="O6" s="4">
        <v>0.60227272727272718</v>
      </c>
      <c r="R6" s="34"/>
      <c r="S6" s="34"/>
      <c r="U6" s="34"/>
      <c r="V6" s="72"/>
      <c r="W6" s="63"/>
      <c r="X6" s="34"/>
      <c r="Y6" s="64"/>
      <c r="Z6" s="4"/>
      <c r="AA6" s="65"/>
      <c r="AB6" s="4"/>
      <c r="AC6" s="4"/>
      <c r="AD6" s="4"/>
      <c r="AG6" s="34"/>
      <c r="AH6" s="34"/>
      <c r="AJ6" s="34"/>
      <c r="AK6" s="72"/>
      <c r="AL6" s="63"/>
      <c r="AM6" s="34"/>
      <c r="AN6" s="64"/>
      <c r="AO6" s="4"/>
      <c r="AP6" s="65"/>
      <c r="AQ6" s="4"/>
      <c r="AR6" s="4"/>
      <c r="AS6" s="4"/>
      <c r="AV6" s="34"/>
      <c r="AW6" s="34"/>
      <c r="AY6" s="34"/>
      <c r="AZ6" s="72"/>
      <c r="BA6" s="63"/>
      <c r="BB6" s="34"/>
      <c r="BC6" s="64"/>
      <c r="BD6" s="4"/>
      <c r="BE6" s="65"/>
      <c r="BF6" s="4"/>
      <c r="BG6" s="4"/>
      <c r="BH6" s="4"/>
      <c r="BK6" s="34"/>
      <c r="BL6" s="34"/>
      <c r="BN6" s="34"/>
      <c r="BO6" s="72"/>
      <c r="BP6" s="63"/>
      <c r="BQ6" s="34"/>
      <c r="BR6" s="64"/>
      <c r="BS6" s="4"/>
      <c r="BT6" s="65"/>
      <c r="BU6" s="4"/>
      <c r="BV6" s="4"/>
      <c r="BW6" s="4"/>
      <c r="BZ6" s="34"/>
      <c r="CA6" s="34"/>
      <c r="CC6" s="34"/>
      <c r="CD6" s="72"/>
      <c r="CE6" s="63"/>
      <c r="CF6" s="34"/>
      <c r="CG6" s="64"/>
      <c r="CH6" s="4"/>
      <c r="CI6" s="65"/>
      <c r="CJ6" s="4"/>
      <c r="CK6" s="4"/>
      <c r="CL6" s="4"/>
      <c r="CO6" s="34"/>
      <c r="CP6" s="34"/>
      <c r="CR6" s="34"/>
      <c r="CS6" s="72"/>
      <c r="CT6" s="63"/>
      <c r="CU6" s="34"/>
      <c r="CV6" s="64"/>
      <c r="CW6" s="4"/>
      <c r="CX6" s="65"/>
      <c r="CY6" s="4"/>
      <c r="CZ6" s="4"/>
      <c r="DA6" s="4"/>
      <c r="DD6" s="34"/>
      <c r="DE6" s="34"/>
      <c r="DG6" s="34"/>
      <c r="DH6" s="72"/>
      <c r="DI6" s="63"/>
      <c r="DJ6" s="34"/>
      <c r="DK6" s="64"/>
      <c r="DL6" s="4"/>
      <c r="DM6" s="65"/>
      <c r="DN6" s="4"/>
      <c r="DO6" s="4"/>
      <c r="DP6" s="4"/>
      <c r="DS6" s="34"/>
      <c r="DT6" s="34"/>
      <c r="DV6" s="34"/>
      <c r="DW6" s="72"/>
      <c r="DX6" s="63"/>
      <c r="DY6" s="34"/>
      <c r="DZ6" s="64"/>
      <c r="EA6" s="4"/>
      <c r="EB6" s="65"/>
      <c r="EC6" s="4"/>
      <c r="ED6" s="4"/>
      <c r="EE6" s="4"/>
      <c r="EH6" s="34"/>
      <c r="EI6" s="34"/>
      <c r="EK6" s="34"/>
      <c r="EL6" s="72"/>
      <c r="EM6" s="63"/>
      <c r="EN6" s="34"/>
      <c r="EO6" s="64"/>
      <c r="EP6" s="4"/>
      <c r="EQ6" s="65"/>
      <c r="ER6" s="4"/>
      <c r="ES6" s="4"/>
      <c r="ET6" s="4"/>
      <c r="EW6" s="34"/>
      <c r="EX6" s="34"/>
      <c r="EZ6" s="34"/>
      <c r="FA6" s="72"/>
      <c r="FB6" s="63"/>
      <c r="FC6" s="34"/>
      <c r="FD6" s="64"/>
      <c r="FE6" s="4"/>
      <c r="FF6" s="65"/>
      <c r="FG6" s="4"/>
      <c r="FH6" s="4"/>
      <c r="FI6" s="4"/>
      <c r="FL6" s="34"/>
      <c r="FM6" s="34"/>
      <c r="FO6" s="34"/>
      <c r="FP6" s="72"/>
      <c r="FQ6" s="63"/>
      <c r="FR6" s="34"/>
      <c r="FS6" s="64"/>
      <c r="FT6" s="4"/>
      <c r="FU6" s="65"/>
      <c r="FV6" s="4"/>
      <c r="FW6" s="4"/>
      <c r="FX6" s="4"/>
      <c r="GA6" s="34"/>
      <c r="GB6" s="34"/>
      <c r="GD6" s="34"/>
      <c r="GE6" s="72"/>
      <c r="GF6" s="63"/>
      <c r="GG6" s="34"/>
      <c r="GH6" s="64"/>
      <c r="GI6" s="4"/>
      <c r="GJ6" s="65"/>
      <c r="GK6" s="4"/>
      <c r="GL6" s="4"/>
      <c r="GM6" s="4"/>
      <c r="GP6" s="34"/>
      <c r="GQ6" s="34"/>
      <c r="GS6" s="34"/>
      <c r="GT6" s="72"/>
      <c r="GU6" s="63"/>
      <c r="GV6" s="34"/>
      <c r="GW6" s="64"/>
      <c r="GX6" s="4"/>
      <c r="GY6" s="65"/>
      <c r="GZ6" s="4"/>
      <c r="HA6" s="4"/>
      <c r="HB6" s="4"/>
      <c r="HE6" s="34"/>
      <c r="HF6" s="34"/>
      <c r="HH6" s="34"/>
      <c r="HI6" s="72"/>
      <c r="HJ6" s="63"/>
      <c r="HK6" s="34"/>
      <c r="HL6" s="64"/>
      <c r="HM6" s="4"/>
      <c r="HN6" s="65"/>
      <c r="HO6" s="4"/>
      <c r="HP6" s="4"/>
      <c r="HQ6" s="4"/>
      <c r="HT6" s="34"/>
      <c r="HU6" s="34"/>
      <c r="HW6" s="34"/>
      <c r="HX6" s="72"/>
      <c r="HY6" s="63"/>
      <c r="HZ6" s="34"/>
      <c r="IA6" s="64"/>
      <c r="IB6" s="4"/>
      <c r="IC6" s="65"/>
      <c r="ID6" s="4"/>
      <c r="IE6" s="4"/>
      <c r="IF6" s="4"/>
      <c r="II6" s="34"/>
      <c r="IJ6" s="34"/>
      <c r="IL6" s="34"/>
      <c r="IM6" s="72"/>
      <c r="IN6" s="63"/>
      <c r="IO6" s="34"/>
      <c r="IP6" s="64"/>
      <c r="IQ6" s="4"/>
      <c r="IR6" s="65"/>
      <c r="IS6" s="4"/>
      <c r="IT6" s="4"/>
      <c r="IU6" s="4"/>
      <c r="IX6" s="34"/>
      <c r="IY6" s="34"/>
      <c r="JA6" s="34"/>
      <c r="JB6" s="72"/>
      <c r="JC6" s="63"/>
      <c r="JD6" s="34"/>
      <c r="JE6" s="64"/>
      <c r="JF6" s="4"/>
      <c r="JG6" s="65"/>
      <c r="JH6" s="4"/>
      <c r="JI6" s="4"/>
      <c r="JJ6" s="4"/>
      <c r="JM6" s="34"/>
      <c r="JN6" s="34"/>
      <c r="JP6" s="34"/>
      <c r="JQ6" s="72"/>
      <c r="JR6" s="63"/>
      <c r="JS6" s="34"/>
      <c r="JT6" s="64"/>
      <c r="JU6" s="4"/>
      <c r="JV6" s="65"/>
      <c r="JW6" s="4"/>
      <c r="JX6" s="4"/>
      <c r="JY6" s="4"/>
      <c r="KB6" s="34"/>
      <c r="KC6" s="34"/>
      <c r="KE6" s="34"/>
      <c r="KF6" s="72"/>
      <c r="KG6" s="63"/>
      <c r="KH6" s="34"/>
      <c r="KI6" s="64"/>
      <c r="KJ6" s="4"/>
      <c r="KK6" s="65"/>
      <c r="KL6" s="4"/>
      <c r="KM6" s="4"/>
      <c r="KN6" s="4"/>
      <c r="KQ6" s="34"/>
      <c r="KR6" s="34"/>
      <c r="KT6" s="34"/>
      <c r="KU6" s="72"/>
      <c r="KV6" s="63"/>
      <c r="KW6" s="34"/>
      <c r="KX6" s="64"/>
      <c r="KY6" s="4"/>
      <c r="KZ6" s="65"/>
      <c r="LA6" s="4"/>
      <c r="LB6" s="4"/>
      <c r="LC6" s="4"/>
      <c r="LF6" s="34"/>
      <c r="LG6" s="34"/>
      <c r="LI6" s="34"/>
      <c r="LJ6" s="72"/>
      <c r="LK6" s="63"/>
      <c r="LL6" s="34"/>
      <c r="LM6" s="64"/>
      <c r="LN6" s="4"/>
      <c r="LO6" s="65"/>
      <c r="LP6" s="4"/>
      <c r="LQ6" s="4"/>
      <c r="LR6" s="4"/>
      <c r="LU6" s="34"/>
      <c r="LV6" s="34"/>
      <c r="LX6" s="34"/>
      <c r="LY6" s="72"/>
      <c r="LZ6" s="63"/>
      <c r="MA6" s="34"/>
      <c r="MB6" s="64"/>
      <c r="MC6" s="4"/>
      <c r="MD6" s="65"/>
      <c r="ME6" s="4"/>
      <c r="MF6" s="4"/>
      <c r="MG6" s="4"/>
      <c r="MJ6" s="34"/>
      <c r="MK6" s="34"/>
      <c r="MM6" s="34"/>
      <c r="MN6" s="72"/>
      <c r="MO6" s="63"/>
      <c r="MP6" s="34"/>
      <c r="MQ6" s="64"/>
      <c r="MR6" s="4"/>
      <c r="MS6" s="65"/>
      <c r="MT6" s="4"/>
      <c r="MU6" s="4"/>
      <c r="MV6" s="4"/>
      <c r="MY6" s="34"/>
      <c r="MZ6" s="34"/>
      <c r="NB6" s="34"/>
      <c r="NC6" s="72"/>
      <c r="ND6" s="63"/>
      <c r="NE6" s="34"/>
      <c r="NF6" s="64"/>
      <c r="NG6" s="4"/>
      <c r="NH6" s="65"/>
      <c r="NI6" s="4"/>
      <c r="NJ6" s="4"/>
      <c r="NK6" s="4"/>
      <c r="NN6" s="34"/>
      <c r="NO6" s="34"/>
      <c r="NQ6" s="34"/>
      <c r="NR6" s="72"/>
      <c r="NS6" s="63"/>
      <c r="NT6" s="34"/>
      <c r="NU6" s="64"/>
      <c r="NV6" s="4"/>
      <c r="NW6" s="65"/>
      <c r="NX6" s="4"/>
      <c r="NY6" s="4"/>
      <c r="NZ6" s="4"/>
      <c r="OC6" s="34"/>
      <c r="OD6" s="34"/>
      <c r="OF6" s="34"/>
      <c r="OG6" s="72"/>
      <c r="OH6" s="63"/>
      <c r="OI6" s="34"/>
      <c r="OJ6" s="64"/>
      <c r="OK6" s="4"/>
      <c r="OL6" s="65"/>
      <c r="OM6" s="4"/>
      <c r="ON6" s="4"/>
      <c r="OO6" s="4"/>
      <c r="OR6" s="34"/>
      <c r="OS6" s="34"/>
      <c r="OU6" s="34"/>
      <c r="OV6" s="72"/>
      <c r="OW6" s="63"/>
      <c r="OX6" s="34"/>
      <c r="OY6" s="64"/>
      <c r="OZ6" s="4"/>
      <c r="PA6" s="65"/>
      <c r="PB6" s="4"/>
      <c r="PC6" s="4"/>
      <c r="PD6" s="4"/>
      <c r="PG6" s="34"/>
      <c r="PH6" s="34"/>
      <c r="PJ6" s="34"/>
      <c r="PK6" s="72"/>
      <c r="PL6" s="63"/>
      <c r="PM6" s="34"/>
      <c r="PN6" s="64"/>
      <c r="PO6" s="4"/>
      <c r="PP6" s="65"/>
      <c r="PQ6" s="4"/>
      <c r="PR6" s="4"/>
      <c r="PS6" s="4"/>
      <c r="PV6" s="34"/>
      <c r="PW6" s="34"/>
      <c r="PY6" s="34"/>
      <c r="PZ6" s="72"/>
      <c r="QA6" s="63"/>
      <c r="QB6" s="34"/>
      <c r="QC6" s="64"/>
      <c r="QD6" s="4"/>
      <c r="QE6" s="65"/>
      <c r="QF6" s="4"/>
      <c r="QG6" s="4"/>
      <c r="QH6" s="4"/>
      <c r="QK6" s="34"/>
      <c r="QL6" s="34"/>
      <c r="QN6" s="34"/>
      <c r="QO6" s="72"/>
      <c r="QP6" s="63"/>
      <c r="QQ6" s="34"/>
      <c r="QR6" s="64"/>
      <c r="QS6" s="4"/>
      <c r="QT6" s="65"/>
      <c r="QU6" s="4"/>
      <c r="QV6" s="4"/>
      <c r="QW6" s="4"/>
      <c r="QZ6" s="34"/>
      <c r="RA6" s="34"/>
      <c r="RC6" s="34"/>
      <c r="RD6" s="72"/>
      <c r="RE6" s="63"/>
      <c r="RF6" s="34"/>
      <c r="RG6" s="64"/>
      <c r="RH6" s="4"/>
      <c r="RI6" s="65"/>
      <c r="RJ6" s="4"/>
      <c r="RK6" s="4"/>
      <c r="RL6" s="4"/>
      <c r="RO6" s="34"/>
      <c r="RP6" s="34"/>
      <c r="RR6" s="34"/>
      <c r="RS6" s="72"/>
      <c r="RT6" s="63"/>
      <c r="RU6" s="34"/>
      <c r="RV6" s="64"/>
      <c r="RW6" s="4"/>
      <c r="RX6" s="65"/>
      <c r="RY6" s="4"/>
      <c r="RZ6" s="4"/>
      <c r="SA6" s="4"/>
      <c r="SD6" s="34"/>
      <c r="SE6" s="34"/>
      <c r="SG6" s="34"/>
      <c r="SH6" s="72"/>
      <c r="SI6" s="63"/>
      <c r="SJ6" s="34"/>
      <c r="SK6" s="64"/>
      <c r="SL6" s="4"/>
      <c r="SM6" s="65"/>
      <c r="SN6" s="4"/>
      <c r="SO6" s="4"/>
      <c r="SP6" s="4"/>
      <c r="SS6" s="34"/>
      <c r="ST6" s="34"/>
      <c r="SV6" s="34"/>
      <c r="SW6" s="72"/>
      <c r="SX6" s="63"/>
      <c r="SY6" s="34"/>
      <c r="SZ6" s="64"/>
      <c r="TA6" s="4"/>
      <c r="TB6" s="65"/>
      <c r="TC6" s="4"/>
      <c r="TD6" s="4"/>
      <c r="TE6" s="4"/>
      <c r="TH6" s="34"/>
      <c r="TI6" s="34"/>
      <c r="TK6" s="34"/>
      <c r="TL6" s="72"/>
      <c r="TM6" s="63"/>
      <c r="TN6" s="34"/>
      <c r="TO6" s="64"/>
      <c r="TP6" s="4"/>
      <c r="TQ6" s="65"/>
      <c r="TR6" s="4"/>
      <c r="TS6" s="4"/>
      <c r="TT6" s="4"/>
      <c r="TW6" s="34"/>
      <c r="TX6" s="34"/>
      <c r="TZ6" s="34"/>
      <c r="UA6" s="72"/>
      <c r="UB6" s="63"/>
      <c r="UC6" s="34"/>
      <c r="UD6" s="64"/>
      <c r="UE6" s="4"/>
      <c r="UF6" s="65"/>
      <c r="UG6" s="4"/>
      <c r="UH6" s="4"/>
      <c r="UI6" s="4"/>
      <c r="UL6" s="34"/>
      <c r="UM6" s="34"/>
      <c r="UO6" s="34"/>
      <c r="UP6" s="72"/>
      <c r="UQ6" s="63"/>
      <c r="UR6" s="34"/>
      <c r="US6" s="64"/>
      <c r="UT6" s="4"/>
      <c r="UU6" s="65"/>
      <c r="UV6" s="4"/>
      <c r="UW6" s="4"/>
      <c r="UX6" s="4"/>
      <c r="VA6" s="34"/>
      <c r="VB6" s="34"/>
      <c r="VD6" s="34"/>
      <c r="VE6" s="72"/>
      <c r="VF6" s="63"/>
      <c r="VG6" s="34"/>
      <c r="VH6" s="64"/>
      <c r="VI6" s="4"/>
      <c r="VJ6" s="65"/>
      <c r="VK6" s="4"/>
      <c r="VL6" s="4"/>
      <c r="VM6" s="4"/>
      <c r="VP6" s="34"/>
      <c r="VQ6" s="34"/>
      <c r="VS6" s="34"/>
      <c r="VT6" s="72"/>
      <c r="VU6" s="63"/>
      <c r="VV6" s="34"/>
      <c r="VW6" s="64"/>
      <c r="VX6" s="4"/>
      <c r="VY6" s="65"/>
      <c r="VZ6" s="4"/>
      <c r="WA6" s="4"/>
      <c r="WB6" s="4"/>
      <c r="WE6" s="34"/>
      <c r="WF6" s="34"/>
      <c r="WH6" s="34"/>
      <c r="WI6" s="72"/>
      <c r="WJ6" s="63"/>
      <c r="WK6" s="34"/>
      <c r="WL6" s="64"/>
      <c r="WM6" s="4"/>
      <c r="WN6" s="65"/>
      <c r="WO6" s="4"/>
      <c r="WP6" s="4"/>
      <c r="WQ6" s="4"/>
      <c r="WT6" s="34"/>
      <c r="WU6" s="34"/>
      <c r="WW6" s="34"/>
      <c r="WX6" s="72"/>
      <c r="WY6" s="63"/>
      <c r="WZ6" s="34"/>
      <c r="XA6" s="64"/>
      <c r="XB6" s="4"/>
      <c r="XC6" s="65"/>
      <c r="XD6" s="4"/>
      <c r="XE6" s="4"/>
      <c r="XF6" s="4"/>
      <c r="XI6" s="34"/>
      <c r="XJ6" s="34"/>
      <c r="XL6" s="34"/>
      <c r="XM6" s="72"/>
      <c r="XN6" s="63"/>
      <c r="XO6" s="34"/>
      <c r="XP6" s="64"/>
      <c r="XQ6" s="4"/>
      <c r="XR6" s="65"/>
      <c r="XS6" s="4"/>
      <c r="XT6" s="4"/>
      <c r="XU6" s="4"/>
      <c r="XX6" s="34"/>
      <c r="XY6" s="34"/>
      <c r="YA6" s="34"/>
      <c r="YB6" s="72"/>
      <c r="YC6" s="63"/>
      <c r="YD6" s="34"/>
      <c r="YE6" s="64"/>
      <c r="YF6" s="4"/>
      <c r="YG6" s="65"/>
      <c r="YH6" s="4"/>
      <c r="YI6" s="4"/>
      <c r="YJ6" s="4"/>
      <c r="YM6" s="34"/>
      <c r="YN6" s="34"/>
      <c r="YP6" s="34"/>
      <c r="YQ6" s="72"/>
      <c r="YR6" s="63"/>
      <c r="YS6" s="34"/>
      <c r="YT6" s="64"/>
      <c r="YU6" s="4"/>
      <c r="YV6" s="65"/>
      <c r="YW6" s="4"/>
      <c r="YX6" s="4"/>
      <c r="YY6" s="4"/>
      <c r="ZB6" s="34"/>
      <c r="ZC6" s="34"/>
      <c r="ZE6" s="34"/>
      <c r="ZF6" s="72"/>
      <c r="ZG6" s="63"/>
      <c r="ZH6" s="34"/>
      <c r="ZI6" s="64"/>
      <c r="ZJ6" s="4"/>
      <c r="ZK6" s="65"/>
      <c r="ZL6" s="4"/>
      <c r="ZM6" s="4"/>
      <c r="ZN6" s="4"/>
      <c r="ZQ6" s="34"/>
      <c r="ZR6" s="34"/>
      <c r="ZT6" s="34"/>
      <c r="ZU6" s="72"/>
      <c r="ZV6" s="63"/>
      <c r="ZW6" s="34"/>
      <c r="ZX6" s="64"/>
      <c r="ZY6" s="4"/>
      <c r="ZZ6" s="65"/>
      <c r="AAA6" s="4"/>
      <c r="AAB6" s="4"/>
      <c r="AAC6" s="4"/>
      <c r="AAF6" s="34"/>
      <c r="AAG6" s="34"/>
      <c r="AAI6" s="34"/>
      <c r="AAJ6" s="72"/>
      <c r="AAK6" s="63"/>
      <c r="AAL6" s="34"/>
      <c r="AAM6" s="64"/>
      <c r="AAN6" s="4"/>
      <c r="AAO6" s="65"/>
      <c r="AAP6" s="4"/>
      <c r="AAQ6" s="4"/>
      <c r="AAR6" s="4"/>
      <c r="AAU6" s="34"/>
      <c r="AAV6" s="34"/>
      <c r="AAX6" s="34"/>
      <c r="AAY6" s="72"/>
      <c r="AAZ6" s="63"/>
      <c r="ABA6" s="34"/>
      <c r="ABB6" s="64"/>
      <c r="ABC6" s="4"/>
      <c r="ABD6" s="65"/>
      <c r="ABE6" s="4"/>
      <c r="ABF6" s="4"/>
      <c r="ABG6" s="4"/>
      <c r="ABJ6" s="34"/>
      <c r="ABK6" s="34"/>
      <c r="ABM6" s="34"/>
      <c r="ABN6" s="72"/>
      <c r="ABO6" s="63"/>
      <c r="ABP6" s="34"/>
      <c r="ABQ6" s="64"/>
      <c r="ABR6" s="4"/>
      <c r="ABS6" s="65"/>
      <c r="ABT6" s="4"/>
      <c r="ABU6" s="4"/>
      <c r="ABV6" s="4"/>
      <c r="ABY6" s="34"/>
      <c r="ABZ6" s="34"/>
      <c r="ACB6" s="34"/>
      <c r="ACC6" s="72"/>
      <c r="ACD6" s="63"/>
      <c r="ACE6" s="34"/>
      <c r="ACF6" s="64"/>
      <c r="ACG6" s="4"/>
      <c r="ACH6" s="65"/>
      <c r="ACI6" s="4"/>
      <c r="ACJ6" s="4"/>
      <c r="ACK6" s="4"/>
      <c r="ACN6" s="34"/>
      <c r="ACO6" s="34"/>
      <c r="ACQ6" s="34"/>
      <c r="ACR6" s="72"/>
      <c r="ACS6" s="63"/>
      <c r="ACT6" s="34"/>
      <c r="ACU6" s="64"/>
      <c r="ACV6" s="4"/>
      <c r="ACW6" s="65"/>
      <c r="ACX6" s="4"/>
      <c r="ACY6" s="4"/>
      <c r="ACZ6" s="4"/>
      <c r="ADC6" s="34"/>
      <c r="ADD6" s="34"/>
      <c r="ADF6" s="34"/>
      <c r="ADG6" s="72"/>
      <c r="ADH6" s="63"/>
      <c r="ADI6" s="34"/>
      <c r="ADJ6" s="64"/>
      <c r="ADK6" s="4"/>
      <c r="ADL6" s="65"/>
      <c r="ADM6" s="4"/>
      <c r="ADN6" s="4"/>
      <c r="ADO6" s="4"/>
      <c r="ADR6" s="34"/>
      <c r="ADS6" s="34"/>
      <c r="ADU6" s="34"/>
      <c r="ADV6" s="72"/>
      <c r="ADW6" s="63"/>
      <c r="ADX6" s="34"/>
      <c r="ADY6" s="64"/>
      <c r="ADZ6" s="4"/>
      <c r="AEA6" s="65"/>
      <c r="AEB6" s="4"/>
      <c r="AEC6" s="4"/>
      <c r="AED6" s="4"/>
      <c r="AEG6" s="34"/>
      <c r="AEH6" s="34"/>
      <c r="AEJ6" s="34"/>
      <c r="AEK6" s="72"/>
      <c r="AEL6" s="63"/>
      <c r="AEM6" s="34"/>
      <c r="AEN6" s="64"/>
      <c r="AEO6" s="4"/>
      <c r="AEP6" s="65"/>
      <c r="AEQ6" s="4"/>
      <c r="AER6" s="4"/>
      <c r="AES6" s="4"/>
      <c r="AEV6" s="34"/>
      <c r="AEW6" s="34"/>
      <c r="AEY6" s="34"/>
      <c r="AEZ6" s="72"/>
      <c r="AFA6" s="63"/>
      <c r="AFB6" s="34"/>
      <c r="AFC6" s="64"/>
      <c r="AFD6" s="4"/>
      <c r="AFE6" s="65"/>
      <c r="AFF6" s="4"/>
      <c r="AFG6" s="4"/>
      <c r="AFH6" s="4"/>
      <c r="AFK6" s="34"/>
      <c r="AFL6" s="34"/>
      <c r="AFN6" s="34"/>
      <c r="AFO6" s="72"/>
      <c r="AFP6" s="63"/>
      <c r="AFQ6" s="34"/>
      <c r="AFR6" s="64"/>
      <c r="AFS6" s="4"/>
      <c r="AFT6" s="65"/>
      <c r="AFU6" s="4"/>
      <c r="AFV6" s="4"/>
      <c r="AFW6" s="4"/>
      <c r="AFZ6" s="34"/>
      <c r="AGA6" s="34"/>
      <c r="AGC6" s="34"/>
      <c r="AGD6" s="72"/>
      <c r="AGE6" s="63"/>
      <c r="AGF6" s="34"/>
      <c r="AGG6" s="64"/>
      <c r="AGH6" s="4"/>
      <c r="AGI6" s="65"/>
      <c r="AGJ6" s="4"/>
      <c r="AGK6" s="4"/>
      <c r="AGL6" s="4"/>
      <c r="AGO6" s="34"/>
      <c r="AGP6" s="34"/>
      <c r="AGR6" s="34"/>
      <c r="AGS6" s="72"/>
      <c r="AGT6" s="63"/>
      <c r="AGU6" s="34"/>
      <c r="AGV6" s="64"/>
      <c r="AGW6" s="4"/>
      <c r="AGX6" s="65"/>
      <c r="AGY6" s="4"/>
      <c r="AGZ6" s="4"/>
      <c r="AHA6" s="4"/>
      <c r="AHD6" s="34"/>
      <c r="AHE6" s="34"/>
      <c r="AHG6" s="34"/>
      <c r="AHH6" s="72"/>
      <c r="AHI6" s="63"/>
      <c r="AHJ6" s="34"/>
      <c r="AHK6" s="64"/>
      <c r="AHL6" s="4"/>
      <c r="AHM6" s="65"/>
      <c r="AHN6" s="4"/>
      <c r="AHO6" s="4"/>
      <c r="AHP6" s="4"/>
      <c r="AHS6" s="34"/>
      <c r="AHT6" s="34"/>
      <c r="AHV6" s="34"/>
      <c r="AHW6" s="72"/>
      <c r="AHX6" s="63"/>
      <c r="AHY6" s="34"/>
      <c r="AHZ6" s="64"/>
      <c r="AIA6" s="4"/>
      <c r="AIB6" s="65"/>
      <c r="AIC6" s="4"/>
      <c r="AID6" s="4"/>
      <c r="AIE6" s="4"/>
      <c r="AIH6" s="34"/>
      <c r="AII6" s="34"/>
      <c r="AIK6" s="34"/>
      <c r="AIL6" s="72"/>
      <c r="AIM6" s="63"/>
      <c r="AIN6" s="34"/>
      <c r="AIO6" s="64"/>
      <c r="AIP6" s="4"/>
      <c r="AIQ6" s="65"/>
      <c r="AIR6" s="4"/>
      <c r="AIS6" s="4"/>
      <c r="AIT6" s="4"/>
      <c r="AIW6" s="34"/>
      <c r="AIX6" s="34"/>
      <c r="AIZ6" s="34"/>
      <c r="AJA6" s="72"/>
      <c r="AJB6" s="63"/>
      <c r="AJC6" s="34"/>
      <c r="AJD6" s="64"/>
      <c r="AJE6" s="4"/>
      <c r="AJF6" s="65"/>
      <c r="AJG6" s="4"/>
      <c r="AJH6" s="4"/>
      <c r="AJI6" s="4"/>
      <c r="AJL6" s="34"/>
      <c r="AJM6" s="34"/>
      <c r="AJO6" s="34"/>
      <c r="AJP6" s="72"/>
      <c r="AJQ6" s="63"/>
      <c r="AJR6" s="34"/>
      <c r="AJS6" s="64"/>
      <c r="AJT6" s="4"/>
      <c r="AJU6" s="65"/>
      <c r="AJV6" s="4"/>
      <c r="AJW6" s="4"/>
      <c r="AJX6" s="4"/>
      <c r="AKA6" s="34"/>
      <c r="AKB6" s="34"/>
      <c r="AKD6" s="34"/>
      <c r="AKE6" s="72"/>
      <c r="AKF6" s="63"/>
      <c r="AKG6" s="34"/>
      <c r="AKH6" s="64"/>
      <c r="AKI6" s="4"/>
      <c r="AKJ6" s="65"/>
      <c r="AKK6" s="4"/>
      <c r="AKL6" s="4"/>
      <c r="AKM6" s="4"/>
      <c r="AKP6" s="34"/>
      <c r="AKQ6" s="34"/>
      <c r="AKS6" s="34"/>
      <c r="AKT6" s="72"/>
      <c r="AKU6" s="63"/>
      <c r="AKV6" s="34"/>
      <c r="AKW6" s="64"/>
      <c r="AKX6" s="4"/>
      <c r="AKY6" s="65"/>
      <c r="AKZ6" s="4"/>
      <c r="ALA6" s="4"/>
      <c r="ALB6" s="4"/>
      <c r="ALE6" s="34"/>
      <c r="ALF6" s="34"/>
      <c r="ALH6" s="34"/>
      <c r="ALI6" s="72"/>
      <c r="ALJ6" s="63"/>
      <c r="ALK6" s="34"/>
      <c r="ALL6" s="64"/>
      <c r="ALM6" s="4"/>
      <c r="ALN6" s="65"/>
      <c r="ALO6" s="4"/>
      <c r="ALP6" s="4"/>
      <c r="ALQ6" s="4"/>
      <c r="ALT6" s="34"/>
      <c r="ALU6" s="34"/>
      <c r="ALW6" s="34"/>
      <c r="ALX6" s="72"/>
      <c r="ALY6" s="63"/>
      <c r="ALZ6" s="34"/>
      <c r="AMA6" s="64"/>
      <c r="AMB6" s="4"/>
      <c r="AMC6" s="65"/>
      <c r="AMD6" s="4"/>
      <c r="AME6" s="4"/>
      <c r="AMF6" s="4"/>
      <c r="AMI6" s="34"/>
      <c r="AMJ6" s="34"/>
      <c r="AML6" s="34"/>
      <c r="AMM6" s="72"/>
      <c r="AMN6" s="63"/>
      <c r="AMO6" s="34"/>
      <c r="AMP6" s="64"/>
      <c r="AMQ6" s="4"/>
      <c r="AMR6" s="65"/>
      <c r="AMS6" s="4"/>
      <c r="AMT6" s="4"/>
      <c r="AMU6" s="4"/>
      <c r="AMX6" s="34"/>
      <c r="AMY6" s="34"/>
      <c r="ANA6" s="34"/>
      <c r="ANB6" s="72"/>
      <c r="ANC6" s="63"/>
      <c r="AND6" s="34"/>
      <c r="ANE6" s="64"/>
      <c r="ANF6" s="4"/>
      <c r="ANG6" s="65"/>
      <c r="ANH6" s="4"/>
      <c r="ANI6" s="4"/>
      <c r="ANJ6" s="4"/>
      <c r="ANM6" s="34"/>
      <c r="ANN6" s="34"/>
      <c r="ANP6" s="34"/>
      <c r="ANQ6" s="72"/>
      <c r="ANR6" s="63"/>
      <c r="ANS6" s="34"/>
      <c r="ANT6" s="64"/>
      <c r="ANU6" s="4"/>
      <c r="ANV6" s="65"/>
      <c r="ANW6" s="4"/>
      <c r="ANX6" s="4"/>
      <c r="ANY6" s="4"/>
      <c r="AOB6" s="34"/>
      <c r="AOC6" s="34"/>
      <c r="AOE6" s="34"/>
      <c r="AOF6" s="72"/>
      <c r="AOG6" s="63"/>
      <c r="AOH6" s="34"/>
      <c r="AOI6" s="64"/>
      <c r="AOJ6" s="4"/>
      <c r="AOK6" s="65"/>
      <c r="AOL6" s="4"/>
      <c r="AOM6" s="4"/>
      <c r="AON6" s="4"/>
      <c r="AOQ6" s="34"/>
      <c r="AOR6" s="34"/>
      <c r="AOT6" s="34"/>
      <c r="AOU6" s="72"/>
      <c r="AOV6" s="63"/>
      <c r="AOW6" s="34"/>
      <c r="AOX6" s="64"/>
      <c r="AOY6" s="4"/>
      <c r="AOZ6" s="65"/>
      <c r="APA6" s="4"/>
      <c r="APB6" s="4"/>
      <c r="APC6" s="4"/>
      <c r="APF6" s="34"/>
      <c r="APG6" s="34"/>
      <c r="API6" s="34"/>
      <c r="APJ6" s="72"/>
      <c r="APK6" s="63"/>
      <c r="APL6" s="34"/>
      <c r="APM6" s="64"/>
      <c r="APN6" s="4"/>
      <c r="APO6" s="65"/>
      <c r="APP6" s="4"/>
      <c r="APQ6" s="4"/>
      <c r="APR6" s="4"/>
      <c r="APU6" s="34"/>
      <c r="APV6" s="34"/>
      <c r="APX6" s="34"/>
      <c r="APY6" s="72"/>
      <c r="APZ6" s="63"/>
      <c r="AQA6" s="34"/>
      <c r="AQB6" s="64"/>
      <c r="AQC6" s="4"/>
      <c r="AQD6" s="65"/>
      <c r="AQE6" s="4"/>
      <c r="AQF6" s="4"/>
      <c r="AQG6" s="4"/>
      <c r="AQJ6" s="34"/>
      <c r="AQK6" s="34"/>
      <c r="AQM6" s="34"/>
      <c r="AQN6" s="72"/>
      <c r="AQO6" s="63"/>
      <c r="AQP6" s="34"/>
      <c r="AQQ6" s="64"/>
      <c r="AQR6" s="4"/>
      <c r="AQS6" s="65"/>
      <c r="AQT6" s="4"/>
      <c r="AQU6" s="4"/>
      <c r="AQV6" s="4"/>
      <c r="AQY6" s="34"/>
      <c r="AQZ6" s="34"/>
      <c r="ARB6" s="34"/>
      <c r="ARC6" s="72"/>
      <c r="ARD6" s="63"/>
      <c r="ARE6" s="34"/>
      <c r="ARF6" s="64"/>
      <c r="ARG6" s="4"/>
      <c r="ARH6" s="65"/>
      <c r="ARI6" s="4"/>
      <c r="ARJ6" s="4"/>
      <c r="ARK6" s="4"/>
      <c r="ARN6" s="34"/>
      <c r="ARO6" s="34"/>
      <c r="ARQ6" s="34"/>
      <c r="ARR6" s="72"/>
      <c r="ARS6" s="63"/>
      <c r="ART6" s="34"/>
      <c r="ARU6" s="64"/>
      <c r="ARV6" s="4"/>
      <c r="ARW6" s="65"/>
      <c r="ARX6" s="4"/>
      <c r="ARY6" s="4"/>
      <c r="ARZ6" s="4"/>
      <c r="ASC6" s="34"/>
      <c r="ASD6" s="34"/>
      <c r="ASF6" s="34"/>
      <c r="ASG6" s="72"/>
      <c r="ASH6" s="63"/>
      <c r="ASI6" s="34"/>
      <c r="ASJ6" s="64"/>
      <c r="ASK6" s="4"/>
      <c r="ASL6" s="65"/>
      <c r="ASM6" s="4"/>
      <c r="ASN6" s="4"/>
      <c r="ASO6" s="4"/>
      <c r="ASR6" s="34"/>
      <c r="ASS6" s="34"/>
      <c r="ASU6" s="34"/>
      <c r="ASV6" s="72"/>
      <c r="ASW6" s="63"/>
      <c r="ASX6" s="34"/>
      <c r="ASY6" s="64"/>
      <c r="ASZ6" s="4"/>
      <c r="ATA6" s="65"/>
      <c r="ATB6" s="4"/>
      <c r="ATC6" s="4"/>
      <c r="ATD6" s="4"/>
      <c r="ATG6" s="34"/>
      <c r="ATH6" s="34"/>
      <c r="ATJ6" s="34"/>
      <c r="ATK6" s="72"/>
      <c r="ATL6" s="63"/>
      <c r="ATM6" s="34"/>
      <c r="ATN6" s="64"/>
      <c r="ATO6" s="4"/>
      <c r="ATP6" s="65"/>
      <c r="ATQ6" s="4"/>
      <c r="ATR6" s="4"/>
      <c r="ATS6" s="4"/>
      <c r="ATV6" s="34"/>
      <c r="ATW6" s="34"/>
      <c r="ATY6" s="34"/>
      <c r="ATZ6" s="72"/>
      <c r="AUA6" s="63"/>
      <c r="AUB6" s="34"/>
      <c r="AUC6" s="64"/>
      <c r="AUD6" s="4"/>
      <c r="AUE6" s="65"/>
      <c r="AUF6" s="4"/>
      <c r="AUG6" s="4"/>
      <c r="AUH6" s="4"/>
      <c r="AUK6" s="34"/>
      <c r="AUL6" s="34"/>
      <c r="AUN6" s="34"/>
      <c r="AUO6" s="72"/>
      <c r="AUP6" s="63"/>
      <c r="AUQ6" s="34"/>
      <c r="AUR6" s="64"/>
      <c r="AUS6" s="4"/>
      <c r="AUT6" s="65"/>
      <c r="AUU6" s="4"/>
      <c r="AUV6" s="4"/>
      <c r="AUW6" s="4"/>
      <c r="AUZ6" s="34"/>
      <c r="AVA6" s="34"/>
      <c r="AVC6" s="34"/>
      <c r="AVD6" s="72"/>
      <c r="AVE6" s="63"/>
      <c r="AVF6" s="34"/>
      <c r="AVG6" s="64"/>
      <c r="AVH6" s="4"/>
      <c r="AVI6" s="65"/>
      <c r="AVJ6" s="4"/>
      <c r="AVK6" s="4"/>
      <c r="AVL6" s="4"/>
      <c r="AVO6" s="34"/>
      <c r="AVP6" s="34"/>
      <c r="AVR6" s="34"/>
      <c r="AVS6" s="72"/>
      <c r="AVT6" s="63"/>
      <c r="AVU6" s="34"/>
      <c r="AVV6" s="64"/>
      <c r="AVW6" s="4"/>
      <c r="AVX6" s="65"/>
      <c r="AVY6" s="4"/>
      <c r="AVZ6" s="4"/>
      <c r="AWA6" s="4"/>
      <c r="AWD6" s="34"/>
      <c r="AWE6" s="34"/>
      <c r="AWG6" s="34"/>
      <c r="AWH6" s="72"/>
      <c r="AWI6" s="63"/>
      <c r="AWJ6" s="34"/>
      <c r="AWK6" s="64"/>
      <c r="AWL6" s="4"/>
      <c r="AWM6" s="65"/>
      <c r="AWN6" s="4"/>
      <c r="AWO6" s="4"/>
      <c r="AWP6" s="4"/>
      <c r="AWS6" s="34"/>
      <c r="AWT6" s="34"/>
      <c r="AWV6" s="34"/>
      <c r="AWW6" s="72"/>
      <c r="AWX6" s="63"/>
      <c r="AWY6" s="34"/>
      <c r="AWZ6" s="64"/>
      <c r="AXA6" s="4"/>
      <c r="AXB6" s="65"/>
      <c r="AXC6" s="4"/>
      <c r="AXD6" s="4"/>
      <c r="AXE6" s="4"/>
      <c r="AXH6" s="34"/>
      <c r="AXI6" s="34"/>
      <c r="AXK6" s="34"/>
      <c r="AXL6" s="72"/>
      <c r="AXM6" s="63"/>
      <c r="AXN6" s="34"/>
      <c r="AXO6" s="64"/>
      <c r="AXP6" s="4"/>
      <c r="AXQ6" s="65"/>
      <c r="AXR6" s="4"/>
      <c r="AXS6" s="4"/>
      <c r="AXT6" s="4"/>
      <c r="AXW6" s="34"/>
      <c r="AXX6" s="34"/>
      <c r="AXZ6" s="34"/>
      <c r="AYA6" s="72"/>
      <c r="AYB6" s="63"/>
      <c r="AYC6" s="34"/>
      <c r="AYD6" s="64"/>
      <c r="AYE6" s="4"/>
      <c r="AYF6" s="65"/>
      <c r="AYG6" s="4"/>
      <c r="AYH6" s="4"/>
      <c r="AYI6" s="4"/>
      <c r="AYL6" s="34"/>
      <c r="AYM6" s="34"/>
      <c r="AYO6" s="34"/>
      <c r="AYP6" s="72"/>
      <c r="AYQ6" s="63"/>
      <c r="AYR6" s="34"/>
      <c r="AYS6" s="64"/>
      <c r="AYT6" s="4"/>
      <c r="AYU6" s="65"/>
      <c r="AYV6" s="4"/>
      <c r="AYW6" s="4"/>
      <c r="AYX6" s="4"/>
      <c r="AZA6" s="34"/>
      <c r="AZB6" s="34"/>
      <c r="AZD6" s="34"/>
      <c r="AZE6" s="72"/>
      <c r="AZF6" s="63"/>
      <c r="AZG6" s="34"/>
      <c r="AZH6" s="64"/>
      <c r="AZI6" s="4"/>
      <c r="AZJ6" s="65"/>
      <c r="AZK6" s="4"/>
      <c r="AZL6" s="4"/>
      <c r="AZM6" s="4"/>
      <c r="AZP6" s="34"/>
      <c r="AZQ6" s="34"/>
      <c r="AZS6" s="34"/>
      <c r="AZT6" s="72"/>
      <c r="AZU6" s="63"/>
      <c r="AZV6" s="34"/>
      <c r="AZW6" s="64"/>
      <c r="AZX6" s="4"/>
      <c r="AZY6" s="65"/>
      <c r="AZZ6" s="4"/>
      <c r="BAA6" s="4"/>
      <c r="BAB6" s="4"/>
      <c r="BAE6" s="34"/>
      <c r="BAF6" s="34"/>
      <c r="BAH6" s="34"/>
      <c r="BAI6" s="72"/>
      <c r="BAJ6" s="63"/>
      <c r="BAK6" s="34"/>
      <c r="BAL6" s="64"/>
      <c r="BAM6" s="4"/>
      <c r="BAN6" s="65"/>
      <c r="BAO6" s="4"/>
      <c r="BAP6" s="4"/>
      <c r="BAQ6" s="4"/>
      <c r="BAT6" s="34"/>
      <c r="BAU6" s="34"/>
      <c r="BAW6" s="34"/>
      <c r="BAX6" s="72"/>
      <c r="BAY6" s="63"/>
      <c r="BAZ6" s="34"/>
      <c r="BBA6" s="64"/>
      <c r="BBB6" s="4"/>
      <c r="BBC6" s="65"/>
      <c r="BBD6" s="4"/>
      <c r="BBE6" s="4"/>
      <c r="BBF6" s="4"/>
      <c r="BBI6" s="34"/>
      <c r="BBJ6" s="34"/>
      <c r="BBL6" s="34"/>
      <c r="BBM6" s="72"/>
      <c r="BBN6" s="63"/>
      <c r="BBO6" s="34"/>
      <c r="BBP6" s="64"/>
      <c r="BBQ6" s="4"/>
      <c r="BBR6" s="65"/>
      <c r="BBS6" s="4"/>
      <c r="BBT6" s="4"/>
      <c r="BBU6" s="4"/>
      <c r="BBX6" s="34"/>
      <c r="BBY6" s="34"/>
      <c r="BCA6" s="34"/>
      <c r="BCB6" s="72"/>
      <c r="BCC6" s="63"/>
      <c r="BCD6" s="34"/>
      <c r="BCE6" s="64"/>
      <c r="BCF6" s="4"/>
      <c r="BCG6" s="65"/>
      <c r="BCH6" s="4"/>
      <c r="BCI6" s="4"/>
      <c r="BCJ6" s="4"/>
      <c r="BCM6" s="34"/>
      <c r="BCN6" s="34"/>
      <c r="BCP6" s="34"/>
      <c r="BCQ6" s="72"/>
      <c r="BCR6" s="63"/>
      <c r="BCS6" s="34"/>
      <c r="BCT6" s="64"/>
      <c r="BCU6" s="4"/>
      <c r="BCV6" s="65"/>
      <c r="BCW6" s="4"/>
      <c r="BCX6" s="4"/>
      <c r="BCY6" s="4"/>
      <c r="BDB6" s="34"/>
      <c r="BDC6" s="34"/>
      <c r="BDE6" s="34"/>
      <c r="BDF6" s="72"/>
      <c r="BDG6" s="63"/>
      <c r="BDH6" s="34"/>
      <c r="BDI6" s="64"/>
      <c r="BDJ6" s="4"/>
      <c r="BDK6" s="65"/>
      <c r="BDL6" s="4"/>
      <c r="BDM6" s="4"/>
      <c r="BDN6" s="4"/>
      <c r="BDQ6" s="34"/>
      <c r="BDR6" s="34"/>
      <c r="BDT6" s="34"/>
      <c r="BDU6" s="72"/>
      <c r="BDV6" s="63"/>
      <c r="BDW6" s="34"/>
      <c r="BDX6" s="64"/>
      <c r="BDY6" s="4"/>
      <c r="BDZ6" s="65"/>
      <c r="BEA6" s="4"/>
      <c r="BEB6" s="4"/>
      <c r="BEC6" s="4"/>
      <c r="BEF6" s="34"/>
      <c r="BEG6" s="34"/>
      <c r="BEI6" s="34"/>
      <c r="BEJ6" s="72"/>
      <c r="BEK6" s="63"/>
      <c r="BEL6" s="34"/>
      <c r="BEM6" s="64"/>
      <c r="BEN6" s="4"/>
      <c r="BEO6" s="65"/>
      <c r="BEP6" s="4"/>
      <c r="BEQ6" s="4"/>
      <c r="BER6" s="4"/>
      <c r="BEU6" s="34"/>
      <c r="BEV6" s="34"/>
      <c r="BEX6" s="34"/>
      <c r="BEY6" s="72"/>
      <c r="BEZ6" s="63"/>
      <c r="BFA6" s="34"/>
      <c r="BFB6" s="64"/>
      <c r="BFC6" s="4"/>
      <c r="BFD6" s="65"/>
      <c r="BFE6" s="4"/>
      <c r="BFF6" s="4"/>
      <c r="BFG6" s="4"/>
      <c r="BFJ6" s="34"/>
      <c r="BFK6" s="34"/>
      <c r="BFM6" s="34"/>
      <c r="BFN6" s="72"/>
      <c r="BFO6" s="63"/>
      <c r="BFP6" s="34"/>
      <c r="BFQ6" s="64"/>
      <c r="BFR6" s="4"/>
      <c r="BFS6" s="65"/>
      <c r="BFT6" s="4"/>
      <c r="BFU6" s="4"/>
      <c r="BFV6" s="4"/>
      <c r="BFY6" s="34"/>
      <c r="BFZ6" s="34"/>
      <c r="BGB6" s="34"/>
      <c r="BGC6" s="72"/>
      <c r="BGD6" s="63"/>
      <c r="BGE6" s="34"/>
      <c r="BGF6" s="64"/>
      <c r="BGG6" s="4"/>
      <c r="BGH6" s="65"/>
      <c r="BGI6" s="4"/>
      <c r="BGJ6" s="4"/>
      <c r="BGK6" s="4"/>
      <c r="BGN6" s="34"/>
      <c r="BGO6" s="34"/>
      <c r="BGQ6" s="34"/>
      <c r="BGR6" s="72"/>
      <c r="BGS6" s="63"/>
      <c r="BGT6" s="34"/>
      <c r="BGU6" s="64"/>
      <c r="BGV6" s="4"/>
      <c r="BGW6" s="65"/>
      <c r="BGX6" s="4"/>
      <c r="BGY6" s="4"/>
      <c r="BGZ6" s="4"/>
      <c r="BHC6" s="34"/>
      <c r="BHD6" s="34"/>
      <c r="BHF6" s="34"/>
      <c r="BHG6" s="72"/>
      <c r="BHH6" s="63"/>
      <c r="BHI6" s="34"/>
      <c r="BHJ6" s="64"/>
      <c r="BHK6" s="4"/>
      <c r="BHL6" s="65"/>
      <c r="BHM6" s="4"/>
      <c r="BHN6" s="4"/>
      <c r="BHO6" s="4"/>
      <c r="BHR6" s="34"/>
      <c r="BHS6" s="34"/>
      <c r="BHU6" s="34"/>
      <c r="BHV6" s="72"/>
      <c r="BHW6" s="63"/>
      <c r="BHX6" s="34"/>
      <c r="BHY6" s="64"/>
      <c r="BHZ6" s="4"/>
      <c r="BIA6" s="65"/>
      <c r="BIB6" s="4"/>
      <c r="BIC6" s="4"/>
      <c r="BID6" s="4"/>
      <c r="BIG6" s="34"/>
      <c r="BIH6" s="34"/>
      <c r="BIJ6" s="34"/>
      <c r="BIK6" s="72"/>
      <c r="BIL6" s="63"/>
      <c r="BIM6" s="34"/>
      <c r="BIN6" s="64"/>
      <c r="BIO6" s="4"/>
      <c r="BIP6" s="65"/>
      <c r="BIQ6" s="4"/>
      <c r="BIR6" s="4"/>
      <c r="BIS6" s="4"/>
      <c r="BIV6" s="34"/>
      <c r="BIW6" s="34"/>
      <c r="BIY6" s="34"/>
      <c r="BIZ6" s="72"/>
      <c r="BJA6" s="63"/>
      <c r="BJB6" s="34"/>
      <c r="BJC6" s="64"/>
      <c r="BJD6" s="4"/>
      <c r="BJE6" s="65"/>
      <c r="BJF6" s="4"/>
      <c r="BJG6" s="4"/>
      <c r="BJH6" s="4"/>
      <c r="BJK6" s="34"/>
      <c r="BJL6" s="34"/>
      <c r="BJN6" s="34"/>
      <c r="BJO6" s="72"/>
      <c r="BJP6" s="63"/>
      <c r="BJQ6" s="34"/>
      <c r="BJR6" s="64"/>
      <c r="BJS6" s="4"/>
      <c r="BJT6" s="65"/>
      <c r="BJU6" s="4"/>
      <c r="BJV6" s="4"/>
      <c r="BJW6" s="4"/>
      <c r="BJZ6" s="34"/>
      <c r="BKA6" s="34"/>
      <c r="BKC6" s="34"/>
      <c r="BKD6" s="72"/>
      <c r="BKE6" s="63"/>
      <c r="BKF6" s="34"/>
      <c r="BKG6" s="64"/>
      <c r="BKH6" s="4"/>
      <c r="BKI6" s="65"/>
      <c r="BKJ6" s="4"/>
      <c r="BKK6" s="4"/>
      <c r="BKL6" s="4"/>
      <c r="BKO6" s="34"/>
      <c r="BKP6" s="34"/>
      <c r="BKR6" s="34"/>
      <c r="BKS6" s="72"/>
      <c r="BKT6" s="63"/>
      <c r="BKU6" s="34"/>
      <c r="BKV6" s="64"/>
      <c r="BKW6" s="4"/>
      <c r="BKX6" s="65"/>
      <c r="BKY6" s="4"/>
      <c r="BKZ6" s="4"/>
      <c r="BLA6" s="4"/>
      <c r="BLD6" s="34"/>
      <c r="BLE6" s="34"/>
      <c r="BLG6" s="34"/>
      <c r="BLH6" s="72"/>
      <c r="BLI6" s="63"/>
      <c r="BLJ6" s="34"/>
      <c r="BLK6" s="64"/>
      <c r="BLL6" s="4"/>
      <c r="BLM6" s="65"/>
      <c r="BLN6" s="4"/>
      <c r="BLO6" s="4"/>
      <c r="BLP6" s="4"/>
      <c r="BLS6" s="34"/>
      <c r="BLT6" s="34"/>
      <c r="BLV6" s="34"/>
      <c r="BLW6" s="72"/>
      <c r="BLX6" s="63"/>
      <c r="BLY6" s="34"/>
      <c r="BLZ6" s="64"/>
      <c r="BMA6" s="4"/>
      <c r="BMB6" s="65"/>
      <c r="BMC6" s="4"/>
      <c r="BMD6" s="4"/>
      <c r="BME6" s="4"/>
      <c r="BMH6" s="34"/>
      <c r="BMI6" s="34"/>
      <c r="BMK6" s="34"/>
      <c r="BML6" s="72"/>
      <c r="BMM6" s="63"/>
      <c r="BMN6" s="34"/>
      <c r="BMO6" s="64"/>
      <c r="BMP6" s="4"/>
      <c r="BMQ6" s="65"/>
      <c r="BMR6" s="4"/>
      <c r="BMS6" s="4"/>
      <c r="BMT6" s="4"/>
      <c r="BMW6" s="34"/>
      <c r="BMX6" s="34"/>
      <c r="BMZ6" s="34"/>
      <c r="BNA6" s="72"/>
      <c r="BNB6" s="63"/>
      <c r="BNC6" s="34"/>
      <c r="BND6" s="64"/>
      <c r="BNE6" s="4"/>
      <c r="BNF6" s="65"/>
      <c r="BNG6" s="4"/>
      <c r="BNH6" s="4"/>
      <c r="BNI6" s="4"/>
      <c r="BNL6" s="34"/>
      <c r="BNM6" s="34"/>
      <c r="BNO6" s="34"/>
      <c r="BNP6" s="72"/>
      <c r="BNQ6" s="63"/>
      <c r="BNR6" s="34"/>
      <c r="BNS6" s="64"/>
      <c r="BNT6" s="4"/>
      <c r="BNU6" s="65"/>
      <c r="BNV6" s="4"/>
      <c r="BNW6" s="4"/>
      <c r="BNX6" s="4"/>
      <c r="BOA6" s="34"/>
      <c r="BOB6" s="34"/>
      <c r="BOD6" s="34"/>
      <c r="BOE6" s="72"/>
      <c r="BOF6" s="63"/>
      <c r="BOG6" s="34"/>
      <c r="BOH6" s="64"/>
      <c r="BOI6" s="4"/>
      <c r="BOJ6" s="65"/>
      <c r="BOK6" s="4"/>
      <c r="BOL6" s="4"/>
      <c r="BOM6" s="4"/>
      <c r="BOP6" s="34"/>
      <c r="BOQ6" s="34"/>
      <c r="BOS6" s="34"/>
      <c r="BOT6" s="72"/>
      <c r="BOU6" s="63"/>
      <c r="BOV6" s="34"/>
      <c r="BOW6" s="64"/>
      <c r="BOX6" s="4"/>
      <c r="BOY6" s="65"/>
      <c r="BOZ6" s="4"/>
      <c r="BPA6" s="4"/>
      <c r="BPB6" s="4"/>
      <c r="BPE6" s="34"/>
      <c r="BPF6" s="34"/>
      <c r="BPH6" s="34"/>
      <c r="BPI6" s="72"/>
      <c r="BPJ6" s="63"/>
      <c r="BPK6" s="34"/>
      <c r="BPL6" s="64"/>
      <c r="BPM6" s="4"/>
      <c r="BPN6" s="65"/>
      <c r="BPO6" s="4"/>
      <c r="BPP6" s="4"/>
      <c r="BPQ6" s="4"/>
      <c r="BPT6" s="34"/>
      <c r="BPU6" s="34"/>
      <c r="BPW6" s="34"/>
      <c r="BPX6" s="72"/>
      <c r="BPY6" s="63"/>
      <c r="BPZ6" s="34"/>
      <c r="BQA6" s="64"/>
      <c r="BQB6" s="4"/>
      <c r="BQC6" s="65"/>
      <c r="BQD6" s="4"/>
      <c r="BQE6" s="4"/>
      <c r="BQF6" s="4"/>
      <c r="BQI6" s="34"/>
      <c r="BQJ6" s="34"/>
      <c r="BQL6" s="34"/>
      <c r="BQM6" s="72"/>
      <c r="BQN6" s="63"/>
      <c r="BQO6" s="34"/>
      <c r="BQP6" s="64"/>
      <c r="BQQ6" s="4"/>
      <c r="BQR6" s="65"/>
      <c r="BQS6" s="4"/>
      <c r="BQT6" s="4"/>
      <c r="BQU6" s="4"/>
      <c r="BQX6" s="34"/>
      <c r="BQY6" s="34"/>
      <c r="BRA6" s="34"/>
      <c r="BRB6" s="72"/>
      <c r="BRC6" s="63"/>
      <c r="BRD6" s="34"/>
      <c r="BRE6" s="64"/>
      <c r="BRF6" s="4"/>
      <c r="BRG6" s="65"/>
      <c r="BRH6" s="4"/>
      <c r="BRI6" s="4"/>
      <c r="BRJ6" s="4"/>
      <c r="BRM6" s="34"/>
      <c r="BRN6" s="34"/>
      <c r="BRP6" s="34"/>
      <c r="BRQ6" s="72"/>
      <c r="BRR6" s="63"/>
      <c r="BRS6" s="34"/>
      <c r="BRT6" s="64"/>
      <c r="BRU6" s="4"/>
      <c r="BRV6" s="65"/>
      <c r="BRW6" s="4"/>
      <c r="BRX6" s="4"/>
      <c r="BRY6" s="4"/>
      <c r="BSB6" s="34"/>
      <c r="BSC6" s="34"/>
      <c r="BSE6" s="34"/>
      <c r="BSF6" s="72"/>
      <c r="BSG6" s="63"/>
      <c r="BSH6" s="34"/>
      <c r="BSI6" s="64"/>
      <c r="BSJ6" s="4"/>
      <c r="BSK6" s="65"/>
      <c r="BSL6" s="4"/>
      <c r="BSM6" s="4"/>
      <c r="BSN6" s="4"/>
      <c r="BSQ6" s="34"/>
      <c r="BSR6" s="34"/>
      <c r="BST6" s="34"/>
      <c r="BSU6" s="72"/>
      <c r="BSV6" s="63"/>
      <c r="BSW6" s="34"/>
      <c r="BSX6" s="64"/>
      <c r="BSY6" s="4"/>
      <c r="BSZ6" s="65"/>
      <c r="BTA6" s="4"/>
      <c r="BTB6" s="4"/>
      <c r="BTC6" s="4"/>
      <c r="BTF6" s="34"/>
      <c r="BTG6" s="34"/>
      <c r="BTI6" s="34"/>
      <c r="BTJ6" s="72"/>
      <c r="BTK6" s="63"/>
      <c r="BTL6" s="34"/>
      <c r="BTM6" s="64"/>
      <c r="BTN6" s="4"/>
      <c r="BTO6" s="65"/>
      <c r="BTP6" s="4"/>
      <c r="BTQ6" s="4"/>
      <c r="BTR6" s="4"/>
      <c r="BTU6" s="34"/>
      <c r="BTV6" s="34"/>
      <c r="BTX6" s="34"/>
      <c r="BTY6" s="72"/>
      <c r="BTZ6" s="63"/>
      <c r="BUA6" s="34"/>
      <c r="BUB6" s="64"/>
      <c r="BUC6" s="4"/>
      <c r="BUD6" s="65"/>
      <c r="BUE6" s="4"/>
      <c r="BUF6" s="4"/>
      <c r="BUG6" s="4"/>
      <c r="BUJ6" s="34"/>
      <c r="BUK6" s="34"/>
      <c r="BUM6" s="34"/>
      <c r="BUN6" s="72"/>
      <c r="BUO6" s="63"/>
      <c r="BUP6" s="34"/>
      <c r="BUQ6" s="64"/>
      <c r="BUR6" s="4"/>
      <c r="BUS6" s="65"/>
      <c r="BUT6" s="4"/>
      <c r="BUU6" s="4"/>
      <c r="BUV6" s="4"/>
      <c r="BUY6" s="34"/>
      <c r="BUZ6" s="34"/>
      <c r="BVB6" s="34"/>
      <c r="BVC6" s="72"/>
      <c r="BVD6" s="63"/>
      <c r="BVE6" s="34"/>
      <c r="BVF6" s="64"/>
      <c r="BVG6" s="4"/>
      <c r="BVH6" s="65"/>
      <c r="BVI6" s="4"/>
      <c r="BVJ6" s="4"/>
      <c r="BVK6" s="4"/>
      <c r="BVN6" s="34"/>
      <c r="BVO6" s="34"/>
      <c r="BVQ6" s="34"/>
      <c r="BVR6" s="72"/>
      <c r="BVS6" s="63"/>
      <c r="BVT6" s="34"/>
      <c r="BVU6" s="64"/>
      <c r="BVV6" s="4"/>
      <c r="BVW6" s="65"/>
      <c r="BVX6" s="4"/>
      <c r="BVY6" s="4"/>
      <c r="BVZ6" s="4"/>
      <c r="BWC6" s="34"/>
      <c r="BWD6" s="34"/>
      <c r="BWF6" s="34"/>
      <c r="BWG6" s="72"/>
      <c r="BWH6" s="63"/>
      <c r="BWI6" s="34"/>
      <c r="BWJ6" s="64"/>
      <c r="BWK6" s="4"/>
      <c r="BWL6" s="65"/>
      <c r="BWM6" s="4"/>
      <c r="BWN6" s="4"/>
      <c r="BWO6" s="4"/>
      <c r="BWR6" s="34"/>
      <c r="BWS6" s="34"/>
      <c r="BWU6" s="34"/>
      <c r="BWV6" s="72"/>
      <c r="BWW6" s="63"/>
      <c r="BWX6" s="34"/>
      <c r="BWY6" s="64"/>
      <c r="BWZ6" s="4"/>
      <c r="BXA6" s="65"/>
      <c r="BXB6" s="4"/>
      <c r="BXC6" s="4"/>
      <c r="BXD6" s="4"/>
      <c r="BXG6" s="34"/>
      <c r="BXH6" s="34"/>
      <c r="BXJ6" s="34"/>
      <c r="BXK6" s="72"/>
      <c r="BXL6" s="63"/>
      <c r="BXM6" s="34"/>
      <c r="BXN6" s="64"/>
      <c r="BXO6" s="4"/>
      <c r="BXP6" s="65"/>
      <c r="BXQ6" s="4"/>
      <c r="BXR6" s="4"/>
      <c r="BXS6" s="4"/>
      <c r="BXV6" s="34"/>
      <c r="BXW6" s="34"/>
      <c r="BXY6" s="34"/>
      <c r="BXZ6" s="72"/>
      <c r="BYA6" s="63"/>
      <c r="BYB6" s="34"/>
      <c r="BYC6" s="64"/>
      <c r="BYD6" s="4"/>
      <c r="BYE6" s="65"/>
      <c r="BYF6" s="4"/>
      <c r="BYG6" s="4"/>
      <c r="BYH6" s="4"/>
      <c r="BYK6" s="34"/>
      <c r="BYL6" s="34"/>
      <c r="BYN6" s="34"/>
      <c r="BYO6" s="72"/>
      <c r="BYP6" s="63"/>
      <c r="BYQ6" s="34"/>
      <c r="BYR6" s="64"/>
      <c r="BYS6" s="4"/>
      <c r="BYT6" s="65"/>
      <c r="BYU6" s="4"/>
      <c r="BYV6" s="4"/>
      <c r="BYW6" s="4"/>
      <c r="BYZ6" s="34"/>
      <c r="BZA6" s="34"/>
      <c r="BZC6" s="34"/>
      <c r="BZD6" s="72"/>
      <c r="BZE6" s="63"/>
      <c r="BZF6" s="34"/>
      <c r="BZG6" s="64"/>
      <c r="BZH6" s="4"/>
      <c r="BZI6" s="65"/>
      <c r="BZJ6" s="4"/>
      <c r="BZK6" s="4"/>
      <c r="BZL6" s="4"/>
      <c r="BZO6" s="34"/>
      <c r="BZP6" s="34"/>
      <c r="BZR6" s="34"/>
      <c r="BZS6" s="72"/>
      <c r="BZT6" s="63"/>
      <c r="BZU6" s="34"/>
      <c r="BZV6" s="64"/>
      <c r="BZW6" s="4"/>
      <c r="BZX6" s="65"/>
      <c r="BZY6" s="4"/>
      <c r="BZZ6" s="4"/>
      <c r="CAA6" s="4"/>
      <c r="CAD6" s="34"/>
      <c r="CAE6" s="34"/>
      <c r="CAG6" s="34"/>
      <c r="CAH6" s="72"/>
      <c r="CAI6" s="63"/>
      <c r="CAJ6" s="34"/>
      <c r="CAK6" s="64"/>
      <c r="CAL6" s="4"/>
      <c r="CAM6" s="65"/>
      <c r="CAN6" s="4"/>
      <c r="CAO6" s="4"/>
      <c r="CAP6" s="4"/>
      <c r="CAS6" s="34"/>
      <c r="CAT6" s="34"/>
      <c r="CAV6" s="34"/>
      <c r="CAW6" s="72"/>
      <c r="CAX6" s="63"/>
      <c r="CAY6" s="34"/>
      <c r="CAZ6" s="64"/>
      <c r="CBA6" s="4"/>
      <c r="CBB6" s="65"/>
      <c r="CBC6" s="4"/>
      <c r="CBD6" s="4"/>
      <c r="CBE6" s="4"/>
      <c r="CBH6" s="34"/>
      <c r="CBI6" s="34"/>
      <c r="CBK6" s="34"/>
      <c r="CBL6" s="72"/>
      <c r="CBM6" s="63"/>
      <c r="CBN6" s="34"/>
      <c r="CBO6" s="64"/>
      <c r="CBP6" s="4"/>
      <c r="CBQ6" s="65"/>
      <c r="CBR6" s="4"/>
      <c r="CBS6" s="4"/>
      <c r="CBT6" s="4"/>
      <c r="CBW6" s="34"/>
      <c r="CBX6" s="34"/>
      <c r="CBZ6" s="34"/>
      <c r="CCA6" s="72"/>
      <c r="CCB6" s="63"/>
      <c r="CCC6" s="34"/>
      <c r="CCD6" s="64"/>
      <c r="CCE6" s="4"/>
      <c r="CCF6" s="65"/>
      <c r="CCG6" s="4"/>
      <c r="CCH6" s="4"/>
      <c r="CCI6" s="4"/>
      <c r="CCL6" s="34"/>
      <c r="CCM6" s="34"/>
      <c r="CCO6" s="34"/>
      <c r="CCP6" s="72"/>
      <c r="CCQ6" s="63"/>
      <c r="CCR6" s="34"/>
      <c r="CCS6" s="64"/>
      <c r="CCT6" s="4"/>
      <c r="CCU6" s="65"/>
      <c r="CCV6" s="4"/>
      <c r="CCW6" s="4"/>
      <c r="CCX6" s="4"/>
      <c r="CDA6" s="34"/>
      <c r="CDB6" s="34"/>
      <c r="CDD6" s="34"/>
      <c r="CDE6" s="72"/>
      <c r="CDF6" s="63"/>
      <c r="CDG6" s="34"/>
      <c r="CDH6" s="64"/>
      <c r="CDI6" s="4"/>
      <c r="CDJ6" s="65"/>
      <c r="CDK6" s="4"/>
      <c r="CDL6" s="4"/>
      <c r="CDM6" s="4"/>
      <c r="CDP6" s="34"/>
      <c r="CDQ6" s="34"/>
      <c r="CDS6" s="34"/>
      <c r="CDT6" s="72"/>
      <c r="CDU6" s="63"/>
      <c r="CDV6" s="34"/>
      <c r="CDW6" s="64"/>
      <c r="CDX6" s="4"/>
      <c r="CDY6" s="65"/>
      <c r="CDZ6" s="4"/>
      <c r="CEA6" s="4"/>
      <c r="CEB6" s="4"/>
      <c r="CEE6" s="34"/>
      <c r="CEF6" s="34"/>
      <c r="CEH6" s="34"/>
      <c r="CEI6" s="72"/>
      <c r="CEJ6" s="63"/>
      <c r="CEK6" s="34"/>
      <c r="CEL6" s="64"/>
      <c r="CEM6" s="4"/>
      <c r="CEN6" s="65"/>
      <c r="CEO6" s="4"/>
      <c r="CEP6" s="4"/>
      <c r="CEQ6" s="4"/>
      <c r="CET6" s="34"/>
      <c r="CEU6" s="34"/>
      <c r="CEW6" s="34"/>
      <c r="CEX6" s="72"/>
      <c r="CEY6" s="63"/>
      <c r="CEZ6" s="34"/>
      <c r="CFA6" s="64"/>
      <c r="CFB6" s="4"/>
      <c r="CFC6" s="65"/>
      <c r="CFD6" s="4"/>
      <c r="CFE6" s="4"/>
      <c r="CFF6" s="4"/>
      <c r="CFI6" s="34"/>
      <c r="CFJ6" s="34"/>
      <c r="CFL6" s="34"/>
      <c r="CFM6" s="72"/>
      <c r="CFN6" s="63"/>
      <c r="CFO6" s="34"/>
      <c r="CFP6" s="64"/>
      <c r="CFQ6" s="4"/>
      <c r="CFR6" s="65"/>
      <c r="CFS6" s="4"/>
      <c r="CFT6" s="4"/>
      <c r="CFU6" s="4"/>
      <c r="CFX6" s="34"/>
      <c r="CFY6" s="34"/>
      <c r="CGA6" s="34"/>
      <c r="CGB6" s="72"/>
      <c r="CGC6" s="63"/>
      <c r="CGD6" s="34"/>
      <c r="CGE6" s="64"/>
      <c r="CGF6" s="4"/>
      <c r="CGG6" s="65"/>
      <c r="CGH6" s="4"/>
      <c r="CGI6" s="4"/>
      <c r="CGJ6" s="4"/>
      <c r="CGM6" s="34"/>
      <c r="CGN6" s="34"/>
      <c r="CGP6" s="34"/>
      <c r="CGQ6" s="72"/>
      <c r="CGR6" s="63"/>
      <c r="CGS6" s="34"/>
      <c r="CGT6" s="64"/>
      <c r="CGU6" s="4"/>
      <c r="CGV6" s="65"/>
      <c r="CGW6" s="4"/>
      <c r="CGX6" s="4"/>
      <c r="CGY6" s="4"/>
      <c r="CHB6" s="34"/>
      <c r="CHC6" s="34"/>
      <c r="CHE6" s="34"/>
      <c r="CHF6" s="72"/>
      <c r="CHG6" s="63"/>
      <c r="CHH6" s="34"/>
      <c r="CHI6" s="64"/>
      <c r="CHJ6" s="4"/>
      <c r="CHK6" s="65"/>
      <c r="CHL6" s="4"/>
      <c r="CHM6" s="4"/>
      <c r="CHN6" s="4"/>
      <c r="CHQ6" s="34"/>
      <c r="CHR6" s="34"/>
      <c r="CHT6" s="34"/>
      <c r="CHU6" s="72"/>
      <c r="CHV6" s="63"/>
      <c r="CHW6" s="34"/>
      <c r="CHX6" s="64"/>
      <c r="CHY6" s="4"/>
      <c r="CHZ6" s="65"/>
      <c r="CIA6" s="4"/>
      <c r="CIB6" s="4"/>
      <c r="CIC6" s="4"/>
      <c r="CIF6" s="34"/>
      <c r="CIG6" s="34"/>
      <c r="CII6" s="34"/>
      <c r="CIJ6" s="72"/>
      <c r="CIK6" s="63"/>
      <c r="CIL6" s="34"/>
      <c r="CIM6" s="64"/>
      <c r="CIN6" s="4"/>
      <c r="CIO6" s="65"/>
      <c r="CIP6" s="4"/>
      <c r="CIQ6" s="4"/>
      <c r="CIR6" s="4"/>
      <c r="CIU6" s="34"/>
      <c r="CIV6" s="34"/>
      <c r="CIX6" s="34"/>
      <c r="CIY6" s="72"/>
      <c r="CIZ6" s="63"/>
      <c r="CJA6" s="34"/>
      <c r="CJB6" s="64"/>
      <c r="CJC6" s="4"/>
      <c r="CJD6" s="65"/>
      <c r="CJE6" s="4"/>
      <c r="CJF6" s="4"/>
      <c r="CJG6" s="4"/>
      <c r="CJJ6" s="34"/>
      <c r="CJK6" s="34"/>
      <c r="CJM6" s="34"/>
      <c r="CJN6" s="72"/>
      <c r="CJO6" s="63"/>
      <c r="CJP6" s="34"/>
      <c r="CJQ6" s="64"/>
      <c r="CJR6" s="4"/>
      <c r="CJS6" s="65"/>
      <c r="CJT6" s="4"/>
      <c r="CJU6" s="4"/>
      <c r="CJV6" s="4"/>
      <c r="CJY6" s="34"/>
      <c r="CJZ6" s="34"/>
      <c r="CKB6" s="34"/>
      <c r="CKC6" s="72"/>
      <c r="CKD6" s="63"/>
      <c r="CKE6" s="34"/>
      <c r="CKF6" s="64"/>
      <c r="CKG6" s="4"/>
      <c r="CKH6" s="65"/>
      <c r="CKI6" s="4"/>
      <c r="CKJ6" s="4"/>
      <c r="CKK6" s="4"/>
      <c r="CKN6" s="34"/>
      <c r="CKO6" s="34"/>
      <c r="CKQ6" s="34"/>
      <c r="CKR6" s="72"/>
      <c r="CKS6" s="63"/>
      <c r="CKT6" s="34"/>
      <c r="CKU6" s="64"/>
      <c r="CKV6" s="4"/>
      <c r="CKW6" s="65"/>
      <c r="CKX6" s="4"/>
      <c r="CKY6" s="4"/>
      <c r="CKZ6" s="4"/>
      <c r="CLC6" s="34"/>
      <c r="CLD6" s="34"/>
      <c r="CLF6" s="34"/>
      <c r="CLG6" s="72"/>
      <c r="CLH6" s="63"/>
      <c r="CLI6" s="34"/>
      <c r="CLJ6" s="64"/>
      <c r="CLK6" s="4"/>
      <c r="CLL6" s="65"/>
      <c r="CLM6" s="4"/>
      <c r="CLN6" s="4"/>
      <c r="CLO6" s="4"/>
      <c r="CLR6" s="34"/>
      <c r="CLS6" s="34"/>
      <c r="CLU6" s="34"/>
      <c r="CLV6" s="72"/>
      <c r="CLW6" s="63"/>
      <c r="CLX6" s="34"/>
      <c r="CLY6" s="64"/>
      <c r="CLZ6" s="4"/>
      <c r="CMA6" s="65"/>
      <c r="CMB6" s="4"/>
      <c r="CMC6" s="4"/>
      <c r="CMD6" s="4"/>
      <c r="CMG6" s="34"/>
      <c r="CMH6" s="34"/>
      <c r="CMJ6" s="34"/>
      <c r="CMK6" s="72"/>
      <c r="CML6" s="63"/>
      <c r="CMM6" s="34"/>
      <c r="CMN6" s="64"/>
      <c r="CMO6" s="4"/>
      <c r="CMP6" s="65"/>
      <c r="CMQ6" s="4"/>
      <c r="CMR6" s="4"/>
      <c r="CMS6" s="4"/>
      <c r="CMV6" s="34"/>
      <c r="CMW6" s="34"/>
      <c r="CMY6" s="34"/>
      <c r="CMZ6" s="72"/>
      <c r="CNA6" s="63"/>
      <c r="CNB6" s="34"/>
      <c r="CNC6" s="64"/>
      <c r="CND6" s="4"/>
      <c r="CNE6" s="65"/>
      <c r="CNF6" s="4"/>
      <c r="CNG6" s="4"/>
      <c r="CNH6" s="4"/>
      <c r="CNK6" s="34"/>
      <c r="CNL6" s="34"/>
      <c r="CNN6" s="34"/>
      <c r="CNO6" s="72"/>
      <c r="CNP6" s="63"/>
      <c r="CNQ6" s="34"/>
      <c r="CNR6" s="64"/>
      <c r="CNS6" s="4"/>
      <c r="CNT6" s="65"/>
      <c r="CNU6" s="4"/>
      <c r="CNV6" s="4"/>
      <c r="CNW6" s="4"/>
      <c r="CNZ6" s="34"/>
      <c r="COA6" s="34"/>
      <c r="COC6" s="34"/>
      <c r="COD6" s="72"/>
      <c r="COE6" s="63"/>
      <c r="COF6" s="34"/>
      <c r="COG6" s="64"/>
      <c r="COH6" s="4"/>
      <c r="COI6" s="65"/>
      <c r="COJ6" s="4"/>
      <c r="COK6" s="4"/>
      <c r="COL6" s="4"/>
      <c r="COO6" s="34"/>
      <c r="COP6" s="34"/>
      <c r="COR6" s="34"/>
      <c r="COS6" s="72"/>
      <c r="COT6" s="63"/>
      <c r="COU6" s="34"/>
      <c r="COV6" s="64"/>
      <c r="COW6" s="4"/>
      <c r="COX6" s="65"/>
      <c r="COY6" s="4"/>
      <c r="COZ6" s="4"/>
      <c r="CPA6" s="4"/>
      <c r="CPD6" s="34"/>
      <c r="CPE6" s="34"/>
      <c r="CPG6" s="34"/>
      <c r="CPH6" s="72"/>
      <c r="CPI6" s="63"/>
      <c r="CPJ6" s="34"/>
      <c r="CPK6" s="64"/>
      <c r="CPL6" s="4"/>
      <c r="CPM6" s="65"/>
      <c r="CPN6" s="4"/>
      <c r="CPO6" s="4"/>
      <c r="CPP6" s="4"/>
      <c r="CPS6" s="34"/>
      <c r="CPT6" s="34"/>
      <c r="CPV6" s="34"/>
      <c r="CPW6" s="72"/>
      <c r="CPX6" s="63"/>
      <c r="CPY6" s="34"/>
      <c r="CPZ6" s="64"/>
      <c r="CQA6" s="4"/>
      <c r="CQB6" s="65"/>
      <c r="CQC6" s="4"/>
      <c r="CQD6" s="4"/>
      <c r="CQE6" s="4"/>
      <c r="CQH6" s="34"/>
      <c r="CQI6" s="34"/>
      <c r="CQK6" s="34"/>
      <c r="CQL6" s="72"/>
      <c r="CQM6" s="63"/>
      <c r="CQN6" s="34"/>
      <c r="CQO6" s="64"/>
      <c r="CQP6" s="4"/>
      <c r="CQQ6" s="65"/>
      <c r="CQR6" s="4"/>
      <c r="CQS6" s="4"/>
      <c r="CQT6" s="4"/>
      <c r="CQW6" s="34"/>
      <c r="CQX6" s="34"/>
      <c r="CQZ6" s="34"/>
      <c r="CRA6" s="72"/>
      <c r="CRB6" s="63"/>
      <c r="CRC6" s="34"/>
      <c r="CRD6" s="64"/>
      <c r="CRE6" s="4"/>
      <c r="CRF6" s="65"/>
      <c r="CRG6" s="4"/>
      <c r="CRH6" s="4"/>
      <c r="CRI6" s="4"/>
      <c r="CRL6" s="34"/>
      <c r="CRM6" s="34"/>
      <c r="CRO6" s="34"/>
      <c r="CRP6" s="72"/>
      <c r="CRQ6" s="63"/>
      <c r="CRR6" s="34"/>
      <c r="CRS6" s="64"/>
      <c r="CRT6" s="4"/>
      <c r="CRU6" s="65"/>
      <c r="CRV6" s="4"/>
      <c r="CRW6" s="4"/>
      <c r="CRX6" s="4"/>
      <c r="CSA6" s="34"/>
      <c r="CSB6" s="34"/>
      <c r="CSD6" s="34"/>
      <c r="CSE6" s="72"/>
      <c r="CSF6" s="63"/>
      <c r="CSG6" s="34"/>
      <c r="CSH6" s="64"/>
      <c r="CSI6" s="4"/>
      <c r="CSJ6" s="65"/>
      <c r="CSK6" s="4"/>
      <c r="CSL6" s="4"/>
      <c r="CSM6" s="4"/>
      <c r="CSP6" s="34"/>
      <c r="CSQ6" s="34"/>
      <c r="CSS6" s="34"/>
      <c r="CST6" s="72"/>
      <c r="CSU6" s="63"/>
      <c r="CSV6" s="34"/>
      <c r="CSW6" s="64"/>
      <c r="CSX6" s="4"/>
      <c r="CSY6" s="65"/>
      <c r="CSZ6" s="4"/>
      <c r="CTA6" s="4"/>
      <c r="CTB6" s="4"/>
      <c r="CTE6" s="34"/>
      <c r="CTF6" s="34"/>
      <c r="CTH6" s="34"/>
      <c r="CTI6" s="72"/>
      <c r="CTJ6" s="63"/>
      <c r="CTK6" s="34"/>
      <c r="CTL6" s="64"/>
      <c r="CTM6" s="4"/>
      <c r="CTN6" s="65"/>
      <c r="CTO6" s="4"/>
      <c r="CTP6" s="4"/>
      <c r="CTQ6" s="4"/>
      <c r="CTT6" s="34"/>
      <c r="CTU6" s="34"/>
      <c r="CTW6" s="34"/>
      <c r="CTX6" s="72"/>
      <c r="CTY6" s="63"/>
      <c r="CTZ6" s="34"/>
      <c r="CUA6" s="64"/>
      <c r="CUB6" s="4"/>
      <c r="CUC6" s="65"/>
      <c r="CUD6" s="4"/>
      <c r="CUE6" s="4"/>
      <c r="CUF6" s="4"/>
      <c r="CUI6" s="34"/>
      <c r="CUJ6" s="34"/>
      <c r="CUL6" s="34"/>
      <c r="CUM6" s="72"/>
      <c r="CUN6" s="63"/>
      <c r="CUO6" s="34"/>
      <c r="CUP6" s="64"/>
      <c r="CUQ6" s="4"/>
      <c r="CUR6" s="65"/>
      <c r="CUS6" s="4"/>
      <c r="CUT6" s="4"/>
      <c r="CUU6" s="4"/>
      <c r="CUX6" s="34"/>
      <c r="CUY6" s="34"/>
      <c r="CVA6" s="34"/>
      <c r="CVB6" s="72"/>
      <c r="CVC6" s="63"/>
      <c r="CVD6" s="34"/>
      <c r="CVE6" s="64"/>
      <c r="CVF6" s="4"/>
      <c r="CVG6" s="65"/>
      <c r="CVH6" s="4"/>
      <c r="CVI6" s="4"/>
      <c r="CVJ6" s="4"/>
      <c r="CVM6" s="34"/>
      <c r="CVN6" s="34"/>
      <c r="CVP6" s="34"/>
      <c r="CVQ6" s="72"/>
      <c r="CVR6" s="63"/>
      <c r="CVS6" s="34"/>
      <c r="CVT6" s="64"/>
      <c r="CVU6" s="4"/>
      <c r="CVV6" s="65"/>
      <c r="CVW6" s="4"/>
      <c r="CVX6" s="4"/>
      <c r="CVY6" s="4"/>
      <c r="CWB6" s="34"/>
      <c r="CWC6" s="34"/>
      <c r="CWE6" s="34"/>
      <c r="CWF6" s="72"/>
      <c r="CWG6" s="63"/>
      <c r="CWH6" s="34"/>
      <c r="CWI6" s="64"/>
      <c r="CWJ6" s="4"/>
      <c r="CWK6" s="65"/>
      <c r="CWL6" s="4"/>
      <c r="CWM6" s="4"/>
      <c r="CWN6" s="4"/>
      <c r="CWQ6" s="34"/>
      <c r="CWR6" s="34"/>
      <c r="CWT6" s="34"/>
      <c r="CWU6" s="72"/>
      <c r="CWV6" s="63"/>
      <c r="CWW6" s="34"/>
      <c r="CWX6" s="64"/>
      <c r="CWY6" s="4"/>
      <c r="CWZ6" s="65"/>
      <c r="CXA6" s="4"/>
      <c r="CXB6" s="4"/>
      <c r="CXC6" s="4"/>
      <c r="CXF6" s="34"/>
      <c r="CXG6" s="34"/>
      <c r="CXI6" s="34"/>
      <c r="CXJ6" s="72"/>
      <c r="CXK6" s="63"/>
      <c r="CXL6" s="34"/>
      <c r="CXM6" s="64"/>
      <c r="CXN6" s="4"/>
      <c r="CXO6" s="65"/>
      <c r="CXP6" s="4"/>
      <c r="CXQ6" s="4"/>
      <c r="CXR6" s="4"/>
      <c r="CXU6" s="34"/>
      <c r="CXV6" s="34"/>
      <c r="CXX6" s="34"/>
      <c r="CXY6" s="72"/>
      <c r="CXZ6" s="63"/>
      <c r="CYA6" s="34"/>
      <c r="CYB6" s="64"/>
      <c r="CYC6" s="4"/>
      <c r="CYD6" s="65"/>
      <c r="CYE6" s="4"/>
      <c r="CYF6" s="4"/>
      <c r="CYG6" s="4"/>
      <c r="CYJ6" s="34"/>
      <c r="CYK6" s="34"/>
      <c r="CYM6" s="34"/>
      <c r="CYN6" s="72"/>
      <c r="CYO6" s="63"/>
      <c r="CYP6" s="34"/>
      <c r="CYQ6" s="64"/>
      <c r="CYR6" s="4"/>
      <c r="CYS6" s="65"/>
      <c r="CYT6" s="4"/>
      <c r="CYU6" s="4"/>
      <c r="CYV6" s="4"/>
      <c r="CYY6" s="34"/>
      <c r="CYZ6" s="34"/>
      <c r="CZB6" s="34"/>
      <c r="CZC6" s="72"/>
      <c r="CZD6" s="63"/>
      <c r="CZE6" s="34"/>
      <c r="CZF6" s="64"/>
      <c r="CZG6" s="4"/>
      <c r="CZH6" s="65"/>
      <c r="CZI6" s="4"/>
      <c r="CZJ6" s="4"/>
      <c r="CZK6" s="4"/>
      <c r="CZN6" s="34"/>
      <c r="CZO6" s="34"/>
      <c r="CZQ6" s="34"/>
      <c r="CZR6" s="72"/>
      <c r="CZS6" s="63"/>
      <c r="CZT6" s="34"/>
      <c r="CZU6" s="64"/>
      <c r="CZV6" s="4"/>
      <c r="CZW6" s="65"/>
      <c r="CZX6" s="4"/>
      <c r="CZY6" s="4"/>
      <c r="CZZ6" s="4"/>
      <c r="DAC6" s="34"/>
      <c r="DAD6" s="34"/>
      <c r="DAF6" s="34"/>
      <c r="DAG6" s="72"/>
      <c r="DAH6" s="63"/>
      <c r="DAI6" s="34"/>
      <c r="DAJ6" s="64"/>
      <c r="DAK6" s="4"/>
      <c r="DAL6" s="65"/>
      <c r="DAM6" s="4"/>
      <c r="DAN6" s="4"/>
      <c r="DAO6" s="4"/>
      <c r="DAR6" s="34"/>
      <c r="DAS6" s="34"/>
      <c r="DAU6" s="34"/>
      <c r="DAV6" s="72"/>
      <c r="DAW6" s="63"/>
      <c r="DAX6" s="34"/>
      <c r="DAY6" s="64"/>
      <c r="DAZ6" s="4"/>
      <c r="DBA6" s="65"/>
      <c r="DBB6" s="4"/>
      <c r="DBC6" s="4"/>
      <c r="DBD6" s="4"/>
      <c r="DBG6" s="34"/>
      <c r="DBH6" s="34"/>
      <c r="DBJ6" s="34"/>
      <c r="DBK6" s="72"/>
      <c r="DBL6" s="63"/>
      <c r="DBM6" s="34"/>
      <c r="DBN6" s="64"/>
      <c r="DBO6" s="4"/>
      <c r="DBP6" s="65"/>
      <c r="DBQ6" s="4"/>
      <c r="DBR6" s="4"/>
      <c r="DBS6" s="4"/>
      <c r="DBV6" s="34"/>
      <c r="DBW6" s="34"/>
      <c r="DBY6" s="34"/>
      <c r="DBZ6" s="72"/>
      <c r="DCA6" s="63"/>
      <c r="DCB6" s="34"/>
      <c r="DCC6" s="64"/>
      <c r="DCD6" s="4"/>
      <c r="DCE6" s="65"/>
      <c r="DCF6" s="4"/>
      <c r="DCG6" s="4"/>
      <c r="DCH6" s="4"/>
      <c r="DCK6" s="34"/>
      <c r="DCL6" s="34"/>
      <c r="DCN6" s="34"/>
      <c r="DCO6" s="72"/>
      <c r="DCP6" s="63"/>
      <c r="DCQ6" s="34"/>
      <c r="DCR6" s="64"/>
      <c r="DCS6" s="4"/>
      <c r="DCT6" s="65"/>
      <c r="DCU6" s="4"/>
      <c r="DCV6" s="4"/>
      <c r="DCW6" s="4"/>
      <c r="DCZ6" s="34"/>
      <c r="DDA6" s="34"/>
      <c r="DDC6" s="34"/>
      <c r="DDD6" s="72"/>
      <c r="DDE6" s="63"/>
      <c r="DDF6" s="34"/>
      <c r="DDG6" s="64"/>
      <c r="DDH6" s="4"/>
      <c r="DDI6" s="65"/>
      <c r="DDJ6" s="4"/>
      <c r="DDK6" s="4"/>
      <c r="DDL6" s="4"/>
      <c r="DDO6" s="34"/>
      <c r="DDP6" s="34"/>
      <c r="DDR6" s="34"/>
      <c r="DDS6" s="72"/>
      <c r="DDT6" s="63"/>
      <c r="DDU6" s="34"/>
      <c r="DDV6" s="64"/>
      <c r="DDW6" s="4"/>
      <c r="DDX6" s="65"/>
      <c r="DDY6" s="4"/>
      <c r="DDZ6" s="4"/>
      <c r="DEA6" s="4"/>
      <c r="DED6" s="34"/>
      <c r="DEE6" s="34"/>
      <c r="DEG6" s="34"/>
      <c r="DEH6" s="72"/>
      <c r="DEI6" s="63"/>
      <c r="DEJ6" s="34"/>
      <c r="DEK6" s="64"/>
      <c r="DEL6" s="4"/>
      <c r="DEM6" s="65"/>
      <c r="DEN6" s="4"/>
      <c r="DEO6" s="4"/>
      <c r="DEP6" s="4"/>
      <c r="DES6" s="34"/>
      <c r="DET6" s="34"/>
      <c r="DEV6" s="34"/>
      <c r="DEW6" s="72"/>
      <c r="DEX6" s="63"/>
      <c r="DEY6" s="34"/>
      <c r="DEZ6" s="64"/>
      <c r="DFA6" s="4"/>
      <c r="DFB6" s="65"/>
      <c r="DFC6" s="4"/>
      <c r="DFD6" s="4"/>
      <c r="DFE6" s="4"/>
      <c r="DFH6" s="34"/>
      <c r="DFI6" s="34"/>
      <c r="DFK6" s="34"/>
      <c r="DFL6" s="72"/>
      <c r="DFM6" s="63"/>
      <c r="DFN6" s="34"/>
      <c r="DFO6" s="64"/>
      <c r="DFP6" s="4"/>
      <c r="DFQ6" s="65"/>
      <c r="DFR6" s="4"/>
      <c r="DFS6" s="4"/>
      <c r="DFT6" s="4"/>
      <c r="DFW6" s="34"/>
      <c r="DFX6" s="34"/>
      <c r="DFZ6" s="34"/>
      <c r="DGA6" s="72"/>
      <c r="DGB6" s="63"/>
      <c r="DGC6" s="34"/>
      <c r="DGD6" s="64"/>
      <c r="DGE6" s="4"/>
      <c r="DGF6" s="65"/>
      <c r="DGG6" s="4"/>
      <c r="DGH6" s="4"/>
      <c r="DGI6" s="4"/>
      <c r="DGL6" s="34"/>
      <c r="DGM6" s="34"/>
      <c r="DGO6" s="34"/>
      <c r="DGP6" s="72"/>
      <c r="DGQ6" s="63"/>
      <c r="DGR6" s="34"/>
      <c r="DGS6" s="64"/>
      <c r="DGT6" s="4"/>
      <c r="DGU6" s="65"/>
      <c r="DGV6" s="4"/>
      <c r="DGW6" s="4"/>
      <c r="DGX6" s="4"/>
      <c r="DHA6" s="34"/>
      <c r="DHB6" s="34"/>
      <c r="DHD6" s="34"/>
      <c r="DHE6" s="72"/>
      <c r="DHF6" s="63"/>
      <c r="DHG6" s="34"/>
      <c r="DHH6" s="64"/>
      <c r="DHI6" s="4"/>
      <c r="DHJ6" s="65"/>
      <c r="DHK6" s="4"/>
      <c r="DHL6" s="4"/>
      <c r="DHM6" s="4"/>
      <c r="DHP6" s="34"/>
      <c r="DHQ6" s="34"/>
      <c r="DHS6" s="34"/>
      <c r="DHT6" s="72"/>
      <c r="DHU6" s="63"/>
      <c r="DHV6" s="34"/>
      <c r="DHW6" s="64"/>
      <c r="DHX6" s="4"/>
      <c r="DHY6" s="65"/>
      <c r="DHZ6" s="4"/>
      <c r="DIA6" s="4"/>
      <c r="DIB6" s="4"/>
      <c r="DIE6" s="34"/>
      <c r="DIF6" s="34"/>
      <c r="DIH6" s="34"/>
      <c r="DII6" s="72"/>
      <c r="DIJ6" s="63"/>
      <c r="DIK6" s="34"/>
      <c r="DIL6" s="64"/>
      <c r="DIM6" s="4"/>
      <c r="DIN6" s="65"/>
      <c r="DIO6" s="4"/>
      <c r="DIP6" s="4"/>
      <c r="DIQ6" s="4"/>
      <c r="DIT6" s="34"/>
      <c r="DIU6" s="34"/>
      <c r="DIW6" s="34"/>
      <c r="DIX6" s="72"/>
      <c r="DIY6" s="63"/>
      <c r="DIZ6" s="34"/>
      <c r="DJA6" s="64"/>
      <c r="DJB6" s="4"/>
      <c r="DJC6" s="65"/>
      <c r="DJD6" s="4"/>
      <c r="DJE6" s="4"/>
      <c r="DJF6" s="4"/>
      <c r="DJI6" s="34"/>
      <c r="DJJ6" s="34"/>
      <c r="DJL6" s="34"/>
      <c r="DJM6" s="72"/>
      <c r="DJN6" s="63"/>
      <c r="DJO6" s="34"/>
      <c r="DJP6" s="64"/>
      <c r="DJQ6" s="4"/>
      <c r="DJR6" s="65"/>
      <c r="DJS6" s="4"/>
      <c r="DJT6" s="4"/>
      <c r="DJU6" s="4"/>
      <c r="DJX6" s="34"/>
      <c r="DJY6" s="34"/>
      <c r="DKA6" s="34"/>
      <c r="DKB6" s="72"/>
      <c r="DKC6" s="63"/>
      <c r="DKD6" s="34"/>
      <c r="DKE6" s="64"/>
      <c r="DKF6" s="4"/>
      <c r="DKG6" s="65"/>
      <c r="DKH6" s="4"/>
      <c r="DKI6" s="4"/>
      <c r="DKJ6" s="4"/>
      <c r="DKM6" s="34"/>
      <c r="DKN6" s="34"/>
      <c r="DKP6" s="34"/>
      <c r="DKQ6" s="72"/>
      <c r="DKR6" s="63"/>
      <c r="DKS6" s="34"/>
      <c r="DKT6" s="64"/>
      <c r="DKU6" s="4"/>
      <c r="DKV6" s="65"/>
      <c r="DKW6" s="4"/>
      <c r="DKX6" s="4"/>
      <c r="DKY6" s="4"/>
      <c r="DLB6" s="34"/>
      <c r="DLC6" s="34"/>
      <c r="DLE6" s="34"/>
      <c r="DLF6" s="72"/>
      <c r="DLG6" s="63"/>
      <c r="DLH6" s="34"/>
      <c r="DLI6" s="64"/>
      <c r="DLJ6" s="4"/>
      <c r="DLK6" s="65"/>
      <c r="DLL6" s="4"/>
      <c r="DLM6" s="4"/>
      <c r="DLN6" s="4"/>
      <c r="DLQ6" s="34"/>
      <c r="DLR6" s="34"/>
      <c r="DLT6" s="34"/>
      <c r="DLU6" s="72"/>
      <c r="DLV6" s="63"/>
      <c r="DLW6" s="34"/>
      <c r="DLX6" s="64"/>
      <c r="DLY6" s="4"/>
      <c r="DLZ6" s="65"/>
      <c r="DMA6" s="4"/>
      <c r="DMB6" s="4"/>
      <c r="DMC6" s="4"/>
      <c r="DMF6" s="34"/>
      <c r="DMG6" s="34"/>
      <c r="DMI6" s="34"/>
      <c r="DMJ6" s="72"/>
      <c r="DMK6" s="63"/>
      <c r="DML6" s="34"/>
      <c r="DMM6" s="64"/>
      <c r="DMN6" s="4"/>
      <c r="DMO6" s="65"/>
      <c r="DMP6" s="4"/>
      <c r="DMQ6" s="4"/>
      <c r="DMR6" s="4"/>
      <c r="DMU6" s="34"/>
      <c r="DMV6" s="34"/>
      <c r="DMX6" s="34"/>
      <c r="DMY6" s="72"/>
      <c r="DMZ6" s="63"/>
      <c r="DNA6" s="34"/>
      <c r="DNB6" s="64"/>
      <c r="DNC6" s="4"/>
      <c r="DND6" s="65"/>
      <c r="DNE6" s="4"/>
      <c r="DNF6" s="4"/>
      <c r="DNG6" s="4"/>
      <c r="DNJ6" s="34"/>
      <c r="DNK6" s="34"/>
      <c r="DNM6" s="34"/>
      <c r="DNN6" s="72"/>
      <c r="DNO6" s="63"/>
      <c r="DNP6" s="34"/>
      <c r="DNQ6" s="64"/>
      <c r="DNR6" s="4"/>
      <c r="DNS6" s="65"/>
      <c r="DNT6" s="4"/>
      <c r="DNU6" s="4"/>
      <c r="DNV6" s="4"/>
      <c r="DNY6" s="34"/>
      <c r="DNZ6" s="34"/>
      <c r="DOB6" s="34"/>
      <c r="DOC6" s="72"/>
      <c r="DOD6" s="63"/>
      <c r="DOE6" s="34"/>
      <c r="DOF6" s="64"/>
      <c r="DOG6" s="4"/>
      <c r="DOH6" s="65"/>
      <c r="DOI6" s="4"/>
      <c r="DOJ6" s="4"/>
      <c r="DOK6" s="4"/>
      <c r="DON6" s="34"/>
      <c r="DOO6" s="34"/>
      <c r="DOQ6" s="34"/>
      <c r="DOR6" s="72"/>
      <c r="DOS6" s="63"/>
      <c r="DOT6" s="34"/>
      <c r="DOU6" s="64"/>
      <c r="DOV6" s="4"/>
      <c r="DOW6" s="65"/>
      <c r="DOX6" s="4"/>
      <c r="DOY6" s="4"/>
      <c r="DOZ6" s="4"/>
      <c r="DPC6" s="34"/>
      <c r="DPD6" s="34"/>
      <c r="DPF6" s="34"/>
      <c r="DPG6" s="72"/>
      <c r="DPH6" s="63"/>
      <c r="DPI6" s="34"/>
      <c r="DPJ6" s="64"/>
      <c r="DPK6" s="4"/>
      <c r="DPL6" s="65"/>
      <c r="DPM6" s="4"/>
      <c r="DPN6" s="4"/>
      <c r="DPO6" s="4"/>
      <c r="DPR6" s="34"/>
      <c r="DPS6" s="34"/>
      <c r="DPU6" s="34"/>
      <c r="DPV6" s="72"/>
      <c r="DPW6" s="63"/>
      <c r="DPX6" s="34"/>
      <c r="DPY6" s="64"/>
      <c r="DPZ6" s="4"/>
      <c r="DQA6" s="65"/>
      <c r="DQB6" s="4"/>
      <c r="DQC6" s="4"/>
      <c r="DQD6" s="4"/>
      <c r="DQG6" s="34"/>
      <c r="DQH6" s="34"/>
      <c r="DQJ6" s="34"/>
      <c r="DQK6" s="72"/>
      <c r="DQL6" s="63"/>
      <c r="DQM6" s="34"/>
      <c r="DQN6" s="64"/>
      <c r="DQO6" s="4"/>
      <c r="DQP6" s="65"/>
      <c r="DQQ6" s="4"/>
      <c r="DQR6" s="4"/>
      <c r="DQS6" s="4"/>
      <c r="DQV6" s="34"/>
      <c r="DQW6" s="34"/>
      <c r="DQY6" s="34"/>
      <c r="DQZ6" s="72"/>
      <c r="DRA6" s="63"/>
      <c r="DRB6" s="34"/>
      <c r="DRC6" s="64"/>
      <c r="DRD6" s="4"/>
      <c r="DRE6" s="65"/>
      <c r="DRF6" s="4"/>
      <c r="DRG6" s="4"/>
      <c r="DRH6" s="4"/>
      <c r="DRK6" s="34"/>
      <c r="DRL6" s="34"/>
      <c r="DRN6" s="34"/>
      <c r="DRO6" s="72"/>
      <c r="DRP6" s="63"/>
      <c r="DRQ6" s="34"/>
      <c r="DRR6" s="64"/>
      <c r="DRS6" s="4"/>
      <c r="DRT6" s="65"/>
      <c r="DRU6" s="4"/>
      <c r="DRV6" s="4"/>
      <c r="DRW6" s="4"/>
      <c r="DRZ6" s="34"/>
      <c r="DSA6" s="34"/>
      <c r="DSC6" s="34"/>
      <c r="DSD6" s="72"/>
      <c r="DSE6" s="63"/>
      <c r="DSF6" s="34"/>
      <c r="DSG6" s="64"/>
      <c r="DSH6" s="4"/>
      <c r="DSI6" s="65"/>
      <c r="DSJ6" s="4"/>
      <c r="DSK6" s="4"/>
      <c r="DSL6" s="4"/>
      <c r="DSO6" s="34"/>
      <c r="DSP6" s="34"/>
      <c r="DSR6" s="34"/>
      <c r="DSS6" s="72"/>
      <c r="DST6" s="63"/>
      <c r="DSU6" s="34"/>
      <c r="DSV6" s="64"/>
      <c r="DSW6" s="4"/>
      <c r="DSX6" s="65"/>
      <c r="DSY6" s="4"/>
      <c r="DSZ6" s="4"/>
      <c r="DTA6" s="4"/>
      <c r="DTD6" s="34"/>
      <c r="DTE6" s="34"/>
      <c r="DTG6" s="34"/>
      <c r="DTH6" s="72"/>
      <c r="DTI6" s="63"/>
      <c r="DTJ6" s="34"/>
      <c r="DTK6" s="64"/>
      <c r="DTL6" s="4"/>
      <c r="DTM6" s="65"/>
      <c r="DTN6" s="4"/>
      <c r="DTO6" s="4"/>
      <c r="DTP6" s="4"/>
      <c r="DTS6" s="34"/>
      <c r="DTT6" s="34"/>
      <c r="DTV6" s="34"/>
      <c r="DTW6" s="72"/>
      <c r="DTX6" s="63"/>
      <c r="DTY6" s="34"/>
      <c r="DTZ6" s="64"/>
      <c r="DUA6" s="4"/>
      <c r="DUB6" s="65"/>
      <c r="DUC6" s="4"/>
      <c r="DUD6" s="4"/>
      <c r="DUE6" s="4"/>
      <c r="DUH6" s="34"/>
      <c r="DUI6" s="34"/>
      <c r="DUK6" s="34"/>
      <c r="DUL6" s="72"/>
      <c r="DUM6" s="63"/>
      <c r="DUN6" s="34"/>
      <c r="DUO6" s="64"/>
      <c r="DUP6" s="4"/>
      <c r="DUQ6" s="65"/>
      <c r="DUR6" s="4"/>
      <c r="DUS6" s="4"/>
      <c r="DUT6" s="4"/>
      <c r="DUW6" s="34"/>
      <c r="DUX6" s="34"/>
      <c r="DUZ6" s="34"/>
      <c r="DVA6" s="72"/>
      <c r="DVB6" s="63"/>
      <c r="DVC6" s="34"/>
      <c r="DVD6" s="64"/>
      <c r="DVE6" s="4"/>
      <c r="DVF6" s="65"/>
      <c r="DVG6" s="4"/>
      <c r="DVH6" s="4"/>
      <c r="DVI6" s="4"/>
      <c r="DVL6" s="34"/>
      <c r="DVM6" s="34"/>
      <c r="DVO6" s="34"/>
      <c r="DVP6" s="72"/>
      <c r="DVQ6" s="63"/>
      <c r="DVR6" s="34"/>
      <c r="DVS6" s="64"/>
      <c r="DVT6" s="4"/>
      <c r="DVU6" s="65"/>
      <c r="DVV6" s="4"/>
      <c r="DVW6" s="4"/>
      <c r="DVX6" s="4"/>
      <c r="DWA6" s="34"/>
      <c r="DWB6" s="34"/>
      <c r="DWD6" s="34"/>
      <c r="DWE6" s="72"/>
      <c r="DWF6" s="63"/>
      <c r="DWG6" s="34"/>
      <c r="DWH6" s="64"/>
      <c r="DWI6" s="4"/>
      <c r="DWJ6" s="65"/>
      <c r="DWK6" s="4"/>
      <c r="DWL6" s="4"/>
      <c r="DWM6" s="4"/>
      <c r="DWP6" s="34"/>
      <c r="DWQ6" s="34"/>
      <c r="DWS6" s="34"/>
      <c r="DWT6" s="72"/>
      <c r="DWU6" s="63"/>
      <c r="DWV6" s="34"/>
      <c r="DWW6" s="64"/>
      <c r="DWX6" s="4"/>
      <c r="DWY6" s="65"/>
      <c r="DWZ6" s="4"/>
      <c r="DXA6" s="4"/>
      <c r="DXB6" s="4"/>
      <c r="DXE6" s="34"/>
      <c r="DXF6" s="34"/>
      <c r="DXH6" s="34"/>
      <c r="DXI6" s="72"/>
      <c r="DXJ6" s="63"/>
      <c r="DXK6" s="34"/>
      <c r="DXL6" s="64"/>
      <c r="DXM6" s="4"/>
      <c r="DXN6" s="65"/>
      <c r="DXO6" s="4"/>
      <c r="DXP6" s="4"/>
      <c r="DXQ6" s="4"/>
      <c r="DXT6" s="34"/>
      <c r="DXU6" s="34"/>
      <c r="DXW6" s="34"/>
      <c r="DXX6" s="72"/>
      <c r="DXY6" s="63"/>
      <c r="DXZ6" s="34"/>
      <c r="DYA6" s="64"/>
      <c r="DYB6" s="4"/>
      <c r="DYC6" s="65"/>
      <c r="DYD6" s="4"/>
      <c r="DYE6" s="4"/>
      <c r="DYF6" s="4"/>
      <c r="DYI6" s="34"/>
      <c r="DYJ6" s="34"/>
      <c r="DYL6" s="34"/>
      <c r="DYM6" s="72"/>
      <c r="DYN6" s="63"/>
      <c r="DYO6" s="34"/>
      <c r="DYP6" s="64"/>
      <c r="DYQ6" s="4"/>
      <c r="DYR6" s="65"/>
      <c r="DYS6" s="4"/>
      <c r="DYT6" s="4"/>
      <c r="DYU6" s="4"/>
      <c r="DYX6" s="34"/>
      <c r="DYY6" s="34"/>
      <c r="DZA6" s="34"/>
      <c r="DZB6" s="72"/>
      <c r="DZC6" s="63"/>
      <c r="DZD6" s="34"/>
      <c r="DZE6" s="64"/>
      <c r="DZF6" s="4"/>
      <c r="DZG6" s="65"/>
      <c r="DZH6" s="4"/>
      <c r="DZI6" s="4"/>
      <c r="DZJ6" s="4"/>
      <c r="DZM6" s="34"/>
      <c r="DZN6" s="34"/>
      <c r="DZP6" s="34"/>
      <c r="DZQ6" s="72"/>
      <c r="DZR6" s="63"/>
      <c r="DZS6" s="34"/>
      <c r="DZT6" s="64"/>
      <c r="DZU6" s="4"/>
      <c r="DZV6" s="65"/>
      <c r="DZW6" s="4"/>
      <c r="DZX6" s="4"/>
      <c r="DZY6" s="4"/>
      <c r="EAB6" s="34"/>
      <c r="EAC6" s="34"/>
      <c r="EAE6" s="34"/>
      <c r="EAF6" s="72"/>
      <c r="EAG6" s="63"/>
      <c r="EAH6" s="34"/>
      <c r="EAI6" s="64"/>
      <c r="EAJ6" s="4"/>
      <c r="EAK6" s="65"/>
      <c r="EAL6" s="4"/>
      <c r="EAM6" s="4"/>
      <c r="EAN6" s="4"/>
      <c r="EAQ6" s="34"/>
      <c r="EAR6" s="34"/>
      <c r="EAT6" s="34"/>
      <c r="EAU6" s="72"/>
      <c r="EAV6" s="63"/>
      <c r="EAW6" s="34"/>
      <c r="EAX6" s="64"/>
      <c r="EAY6" s="4"/>
      <c r="EAZ6" s="65"/>
      <c r="EBA6" s="4"/>
      <c r="EBB6" s="4"/>
      <c r="EBC6" s="4"/>
      <c r="EBF6" s="34"/>
      <c r="EBG6" s="34"/>
      <c r="EBI6" s="34"/>
      <c r="EBJ6" s="72"/>
      <c r="EBK6" s="63"/>
      <c r="EBL6" s="34"/>
      <c r="EBM6" s="64"/>
      <c r="EBN6" s="4"/>
      <c r="EBO6" s="65"/>
      <c r="EBP6" s="4"/>
      <c r="EBQ6" s="4"/>
      <c r="EBR6" s="4"/>
      <c r="EBU6" s="34"/>
      <c r="EBV6" s="34"/>
      <c r="EBX6" s="34"/>
      <c r="EBY6" s="72"/>
      <c r="EBZ6" s="63"/>
      <c r="ECA6" s="34"/>
      <c r="ECB6" s="64"/>
      <c r="ECC6" s="4"/>
      <c r="ECD6" s="65"/>
      <c r="ECE6" s="4"/>
      <c r="ECF6" s="4"/>
      <c r="ECG6" s="4"/>
      <c r="ECJ6" s="34"/>
      <c r="ECK6" s="34"/>
      <c r="ECM6" s="34"/>
      <c r="ECN6" s="72"/>
      <c r="ECO6" s="63"/>
      <c r="ECP6" s="34"/>
      <c r="ECQ6" s="64"/>
      <c r="ECR6" s="4"/>
      <c r="ECS6" s="65"/>
      <c r="ECT6" s="4"/>
      <c r="ECU6" s="4"/>
      <c r="ECV6" s="4"/>
      <c r="ECY6" s="34"/>
      <c r="ECZ6" s="34"/>
      <c r="EDB6" s="34"/>
      <c r="EDC6" s="72"/>
      <c r="EDD6" s="63"/>
      <c r="EDE6" s="34"/>
      <c r="EDF6" s="64"/>
      <c r="EDG6" s="4"/>
      <c r="EDH6" s="65"/>
      <c r="EDI6" s="4"/>
      <c r="EDJ6" s="4"/>
      <c r="EDK6" s="4"/>
      <c r="EDN6" s="34"/>
      <c r="EDO6" s="34"/>
      <c r="EDQ6" s="34"/>
      <c r="EDR6" s="72"/>
      <c r="EDS6" s="63"/>
      <c r="EDT6" s="34"/>
      <c r="EDU6" s="64"/>
      <c r="EDV6" s="4"/>
      <c r="EDW6" s="65"/>
      <c r="EDX6" s="4"/>
      <c r="EDY6" s="4"/>
      <c r="EDZ6" s="4"/>
      <c r="EEC6" s="34"/>
      <c r="EED6" s="34"/>
      <c r="EEF6" s="34"/>
      <c r="EEG6" s="72"/>
      <c r="EEH6" s="63"/>
      <c r="EEI6" s="34"/>
      <c r="EEJ6" s="64"/>
      <c r="EEK6" s="4"/>
      <c r="EEL6" s="65"/>
      <c r="EEM6" s="4"/>
      <c r="EEN6" s="4"/>
      <c r="EEO6" s="4"/>
      <c r="EER6" s="34"/>
      <c r="EES6" s="34"/>
      <c r="EEU6" s="34"/>
      <c r="EEV6" s="72"/>
      <c r="EEW6" s="63"/>
      <c r="EEX6" s="34"/>
      <c r="EEY6" s="64"/>
      <c r="EEZ6" s="4"/>
      <c r="EFA6" s="65"/>
      <c r="EFB6" s="4"/>
      <c r="EFC6" s="4"/>
      <c r="EFD6" s="4"/>
      <c r="EFG6" s="34"/>
      <c r="EFH6" s="34"/>
      <c r="EFJ6" s="34"/>
      <c r="EFK6" s="72"/>
      <c r="EFL6" s="63"/>
      <c r="EFM6" s="34"/>
      <c r="EFN6" s="64"/>
      <c r="EFO6" s="4"/>
      <c r="EFP6" s="65"/>
      <c r="EFQ6" s="4"/>
      <c r="EFR6" s="4"/>
      <c r="EFS6" s="4"/>
      <c r="EFV6" s="34"/>
      <c r="EFW6" s="34"/>
      <c r="EFY6" s="34"/>
      <c r="EFZ6" s="72"/>
      <c r="EGA6" s="63"/>
      <c r="EGB6" s="34"/>
      <c r="EGC6" s="64"/>
      <c r="EGD6" s="4"/>
      <c r="EGE6" s="65"/>
      <c r="EGF6" s="4"/>
      <c r="EGG6" s="4"/>
      <c r="EGH6" s="4"/>
      <c r="EGK6" s="34"/>
      <c r="EGL6" s="34"/>
      <c r="EGN6" s="34"/>
      <c r="EGO6" s="72"/>
      <c r="EGP6" s="63"/>
      <c r="EGQ6" s="34"/>
      <c r="EGR6" s="64"/>
      <c r="EGS6" s="4"/>
      <c r="EGT6" s="65"/>
      <c r="EGU6" s="4"/>
      <c r="EGV6" s="4"/>
      <c r="EGW6" s="4"/>
      <c r="EGZ6" s="34"/>
      <c r="EHA6" s="34"/>
      <c r="EHC6" s="34"/>
      <c r="EHD6" s="72"/>
      <c r="EHE6" s="63"/>
      <c r="EHF6" s="34"/>
      <c r="EHG6" s="64"/>
      <c r="EHH6" s="4"/>
      <c r="EHI6" s="65"/>
      <c r="EHJ6" s="4"/>
      <c r="EHK6" s="4"/>
      <c r="EHL6" s="4"/>
      <c r="EHO6" s="34"/>
      <c r="EHP6" s="34"/>
      <c r="EHR6" s="34"/>
      <c r="EHS6" s="72"/>
      <c r="EHT6" s="63"/>
      <c r="EHU6" s="34"/>
      <c r="EHV6" s="64"/>
      <c r="EHW6" s="4"/>
      <c r="EHX6" s="65"/>
      <c r="EHY6" s="4"/>
      <c r="EHZ6" s="4"/>
      <c r="EIA6" s="4"/>
      <c r="EID6" s="34"/>
      <c r="EIE6" s="34"/>
      <c r="EIG6" s="34"/>
      <c r="EIH6" s="72"/>
      <c r="EII6" s="63"/>
      <c r="EIJ6" s="34"/>
      <c r="EIK6" s="64"/>
      <c r="EIL6" s="4"/>
      <c r="EIM6" s="65"/>
      <c r="EIN6" s="4"/>
      <c r="EIO6" s="4"/>
      <c r="EIP6" s="4"/>
      <c r="EIS6" s="34"/>
      <c r="EIT6" s="34"/>
      <c r="EIV6" s="34"/>
      <c r="EIW6" s="72"/>
      <c r="EIX6" s="63"/>
      <c r="EIY6" s="34"/>
      <c r="EIZ6" s="64"/>
      <c r="EJA6" s="4"/>
      <c r="EJB6" s="65"/>
      <c r="EJC6" s="4"/>
      <c r="EJD6" s="4"/>
      <c r="EJE6" s="4"/>
      <c r="EJH6" s="34"/>
      <c r="EJI6" s="34"/>
      <c r="EJK6" s="34"/>
      <c r="EJL6" s="72"/>
      <c r="EJM6" s="63"/>
      <c r="EJN6" s="34"/>
      <c r="EJO6" s="64"/>
      <c r="EJP6" s="4"/>
      <c r="EJQ6" s="65"/>
      <c r="EJR6" s="4"/>
      <c r="EJS6" s="4"/>
      <c r="EJT6" s="4"/>
      <c r="EJW6" s="34"/>
      <c r="EJX6" s="34"/>
      <c r="EJZ6" s="34"/>
      <c r="EKA6" s="72"/>
      <c r="EKB6" s="63"/>
      <c r="EKC6" s="34"/>
      <c r="EKD6" s="64"/>
      <c r="EKE6" s="4"/>
      <c r="EKF6" s="65"/>
      <c r="EKG6" s="4"/>
      <c r="EKH6" s="4"/>
      <c r="EKI6" s="4"/>
      <c r="EKL6" s="34"/>
      <c r="EKM6" s="34"/>
      <c r="EKO6" s="34"/>
      <c r="EKP6" s="72"/>
      <c r="EKQ6" s="63"/>
      <c r="EKR6" s="34"/>
      <c r="EKS6" s="64"/>
      <c r="EKT6" s="4"/>
      <c r="EKU6" s="65"/>
      <c r="EKV6" s="4"/>
      <c r="EKW6" s="4"/>
      <c r="EKX6" s="4"/>
      <c r="ELA6" s="34"/>
      <c r="ELB6" s="34"/>
      <c r="ELD6" s="34"/>
      <c r="ELE6" s="72"/>
      <c r="ELF6" s="63"/>
      <c r="ELG6" s="34"/>
      <c r="ELH6" s="64"/>
      <c r="ELI6" s="4"/>
      <c r="ELJ6" s="65"/>
      <c r="ELK6" s="4"/>
      <c r="ELL6" s="4"/>
      <c r="ELM6" s="4"/>
      <c r="ELP6" s="34"/>
      <c r="ELQ6" s="34"/>
      <c r="ELS6" s="34"/>
      <c r="ELT6" s="72"/>
      <c r="ELU6" s="63"/>
      <c r="ELV6" s="34"/>
      <c r="ELW6" s="64"/>
      <c r="ELX6" s="4"/>
      <c r="ELY6" s="65"/>
      <c r="ELZ6" s="4"/>
      <c r="EMA6" s="4"/>
      <c r="EMB6" s="4"/>
      <c r="EME6" s="34"/>
      <c r="EMF6" s="34"/>
      <c r="EMH6" s="34"/>
      <c r="EMI6" s="72"/>
      <c r="EMJ6" s="63"/>
      <c r="EMK6" s="34"/>
      <c r="EML6" s="64"/>
      <c r="EMM6" s="4"/>
      <c r="EMN6" s="65"/>
      <c r="EMO6" s="4"/>
      <c r="EMP6" s="4"/>
      <c r="EMQ6" s="4"/>
      <c r="EMT6" s="34"/>
      <c r="EMU6" s="34"/>
      <c r="EMW6" s="34"/>
      <c r="EMX6" s="72"/>
      <c r="EMY6" s="63"/>
      <c r="EMZ6" s="34"/>
      <c r="ENA6" s="64"/>
      <c r="ENB6" s="4"/>
      <c r="ENC6" s="65"/>
      <c r="END6" s="4"/>
      <c r="ENE6" s="4"/>
      <c r="ENF6" s="4"/>
      <c r="ENI6" s="34"/>
      <c r="ENJ6" s="34"/>
      <c r="ENL6" s="34"/>
      <c r="ENM6" s="72"/>
      <c r="ENN6" s="63"/>
      <c r="ENO6" s="34"/>
      <c r="ENP6" s="64"/>
      <c r="ENQ6" s="4"/>
      <c r="ENR6" s="65"/>
      <c r="ENS6" s="4"/>
      <c r="ENT6" s="4"/>
      <c r="ENU6" s="4"/>
      <c r="ENX6" s="34"/>
      <c r="ENY6" s="34"/>
      <c r="EOA6" s="34"/>
      <c r="EOB6" s="72"/>
      <c r="EOC6" s="63"/>
      <c r="EOD6" s="34"/>
      <c r="EOE6" s="64"/>
      <c r="EOF6" s="4"/>
      <c r="EOG6" s="65"/>
      <c r="EOH6" s="4"/>
      <c r="EOI6" s="4"/>
      <c r="EOJ6" s="4"/>
      <c r="EOM6" s="34"/>
      <c r="EON6" s="34"/>
      <c r="EOP6" s="34"/>
      <c r="EOQ6" s="72"/>
      <c r="EOR6" s="63"/>
      <c r="EOS6" s="34"/>
      <c r="EOT6" s="64"/>
      <c r="EOU6" s="4"/>
      <c r="EOV6" s="65"/>
      <c r="EOW6" s="4"/>
      <c r="EOX6" s="4"/>
      <c r="EOY6" s="4"/>
      <c r="EPB6" s="34"/>
      <c r="EPC6" s="34"/>
      <c r="EPE6" s="34"/>
      <c r="EPF6" s="72"/>
      <c r="EPG6" s="63"/>
      <c r="EPH6" s="34"/>
      <c r="EPI6" s="64"/>
      <c r="EPJ6" s="4"/>
      <c r="EPK6" s="65"/>
      <c r="EPL6" s="4"/>
      <c r="EPM6" s="4"/>
      <c r="EPN6" s="4"/>
      <c r="EPQ6" s="34"/>
      <c r="EPR6" s="34"/>
      <c r="EPT6" s="34"/>
      <c r="EPU6" s="72"/>
      <c r="EPV6" s="63"/>
      <c r="EPW6" s="34"/>
      <c r="EPX6" s="64"/>
      <c r="EPY6" s="4"/>
      <c r="EPZ6" s="65"/>
      <c r="EQA6" s="4"/>
      <c r="EQB6" s="4"/>
      <c r="EQC6" s="4"/>
      <c r="EQF6" s="34"/>
      <c r="EQG6" s="34"/>
      <c r="EQI6" s="34"/>
      <c r="EQJ6" s="72"/>
      <c r="EQK6" s="63"/>
      <c r="EQL6" s="34"/>
      <c r="EQM6" s="64"/>
      <c r="EQN6" s="4"/>
      <c r="EQO6" s="65"/>
      <c r="EQP6" s="4"/>
      <c r="EQQ6" s="4"/>
      <c r="EQR6" s="4"/>
      <c r="EQU6" s="34"/>
      <c r="EQV6" s="34"/>
      <c r="EQX6" s="34"/>
      <c r="EQY6" s="72"/>
      <c r="EQZ6" s="63"/>
      <c r="ERA6" s="34"/>
      <c r="ERB6" s="64"/>
      <c r="ERC6" s="4"/>
      <c r="ERD6" s="65"/>
      <c r="ERE6" s="4"/>
      <c r="ERF6" s="4"/>
      <c r="ERG6" s="4"/>
      <c r="ERJ6" s="34"/>
      <c r="ERK6" s="34"/>
      <c r="ERM6" s="34"/>
      <c r="ERN6" s="72"/>
      <c r="ERO6" s="63"/>
      <c r="ERP6" s="34"/>
      <c r="ERQ6" s="64"/>
      <c r="ERR6" s="4"/>
      <c r="ERS6" s="65"/>
      <c r="ERT6" s="4"/>
      <c r="ERU6" s="4"/>
      <c r="ERV6" s="4"/>
      <c r="ERY6" s="34"/>
      <c r="ERZ6" s="34"/>
      <c r="ESB6" s="34"/>
      <c r="ESC6" s="72"/>
      <c r="ESD6" s="63"/>
      <c r="ESE6" s="34"/>
      <c r="ESF6" s="64"/>
      <c r="ESG6" s="4"/>
      <c r="ESH6" s="65"/>
      <c r="ESI6" s="4"/>
      <c r="ESJ6" s="4"/>
      <c r="ESK6" s="4"/>
      <c r="ESN6" s="34"/>
      <c r="ESO6" s="34"/>
      <c r="ESQ6" s="34"/>
      <c r="ESR6" s="72"/>
      <c r="ESS6" s="63"/>
      <c r="EST6" s="34"/>
      <c r="ESU6" s="64"/>
      <c r="ESV6" s="4"/>
      <c r="ESW6" s="65"/>
      <c r="ESX6" s="4"/>
      <c r="ESY6" s="4"/>
      <c r="ESZ6" s="4"/>
      <c r="ETC6" s="34"/>
      <c r="ETD6" s="34"/>
      <c r="ETF6" s="34"/>
      <c r="ETG6" s="72"/>
      <c r="ETH6" s="63"/>
      <c r="ETI6" s="34"/>
      <c r="ETJ6" s="64"/>
      <c r="ETK6" s="4"/>
      <c r="ETL6" s="65"/>
      <c r="ETM6" s="4"/>
      <c r="ETN6" s="4"/>
      <c r="ETO6" s="4"/>
      <c r="ETR6" s="34"/>
      <c r="ETS6" s="34"/>
      <c r="ETU6" s="34"/>
      <c r="ETV6" s="72"/>
      <c r="ETW6" s="63"/>
      <c r="ETX6" s="34"/>
      <c r="ETY6" s="64"/>
      <c r="ETZ6" s="4"/>
      <c r="EUA6" s="65"/>
      <c r="EUB6" s="4"/>
      <c r="EUC6" s="4"/>
      <c r="EUD6" s="4"/>
      <c r="EUG6" s="34"/>
      <c r="EUH6" s="34"/>
      <c r="EUJ6" s="34"/>
      <c r="EUK6" s="72"/>
      <c r="EUL6" s="63"/>
      <c r="EUM6" s="34"/>
      <c r="EUN6" s="64"/>
      <c r="EUO6" s="4"/>
      <c r="EUP6" s="65"/>
      <c r="EUQ6" s="4"/>
      <c r="EUR6" s="4"/>
      <c r="EUS6" s="4"/>
      <c r="EUV6" s="34"/>
      <c r="EUW6" s="34"/>
      <c r="EUY6" s="34"/>
      <c r="EUZ6" s="72"/>
      <c r="EVA6" s="63"/>
      <c r="EVB6" s="34"/>
      <c r="EVC6" s="64"/>
      <c r="EVD6" s="4"/>
      <c r="EVE6" s="65"/>
      <c r="EVF6" s="4"/>
      <c r="EVG6" s="4"/>
      <c r="EVH6" s="4"/>
      <c r="EVK6" s="34"/>
      <c r="EVL6" s="34"/>
      <c r="EVN6" s="34"/>
      <c r="EVO6" s="72"/>
      <c r="EVP6" s="63"/>
      <c r="EVQ6" s="34"/>
      <c r="EVR6" s="64"/>
      <c r="EVS6" s="4"/>
      <c r="EVT6" s="65"/>
      <c r="EVU6" s="4"/>
      <c r="EVV6" s="4"/>
      <c r="EVW6" s="4"/>
      <c r="EVZ6" s="34"/>
      <c r="EWA6" s="34"/>
      <c r="EWC6" s="34"/>
      <c r="EWD6" s="72"/>
      <c r="EWE6" s="63"/>
      <c r="EWF6" s="34"/>
      <c r="EWG6" s="64"/>
      <c r="EWH6" s="4"/>
      <c r="EWI6" s="65"/>
      <c r="EWJ6" s="4"/>
      <c r="EWK6" s="4"/>
      <c r="EWL6" s="4"/>
      <c r="EWO6" s="34"/>
      <c r="EWP6" s="34"/>
      <c r="EWR6" s="34"/>
      <c r="EWS6" s="72"/>
      <c r="EWT6" s="63"/>
      <c r="EWU6" s="34"/>
      <c r="EWV6" s="64"/>
      <c r="EWW6" s="4"/>
      <c r="EWX6" s="65"/>
      <c r="EWY6" s="4"/>
      <c r="EWZ6" s="4"/>
      <c r="EXA6" s="4"/>
      <c r="EXD6" s="34"/>
      <c r="EXE6" s="34"/>
      <c r="EXG6" s="34"/>
      <c r="EXH6" s="72"/>
      <c r="EXI6" s="63"/>
      <c r="EXJ6" s="34"/>
      <c r="EXK6" s="64"/>
      <c r="EXL6" s="4"/>
      <c r="EXM6" s="65"/>
      <c r="EXN6" s="4"/>
      <c r="EXO6" s="4"/>
      <c r="EXP6" s="4"/>
      <c r="EXS6" s="34"/>
      <c r="EXT6" s="34"/>
      <c r="EXV6" s="34"/>
      <c r="EXW6" s="72"/>
      <c r="EXX6" s="63"/>
      <c r="EXY6" s="34"/>
      <c r="EXZ6" s="64"/>
      <c r="EYA6" s="4"/>
      <c r="EYB6" s="65"/>
      <c r="EYC6" s="4"/>
      <c r="EYD6" s="4"/>
      <c r="EYE6" s="4"/>
      <c r="EYH6" s="34"/>
      <c r="EYI6" s="34"/>
      <c r="EYK6" s="34"/>
      <c r="EYL6" s="72"/>
      <c r="EYM6" s="63"/>
      <c r="EYN6" s="34"/>
      <c r="EYO6" s="64"/>
      <c r="EYP6" s="4"/>
      <c r="EYQ6" s="65"/>
      <c r="EYR6" s="4"/>
      <c r="EYS6" s="4"/>
      <c r="EYT6" s="4"/>
      <c r="EYW6" s="34"/>
      <c r="EYX6" s="34"/>
      <c r="EYZ6" s="34"/>
      <c r="EZA6" s="72"/>
      <c r="EZB6" s="63"/>
      <c r="EZC6" s="34"/>
      <c r="EZD6" s="64"/>
      <c r="EZE6" s="4"/>
      <c r="EZF6" s="65"/>
      <c r="EZG6" s="4"/>
      <c r="EZH6" s="4"/>
      <c r="EZI6" s="4"/>
      <c r="EZL6" s="34"/>
      <c r="EZM6" s="34"/>
      <c r="EZO6" s="34"/>
      <c r="EZP6" s="72"/>
      <c r="EZQ6" s="63"/>
      <c r="EZR6" s="34"/>
      <c r="EZS6" s="64"/>
      <c r="EZT6" s="4"/>
      <c r="EZU6" s="65"/>
      <c r="EZV6" s="4"/>
      <c r="EZW6" s="4"/>
      <c r="EZX6" s="4"/>
      <c r="FAA6" s="34"/>
      <c r="FAB6" s="34"/>
      <c r="FAD6" s="34"/>
      <c r="FAE6" s="72"/>
      <c r="FAF6" s="63"/>
      <c r="FAG6" s="34"/>
      <c r="FAH6" s="64"/>
      <c r="FAI6" s="4"/>
      <c r="FAJ6" s="65"/>
      <c r="FAK6" s="4"/>
      <c r="FAL6" s="4"/>
      <c r="FAM6" s="4"/>
      <c r="FAP6" s="34"/>
      <c r="FAQ6" s="34"/>
      <c r="FAS6" s="34"/>
      <c r="FAT6" s="72"/>
      <c r="FAU6" s="63"/>
      <c r="FAV6" s="34"/>
      <c r="FAW6" s="64"/>
      <c r="FAX6" s="4"/>
      <c r="FAY6" s="65"/>
      <c r="FAZ6" s="4"/>
      <c r="FBA6" s="4"/>
      <c r="FBB6" s="4"/>
      <c r="FBE6" s="34"/>
      <c r="FBF6" s="34"/>
      <c r="FBH6" s="34"/>
      <c r="FBI6" s="72"/>
      <c r="FBJ6" s="63"/>
      <c r="FBK6" s="34"/>
      <c r="FBL6" s="64"/>
      <c r="FBM6" s="4"/>
      <c r="FBN6" s="65"/>
      <c r="FBO6" s="4"/>
      <c r="FBP6" s="4"/>
      <c r="FBQ6" s="4"/>
      <c r="FBT6" s="34"/>
      <c r="FBU6" s="34"/>
      <c r="FBW6" s="34"/>
      <c r="FBX6" s="72"/>
      <c r="FBY6" s="63"/>
      <c r="FBZ6" s="34"/>
      <c r="FCA6" s="64"/>
      <c r="FCB6" s="4"/>
      <c r="FCC6" s="65"/>
      <c r="FCD6" s="4"/>
      <c r="FCE6" s="4"/>
      <c r="FCF6" s="4"/>
      <c r="FCI6" s="34"/>
      <c r="FCJ6" s="34"/>
      <c r="FCL6" s="34"/>
      <c r="FCM6" s="72"/>
      <c r="FCN6" s="63"/>
      <c r="FCO6" s="34"/>
      <c r="FCP6" s="64"/>
      <c r="FCQ6" s="4"/>
      <c r="FCR6" s="65"/>
      <c r="FCS6" s="4"/>
      <c r="FCT6" s="4"/>
      <c r="FCU6" s="4"/>
      <c r="FCX6" s="34"/>
      <c r="FCY6" s="34"/>
      <c r="FDA6" s="34"/>
      <c r="FDB6" s="72"/>
      <c r="FDC6" s="63"/>
      <c r="FDD6" s="34"/>
      <c r="FDE6" s="64"/>
      <c r="FDF6" s="4"/>
      <c r="FDG6" s="65"/>
      <c r="FDH6" s="4"/>
      <c r="FDI6" s="4"/>
      <c r="FDJ6" s="4"/>
      <c r="FDM6" s="34"/>
      <c r="FDN6" s="34"/>
      <c r="FDP6" s="34"/>
      <c r="FDQ6" s="72"/>
      <c r="FDR6" s="63"/>
      <c r="FDS6" s="34"/>
      <c r="FDT6" s="64"/>
      <c r="FDU6" s="4"/>
      <c r="FDV6" s="65"/>
      <c r="FDW6" s="4"/>
      <c r="FDX6" s="4"/>
      <c r="FDY6" s="4"/>
      <c r="FEB6" s="34"/>
      <c r="FEC6" s="34"/>
      <c r="FEE6" s="34"/>
      <c r="FEF6" s="72"/>
      <c r="FEG6" s="63"/>
      <c r="FEH6" s="34"/>
      <c r="FEI6" s="64"/>
      <c r="FEJ6" s="4"/>
      <c r="FEK6" s="65"/>
      <c r="FEL6" s="4"/>
      <c r="FEM6" s="4"/>
      <c r="FEN6" s="4"/>
      <c r="FEQ6" s="34"/>
      <c r="FER6" s="34"/>
      <c r="FET6" s="34"/>
      <c r="FEU6" s="72"/>
      <c r="FEV6" s="63"/>
      <c r="FEW6" s="34"/>
      <c r="FEX6" s="64"/>
      <c r="FEY6" s="4"/>
      <c r="FEZ6" s="65"/>
      <c r="FFA6" s="4"/>
      <c r="FFB6" s="4"/>
      <c r="FFC6" s="4"/>
      <c r="FFF6" s="34"/>
      <c r="FFG6" s="34"/>
      <c r="FFI6" s="34"/>
      <c r="FFJ6" s="72"/>
      <c r="FFK6" s="63"/>
      <c r="FFL6" s="34"/>
      <c r="FFM6" s="64"/>
      <c r="FFN6" s="4"/>
      <c r="FFO6" s="65"/>
      <c r="FFP6" s="4"/>
      <c r="FFQ6" s="4"/>
      <c r="FFR6" s="4"/>
      <c r="FFU6" s="34"/>
      <c r="FFV6" s="34"/>
      <c r="FFX6" s="34"/>
      <c r="FFY6" s="72"/>
      <c r="FFZ6" s="63"/>
      <c r="FGA6" s="34"/>
      <c r="FGB6" s="64"/>
      <c r="FGC6" s="4"/>
      <c r="FGD6" s="65"/>
      <c r="FGE6" s="4"/>
      <c r="FGF6" s="4"/>
      <c r="FGG6" s="4"/>
      <c r="FGJ6" s="34"/>
      <c r="FGK6" s="34"/>
      <c r="FGM6" s="34"/>
      <c r="FGN6" s="72"/>
      <c r="FGO6" s="63"/>
      <c r="FGP6" s="34"/>
      <c r="FGQ6" s="64"/>
      <c r="FGR6" s="4"/>
      <c r="FGS6" s="65"/>
      <c r="FGT6" s="4"/>
      <c r="FGU6" s="4"/>
      <c r="FGV6" s="4"/>
      <c r="FGY6" s="34"/>
      <c r="FGZ6" s="34"/>
      <c r="FHB6" s="34"/>
      <c r="FHC6" s="72"/>
      <c r="FHD6" s="63"/>
      <c r="FHE6" s="34"/>
      <c r="FHF6" s="64"/>
      <c r="FHG6" s="4"/>
      <c r="FHH6" s="65"/>
      <c r="FHI6" s="4"/>
      <c r="FHJ6" s="4"/>
      <c r="FHK6" s="4"/>
      <c r="FHN6" s="34"/>
      <c r="FHO6" s="34"/>
      <c r="FHQ6" s="34"/>
      <c r="FHR6" s="72"/>
      <c r="FHS6" s="63"/>
      <c r="FHT6" s="34"/>
      <c r="FHU6" s="64"/>
      <c r="FHV6" s="4"/>
      <c r="FHW6" s="65"/>
      <c r="FHX6" s="4"/>
      <c r="FHY6" s="4"/>
      <c r="FHZ6" s="4"/>
      <c r="FIC6" s="34"/>
      <c r="FID6" s="34"/>
      <c r="FIF6" s="34"/>
      <c r="FIG6" s="72"/>
      <c r="FIH6" s="63"/>
      <c r="FII6" s="34"/>
      <c r="FIJ6" s="64"/>
      <c r="FIK6" s="4"/>
      <c r="FIL6" s="65"/>
      <c r="FIM6" s="4"/>
      <c r="FIN6" s="4"/>
      <c r="FIO6" s="4"/>
      <c r="FIR6" s="34"/>
      <c r="FIS6" s="34"/>
      <c r="FIU6" s="34"/>
      <c r="FIV6" s="72"/>
      <c r="FIW6" s="63"/>
      <c r="FIX6" s="34"/>
      <c r="FIY6" s="64"/>
      <c r="FIZ6" s="4"/>
      <c r="FJA6" s="65"/>
      <c r="FJB6" s="4"/>
      <c r="FJC6" s="4"/>
      <c r="FJD6" s="4"/>
      <c r="FJG6" s="34"/>
      <c r="FJH6" s="34"/>
      <c r="FJJ6" s="34"/>
      <c r="FJK6" s="72"/>
      <c r="FJL6" s="63"/>
      <c r="FJM6" s="34"/>
      <c r="FJN6" s="64"/>
      <c r="FJO6" s="4"/>
      <c r="FJP6" s="65"/>
      <c r="FJQ6" s="4"/>
      <c r="FJR6" s="4"/>
      <c r="FJS6" s="4"/>
      <c r="FJV6" s="34"/>
      <c r="FJW6" s="34"/>
      <c r="FJY6" s="34"/>
      <c r="FJZ6" s="72"/>
      <c r="FKA6" s="63"/>
      <c r="FKB6" s="34"/>
      <c r="FKC6" s="64"/>
      <c r="FKD6" s="4"/>
      <c r="FKE6" s="65"/>
      <c r="FKF6" s="4"/>
      <c r="FKG6" s="4"/>
      <c r="FKH6" s="4"/>
      <c r="FKK6" s="34"/>
      <c r="FKL6" s="34"/>
      <c r="FKN6" s="34"/>
      <c r="FKO6" s="72"/>
      <c r="FKP6" s="63"/>
      <c r="FKQ6" s="34"/>
      <c r="FKR6" s="64"/>
      <c r="FKS6" s="4"/>
      <c r="FKT6" s="65"/>
      <c r="FKU6" s="4"/>
      <c r="FKV6" s="4"/>
      <c r="FKW6" s="4"/>
      <c r="FKZ6" s="34"/>
      <c r="FLA6" s="34"/>
      <c r="FLC6" s="34"/>
      <c r="FLD6" s="72"/>
      <c r="FLE6" s="63"/>
      <c r="FLF6" s="34"/>
      <c r="FLG6" s="64"/>
      <c r="FLH6" s="4"/>
      <c r="FLI6" s="65"/>
      <c r="FLJ6" s="4"/>
      <c r="FLK6" s="4"/>
      <c r="FLL6" s="4"/>
      <c r="FLO6" s="34"/>
      <c r="FLP6" s="34"/>
      <c r="FLR6" s="34"/>
      <c r="FLS6" s="72"/>
      <c r="FLT6" s="63"/>
      <c r="FLU6" s="34"/>
      <c r="FLV6" s="64"/>
      <c r="FLW6" s="4"/>
      <c r="FLX6" s="65"/>
      <c r="FLY6" s="4"/>
      <c r="FLZ6" s="4"/>
      <c r="FMA6" s="4"/>
      <c r="FMD6" s="34"/>
      <c r="FME6" s="34"/>
      <c r="FMG6" s="34"/>
      <c r="FMH6" s="72"/>
      <c r="FMI6" s="63"/>
      <c r="FMJ6" s="34"/>
      <c r="FMK6" s="64"/>
      <c r="FML6" s="4"/>
      <c r="FMM6" s="65"/>
      <c r="FMN6" s="4"/>
      <c r="FMO6" s="4"/>
      <c r="FMP6" s="4"/>
      <c r="FMS6" s="34"/>
      <c r="FMT6" s="34"/>
      <c r="FMV6" s="34"/>
      <c r="FMW6" s="72"/>
      <c r="FMX6" s="63"/>
      <c r="FMY6" s="34"/>
      <c r="FMZ6" s="64"/>
      <c r="FNA6" s="4"/>
      <c r="FNB6" s="65"/>
      <c r="FNC6" s="4"/>
      <c r="FND6" s="4"/>
      <c r="FNE6" s="4"/>
      <c r="FNH6" s="34"/>
      <c r="FNI6" s="34"/>
      <c r="FNK6" s="34"/>
      <c r="FNL6" s="72"/>
      <c r="FNM6" s="63"/>
      <c r="FNN6" s="34"/>
      <c r="FNO6" s="64"/>
      <c r="FNP6" s="4"/>
      <c r="FNQ6" s="65"/>
      <c r="FNR6" s="4"/>
      <c r="FNS6" s="4"/>
      <c r="FNT6" s="4"/>
      <c r="FNW6" s="34"/>
      <c r="FNX6" s="34"/>
      <c r="FNZ6" s="34"/>
      <c r="FOA6" s="72"/>
      <c r="FOB6" s="63"/>
      <c r="FOC6" s="34"/>
      <c r="FOD6" s="64"/>
      <c r="FOE6" s="4"/>
      <c r="FOF6" s="65"/>
      <c r="FOG6" s="4"/>
      <c r="FOH6" s="4"/>
      <c r="FOI6" s="4"/>
      <c r="FOL6" s="34"/>
      <c r="FOM6" s="34"/>
      <c r="FOO6" s="34"/>
      <c r="FOP6" s="72"/>
      <c r="FOQ6" s="63"/>
      <c r="FOR6" s="34"/>
      <c r="FOS6" s="64"/>
      <c r="FOT6" s="4"/>
      <c r="FOU6" s="65"/>
      <c r="FOV6" s="4"/>
      <c r="FOW6" s="4"/>
      <c r="FOX6" s="4"/>
      <c r="FPA6" s="34"/>
      <c r="FPB6" s="34"/>
      <c r="FPD6" s="34"/>
      <c r="FPE6" s="72"/>
      <c r="FPF6" s="63"/>
      <c r="FPG6" s="34"/>
      <c r="FPH6" s="64"/>
      <c r="FPI6" s="4"/>
      <c r="FPJ6" s="65"/>
      <c r="FPK6" s="4"/>
      <c r="FPL6" s="4"/>
      <c r="FPM6" s="4"/>
      <c r="FPP6" s="34"/>
      <c r="FPQ6" s="34"/>
      <c r="FPS6" s="34"/>
      <c r="FPT6" s="72"/>
      <c r="FPU6" s="63"/>
      <c r="FPV6" s="34"/>
      <c r="FPW6" s="64"/>
      <c r="FPX6" s="4"/>
      <c r="FPY6" s="65"/>
      <c r="FPZ6" s="4"/>
      <c r="FQA6" s="4"/>
      <c r="FQB6" s="4"/>
      <c r="FQE6" s="34"/>
      <c r="FQF6" s="34"/>
      <c r="FQH6" s="34"/>
      <c r="FQI6" s="72"/>
      <c r="FQJ6" s="63"/>
      <c r="FQK6" s="34"/>
      <c r="FQL6" s="64"/>
      <c r="FQM6" s="4"/>
      <c r="FQN6" s="65"/>
      <c r="FQO6" s="4"/>
      <c r="FQP6" s="4"/>
      <c r="FQQ6" s="4"/>
      <c r="FQT6" s="34"/>
      <c r="FQU6" s="34"/>
      <c r="FQW6" s="34"/>
      <c r="FQX6" s="72"/>
      <c r="FQY6" s="63"/>
      <c r="FQZ6" s="34"/>
      <c r="FRA6" s="64"/>
      <c r="FRB6" s="4"/>
      <c r="FRC6" s="65"/>
      <c r="FRD6" s="4"/>
      <c r="FRE6" s="4"/>
      <c r="FRF6" s="4"/>
      <c r="FRI6" s="34"/>
      <c r="FRJ6" s="34"/>
      <c r="FRL6" s="34"/>
      <c r="FRM6" s="72"/>
      <c r="FRN6" s="63"/>
      <c r="FRO6" s="34"/>
      <c r="FRP6" s="64"/>
      <c r="FRQ6" s="4"/>
      <c r="FRR6" s="65"/>
      <c r="FRS6" s="4"/>
      <c r="FRT6" s="4"/>
      <c r="FRU6" s="4"/>
      <c r="FRX6" s="34"/>
      <c r="FRY6" s="34"/>
      <c r="FSA6" s="34"/>
      <c r="FSB6" s="72"/>
      <c r="FSC6" s="63"/>
      <c r="FSD6" s="34"/>
      <c r="FSE6" s="64"/>
      <c r="FSF6" s="4"/>
      <c r="FSG6" s="65"/>
      <c r="FSH6" s="4"/>
      <c r="FSI6" s="4"/>
      <c r="FSJ6" s="4"/>
      <c r="FSM6" s="34"/>
      <c r="FSN6" s="34"/>
      <c r="FSP6" s="34"/>
      <c r="FSQ6" s="72"/>
      <c r="FSR6" s="63"/>
      <c r="FSS6" s="34"/>
      <c r="FST6" s="64"/>
      <c r="FSU6" s="4"/>
      <c r="FSV6" s="65"/>
      <c r="FSW6" s="4"/>
      <c r="FSX6" s="4"/>
      <c r="FSY6" s="4"/>
      <c r="FTB6" s="34"/>
      <c r="FTC6" s="34"/>
      <c r="FTE6" s="34"/>
      <c r="FTF6" s="72"/>
      <c r="FTG6" s="63"/>
      <c r="FTH6" s="34"/>
      <c r="FTI6" s="64"/>
      <c r="FTJ6" s="4"/>
      <c r="FTK6" s="65"/>
      <c r="FTL6" s="4"/>
      <c r="FTM6" s="4"/>
      <c r="FTN6" s="4"/>
      <c r="FTQ6" s="34"/>
      <c r="FTR6" s="34"/>
      <c r="FTT6" s="34"/>
      <c r="FTU6" s="72"/>
      <c r="FTV6" s="63"/>
      <c r="FTW6" s="34"/>
      <c r="FTX6" s="64"/>
      <c r="FTY6" s="4"/>
      <c r="FTZ6" s="65"/>
      <c r="FUA6" s="4"/>
      <c r="FUB6" s="4"/>
      <c r="FUC6" s="4"/>
      <c r="FUF6" s="34"/>
      <c r="FUG6" s="34"/>
      <c r="FUI6" s="34"/>
      <c r="FUJ6" s="72"/>
      <c r="FUK6" s="63"/>
      <c r="FUL6" s="34"/>
      <c r="FUM6" s="64"/>
      <c r="FUN6" s="4"/>
      <c r="FUO6" s="65"/>
      <c r="FUP6" s="4"/>
      <c r="FUQ6" s="4"/>
      <c r="FUR6" s="4"/>
      <c r="FUU6" s="34"/>
      <c r="FUV6" s="34"/>
      <c r="FUX6" s="34"/>
      <c r="FUY6" s="72"/>
      <c r="FUZ6" s="63"/>
      <c r="FVA6" s="34"/>
      <c r="FVB6" s="64"/>
      <c r="FVC6" s="4"/>
      <c r="FVD6" s="65"/>
      <c r="FVE6" s="4"/>
      <c r="FVF6" s="4"/>
      <c r="FVG6" s="4"/>
      <c r="FVJ6" s="34"/>
      <c r="FVK6" s="34"/>
      <c r="FVM6" s="34"/>
      <c r="FVN6" s="72"/>
      <c r="FVO6" s="63"/>
      <c r="FVP6" s="34"/>
      <c r="FVQ6" s="64"/>
      <c r="FVR6" s="4"/>
      <c r="FVS6" s="65"/>
      <c r="FVT6" s="4"/>
      <c r="FVU6" s="4"/>
      <c r="FVV6" s="4"/>
      <c r="FVY6" s="34"/>
      <c r="FVZ6" s="34"/>
      <c r="FWB6" s="34"/>
      <c r="FWC6" s="72"/>
      <c r="FWD6" s="63"/>
      <c r="FWE6" s="34"/>
      <c r="FWF6" s="64"/>
      <c r="FWG6" s="4"/>
      <c r="FWH6" s="65"/>
      <c r="FWI6" s="4"/>
      <c r="FWJ6" s="4"/>
      <c r="FWK6" s="4"/>
      <c r="FWN6" s="34"/>
      <c r="FWO6" s="34"/>
      <c r="FWQ6" s="34"/>
      <c r="FWR6" s="72"/>
      <c r="FWS6" s="63"/>
      <c r="FWT6" s="34"/>
      <c r="FWU6" s="64"/>
      <c r="FWV6" s="4"/>
      <c r="FWW6" s="65"/>
      <c r="FWX6" s="4"/>
      <c r="FWY6" s="4"/>
      <c r="FWZ6" s="4"/>
      <c r="FXC6" s="34"/>
      <c r="FXD6" s="34"/>
      <c r="FXF6" s="34"/>
      <c r="FXG6" s="72"/>
      <c r="FXH6" s="63"/>
      <c r="FXI6" s="34"/>
      <c r="FXJ6" s="64"/>
      <c r="FXK6" s="4"/>
      <c r="FXL6" s="65"/>
      <c r="FXM6" s="4"/>
      <c r="FXN6" s="4"/>
      <c r="FXO6" s="4"/>
      <c r="FXR6" s="34"/>
      <c r="FXS6" s="34"/>
      <c r="FXU6" s="34"/>
      <c r="FXV6" s="72"/>
      <c r="FXW6" s="63"/>
      <c r="FXX6" s="34"/>
      <c r="FXY6" s="64"/>
      <c r="FXZ6" s="4"/>
      <c r="FYA6" s="65"/>
      <c r="FYB6" s="4"/>
      <c r="FYC6" s="4"/>
      <c r="FYD6" s="4"/>
      <c r="FYG6" s="34"/>
      <c r="FYH6" s="34"/>
      <c r="FYJ6" s="34"/>
      <c r="FYK6" s="72"/>
      <c r="FYL6" s="63"/>
      <c r="FYM6" s="34"/>
      <c r="FYN6" s="64"/>
      <c r="FYO6" s="4"/>
      <c r="FYP6" s="65"/>
      <c r="FYQ6" s="4"/>
      <c r="FYR6" s="4"/>
      <c r="FYS6" s="4"/>
      <c r="FYV6" s="34"/>
      <c r="FYW6" s="34"/>
      <c r="FYY6" s="34"/>
      <c r="FYZ6" s="72"/>
      <c r="FZA6" s="63"/>
      <c r="FZB6" s="34"/>
      <c r="FZC6" s="64"/>
      <c r="FZD6" s="4"/>
      <c r="FZE6" s="65"/>
      <c r="FZF6" s="4"/>
      <c r="FZG6" s="4"/>
      <c r="FZH6" s="4"/>
      <c r="FZK6" s="34"/>
      <c r="FZL6" s="34"/>
      <c r="FZN6" s="34"/>
      <c r="FZO6" s="72"/>
      <c r="FZP6" s="63"/>
      <c r="FZQ6" s="34"/>
      <c r="FZR6" s="64"/>
      <c r="FZS6" s="4"/>
      <c r="FZT6" s="65"/>
      <c r="FZU6" s="4"/>
      <c r="FZV6" s="4"/>
      <c r="FZW6" s="4"/>
      <c r="FZZ6" s="34"/>
      <c r="GAA6" s="34"/>
      <c r="GAC6" s="34"/>
      <c r="GAD6" s="72"/>
      <c r="GAE6" s="63"/>
      <c r="GAF6" s="34"/>
      <c r="GAG6" s="64"/>
      <c r="GAH6" s="4"/>
      <c r="GAI6" s="65"/>
      <c r="GAJ6" s="4"/>
      <c r="GAK6" s="4"/>
      <c r="GAL6" s="4"/>
      <c r="GAO6" s="34"/>
      <c r="GAP6" s="34"/>
      <c r="GAR6" s="34"/>
      <c r="GAS6" s="72"/>
      <c r="GAT6" s="63"/>
      <c r="GAU6" s="34"/>
      <c r="GAV6" s="64"/>
      <c r="GAW6" s="4"/>
      <c r="GAX6" s="65"/>
      <c r="GAY6" s="4"/>
      <c r="GAZ6" s="4"/>
      <c r="GBA6" s="4"/>
      <c r="GBD6" s="34"/>
      <c r="GBE6" s="34"/>
      <c r="GBG6" s="34"/>
      <c r="GBH6" s="72"/>
      <c r="GBI6" s="63"/>
      <c r="GBJ6" s="34"/>
      <c r="GBK6" s="64"/>
      <c r="GBL6" s="4"/>
      <c r="GBM6" s="65"/>
      <c r="GBN6" s="4"/>
      <c r="GBO6" s="4"/>
      <c r="GBP6" s="4"/>
      <c r="GBS6" s="34"/>
      <c r="GBT6" s="34"/>
      <c r="GBV6" s="34"/>
      <c r="GBW6" s="72"/>
      <c r="GBX6" s="63"/>
      <c r="GBY6" s="34"/>
      <c r="GBZ6" s="64"/>
      <c r="GCA6" s="4"/>
      <c r="GCB6" s="65"/>
      <c r="GCC6" s="4"/>
      <c r="GCD6" s="4"/>
      <c r="GCE6" s="4"/>
      <c r="GCH6" s="34"/>
      <c r="GCI6" s="34"/>
      <c r="GCK6" s="34"/>
      <c r="GCL6" s="72"/>
      <c r="GCM6" s="63"/>
      <c r="GCN6" s="34"/>
      <c r="GCO6" s="64"/>
      <c r="GCP6" s="4"/>
      <c r="GCQ6" s="65"/>
      <c r="GCR6" s="4"/>
      <c r="GCS6" s="4"/>
      <c r="GCT6" s="4"/>
      <c r="GCW6" s="34"/>
      <c r="GCX6" s="34"/>
      <c r="GCZ6" s="34"/>
      <c r="GDA6" s="72"/>
      <c r="GDB6" s="63"/>
      <c r="GDC6" s="34"/>
      <c r="GDD6" s="64"/>
      <c r="GDE6" s="4"/>
      <c r="GDF6" s="65"/>
      <c r="GDG6" s="4"/>
      <c r="GDH6" s="4"/>
      <c r="GDI6" s="4"/>
      <c r="GDL6" s="34"/>
      <c r="GDM6" s="34"/>
      <c r="GDO6" s="34"/>
      <c r="GDP6" s="72"/>
      <c r="GDQ6" s="63"/>
      <c r="GDR6" s="34"/>
      <c r="GDS6" s="64"/>
      <c r="GDT6" s="4"/>
      <c r="GDU6" s="65"/>
      <c r="GDV6" s="4"/>
      <c r="GDW6" s="4"/>
      <c r="GDX6" s="4"/>
      <c r="GEA6" s="34"/>
      <c r="GEB6" s="34"/>
      <c r="GED6" s="34"/>
      <c r="GEE6" s="72"/>
      <c r="GEF6" s="63"/>
      <c r="GEG6" s="34"/>
      <c r="GEH6" s="64"/>
      <c r="GEI6" s="4"/>
      <c r="GEJ6" s="65"/>
      <c r="GEK6" s="4"/>
      <c r="GEL6" s="4"/>
      <c r="GEM6" s="4"/>
      <c r="GEP6" s="34"/>
      <c r="GEQ6" s="34"/>
      <c r="GES6" s="34"/>
      <c r="GET6" s="72"/>
      <c r="GEU6" s="63"/>
      <c r="GEV6" s="34"/>
      <c r="GEW6" s="64"/>
      <c r="GEX6" s="4"/>
      <c r="GEY6" s="65"/>
      <c r="GEZ6" s="4"/>
      <c r="GFA6" s="4"/>
      <c r="GFB6" s="4"/>
      <c r="GFE6" s="34"/>
      <c r="GFF6" s="34"/>
      <c r="GFH6" s="34"/>
      <c r="GFI6" s="72"/>
      <c r="GFJ6" s="63"/>
      <c r="GFK6" s="34"/>
      <c r="GFL6" s="64"/>
      <c r="GFM6" s="4"/>
      <c r="GFN6" s="65"/>
      <c r="GFO6" s="4"/>
      <c r="GFP6" s="4"/>
      <c r="GFQ6" s="4"/>
      <c r="GFT6" s="34"/>
      <c r="GFU6" s="34"/>
      <c r="GFW6" s="34"/>
      <c r="GFX6" s="72"/>
      <c r="GFY6" s="63"/>
      <c r="GFZ6" s="34"/>
      <c r="GGA6" s="64"/>
      <c r="GGB6" s="4"/>
      <c r="GGC6" s="65"/>
      <c r="GGD6" s="4"/>
      <c r="GGE6" s="4"/>
      <c r="GGF6" s="4"/>
      <c r="GGI6" s="34"/>
      <c r="GGJ6" s="34"/>
      <c r="GGL6" s="34"/>
      <c r="GGM6" s="72"/>
      <c r="GGN6" s="63"/>
      <c r="GGO6" s="34"/>
      <c r="GGP6" s="64"/>
      <c r="GGQ6" s="4"/>
      <c r="GGR6" s="65"/>
      <c r="GGS6" s="4"/>
      <c r="GGT6" s="4"/>
      <c r="GGU6" s="4"/>
      <c r="GGX6" s="34"/>
      <c r="GGY6" s="34"/>
      <c r="GHA6" s="34"/>
      <c r="GHB6" s="72"/>
      <c r="GHC6" s="63"/>
      <c r="GHD6" s="34"/>
      <c r="GHE6" s="64"/>
      <c r="GHF6" s="4"/>
      <c r="GHG6" s="65"/>
      <c r="GHH6" s="4"/>
      <c r="GHI6" s="4"/>
      <c r="GHJ6" s="4"/>
      <c r="GHM6" s="34"/>
      <c r="GHN6" s="34"/>
      <c r="GHP6" s="34"/>
      <c r="GHQ6" s="72"/>
      <c r="GHR6" s="63"/>
      <c r="GHS6" s="34"/>
      <c r="GHT6" s="64"/>
      <c r="GHU6" s="4"/>
      <c r="GHV6" s="65"/>
      <c r="GHW6" s="4"/>
      <c r="GHX6" s="4"/>
      <c r="GHY6" s="4"/>
      <c r="GIB6" s="34"/>
      <c r="GIC6" s="34"/>
      <c r="GIE6" s="34"/>
      <c r="GIF6" s="72"/>
      <c r="GIG6" s="63"/>
      <c r="GIH6" s="34"/>
      <c r="GII6" s="64"/>
      <c r="GIJ6" s="4"/>
      <c r="GIK6" s="65"/>
      <c r="GIL6" s="4"/>
      <c r="GIM6" s="4"/>
      <c r="GIN6" s="4"/>
      <c r="GIQ6" s="34"/>
      <c r="GIR6" s="34"/>
      <c r="GIT6" s="34"/>
      <c r="GIU6" s="72"/>
      <c r="GIV6" s="63"/>
      <c r="GIW6" s="34"/>
      <c r="GIX6" s="64"/>
      <c r="GIY6" s="4"/>
      <c r="GIZ6" s="65"/>
      <c r="GJA6" s="4"/>
      <c r="GJB6" s="4"/>
      <c r="GJC6" s="4"/>
      <c r="GJF6" s="34"/>
      <c r="GJG6" s="34"/>
      <c r="GJI6" s="34"/>
      <c r="GJJ6" s="72"/>
      <c r="GJK6" s="63"/>
      <c r="GJL6" s="34"/>
      <c r="GJM6" s="64"/>
      <c r="GJN6" s="4"/>
      <c r="GJO6" s="65"/>
      <c r="GJP6" s="4"/>
      <c r="GJQ6" s="4"/>
      <c r="GJR6" s="4"/>
      <c r="GJU6" s="34"/>
      <c r="GJV6" s="34"/>
      <c r="GJX6" s="34"/>
      <c r="GJY6" s="72"/>
      <c r="GJZ6" s="63"/>
      <c r="GKA6" s="34"/>
      <c r="GKB6" s="64"/>
      <c r="GKC6" s="4"/>
      <c r="GKD6" s="65"/>
      <c r="GKE6" s="4"/>
      <c r="GKF6" s="4"/>
      <c r="GKG6" s="4"/>
      <c r="GKJ6" s="34"/>
      <c r="GKK6" s="34"/>
      <c r="GKM6" s="34"/>
      <c r="GKN6" s="72"/>
      <c r="GKO6" s="63"/>
      <c r="GKP6" s="34"/>
      <c r="GKQ6" s="64"/>
      <c r="GKR6" s="4"/>
      <c r="GKS6" s="65"/>
      <c r="GKT6" s="4"/>
      <c r="GKU6" s="4"/>
      <c r="GKV6" s="4"/>
      <c r="GKY6" s="34"/>
      <c r="GKZ6" s="34"/>
      <c r="GLB6" s="34"/>
      <c r="GLC6" s="72"/>
      <c r="GLD6" s="63"/>
      <c r="GLE6" s="34"/>
      <c r="GLF6" s="64"/>
      <c r="GLG6" s="4"/>
      <c r="GLH6" s="65"/>
      <c r="GLI6" s="4"/>
      <c r="GLJ6" s="4"/>
      <c r="GLK6" s="4"/>
      <c r="GLN6" s="34"/>
      <c r="GLO6" s="34"/>
      <c r="GLQ6" s="34"/>
      <c r="GLR6" s="72"/>
      <c r="GLS6" s="63"/>
      <c r="GLT6" s="34"/>
      <c r="GLU6" s="64"/>
      <c r="GLV6" s="4"/>
      <c r="GLW6" s="65"/>
      <c r="GLX6" s="4"/>
      <c r="GLY6" s="4"/>
      <c r="GLZ6" s="4"/>
      <c r="GMC6" s="34"/>
      <c r="GMD6" s="34"/>
      <c r="GMF6" s="34"/>
      <c r="GMG6" s="72"/>
      <c r="GMH6" s="63"/>
      <c r="GMI6" s="34"/>
      <c r="GMJ6" s="64"/>
      <c r="GMK6" s="4"/>
      <c r="GML6" s="65"/>
      <c r="GMM6" s="4"/>
      <c r="GMN6" s="4"/>
      <c r="GMO6" s="4"/>
      <c r="GMR6" s="34"/>
      <c r="GMS6" s="34"/>
      <c r="GMU6" s="34"/>
      <c r="GMV6" s="72"/>
      <c r="GMW6" s="63"/>
      <c r="GMX6" s="34"/>
      <c r="GMY6" s="64"/>
      <c r="GMZ6" s="4"/>
      <c r="GNA6" s="65"/>
      <c r="GNB6" s="4"/>
      <c r="GNC6" s="4"/>
      <c r="GND6" s="4"/>
      <c r="GNG6" s="34"/>
      <c r="GNH6" s="34"/>
      <c r="GNJ6" s="34"/>
      <c r="GNK6" s="72"/>
      <c r="GNL6" s="63"/>
      <c r="GNM6" s="34"/>
      <c r="GNN6" s="64"/>
      <c r="GNO6" s="4"/>
      <c r="GNP6" s="65"/>
      <c r="GNQ6" s="4"/>
      <c r="GNR6" s="4"/>
      <c r="GNS6" s="4"/>
      <c r="GNV6" s="34"/>
      <c r="GNW6" s="34"/>
      <c r="GNY6" s="34"/>
      <c r="GNZ6" s="72"/>
      <c r="GOA6" s="63"/>
      <c r="GOB6" s="34"/>
      <c r="GOC6" s="64"/>
      <c r="GOD6" s="4"/>
      <c r="GOE6" s="65"/>
      <c r="GOF6" s="4"/>
      <c r="GOG6" s="4"/>
      <c r="GOH6" s="4"/>
      <c r="GOK6" s="34"/>
      <c r="GOL6" s="34"/>
      <c r="GON6" s="34"/>
      <c r="GOO6" s="72"/>
      <c r="GOP6" s="63"/>
      <c r="GOQ6" s="34"/>
      <c r="GOR6" s="64"/>
      <c r="GOS6" s="4"/>
      <c r="GOT6" s="65"/>
      <c r="GOU6" s="4"/>
      <c r="GOV6" s="4"/>
      <c r="GOW6" s="4"/>
      <c r="GOZ6" s="34"/>
      <c r="GPA6" s="34"/>
      <c r="GPC6" s="34"/>
      <c r="GPD6" s="72"/>
      <c r="GPE6" s="63"/>
      <c r="GPF6" s="34"/>
      <c r="GPG6" s="64"/>
      <c r="GPH6" s="4"/>
      <c r="GPI6" s="65"/>
      <c r="GPJ6" s="4"/>
      <c r="GPK6" s="4"/>
      <c r="GPL6" s="4"/>
      <c r="GPO6" s="34"/>
      <c r="GPP6" s="34"/>
      <c r="GPR6" s="34"/>
      <c r="GPS6" s="72"/>
      <c r="GPT6" s="63"/>
      <c r="GPU6" s="34"/>
      <c r="GPV6" s="64"/>
      <c r="GPW6" s="4"/>
      <c r="GPX6" s="65"/>
      <c r="GPY6" s="4"/>
      <c r="GPZ6" s="4"/>
      <c r="GQA6" s="4"/>
      <c r="GQD6" s="34"/>
      <c r="GQE6" s="34"/>
      <c r="GQG6" s="34"/>
      <c r="GQH6" s="72"/>
      <c r="GQI6" s="63"/>
      <c r="GQJ6" s="34"/>
      <c r="GQK6" s="64"/>
      <c r="GQL6" s="4"/>
      <c r="GQM6" s="65"/>
      <c r="GQN6" s="4"/>
      <c r="GQO6" s="4"/>
      <c r="GQP6" s="4"/>
      <c r="GQS6" s="34"/>
      <c r="GQT6" s="34"/>
      <c r="GQV6" s="34"/>
      <c r="GQW6" s="72"/>
      <c r="GQX6" s="63"/>
      <c r="GQY6" s="34"/>
      <c r="GQZ6" s="64"/>
      <c r="GRA6" s="4"/>
      <c r="GRB6" s="65"/>
      <c r="GRC6" s="4"/>
      <c r="GRD6" s="4"/>
      <c r="GRE6" s="4"/>
      <c r="GRH6" s="34"/>
      <c r="GRI6" s="34"/>
      <c r="GRK6" s="34"/>
      <c r="GRL6" s="72"/>
      <c r="GRM6" s="63"/>
      <c r="GRN6" s="34"/>
      <c r="GRO6" s="64"/>
      <c r="GRP6" s="4"/>
      <c r="GRQ6" s="65"/>
      <c r="GRR6" s="4"/>
      <c r="GRS6" s="4"/>
      <c r="GRT6" s="4"/>
      <c r="GRW6" s="34"/>
      <c r="GRX6" s="34"/>
      <c r="GRZ6" s="34"/>
      <c r="GSA6" s="72"/>
      <c r="GSB6" s="63"/>
      <c r="GSC6" s="34"/>
      <c r="GSD6" s="64"/>
      <c r="GSE6" s="4"/>
      <c r="GSF6" s="65"/>
      <c r="GSG6" s="4"/>
      <c r="GSH6" s="4"/>
      <c r="GSI6" s="4"/>
      <c r="GSL6" s="34"/>
      <c r="GSM6" s="34"/>
      <c r="GSO6" s="34"/>
      <c r="GSP6" s="72"/>
      <c r="GSQ6" s="63"/>
      <c r="GSR6" s="34"/>
      <c r="GSS6" s="64"/>
      <c r="GST6" s="4"/>
      <c r="GSU6" s="65"/>
      <c r="GSV6" s="4"/>
      <c r="GSW6" s="4"/>
      <c r="GSX6" s="4"/>
      <c r="GTA6" s="34"/>
      <c r="GTB6" s="34"/>
      <c r="GTD6" s="34"/>
      <c r="GTE6" s="72"/>
      <c r="GTF6" s="63"/>
      <c r="GTG6" s="34"/>
      <c r="GTH6" s="64"/>
      <c r="GTI6" s="4"/>
      <c r="GTJ6" s="65"/>
      <c r="GTK6" s="4"/>
      <c r="GTL6" s="4"/>
      <c r="GTM6" s="4"/>
      <c r="GTP6" s="34"/>
      <c r="GTQ6" s="34"/>
      <c r="GTS6" s="34"/>
      <c r="GTT6" s="72"/>
      <c r="GTU6" s="63"/>
      <c r="GTV6" s="34"/>
      <c r="GTW6" s="64"/>
      <c r="GTX6" s="4"/>
      <c r="GTY6" s="65"/>
      <c r="GTZ6" s="4"/>
      <c r="GUA6" s="4"/>
      <c r="GUB6" s="4"/>
      <c r="GUE6" s="34"/>
      <c r="GUF6" s="34"/>
      <c r="GUH6" s="34"/>
      <c r="GUI6" s="72"/>
      <c r="GUJ6" s="63"/>
      <c r="GUK6" s="34"/>
      <c r="GUL6" s="64"/>
      <c r="GUM6" s="4"/>
      <c r="GUN6" s="65"/>
      <c r="GUO6" s="4"/>
      <c r="GUP6" s="4"/>
      <c r="GUQ6" s="4"/>
      <c r="GUT6" s="34"/>
      <c r="GUU6" s="34"/>
      <c r="GUW6" s="34"/>
      <c r="GUX6" s="72"/>
      <c r="GUY6" s="63"/>
      <c r="GUZ6" s="34"/>
      <c r="GVA6" s="64"/>
      <c r="GVB6" s="4"/>
      <c r="GVC6" s="65"/>
      <c r="GVD6" s="4"/>
      <c r="GVE6" s="4"/>
      <c r="GVF6" s="4"/>
      <c r="GVI6" s="34"/>
      <c r="GVJ6" s="34"/>
      <c r="GVL6" s="34"/>
      <c r="GVM6" s="72"/>
      <c r="GVN6" s="63"/>
      <c r="GVO6" s="34"/>
      <c r="GVP6" s="64"/>
      <c r="GVQ6" s="4"/>
      <c r="GVR6" s="65"/>
      <c r="GVS6" s="4"/>
      <c r="GVT6" s="4"/>
      <c r="GVU6" s="4"/>
      <c r="GVX6" s="34"/>
      <c r="GVY6" s="34"/>
      <c r="GWA6" s="34"/>
      <c r="GWB6" s="72"/>
      <c r="GWC6" s="63"/>
      <c r="GWD6" s="34"/>
      <c r="GWE6" s="64"/>
      <c r="GWF6" s="4"/>
      <c r="GWG6" s="65"/>
      <c r="GWH6" s="4"/>
      <c r="GWI6" s="4"/>
      <c r="GWJ6" s="4"/>
      <c r="GWM6" s="34"/>
      <c r="GWN6" s="34"/>
      <c r="GWP6" s="34"/>
      <c r="GWQ6" s="72"/>
      <c r="GWR6" s="63"/>
      <c r="GWS6" s="34"/>
      <c r="GWT6" s="64"/>
      <c r="GWU6" s="4"/>
      <c r="GWV6" s="65"/>
      <c r="GWW6" s="4"/>
      <c r="GWX6" s="4"/>
      <c r="GWY6" s="4"/>
      <c r="GXB6" s="34"/>
      <c r="GXC6" s="34"/>
      <c r="GXE6" s="34"/>
      <c r="GXF6" s="72"/>
      <c r="GXG6" s="63"/>
      <c r="GXH6" s="34"/>
      <c r="GXI6" s="64"/>
      <c r="GXJ6" s="4"/>
      <c r="GXK6" s="65"/>
      <c r="GXL6" s="4"/>
      <c r="GXM6" s="4"/>
      <c r="GXN6" s="4"/>
      <c r="GXQ6" s="34"/>
      <c r="GXR6" s="34"/>
      <c r="GXT6" s="34"/>
      <c r="GXU6" s="72"/>
      <c r="GXV6" s="63"/>
      <c r="GXW6" s="34"/>
      <c r="GXX6" s="64"/>
      <c r="GXY6" s="4"/>
      <c r="GXZ6" s="65"/>
      <c r="GYA6" s="4"/>
      <c r="GYB6" s="4"/>
      <c r="GYC6" s="4"/>
      <c r="GYF6" s="34"/>
      <c r="GYG6" s="34"/>
      <c r="GYI6" s="34"/>
      <c r="GYJ6" s="72"/>
      <c r="GYK6" s="63"/>
      <c r="GYL6" s="34"/>
      <c r="GYM6" s="64"/>
      <c r="GYN6" s="4"/>
      <c r="GYO6" s="65"/>
      <c r="GYP6" s="4"/>
      <c r="GYQ6" s="4"/>
      <c r="GYR6" s="4"/>
      <c r="GYU6" s="34"/>
      <c r="GYV6" s="34"/>
      <c r="GYX6" s="34"/>
      <c r="GYY6" s="72"/>
      <c r="GYZ6" s="63"/>
      <c r="GZA6" s="34"/>
      <c r="GZB6" s="64"/>
      <c r="GZC6" s="4"/>
      <c r="GZD6" s="65"/>
      <c r="GZE6" s="4"/>
      <c r="GZF6" s="4"/>
      <c r="GZG6" s="4"/>
      <c r="GZJ6" s="34"/>
      <c r="GZK6" s="34"/>
      <c r="GZM6" s="34"/>
      <c r="GZN6" s="72"/>
      <c r="GZO6" s="63"/>
      <c r="GZP6" s="34"/>
      <c r="GZQ6" s="64"/>
      <c r="GZR6" s="4"/>
      <c r="GZS6" s="65"/>
      <c r="GZT6" s="4"/>
      <c r="GZU6" s="4"/>
      <c r="GZV6" s="4"/>
      <c r="GZY6" s="34"/>
      <c r="GZZ6" s="34"/>
      <c r="HAB6" s="34"/>
      <c r="HAC6" s="72"/>
      <c r="HAD6" s="63"/>
      <c r="HAE6" s="34"/>
      <c r="HAF6" s="64"/>
      <c r="HAG6" s="4"/>
      <c r="HAH6" s="65"/>
      <c r="HAI6" s="4"/>
      <c r="HAJ6" s="4"/>
      <c r="HAK6" s="4"/>
      <c r="HAN6" s="34"/>
      <c r="HAO6" s="34"/>
      <c r="HAQ6" s="34"/>
      <c r="HAR6" s="72"/>
      <c r="HAS6" s="63"/>
      <c r="HAT6" s="34"/>
      <c r="HAU6" s="64"/>
      <c r="HAV6" s="4"/>
      <c r="HAW6" s="65"/>
      <c r="HAX6" s="4"/>
      <c r="HAY6" s="4"/>
      <c r="HAZ6" s="4"/>
      <c r="HBC6" s="34"/>
      <c r="HBD6" s="34"/>
      <c r="HBF6" s="34"/>
      <c r="HBG6" s="72"/>
      <c r="HBH6" s="63"/>
      <c r="HBI6" s="34"/>
      <c r="HBJ6" s="64"/>
      <c r="HBK6" s="4"/>
      <c r="HBL6" s="65"/>
      <c r="HBM6" s="4"/>
      <c r="HBN6" s="4"/>
      <c r="HBO6" s="4"/>
      <c r="HBR6" s="34"/>
      <c r="HBS6" s="34"/>
      <c r="HBU6" s="34"/>
      <c r="HBV6" s="72"/>
      <c r="HBW6" s="63"/>
      <c r="HBX6" s="34"/>
      <c r="HBY6" s="64"/>
      <c r="HBZ6" s="4"/>
      <c r="HCA6" s="65"/>
      <c r="HCB6" s="4"/>
      <c r="HCC6" s="4"/>
      <c r="HCD6" s="4"/>
      <c r="HCG6" s="34"/>
      <c r="HCH6" s="34"/>
      <c r="HCJ6" s="34"/>
      <c r="HCK6" s="72"/>
      <c r="HCL6" s="63"/>
      <c r="HCM6" s="34"/>
      <c r="HCN6" s="64"/>
      <c r="HCO6" s="4"/>
      <c r="HCP6" s="65"/>
      <c r="HCQ6" s="4"/>
      <c r="HCR6" s="4"/>
      <c r="HCS6" s="4"/>
      <c r="HCV6" s="34"/>
      <c r="HCW6" s="34"/>
      <c r="HCY6" s="34"/>
      <c r="HCZ6" s="72"/>
      <c r="HDA6" s="63"/>
      <c r="HDB6" s="34"/>
      <c r="HDC6" s="64"/>
      <c r="HDD6" s="4"/>
      <c r="HDE6" s="65"/>
      <c r="HDF6" s="4"/>
      <c r="HDG6" s="4"/>
      <c r="HDH6" s="4"/>
      <c r="HDK6" s="34"/>
      <c r="HDL6" s="34"/>
      <c r="HDN6" s="34"/>
      <c r="HDO6" s="72"/>
      <c r="HDP6" s="63"/>
      <c r="HDQ6" s="34"/>
      <c r="HDR6" s="64"/>
      <c r="HDS6" s="4"/>
      <c r="HDT6" s="65"/>
      <c r="HDU6" s="4"/>
      <c r="HDV6" s="4"/>
      <c r="HDW6" s="4"/>
      <c r="HDZ6" s="34"/>
      <c r="HEA6" s="34"/>
      <c r="HEC6" s="34"/>
      <c r="HED6" s="72"/>
      <c r="HEE6" s="63"/>
      <c r="HEF6" s="34"/>
      <c r="HEG6" s="64"/>
      <c r="HEH6" s="4"/>
      <c r="HEI6" s="65"/>
      <c r="HEJ6" s="4"/>
      <c r="HEK6" s="4"/>
      <c r="HEL6" s="4"/>
      <c r="HEO6" s="34"/>
      <c r="HEP6" s="34"/>
      <c r="HER6" s="34"/>
      <c r="HES6" s="72"/>
      <c r="HET6" s="63"/>
      <c r="HEU6" s="34"/>
      <c r="HEV6" s="64"/>
      <c r="HEW6" s="4"/>
      <c r="HEX6" s="65"/>
      <c r="HEY6" s="4"/>
      <c r="HEZ6" s="4"/>
      <c r="HFA6" s="4"/>
      <c r="HFD6" s="34"/>
      <c r="HFE6" s="34"/>
      <c r="HFG6" s="34"/>
      <c r="HFH6" s="72"/>
      <c r="HFI6" s="63"/>
      <c r="HFJ6" s="34"/>
      <c r="HFK6" s="64"/>
      <c r="HFL6" s="4"/>
      <c r="HFM6" s="65"/>
      <c r="HFN6" s="4"/>
      <c r="HFO6" s="4"/>
      <c r="HFP6" s="4"/>
      <c r="HFS6" s="34"/>
      <c r="HFT6" s="34"/>
      <c r="HFV6" s="34"/>
      <c r="HFW6" s="72"/>
      <c r="HFX6" s="63"/>
      <c r="HFY6" s="34"/>
      <c r="HFZ6" s="64"/>
      <c r="HGA6" s="4"/>
      <c r="HGB6" s="65"/>
      <c r="HGC6" s="4"/>
      <c r="HGD6" s="4"/>
      <c r="HGE6" s="4"/>
      <c r="HGH6" s="34"/>
      <c r="HGI6" s="34"/>
      <c r="HGK6" s="34"/>
      <c r="HGL6" s="72"/>
      <c r="HGM6" s="63"/>
      <c r="HGN6" s="34"/>
      <c r="HGO6" s="64"/>
      <c r="HGP6" s="4"/>
      <c r="HGQ6" s="65"/>
      <c r="HGR6" s="4"/>
      <c r="HGS6" s="4"/>
      <c r="HGT6" s="4"/>
      <c r="HGW6" s="34"/>
      <c r="HGX6" s="34"/>
      <c r="HGZ6" s="34"/>
      <c r="HHA6" s="72"/>
      <c r="HHB6" s="63"/>
      <c r="HHC6" s="34"/>
      <c r="HHD6" s="64"/>
      <c r="HHE6" s="4"/>
      <c r="HHF6" s="65"/>
      <c r="HHG6" s="4"/>
      <c r="HHH6" s="4"/>
      <c r="HHI6" s="4"/>
      <c r="HHL6" s="34"/>
      <c r="HHM6" s="34"/>
      <c r="HHO6" s="34"/>
      <c r="HHP6" s="72"/>
      <c r="HHQ6" s="63"/>
      <c r="HHR6" s="34"/>
      <c r="HHS6" s="64"/>
      <c r="HHT6" s="4"/>
      <c r="HHU6" s="65"/>
      <c r="HHV6" s="4"/>
      <c r="HHW6" s="4"/>
      <c r="HHX6" s="4"/>
      <c r="HIA6" s="34"/>
      <c r="HIB6" s="34"/>
      <c r="HID6" s="34"/>
      <c r="HIE6" s="72"/>
      <c r="HIF6" s="63"/>
      <c r="HIG6" s="34"/>
      <c r="HIH6" s="64"/>
      <c r="HII6" s="4"/>
      <c r="HIJ6" s="65"/>
      <c r="HIK6" s="4"/>
      <c r="HIL6" s="4"/>
      <c r="HIM6" s="4"/>
      <c r="HIP6" s="34"/>
      <c r="HIQ6" s="34"/>
      <c r="HIS6" s="34"/>
      <c r="HIT6" s="72"/>
      <c r="HIU6" s="63"/>
      <c r="HIV6" s="34"/>
      <c r="HIW6" s="64"/>
      <c r="HIX6" s="4"/>
      <c r="HIY6" s="65"/>
      <c r="HIZ6" s="4"/>
      <c r="HJA6" s="4"/>
      <c r="HJB6" s="4"/>
      <c r="HJE6" s="34"/>
      <c r="HJF6" s="34"/>
      <c r="HJH6" s="34"/>
      <c r="HJI6" s="72"/>
      <c r="HJJ6" s="63"/>
      <c r="HJK6" s="34"/>
      <c r="HJL6" s="64"/>
      <c r="HJM6" s="4"/>
      <c r="HJN6" s="65"/>
      <c r="HJO6" s="4"/>
      <c r="HJP6" s="4"/>
      <c r="HJQ6" s="4"/>
      <c r="HJT6" s="34"/>
      <c r="HJU6" s="34"/>
      <c r="HJW6" s="34"/>
      <c r="HJX6" s="72"/>
      <c r="HJY6" s="63"/>
      <c r="HJZ6" s="34"/>
      <c r="HKA6" s="64"/>
      <c r="HKB6" s="4"/>
      <c r="HKC6" s="65"/>
      <c r="HKD6" s="4"/>
      <c r="HKE6" s="4"/>
      <c r="HKF6" s="4"/>
      <c r="HKI6" s="34"/>
      <c r="HKJ6" s="34"/>
      <c r="HKL6" s="34"/>
      <c r="HKM6" s="72"/>
      <c r="HKN6" s="63"/>
      <c r="HKO6" s="34"/>
      <c r="HKP6" s="64"/>
      <c r="HKQ6" s="4"/>
      <c r="HKR6" s="65"/>
      <c r="HKS6" s="4"/>
      <c r="HKT6" s="4"/>
      <c r="HKU6" s="4"/>
      <c r="HKX6" s="34"/>
      <c r="HKY6" s="34"/>
      <c r="HLA6" s="34"/>
      <c r="HLB6" s="72"/>
      <c r="HLC6" s="63"/>
      <c r="HLD6" s="34"/>
      <c r="HLE6" s="64"/>
      <c r="HLF6" s="4"/>
      <c r="HLG6" s="65"/>
      <c r="HLH6" s="4"/>
      <c r="HLI6" s="4"/>
      <c r="HLJ6" s="4"/>
      <c r="HLM6" s="34"/>
      <c r="HLN6" s="34"/>
      <c r="HLP6" s="34"/>
      <c r="HLQ6" s="72"/>
      <c r="HLR6" s="63"/>
      <c r="HLS6" s="34"/>
      <c r="HLT6" s="64"/>
      <c r="HLU6" s="4"/>
      <c r="HLV6" s="65"/>
      <c r="HLW6" s="4"/>
      <c r="HLX6" s="4"/>
      <c r="HLY6" s="4"/>
      <c r="HMB6" s="34"/>
      <c r="HMC6" s="34"/>
      <c r="HME6" s="34"/>
      <c r="HMF6" s="72"/>
      <c r="HMG6" s="63"/>
      <c r="HMH6" s="34"/>
      <c r="HMI6" s="64"/>
      <c r="HMJ6" s="4"/>
      <c r="HMK6" s="65"/>
      <c r="HML6" s="4"/>
      <c r="HMM6" s="4"/>
      <c r="HMN6" s="4"/>
      <c r="HMQ6" s="34"/>
      <c r="HMR6" s="34"/>
      <c r="HMT6" s="34"/>
      <c r="HMU6" s="72"/>
      <c r="HMV6" s="63"/>
      <c r="HMW6" s="34"/>
      <c r="HMX6" s="64"/>
      <c r="HMY6" s="4"/>
      <c r="HMZ6" s="65"/>
      <c r="HNA6" s="4"/>
      <c r="HNB6" s="4"/>
      <c r="HNC6" s="4"/>
      <c r="HNF6" s="34"/>
      <c r="HNG6" s="34"/>
      <c r="HNI6" s="34"/>
      <c r="HNJ6" s="72"/>
      <c r="HNK6" s="63"/>
      <c r="HNL6" s="34"/>
      <c r="HNM6" s="64"/>
      <c r="HNN6" s="4"/>
      <c r="HNO6" s="65"/>
      <c r="HNP6" s="4"/>
      <c r="HNQ6" s="4"/>
      <c r="HNR6" s="4"/>
      <c r="HNU6" s="34"/>
      <c r="HNV6" s="34"/>
      <c r="HNX6" s="34"/>
      <c r="HNY6" s="72"/>
      <c r="HNZ6" s="63"/>
      <c r="HOA6" s="34"/>
      <c r="HOB6" s="64"/>
      <c r="HOC6" s="4"/>
      <c r="HOD6" s="65"/>
      <c r="HOE6" s="4"/>
      <c r="HOF6" s="4"/>
      <c r="HOG6" s="4"/>
      <c r="HOJ6" s="34"/>
      <c r="HOK6" s="34"/>
      <c r="HOM6" s="34"/>
      <c r="HON6" s="72"/>
      <c r="HOO6" s="63"/>
      <c r="HOP6" s="34"/>
      <c r="HOQ6" s="64"/>
      <c r="HOR6" s="4"/>
      <c r="HOS6" s="65"/>
      <c r="HOT6" s="4"/>
      <c r="HOU6" s="4"/>
      <c r="HOV6" s="4"/>
      <c r="HOY6" s="34"/>
      <c r="HOZ6" s="34"/>
      <c r="HPB6" s="34"/>
      <c r="HPC6" s="72"/>
      <c r="HPD6" s="63"/>
      <c r="HPE6" s="34"/>
      <c r="HPF6" s="64"/>
      <c r="HPG6" s="4"/>
      <c r="HPH6" s="65"/>
      <c r="HPI6" s="4"/>
      <c r="HPJ6" s="4"/>
      <c r="HPK6" s="4"/>
      <c r="HPN6" s="34"/>
      <c r="HPO6" s="34"/>
      <c r="HPQ6" s="34"/>
      <c r="HPR6" s="72"/>
      <c r="HPS6" s="63"/>
      <c r="HPT6" s="34"/>
      <c r="HPU6" s="64"/>
      <c r="HPV6" s="4"/>
      <c r="HPW6" s="65"/>
      <c r="HPX6" s="4"/>
      <c r="HPY6" s="4"/>
      <c r="HPZ6" s="4"/>
      <c r="HQC6" s="34"/>
      <c r="HQD6" s="34"/>
      <c r="HQF6" s="34"/>
      <c r="HQG6" s="72"/>
      <c r="HQH6" s="63"/>
      <c r="HQI6" s="34"/>
      <c r="HQJ6" s="64"/>
      <c r="HQK6" s="4"/>
      <c r="HQL6" s="65"/>
      <c r="HQM6" s="4"/>
      <c r="HQN6" s="4"/>
      <c r="HQO6" s="4"/>
      <c r="HQR6" s="34"/>
      <c r="HQS6" s="34"/>
      <c r="HQU6" s="34"/>
      <c r="HQV6" s="72"/>
      <c r="HQW6" s="63"/>
      <c r="HQX6" s="34"/>
      <c r="HQY6" s="64"/>
      <c r="HQZ6" s="4"/>
      <c r="HRA6" s="65"/>
      <c r="HRB6" s="4"/>
      <c r="HRC6" s="4"/>
      <c r="HRD6" s="4"/>
      <c r="HRG6" s="34"/>
      <c r="HRH6" s="34"/>
      <c r="HRJ6" s="34"/>
      <c r="HRK6" s="72"/>
      <c r="HRL6" s="63"/>
      <c r="HRM6" s="34"/>
      <c r="HRN6" s="64"/>
      <c r="HRO6" s="4"/>
      <c r="HRP6" s="65"/>
      <c r="HRQ6" s="4"/>
      <c r="HRR6" s="4"/>
      <c r="HRS6" s="4"/>
      <c r="HRV6" s="34"/>
      <c r="HRW6" s="34"/>
      <c r="HRY6" s="34"/>
      <c r="HRZ6" s="72"/>
      <c r="HSA6" s="63"/>
      <c r="HSB6" s="34"/>
      <c r="HSC6" s="64"/>
      <c r="HSD6" s="4"/>
      <c r="HSE6" s="65"/>
      <c r="HSF6" s="4"/>
      <c r="HSG6" s="4"/>
      <c r="HSH6" s="4"/>
      <c r="HSK6" s="34"/>
      <c r="HSL6" s="34"/>
      <c r="HSN6" s="34"/>
      <c r="HSO6" s="72"/>
      <c r="HSP6" s="63"/>
      <c r="HSQ6" s="34"/>
      <c r="HSR6" s="64"/>
      <c r="HSS6" s="4"/>
      <c r="HST6" s="65"/>
      <c r="HSU6" s="4"/>
      <c r="HSV6" s="4"/>
      <c r="HSW6" s="4"/>
      <c r="HSZ6" s="34"/>
      <c r="HTA6" s="34"/>
      <c r="HTC6" s="34"/>
      <c r="HTD6" s="72"/>
      <c r="HTE6" s="63"/>
      <c r="HTF6" s="34"/>
      <c r="HTG6" s="64"/>
      <c r="HTH6" s="4"/>
      <c r="HTI6" s="65"/>
      <c r="HTJ6" s="4"/>
      <c r="HTK6" s="4"/>
      <c r="HTL6" s="4"/>
      <c r="HTO6" s="34"/>
      <c r="HTP6" s="34"/>
      <c r="HTR6" s="34"/>
      <c r="HTS6" s="72"/>
      <c r="HTT6" s="63"/>
      <c r="HTU6" s="34"/>
      <c r="HTV6" s="64"/>
      <c r="HTW6" s="4"/>
      <c r="HTX6" s="65"/>
      <c r="HTY6" s="4"/>
      <c r="HTZ6" s="4"/>
      <c r="HUA6" s="4"/>
      <c r="HUD6" s="34"/>
      <c r="HUE6" s="34"/>
      <c r="HUG6" s="34"/>
      <c r="HUH6" s="72"/>
      <c r="HUI6" s="63"/>
      <c r="HUJ6" s="34"/>
      <c r="HUK6" s="64"/>
      <c r="HUL6" s="4"/>
      <c r="HUM6" s="65"/>
      <c r="HUN6" s="4"/>
      <c r="HUO6" s="4"/>
      <c r="HUP6" s="4"/>
      <c r="HUS6" s="34"/>
      <c r="HUT6" s="34"/>
      <c r="HUV6" s="34"/>
      <c r="HUW6" s="72"/>
      <c r="HUX6" s="63"/>
      <c r="HUY6" s="34"/>
      <c r="HUZ6" s="64"/>
      <c r="HVA6" s="4"/>
      <c r="HVB6" s="65"/>
      <c r="HVC6" s="4"/>
      <c r="HVD6" s="4"/>
      <c r="HVE6" s="4"/>
      <c r="HVH6" s="34"/>
      <c r="HVI6" s="34"/>
      <c r="HVK6" s="34"/>
      <c r="HVL6" s="72"/>
      <c r="HVM6" s="63"/>
      <c r="HVN6" s="34"/>
      <c r="HVO6" s="64"/>
      <c r="HVP6" s="4"/>
      <c r="HVQ6" s="65"/>
      <c r="HVR6" s="4"/>
      <c r="HVS6" s="4"/>
      <c r="HVT6" s="4"/>
      <c r="HVW6" s="34"/>
      <c r="HVX6" s="34"/>
      <c r="HVZ6" s="34"/>
      <c r="HWA6" s="72"/>
      <c r="HWB6" s="63"/>
      <c r="HWC6" s="34"/>
      <c r="HWD6" s="64"/>
      <c r="HWE6" s="4"/>
      <c r="HWF6" s="65"/>
      <c r="HWG6" s="4"/>
      <c r="HWH6" s="4"/>
      <c r="HWI6" s="4"/>
      <c r="HWL6" s="34"/>
      <c r="HWM6" s="34"/>
      <c r="HWO6" s="34"/>
      <c r="HWP6" s="72"/>
      <c r="HWQ6" s="63"/>
      <c r="HWR6" s="34"/>
      <c r="HWS6" s="64"/>
      <c r="HWT6" s="4"/>
      <c r="HWU6" s="65"/>
      <c r="HWV6" s="4"/>
      <c r="HWW6" s="4"/>
      <c r="HWX6" s="4"/>
      <c r="HXA6" s="34"/>
      <c r="HXB6" s="34"/>
      <c r="HXD6" s="34"/>
      <c r="HXE6" s="72"/>
      <c r="HXF6" s="63"/>
      <c r="HXG6" s="34"/>
      <c r="HXH6" s="64"/>
      <c r="HXI6" s="4"/>
      <c r="HXJ6" s="65"/>
      <c r="HXK6" s="4"/>
      <c r="HXL6" s="4"/>
      <c r="HXM6" s="4"/>
      <c r="HXP6" s="34"/>
      <c r="HXQ6" s="34"/>
      <c r="HXS6" s="34"/>
      <c r="HXT6" s="72"/>
      <c r="HXU6" s="63"/>
      <c r="HXV6" s="34"/>
      <c r="HXW6" s="64"/>
      <c r="HXX6" s="4"/>
      <c r="HXY6" s="65"/>
      <c r="HXZ6" s="4"/>
      <c r="HYA6" s="4"/>
      <c r="HYB6" s="4"/>
      <c r="HYE6" s="34"/>
      <c r="HYF6" s="34"/>
      <c r="HYH6" s="34"/>
      <c r="HYI6" s="72"/>
      <c r="HYJ6" s="63"/>
      <c r="HYK6" s="34"/>
      <c r="HYL6" s="64"/>
      <c r="HYM6" s="4"/>
      <c r="HYN6" s="65"/>
      <c r="HYO6" s="4"/>
      <c r="HYP6" s="4"/>
      <c r="HYQ6" s="4"/>
      <c r="HYT6" s="34"/>
      <c r="HYU6" s="34"/>
      <c r="HYW6" s="34"/>
      <c r="HYX6" s="72"/>
      <c r="HYY6" s="63"/>
      <c r="HYZ6" s="34"/>
      <c r="HZA6" s="64"/>
      <c r="HZB6" s="4"/>
      <c r="HZC6" s="65"/>
      <c r="HZD6" s="4"/>
      <c r="HZE6" s="4"/>
      <c r="HZF6" s="4"/>
      <c r="HZI6" s="34"/>
      <c r="HZJ6" s="34"/>
      <c r="HZL6" s="34"/>
      <c r="HZM6" s="72"/>
      <c r="HZN6" s="63"/>
      <c r="HZO6" s="34"/>
      <c r="HZP6" s="64"/>
      <c r="HZQ6" s="4"/>
      <c r="HZR6" s="65"/>
      <c r="HZS6" s="4"/>
      <c r="HZT6" s="4"/>
      <c r="HZU6" s="4"/>
      <c r="HZX6" s="34"/>
      <c r="HZY6" s="34"/>
      <c r="IAA6" s="34"/>
      <c r="IAB6" s="72"/>
      <c r="IAC6" s="63"/>
      <c r="IAD6" s="34"/>
      <c r="IAE6" s="64"/>
      <c r="IAF6" s="4"/>
      <c r="IAG6" s="65"/>
      <c r="IAH6" s="4"/>
      <c r="IAI6" s="4"/>
      <c r="IAJ6" s="4"/>
      <c r="IAM6" s="34"/>
      <c r="IAN6" s="34"/>
      <c r="IAP6" s="34"/>
      <c r="IAQ6" s="72"/>
      <c r="IAR6" s="63"/>
      <c r="IAS6" s="34"/>
      <c r="IAT6" s="64"/>
      <c r="IAU6" s="4"/>
      <c r="IAV6" s="65"/>
      <c r="IAW6" s="4"/>
      <c r="IAX6" s="4"/>
      <c r="IAY6" s="4"/>
      <c r="IBB6" s="34"/>
      <c r="IBC6" s="34"/>
      <c r="IBE6" s="34"/>
      <c r="IBF6" s="72"/>
      <c r="IBG6" s="63"/>
      <c r="IBH6" s="34"/>
      <c r="IBI6" s="64"/>
      <c r="IBJ6" s="4"/>
      <c r="IBK6" s="65"/>
      <c r="IBL6" s="4"/>
      <c r="IBM6" s="4"/>
      <c r="IBN6" s="4"/>
      <c r="IBQ6" s="34"/>
      <c r="IBR6" s="34"/>
      <c r="IBT6" s="34"/>
      <c r="IBU6" s="72"/>
      <c r="IBV6" s="63"/>
      <c r="IBW6" s="34"/>
      <c r="IBX6" s="64"/>
      <c r="IBY6" s="4"/>
      <c r="IBZ6" s="65"/>
      <c r="ICA6" s="4"/>
      <c r="ICB6" s="4"/>
      <c r="ICC6" s="4"/>
      <c r="ICF6" s="34"/>
      <c r="ICG6" s="34"/>
      <c r="ICI6" s="34"/>
      <c r="ICJ6" s="72"/>
      <c r="ICK6" s="63"/>
      <c r="ICL6" s="34"/>
      <c r="ICM6" s="64"/>
      <c r="ICN6" s="4"/>
      <c r="ICO6" s="65"/>
      <c r="ICP6" s="4"/>
      <c r="ICQ6" s="4"/>
      <c r="ICR6" s="4"/>
      <c r="ICU6" s="34"/>
      <c r="ICV6" s="34"/>
      <c r="ICX6" s="34"/>
      <c r="ICY6" s="72"/>
      <c r="ICZ6" s="63"/>
      <c r="IDA6" s="34"/>
      <c r="IDB6" s="64"/>
      <c r="IDC6" s="4"/>
      <c r="IDD6" s="65"/>
      <c r="IDE6" s="4"/>
      <c r="IDF6" s="4"/>
      <c r="IDG6" s="4"/>
      <c r="IDJ6" s="34"/>
      <c r="IDK6" s="34"/>
      <c r="IDM6" s="34"/>
      <c r="IDN6" s="72"/>
      <c r="IDO6" s="63"/>
      <c r="IDP6" s="34"/>
      <c r="IDQ6" s="64"/>
      <c r="IDR6" s="4"/>
      <c r="IDS6" s="65"/>
      <c r="IDT6" s="4"/>
      <c r="IDU6" s="4"/>
      <c r="IDV6" s="4"/>
      <c r="IDY6" s="34"/>
      <c r="IDZ6" s="34"/>
      <c r="IEB6" s="34"/>
      <c r="IEC6" s="72"/>
      <c r="IED6" s="63"/>
      <c r="IEE6" s="34"/>
      <c r="IEF6" s="64"/>
      <c r="IEG6" s="4"/>
      <c r="IEH6" s="65"/>
      <c r="IEI6" s="4"/>
      <c r="IEJ6" s="4"/>
      <c r="IEK6" s="4"/>
      <c r="IEN6" s="34"/>
      <c r="IEO6" s="34"/>
      <c r="IEQ6" s="34"/>
      <c r="IER6" s="72"/>
      <c r="IES6" s="63"/>
      <c r="IET6" s="34"/>
      <c r="IEU6" s="64"/>
      <c r="IEV6" s="4"/>
      <c r="IEW6" s="65"/>
      <c r="IEX6" s="4"/>
      <c r="IEY6" s="4"/>
      <c r="IEZ6" s="4"/>
      <c r="IFC6" s="34"/>
      <c r="IFD6" s="34"/>
      <c r="IFF6" s="34"/>
      <c r="IFG6" s="72"/>
      <c r="IFH6" s="63"/>
      <c r="IFI6" s="34"/>
      <c r="IFJ6" s="64"/>
      <c r="IFK6" s="4"/>
      <c r="IFL6" s="65"/>
      <c r="IFM6" s="4"/>
      <c r="IFN6" s="4"/>
      <c r="IFO6" s="4"/>
      <c r="IFR6" s="34"/>
      <c r="IFS6" s="34"/>
      <c r="IFU6" s="34"/>
      <c r="IFV6" s="72"/>
      <c r="IFW6" s="63"/>
      <c r="IFX6" s="34"/>
      <c r="IFY6" s="64"/>
      <c r="IFZ6" s="4"/>
      <c r="IGA6" s="65"/>
      <c r="IGB6" s="4"/>
      <c r="IGC6" s="4"/>
      <c r="IGD6" s="4"/>
      <c r="IGG6" s="34"/>
      <c r="IGH6" s="34"/>
      <c r="IGJ6" s="34"/>
      <c r="IGK6" s="72"/>
      <c r="IGL6" s="63"/>
      <c r="IGM6" s="34"/>
      <c r="IGN6" s="64"/>
      <c r="IGO6" s="4"/>
      <c r="IGP6" s="65"/>
      <c r="IGQ6" s="4"/>
      <c r="IGR6" s="4"/>
      <c r="IGS6" s="4"/>
      <c r="IGV6" s="34"/>
      <c r="IGW6" s="34"/>
      <c r="IGY6" s="34"/>
      <c r="IGZ6" s="72"/>
      <c r="IHA6" s="63"/>
      <c r="IHB6" s="34"/>
      <c r="IHC6" s="64"/>
      <c r="IHD6" s="4"/>
      <c r="IHE6" s="65"/>
      <c r="IHF6" s="4"/>
      <c r="IHG6" s="4"/>
      <c r="IHH6" s="4"/>
      <c r="IHK6" s="34"/>
      <c r="IHL6" s="34"/>
      <c r="IHN6" s="34"/>
      <c r="IHO6" s="72"/>
      <c r="IHP6" s="63"/>
      <c r="IHQ6" s="34"/>
      <c r="IHR6" s="64"/>
      <c r="IHS6" s="4"/>
      <c r="IHT6" s="65"/>
      <c r="IHU6" s="4"/>
      <c r="IHV6" s="4"/>
      <c r="IHW6" s="4"/>
      <c r="IHZ6" s="34"/>
      <c r="IIA6" s="34"/>
      <c r="IIC6" s="34"/>
      <c r="IID6" s="72"/>
      <c r="IIE6" s="63"/>
      <c r="IIF6" s="34"/>
      <c r="IIG6" s="64"/>
      <c r="IIH6" s="4"/>
      <c r="III6" s="65"/>
      <c r="IIJ6" s="4"/>
      <c r="IIK6" s="4"/>
      <c r="IIL6" s="4"/>
      <c r="IIO6" s="34"/>
      <c r="IIP6" s="34"/>
      <c r="IIR6" s="34"/>
      <c r="IIS6" s="72"/>
      <c r="IIT6" s="63"/>
      <c r="IIU6" s="34"/>
      <c r="IIV6" s="64"/>
      <c r="IIW6" s="4"/>
      <c r="IIX6" s="65"/>
      <c r="IIY6" s="4"/>
      <c r="IIZ6" s="4"/>
      <c r="IJA6" s="4"/>
      <c r="IJD6" s="34"/>
      <c r="IJE6" s="34"/>
      <c r="IJG6" s="34"/>
      <c r="IJH6" s="72"/>
      <c r="IJI6" s="63"/>
      <c r="IJJ6" s="34"/>
      <c r="IJK6" s="64"/>
      <c r="IJL6" s="4"/>
      <c r="IJM6" s="65"/>
      <c r="IJN6" s="4"/>
      <c r="IJO6" s="4"/>
      <c r="IJP6" s="4"/>
      <c r="IJS6" s="34"/>
      <c r="IJT6" s="34"/>
      <c r="IJV6" s="34"/>
      <c r="IJW6" s="72"/>
      <c r="IJX6" s="63"/>
      <c r="IJY6" s="34"/>
      <c r="IJZ6" s="64"/>
      <c r="IKA6" s="4"/>
      <c r="IKB6" s="65"/>
      <c r="IKC6" s="4"/>
      <c r="IKD6" s="4"/>
      <c r="IKE6" s="4"/>
      <c r="IKH6" s="34"/>
      <c r="IKI6" s="34"/>
      <c r="IKK6" s="34"/>
      <c r="IKL6" s="72"/>
      <c r="IKM6" s="63"/>
      <c r="IKN6" s="34"/>
      <c r="IKO6" s="64"/>
      <c r="IKP6" s="4"/>
      <c r="IKQ6" s="65"/>
      <c r="IKR6" s="4"/>
      <c r="IKS6" s="4"/>
      <c r="IKT6" s="4"/>
      <c r="IKW6" s="34"/>
      <c r="IKX6" s="34"/>
      <c r="IKZ6" s="34"/>
      <c r="ILA6" s="72"/>
      <c r="ILB6" s="63"/>
      <c r="ILC6" s="34"/>
      <c r="ILD6" s="64"/>
      <c r="ILE6" s="4"/>
      <c r="ILF6" s="65"/>
      <c r="ILG6" s="4"/>
      <c r="ILH6" s="4"/>
      <c r="ILI6" s="4"/>
      <c r="ILL6" s="34"/>
      <c r="ILM6" s="34"/>
      <c r="ILO6" s="34"/>
      <c r="ILP6" s="72"/>
      <c r="ILQ6" s="63"/>
      <c r="ILR6" s="34"/>
      <c r="ILS6" s="64"/>
      <c r="ILT6" s="4"/>
      <c r="ILU6" s="65"/>
      <c r="ILV6" s="4"/>
      <c r="ILW6" s="4"/>
      <c r="ILX6" s="4"/>
      <c r="IMA6" s="34"/>
      <c r="IMB6" s="34"/>
      <c r="IMD6" s="34"/>
      <c r="IME6" s="72"/>
      <c r="IMF6" s="63"/>
      <c r="IMG6" s="34"/>
      <c r="IMH6" s="64"/>
      <c r="IMI6" s="4"/>
      <c r="IMJ6" s="65"/>
      <c r="IMK6" s="4"/>
      <c r="IML6" s="4"/>
      <c r="IMM6" s="4"/>
      <c r="IMP6" s="34"/>
      <c r="IMQ6" s="34"/>
      <c r="IMS6" s="34"/>
      <c r="IMT6" s="72"/>
      <c r="IMU6" s="63"/>
      <c r="IMV6" s="34"/>
      <c r="IMW6" s="64"/>
      <c r="IMX6" s="4"/>
      <c r="IMY6" s="65"/>
      <c r="IMZ6" s="4"/>
      <c r="INA6" s="4"/>
      <c r="INB6" s="4"/>
      <c r="INE6" s="34"/>
      <c r="INF6" s="34"/>
      <c r="INH6" s="34"/>
      <c r="INI6" s="72"/>
      <c r="INJ6" s="63"/>
      <c r="INK6" s="34"/>
      <c r="INL6" s="64"/>
      <c r="INM6" s="4"/>
      <c r="INN6" s="65"/>
      <c r="INO6" s="4"/>
      <c r="INP6" s="4"/>
      <c r="INQ6" s="4"/>
      <c r="INT6" s="34"/>
      <c r="INU6" s="34"/>
      <c r="INW6" s="34"/>
      <c r="INX6" s="72"/>
      <c r="INY6" s="63"/>
      <c r="INZ6" s="34"/>
      <c r="IOA6" s="64"/>
      <c r="IOB6" s="4"/>
      <c r="IOC6" s="65"/>
      <c r="IOD6" s="4"/>
      <c r="IOE6" s="4"/>
      <c r="IOF6" s="4"/>
      <c r="IOI6" s="34"/>
      <c r="IOJ6" s="34"/>
      <c r="IOL6" s="34"/>
      <c r="IOM6" s="72"/>
      <c r="ION6" s="63"/>
      <c r="IOO6" s="34"/>
      <c r="IOP6" s="64"/>
      <c r="IOQ6" s="4"/>
      <c r="IOR6" s="65"/>
      <c r="IOS6" s="4"/>
      <c r="IOT6" s="4"/>
      <c r="IOU6" s="4"/>
      <c r="IOX6" s="34"/>
      <c r="IOY6" s="34"/>
      <c r="IPA6" s="34"/>
      <c r="IPB6" s="72"/>
      <c r="IPC6" s="63"/>
      <c r="IPD6" s="34"/>
      <c r="IPE6" s="64"/>
      <c r="IPF6" s="4"/>
      <c r="IPG6" s="65"/>
      <c r="IPH6" s="4"/>
      <c r="IPI6" s="4"/>
      <c r="IPJ6" s="4"/>
      <c r="IPM6" s="34"/>
      <c r="IPN6" s="34"/>
      <c r="IPP6" s="34"/>
      <c r="IPQ6" s="72"/>
      <c r="IPR6" s="63"/>
      <c r="IPS6" s="34"/>
      <c r="IPT6" s="64"/>
      <c r="IPU6" s="4"/>
      <c r="IPV6" s="65"/>
      <c r="IPW6" s="4"/>
      <c r="IPX6" s="4"/>
      <c r="IPY6" s="4"/>
      <c r="IQB6" s="34"/>
      <c r="IQC6" s="34"/>
      <c r="IQE6" s="34"/>
      <c r="IQF6" s="72"/>
      <c r="IQG6" s="63"/>
      <c r="IQH6" s="34"/>
      <c r="IQI6" s="64"/>
      <c r="IQJ6" s="4"/>
      <c r="IQK6" s="65"/>
      <c r="IQL6" s="4"/>
      <c r="IQM6" s="4"/>
      <c r="IQN6" s="4"/>
      <c r="IQQ6" s="34"/>
      <c r="IQR6" s="34"/>
      <c r="IQT6" s="34"/>
      <c r="IQU6" s="72"/>
      <c r="IQV6" s="63"/>
      <c r="IQW6" s="34"/>
      <c r="IQX6" s="64"/>
      <c r="IQY6" s="4"/>
      <c r="IQZ6" s="65"/>
      <c r="IRA6" s="4"/>
      <c r="IRB6" s="4"/>
      <c r="IRC6" s="4"/>
      <c r="IRF6" s="34"/>
      <c r="IRG6" s="34"/>
      <c r="IRI6" s="34"/>
      <c r="IRJ6" s="72"/>
      <c r="IRK6" s="63"/>
      <c r="IRL6" s="34"/>
      <c r="IRM6" s="64"/>
      <c r="IRN6" s="4"/>
      <c r="IRO6" s="65"/>
      <c r="IRP6" s="4"/>
      <c r="IRQ6" s="4"/>
      <c r="IRR6" s="4"/>
      <c r="IRU6" s="34"/>
      <c r="IRV6" s="34"/>
      <c r="IRX6" s="34"/>
      <c r="IRY6" s="72"/>
      <c r="IRZ6" s="63"/>
      <c r="ISA6" s="34"/>
      <c r="ISB6" s="64"/>
      <c r="ISC6" s="4"/>
      <c r="ISD6" s="65"/>
      <c r="ISE6" s="4"/>
      <c r="ISF6" s="4"/>
      <c r="ISG6" s="4"/>
      <c r="ISJ6" s="34"/>
      <c r="ISK6" s="34"/>
      <c r="ISM6" s="34"/>
      <c r="ISN6" s="72"/>
      <c r="ISO6" s="63"/>
      <c r="ISP6" s="34"/>
      <c r="ISQ6" s="64"/>
      <c r="ISR6" s="4"/>
      <c r="ISS6" s="65"/>
      <c r="IST6" s="4"/>
      <c r="ISU6" s="4"/>
      <c r="ISV6" s="4"/>
      <c r="ISY6" s="34"/>
      <c r="ISZ6" s="34"/>
      <c r="ITB6" s="34"/>
      <c r="ITC6" s="72"/>
      <c r="ITD6" s="63"/>
      <c r="ITE6" s="34"/>
      <c r="ITF6" s="64"/>
      <c r="ITG6" s="4"/>
      <c r="ITH6" s="65"/>
      <c r="ITI6" s="4"/>
      <c r="ITJ6" s="4"/>
      <c r="ITK6" s="4"/>
      <c r="ITN6" s="34"/>
      <c r="ITO6" s="34"/>
      <c r="ITQ6" s="34"/>
      <c r="ITR6" s="72"/>
      <c r="ITS6" s="63"/>
      <c r="ITT6" s="34"/>
      <c r="ITU6" s="64"/>
      <c r="ITV6" s="4"/>
      <c r="ITW6" s="65"/>
      <c r="ITX6" s="4"/>
      <c r="ITY6" s="4"/>
      <c r="ITZ6" s="4"/>
      <c r="IUC6" s="34"/>
      <c r="IUD6" s="34"/>
      <c r="IUF6" s="34"/>
      <c r="IUG6" s="72"/>
      <c r="IUH6" s="63"/>
      <c r="IUI6" s="34"/>
      <c r="IUJ6" s="64"/>
      <c r="IUK6" s="4"/>
      <c r="IUL6" s="65"/>
      <c r="IUM6" s="4"/>
      <c r="IUN6" s="4"/>
      <c r="IUO6" s="4"/>
      <c r="IUR6" s="34"/>
      <c r="IUS6" s="34"/>
      <c r="IUU6" s="34"/>
      <c r="IUV6" s="72"/>
      <c r="IUW6" s="63"/>
      <c r="IUX6" s="34"/>
      <c r="IUY6" s="64"/>
      <c r="IUZ6" s="4"/>
      <c r="IVA6" s="65"/>
      <c r="IVB6" s="4"/>
      <c r="IVC6" s="4"/>
      <c r="IVD6" s="4"/>
      <c r="IVG6" s="34"/>
      <c r="IVH6" s="34"/>
      <c r="IVJ6" s="34"/>
      <c r="IVK6" s="72"/>
      <c r="IVL6" s="63"/>
      <c r="IVM6" s="34"/>
      <c r="IVN6" s="64"/>
      <c r="IVO6" s="4"/>
      <c r="IVP6" s="65"/>
      <c r="IVQ6" s="4"/>
      <c r="IVR6" s="4"/>
      <c r="IVS6" s="4"/>
      <c r="IVV6" s="34"/>
      <c r="IVW6" s="34"/>
      <c r="IVY6" s="34"/>
      <c r="IVZ6" s="72"/>
      <c r="IWA6" s="63"/>
      <c r="IWB6" s="34"/>
      <c r="IWC6" s="64"/>
      <c r="IWD6" s="4"/>
      <c r="IWE6" s="65"/>
      <c r="IWF6" s="4"/>
      <c r="IWG6" s="4"/>
      <c r="IWH6" s="4"/>
      <c r="IWK6" s="34"/>
      <c r="IWL6" s="34"/>
      <c r="IWN6" s="34"/>
      <c r="IWO6" s="72"/>
      <c r="IWP6" s="63"/>
      <c r="IWQ6" s="34"/>
      <c r="IWR6" s="64"/>
      <c r="IWS6" s="4"/>
      <c r="IWT6" s="65"/>
      <c r="IWU6" s="4"/>
      <c r="IWV6" s="4"/>
      <c r="IWW6" s="4"/>
      <c r="IWZ6" s="34"/>
      <c r="IXA6" s="34"/>
      <c r="IXC6" s="34"/>
      <c r="IXD6" s="72"/>
      <c r="IXE6" s="63"/>
      <c r="IXF6" s="34"/>
      <c r="IXG6" s="64"/>
      <c r="IXH6" s="4"/>
      <c r="IXI6" s="65"/>
      <c r="IXJ6" s="4"/>
      <c r="IXK6" s="4"/>
      <c r="IXL6" s="4"/>
      <c r="IXO6" s="34"/>
      <c r="IXP6" s="34"/>
      <c r="IXR6" s="34"/>
      <c r="IXS6" s="72"/>
      <c r="IXT6" s="63"/>
      <c r="IXU6" s="34"/>
      <c r="IXV6" s="64"/>
      <c r="IXW6" s="4"/>
      <c r="IXX6" s="65"/>
      <c r="IXY6" s="4"/>
      <c r="IXZ6" s="4"/>
      <c r="IYA6" s="4"/>
      <c r="IYD6" s="34"/>
      <c r="IYE6" s="34"/>
      <c r="IYG6" s="34"/>
      <c r="IYH6" s="72"/>
      <c r="IYI6" s="63"/>
      <c r="IYJ6" s="34"/>
      <c r="IYK6" s="64"/>
      <c r="IYL6" s="4"/>
      <c r="IYM6" s="65"/>
      <c r="IYN6" s="4"/>
      <c r="IYO6" s="4"/>
      <c r="IYP6" s="4"/>
      <c r="IYS6" s="34"/>
      <c r="IYT6" s="34"/>
      <c r="IYV6" s="34"/>
      <c r="IYW6" s="72"/>
      <c r="IYX6" s="63"/>
      <c r="IYY6" s="34"/>
      <c r="IYZ6" s="64"/>
      <c r="IZA6" s="4"/>
      <c r="IZB6" s="65"/>
      <c r="IZC6" s="4"/>
      <c r="IZD6" s="4"/>
      <c r="IZE6" s="4"/>
      <c r="IZH6" s="34"/>
      <c r="IZI6" s="34"/>
      <c r="IZK6" s="34"/>
      <c r="IZL6" s="72"/>
      <c r="IZM6" s="63"/>
      <c r="IZN6" s="34"/>
      <c r="IZO6" s="64"/>
      <c r="IZP6" s="4"/>
      <c r="IZQ6" s="65"/>
      <c r="IZR6" s="4"/>
      <c r="IZS6" s="4"/>
      <c r="IZT6" s="4"/>
      <c r="IZW6" s="34"/>
      <c r="IZX6" s="34"/>
      <c r="IZZ6" s="34"/>
      <c r="JAA6" s="72"/>
      <c r="JAB6" s="63"/>
      <c r="JAC6" s="34"/>
      <c r="JAD6" s="64"/>
      <c r="JAE6" s="4"/>
      <c r="JAF6" s="65"/>
      <c r="JAG6" s="4"/>
      <c r="JAH6" s="4"/>
      <c r="JAI6" s="4"/>
      <c r="JAL6" s="34"/>
      <c r="JAM6" s="34"/>
      <c r="JAO6" s="34"/>
      <c r="JAP6" s="72"/>
      <c r="JAQ6" s="63"/>
      <c r="JAR6" s="34"/>
      <c r="JAS6" s="64"/>
      <c r="JAT6" s="4"/>
      <c r="JAU6" s="65"/>
      <c r="JAV6" s="4"/>
      <c r="JAW6" s="4"/>
      <c r="JAX6" s="4"/>
      <c r="JBA6" s="34"/>
      <c r="JBB6" s="34"/>
      <c r="JBD6" s="34"/>
      <c r="JBE6" s="72"/>
      <c r="JBF6" s="63"/>
      <c r="JBG6" s="34"/>
      <c r="JBH6" s="64"/>
      <c r="JBI6" s="4"/>
      <c r="JBJ6" s="65"/>
      <c r="JBK6" s="4"/>
      <c r="JBL6" s="4"/>
      <c r="JBM6" s="4"/>
      <c r="JBP6" s="34"/>
      <c r="JBQ6" s="34"/>
      <c r="JBS6" s="34"/>
      <c r="JBT6" s="72"/>
      <c r="JBU6" s="63"/>
      <c r="JBV6" s="34"/>
      <c r="JBW6" s="64"/>
      <c r="JBX6" s="4"/>
      <c r="JBY6" s="65"/>
      <c r="JBZ6" s="4"/>
      <c r="JCA6" s="4"/>
      <c r="JCB6" s="4"/>
      <c r="JCE6" s="34"/>
      <c r="JCF6" s="34"/>
      <c r="JCH6" s="34"/>
      <c r="JCI6" s="72"/>
      <c r="JCJ6" s="63"/>
      <c r="JCK6" s="34"/>
      <c r="JCL6" s="64"/>
      <c r="JCM6" s="4"/>
      <c r="JCN6" s="65"/>
      <c r="JCO6" s="4"/>
      <c r="JCP6" s="4"/>
      <c r="JCQ6" s="4"/>
      <c r="JCT6" s="34"/>
      <c r="JCU6" s="34"/>
      <c r="JCW6" s="34"/>
      <c r="JCX6" s="72"/>
      <c r="JCY6" s="63"/>
      <c r="JCZ6" s="34"/>
      <c r="JDA6" s="64"/>
      <c r="JDB6" s="4"/>
      <c r="JDC6" s="65"/>
      <c r="JDD6" s="4"/>
      <c r="JDE6" s="4"/>
      <c r="JDF6" s="4"/>
      <c r="JDI6" s="34"/>
      <c r="JDJ6" s="34"/>
      <c r="JDL6" s="34"/>
      <c r="JDM6" s="72"/>
      <c r="JDN6" s="63"/>
      <c r="JDO6" s="34"/>
      <c r="JDP6" s="64"/>
      <c r="JDQ6" s="4"/>
      <c r="JDR6" s="65"/>
      <c r="JDS6" s="4"/>
      <c r="JDT6" s="4"/>
      <c r="JDU6" s="4"/>
      <c r="JDX6" s="34"/>
      <c r="JDY6" s="34"/>
      <c r="JEA6" s="34"/>
      <c r="JEB6" s="72"/>
      <c r="JEC6" s="63"/>
      <c r="JED6" s="34"/>
      <c r="JEE6" s="64"/>
      <c r="JEF6" s="4"/>
      <c r="JEG6" s="65"/>
      <c r="JEH6" s="4"/>
      <c r="JEI6" s="4"/>
      <c r="JEJ6" s="4"/>
      <c r="JEM6" s="34"/>
      <c r="JEN6" s="34"/>
      <c r="JEP6" s="34"/>
      <c r="JEQ6" s="72"/>
      <c r="JER6" s="63"/>
      <c r="JES6" s="34"/>
      <c r="JET6" s="64"/>
      <c r="JEU6" s="4"/>
      <c r="JEV6" s="65"/>
      <c r="JEW6" s="4"/>
      <c r="JEX6" s="4"/>
      <c r="JEY6" s="4"/>
      <c r="JFB6" s="34"/>
      <c r="JFC6" s="34"/>
      <c r="JFE6" s="34"/>
      <c r="JFF6" s="72"/>
      <c r="JFG6" s="63"/>
      <c r="JFH6" s="34"/>
      <c r="JFI6" s="64"/>
      <c r="JFJ6" s="4"/>
      <c r="JFK6" s="65"/>
      <c r="JFL6" s="4"/>
      <c r="JFM6" s="4"/>
      <c r="JFN6" s="4"/>
      <c r="JFQ6" s="34"/>
      <c r="JFR6" s="34"/>
      <c r="JFT6" s="34"/>
      <c r="JFU6" s="72"/>
      <c r="JFV6" s="63"/>
      <c r="JFW6" s="34"/>
      <c r="JFX6" s="64"/>
      <c r="JFY6" s="4"/>
      <c r="JFZ6" s="65"/>
      <c r="JGA6" s="4"/>
      <c r="JGB6" s="4"/>
      <c r="JGC6" s="4"/>
      <c r="JGF6" s="34"/>
      <c r="JGG6" s="34"/>
      <c r="JGI6" s="34"/>
      <c r="JGJ6" s="72"/>
      <c r="JGK6" s="63"/>
      <c r="JGL6" s="34"/>
      <c r="JGM6" s="64"/>
      <c r="JGN6" s="4"/>
      <c r="JGO6" s="65"/>
      <c r="JGP6" s="4"/>
      <c r="JGQ6" s="4"/>
      <c r="JGR6" s="4"/>
      <c r="JGU6" s="34"/>
      <c r="JGV6" s="34"/>
      <c r="JGX6" s="34"/>
      <c r="JGY6" s="72"/>
      <c r="JGZ6" s="63"/>
      <c r="JHA6" s="34"/>
      <c r="JHB6" s="64"/>
      <c r="JHC6" s="4"/>
      <c r="JHD6" s="65"/>
      <c r="JHE6" s="4"/>
      <c r="JHF6" s="4"/>
      <c r="JHG6" s="4"/>
      <c r="JHJ6" s="34"/>
      <c r="JHK6" s="34"/>
      <c r="JHM6" s="34"/>
      <c r="JHN6" s="72"/>
      <c r="JHO6" s="63"/>
      <c r="JHP6" s="34"/>
      <c r="JHQ6" s="64"/>
      <c r="JHR6" s="4"/>
      <c r="JHS6" s="65"/>
      <c r="JHT6" s="4"/>
      <c r="JHU6" s="4"/>
      <c r="JHV6" s="4"/>
      <c r="JHY6" s="34"/>
      <c r="JHZ6" s="34"/>
      <c r="JIB6" s="34"/>
      <c r="JIC6" s="72"/>
      <c r="JID6" s="63"/>
      <c r="JIE6" s="34"/>
      <c r="JIF6" s="64"/>
      <c r="JIG6" s="4"/>
      <c r="JIH6" s="65"/>
      <c r="JII6" s="4"/>
      <c r="JIJ6" s="4"/>
      <c r="JIK6" s="4"/>
      <c r="JIN6" s="34"/>
      <c r="JIO6" s="34"/>
      <c r="JIQ6" s="34"/>
      <c r="JIR6" s="72"/>
      <c r="JIS6" s="63"/>
      <c r="JIT6" s="34"/>
      <c r="JIU6" s="64"/>
      <c r="JIV6" s="4"/>
      <c r="JIW6" s="65"/>
      <c r="JIX6" s="4"/>
      <c r="JIY6" s="4"/>
      <c r="JIZ6" s="4"/>
      <c r="JJC6" s="34"/>
      <c r="JJD6" s="34"/>
      <c r="JJF6" s="34"/>
      <c r="JJG6" s="72"/>
      <c r="JJH6" s="63"/>
      <c r="JJI6" s="34"/>
      <c r="JJJ6" s="64"/>
      <c r="JJK6" s="4"/>
      <c r="JJL6" s="65"/>
      <c r="JJM6" s="4"/>
      <c r="JJN6" s="4"/>
      <c r="JJO6" s="4"/>
      <c r="JJR6" s="34"/>
      <c r="JJS6" s="34"/>
      <c r="JJU6" s="34"/>
      <c r="JJV6" s="72"/>
      <c r="JJW6" s="63"/>
      <c r="JJX6" s="34"/>
      <c r="JJY6" s="64"/>
      <c r="JJZ6" s="4"/>
      <c r="JKA6" s="65"/>
      <c r="JKB6" s="4"/>
      <c r="JKC6" s="4"/>
      <c r="JKD6" s="4"/>
      <c r="JKG6" s="34"/>
      <c r="JKH6" s="34"/>
      <c r="JKJ6" s="34"/>
      <c r="JKK6" s="72"/>
      <c r="JKL6" s="63"/>
      <c r="JKM6" s="34"/>
      <c r="JKN6" s="64"/>
      <c r="JKO6" s="4"/>
      <c r="JKP6" s="65"/>
      <c r="JKQ6" s="4"/>
      <c r="JKR6" s="4"/>
      <c r="JKS6" s="4"/>
      <c r="JKV6" s="34"/>
      <c r="JKW6" s="34"/>
      <c r="JKY6" s="34"/>
      <c r="JKZ6" s="72"/>
      <c r="JLA6" s="63"/>
      <c r="JLB6" s="34"/>
      <c r="JLC6" s="64"/>
      <c r="JLD6" s="4"/>
      <c r="JLE6" s="65"/>
      <c r="JLF6" s="4"/>
      <c r="JLG6" s="4"/>
      <c r="JLH6" s="4"/>
      <c r="JLK6" s="34"/>
      <c r="JLL6" s="34"/>
      <c r="JLN6" s="34"/>
      <c r="JLO6" s="72"/>
      <c r="JLP6" s="63"/>
      <c r="JLQ6" s="34"/>
      <c r="JLR6" s="64"/>
      <c r="JLS6" s="4"/>
      <c r="JLT6" s="65"/>
      <c r="JLU6" s="4"/>
      <c r="JLV6" s="4"/>
      <c r="JLW6" s="4"/>
      <c r="JLZ6" s="34"/>
      <c r="JMA6" s="34"/>
      <c r="JMC6" s="34"/>
      <c r="JMD6" s="72"/>
      <c r="JME6" s="63"/>
      <c r="JMF6" s="34"/>
      <c r="JMG6" s="64"/>
      <c r="JMH6" s="4"/>
      <c r="JMI6" s="65"/>
      <c r="JMJ6" s="4"/>
      <c r="JMK6" s="4"/>
      <c r="JML6" s="4"/>
      <c r="JMO6" s="34"/>
      <c r="JMP6" s="34"/>
      <c r="JMR6" s="34"/>
      <c r="JMS6" s="72"/>
      <c r="JMT6" s="63"/>
      <c r="JMU6" s="34"/>
      <c r="JMV6" s="64"/>
      <c r="JMW6" s="4"/>
      <c r="JMX6" s="65"/>
      <c r="JMY6" s="4"/>
      <c r="JMZ6" s="4"/>
      <c r="JNA6" s="4"/>
      <c r="JND6" s="34"/>
      <c r="JNE6" s="34"/>
      <c r="JNG6" s="34"/>
      <c r="JNH6" s="72"/>
      <c r="JNI6" s="63"/>
      <c r="JNJ6" s="34"/>
      <c r="JNK6" s="64"/>
      <c r="JNL6" s="4"/>
      <c r="JNM6" s="65"/>
      <c r="JNN6" s="4"/>
      <c r="JNO6" s="4"/>
      <c r="JNP6" s="4"/>
      <c r="JNS6" s="34"/>
      <c r="JNT6" s="34"/>
      <c r="JNV6" s="34"/>
      <c r="JNW6" s="72"/>
      <c r="JNX6" s="63"/>
      <c r="JNY6" s="34"/>
      <c r="JNZ6" s="64"/>
      <c r="JOA6" s="4"/>
      <c r="JOB6" s="65"/>
      <c r="JOC6" s="4"/>
      <c r="JOD6" s="4"/>
      <c r="JOE6" s="4"/>
      <c r="JOH6" s="34"/>
      <c r="JOI6" s="34"/>
      <c r="JOK6" s="34"/>
      <c r="JOL6" s="72"/>
      <c r="JOM6" s="63"/>
      <c r="JON6" s="34"/>
      <c r="JOO6" s="64"/>
      <c r="JOP6" s="4"/>
      <c r="JOQ6" s="65"/>
      <c r="JOR6" s="4"/>
      <c r="JOS6" s="4"/>
      <c r="JOT6" s="4"/>
      <c r="JOW6" s="34"/>
      <c r="JOX6" s="34"/>
      <c r="JOZ6" s="34"/>
      <c r="JPA6" s="72"/>
      <c r="JPB6" s="63"/>
      <c r="JPC6" s="34"/>
      <c r="JPD6" s="64"/>
      <c r="JPE6" s="4"/>
      <c r="JPF6" s="65"/>
      <c r="JPG6" s="4"/>
      <c r="JPH6" s="4"/>
      <c r="JPI6" s="4"/>
      <c r="JPL6" s="34"/>
      <c r="JPM6" s="34"/>
      <c r="JPO6" s="34"/>
      <c r="JPP6" s="72"/>
      <c r="JPQ6" s="63"/>
      <c r="JPR6" s="34"/>
      <c r="JPS6" s="64"/>
      <c r="JPT6" s="4"/>
      <c r="JPU6" s="65"/>
      <c r="JPV6" s="4"/>
      <c r="JPW6" s="4"/>
      <c r="JPX6" s="4"/>
      <c r="JQA6" s="34"/>
      <c r="JQB6" s="34"/>
      <c r="JQD6" s="34"/>
      <c r="JQE6" s="72"/>
      <c r="JQF6" s="63"/>
      <c r="JQG6" s="34"/>
      <c r="JQH6" s="64"/>
      <c r="JQI6" s="4"/>
      <c r="JQJ6" s="65"/>
      <c r="JQK6" s="4"/>
      <c r="JQL6" s="4"/>
      <c r="JQM6" s="4"/>
      <c r="JQP6" s="34"/>
      <c r="JQQ6" s="34"/>
      <c r="JQS6" s="34"/>
      <c r="JQT6" s="72"/>
      <c r="JQU6" s="63"/>
      <c r="JQV6" s="34"/>
      <c r="JQW6" s="64"/>
      <c r="JQX6" s="4"/>
      <c r="JQY6" s="65"/>
      <c r="JQZ6" s="4"/>
      <c r="JRA6" s="4"/>
      <c r="JRB6" s="4"/>
      <c r="JRE6" s="34"/>
      <c r="JRF6" s="34"/>
      <c r="JRH6" s="34"/>
      <c r="JRI6" s="72"/>
      <c r="JRJ6" s="63"/>
      <c r="JRK6" s="34"/>
      <c r="JRL6" s="64"/>
      <c r="JRM6" s="4"/>
      <c r="JRN6" s="65"/>
      <c r="JRO6" s="4"/>
      <c r="JRP6" s="4"/>
      <c r="JRQ6" s="4"/>
      <c r="JRT6" s="34"/>
      <c r="JRU6" s="34"/>
      <c r="JRW6" s="34"/>
      <c r="JRX6" s="72"/>
      <c r="JRY6" s="63"/>
      <c r="JRZ6" s="34"/>
      <c r="JSA6" s="64"/>
      <c r="JSB6" s="4"/>
      <c r="JSC6" s="65"/>
      <c r="JSD6" s="4"/>
      <c r="JSE6" s="4"/>
      <c r="JSF6" s="4"/>
      <c r="JSI6" s="34"/>
      <c r="JSJ6" s="34"/>
      <c r="JSL6" s="34"/>
      <c r="JSM6" s="72"/>
      <c r="JSN6" s="63"/>
      <c r="JSO6" s="34"/>
      <c r="JSP6" s="64"/>
      <c r="JSQ6" s="4"/>
      <c r="JSR6" s="65"/>
      <c r="JSS6" s="4"/>
      <c r="JST6" s="4"/>
      <c r="JSU6" s="4"/>
      <c r="JSX6" s="34"/>
      <c r="JSY6" s="34"/>
      <c r="JTA6" s="34"/>
      <c r="JTB6" s="72"/>
      <c r="JTC6" s="63"/>
      <c r="JTD6" s="34"/>
      <c r="JTE6" s="64"/>
      <c r="JTF6" s="4"/>
      <c r="JTG6" s="65"/>
      <c r="JTH6" s="4"/>
      <c r="JTI6" s="4"/>
      <c r="JTJ6" s="4"/>
      <c r="JTM6" s="34"/>
      <c r="JTN6" s="34"/>
      <c r="JTP6" s="34"/>
      <c r="JTQ6" s="72"/>
      <c r="JTR6" s="63"/>
      <c r="JTS6" s="34"/>
      <c r="JTT6" s="64"/>
      <c r="JTU6" s="4"/>
      <c r="JTV6" s="65"/>
      <c r="JTW6" s="4"/>
      <c r="JTX6" s="4"/>
      <c r="JTY6" s="4"/>
      <c r="JUB6" s="34"/>
      <c r="JUC6" s="34"/>
      <c r="JUE6" s="34"/>
      <c r="JUF6" s="72"/>
      <c r="JUG6" s="63"/>
      <c r="JUH6" s="34"/>
      <c r="JUI6" s="64"/>
      <c r="JUJ6" s="4"/>
      <c r="JUK6" s="65"/>
      <c r="JUL6" s="4"/>
      <c r="JUM6" s="4"/>
      <c r="JUN6" s="4"/>
      <c r="JUQ6" s="34"/>
      <c r="JUR6" s="34"/>
      <c r="JUT6" s="34"/>
      <c r="JUU6" s="72"/>
      <c r="JUV6" s="63"/>
      <c r="JUW6" s="34"/>
      <c r="JUX6" s="64"/>
      <c r="JUY6" s="4"/>
      <c r="JUZ6" s="65"/>
      <c r="JVA6" s="4"/>
      <c r="JVB6" s="4"/>
      <c r="JVC6" s="4"/>
      <c r="JVF6" s="34"/>
      <c r="JVG6" s="34"/>
      <c r="JVI6" s="34"/>
      <c r="JVJ6" s="72"/>
      <c r="JVK6" s="63"/>
      <c r="JVL6" s="34"/>
      <c r="JVM6" s="64"/>
      <c r="JVN6" s="4"/>
      <c r="JVO6" s="65"/>
      <c r="JVP6" s="4"/>
      <c r="JVQ6" s="4"/>
      <c r="JVR6" s="4"/>
      <c r="JVU6" s="34"/>
      <c r="JVV6" s="34"/>
      <c r="JVX6" s="34"/>
      <c r="JVY6" s="72"/>
      <c r="JVZ6" s="63"/>
      <c r="JWA6" s="34"/>
      <c r="JWB6" s="64"/>
      <c r="JWC6" s="4"/>
      <c r="JWD6" s="65"/>
      <c r="JWE6" s="4"/>
      <c r="JWF6" s="4"/>
      <c r="JWG6" s="4"/>
      <c r="JWJ6" s="34"/>
      <c r="JWK6" s="34"/>
      <c r="JWM6" s="34"/>
      <c r="JWN6" s="72"/>
      <c r="JWO6" s="63"/>
      <c r="JWP6" s="34"/>
      <c r="JWQ6" s="64"/>
      <c r="JWR6" s="4"/>
      <c r="JWS6" s="65"/>
      <c r="JWT6" s="4"/>
      <c r="JWU6" s="4"/>
      <c r="JWV6" s="4"/>
      <c r="JWY6" s="34"/>
      <c r="JWZ6" s="34"/>
      <c r="JXB6" s="34"/>
      <c r="JXC6" s="72"/>
      <c r="JXD6" s="63"/>
      <c r="JXE6" s="34"/>
      <c r="JXF6" s="64"/>
      <c r="JXG6" s="4"/>
      <c r="JXH6" s="65"/>
      <c r="JXI6" s="4"/>
      <c r="JXJ6" s="4"/>
      <c r="JXK6" s="4"/>
      <c r="JXN6" s="34"/>
      <c r="JXO6" s="34"/>
      <c r="JXQ6" s="34"/>
      <c r="JXR6" s="72"/>
      <c r="JXS6" s="63"/>
      <c r="JXT6" s="34"/>
      <c r="JXU6" s="64"/>
      <c r="JXV6" s="4"/>
      <c r="JXW6" s="65"/>
      <c r="JXX6" s="4"/>
      <c r="JXY6" s="4"/>
      <c r="JXZ6" s="4"/>
      <c r="JYC6" s="34"/>
      <c r="JYD6" s="34"/>
      <c r="JYF6" s="34"/>
      <c r="JYG6" s="72"/>
      <c r="JYH6" s="63"/>
      <c r="JYI6" s="34"/>
      <c r="JYJ6" s="64"/>
      <c r="JYK6" s="4"/>
      <c r="JYL6" s="65"/>
      <c r="JYM6" s="4"/>
      <c r="JYN6" s="4"/>
      <c r="JYO6" s="4"/>
      <c r="JYR6" s="34"/>
      <c r="JYS6" s="34"/>
      <c r="JYU6" s="34"/>
      <c r="JYV6" s="72"/>
      <c r="JYW6" s="63"/>
      <c r="JYX6" s="34"/>
      <c r="JYY6" s="64"/>
      <c r="JYZ6" s="4"/>
      <c r="JZA6" s="65"/>
      <c r="JZB6" s="4"/>
      <c r="JZC6" s="4"/>
      <c r="JZD6" s="4"/>
      <c r="JZG6" s="34"/>
      <c r="JZH6" s="34"/>
      <c r="JZJ6" s="34"/>
      <c r="JZK6" s="72"/>
      <c r="JZL6" s="63"/>
      <c r="JZM6" s="34"/>
      <c r="JZN6" s="64"/>
      <c r="JZO6" s="4"/>
      <c r="JZP6" s="65"/>
      <c r="JZQ6" s="4"/>
      <c r="JZR6" s="4"/>
      <c r="JZS6" s="4"/>
      <c r="JZV6" s="34"/>
      <c r="JZW6" s="34"/>
      <c r="JZY6" s="34"/>
      <c r="JZZ6" s="72"/>
      <c r="KAA6" s="63"/>
      <c r="KAB6" s="34"/>
      <c r="KAC6" s="64"/>
      <c r="KAD6" s="4"/>
      <c r="KAE6" s="65"/>
      <c r="KAF6" s="4"/>
      <c r="KAG6" s="4"/>
      <c r="KAH6" s="4"/>
      <c r="KAK6" s="34"/>
      <c r="KAL6" s="34"/>
      <c r="KAN6" s="34"/>
      <c r="KAO6" s="72"/>
      <c r="KAP6" s="63"/>
      <c r="KAQ6" s="34"/>
      <c r="KAR6" s="64"/>
      <c r="KAS6" s="4"/>
      <c r="KAT6" s="65"/>
      <c r="KAU6" s="4"/>
      <c r="KAV6" s="4"/>
      <c r="KAW6" s="4"/>
      <c r="KAZ6" s="34"/>
      <c r="KBA6" s="34"/>
      <c r="KBC6" s="34"/>
      <c r="KBD6" s="72"/>
      <c r="KBE6" s="63"/>
      <c r="KBF6" s="34"/>
      <c r="KBG6" s="64"/>
      <c r="KBH6" s="4"/>
      <c r="KBI6" s="65"/>
      <c r="KBJ6" s="4"/>
      <c r="KBK6" s="4"/>
      <c r="KBL6" s="4"/>
      <c r="KBO6" s="34"/>
      <c r="KBP6" s="34"/>
      <c r="KBR6" s="34"/>
      <c r="KBS6" s="72"/>
      <c r="KBT6" s="63"/>
      <c r="KBU6" s="34"/>
      <c r="KBV6" s="64"/>
      <c r="KBW6" s="4"/>
      <c r="KBX6" s="65"/>
      <c r="KBY6" s="4"/>
      <c r="KBZ6" s="4"/>
      <c r="KCA6" s="4"/>
      <c r="KCD6" s="34"/>
      <c r="KCE6" s="34"/>
      <c r="KCG6" s="34"/>
      <c r="KCH6" s="72"/>
      <c r="KCI6" s="63"/>
      <c r="KCJ6" s="34"/>
      <c r="KCK6" s="64"/>
      <c r="KCL6" s="4"/>
      <c r="KCM6" s="65"/>
      <c r="KCN6" s="4"/>
      <c r="KCO6" s="4"/>
      <c r="KCP6" s="4"/>
      <c r="KCS6" s="34"/>
      <c r="KCT6" s="34"/>
      <c r="KCV6" s="34"/>
      <c r="KCW6" s="72"/>
      <c r="KCX6" s="63"/>
      <c r="KCY6" s="34"/>
      <c r="KCZ6" s="64"/>
      <c r="KDA6" s="4"/>
      <c r="KDB6" s="65"/>
      <c r="KDC6" s="4"/>
      <c r="KDD6" s="4"/>
      <c r="KDE6" s="4"/>
      <c r="KDH6" s="34"/>
      <c r="KDI6" s="34"/>
      <c r="KDK6" s="34"/>
      <c r="KDL6" s="72"/>
      <c r="KDM6" s="63"/>
      <c r="KDN6" s="34"/>
      <c r="KDO6" s="64"/>
      <c r="KDP6" s="4"/>
      <c r="KDQ6" s="65"/>
      <c r="KDR6" s="4"/>
      <c r="KDS6" s="4"/>
      <c r="KDT6" s="4"/>
      <c r="KDW6" s="34"/>
      <c r="KDX6" s="34"/>
      <c r="KDZ6" s="34"/>
      <c r="KEA6" s="72"/>
      <c r="KEB6" s="63"/>
      <c r="KEC6" s="34"/>
      <c r="KED6" s="64"/>
      <c r="KEE6" s="4"/>
      <c r="KEF6" s="65"/>
      <c r="KEG6" s="4"/>
      <c r="KEH6" s="4"/>
      <c r="KEI6" s="4"/>
      <c r="KEL6" s="34"/>
      <c r="KEM6" s="34"/>
      <c r="KEO6" s="34"/>
      <c r="KEP6" s="72"/>
      <c r="KEQ6" s="63"/>
      <c r="KER6" s="34"/>
      <c r="KES6" s="64"/>
      <c r="KET6" s="4"/>
      <c r="KEU6" s="65"/>
      <c r="KEV6" s="4"/>
      <c r="KEW6" s="4"/>
      <c r="KEX6" s="4"/>
      <c r="KFA6" s="34"/>
      <c r="KFB6" s="34"/>
      <c r="KFD6" s="34"/>
      <c r="KFE6" s="72"/>
      <c r="KFF6" s="63"/>
      <c r="KFG6" s="34"/>
      <c r="KFH6" s="64"/>
      <c r="KFI6" s="4"/>
      <c r="KFJ6" s="65"/>
      <c r="KFK6" s="4"/>
      <c r="KFL6" s="4"/>
      <c r="KFM6" s="4"/>
      <c r="KFP6" s="34"/>
      <c r="KFQ6" s="34"/>
      <c r="KFS6" s="34"/>
      <c r="KFT6" s="72"/>
      <c r="KFU6" s="63"/>
      <c r="KFV6" s="34"/>
      <c r="KFW6" s="64"/>
      <c r="KFX6" s="4"/>
      <c r="KFY6" s="65"/>
      <c r="KFZ6" s="4"/>
      <c r="KGA6" s="4"/>
      <c r="KGB6" s="4"/>
      <c r="KGE6" s="34"/>
      <c r="KGF6" s="34"/>
      <c r="KGH6" s="34"/>
      <c r="KGI6" s="72"/>
      <c r="KGJ6" s="63"/>
      <c r="KGK6" s="34"/>
      <c r="KGL6" s="64"/>
      <c r="KGM6" s="4"/>
      <c r="KGN6" s="65"/>
      <c r="KGO6" s="4"/>
      <c r="KGP6" s="4"/>
      <c r="KGQ6" s="4"/>
      <c r="KGT6" s="34"/>
      <c r="KGU6" s="34"/>
      <c r="KGW6" s="34"/>
      <c r="KGX6" s="72"/>
      <c r="KGY6" s="63"/>
      <c r="KGZ6" s="34"/>
      <c r="KHA6" s="64"/>
      <c r="KHB6" s="4"/>
      <c r="KHC6" s="65"/>
      <c r="KHD6" s="4"/>
      <c r="KHE6" s="4"/>
      <c r="KHF6" s="4"/>
      <c r="KHI6" s="34"/>
      <c r="KHJ6" s="34"/>
      <c r="KHL6" s="34"/>
      <c r="KHM6" s="72"/>
      <c r="KHN6" s="63"/>
      <c r="KHO6" s="34"/>
      <c r="KHP6" s="64"/>
      <c r="KHQ6" s="4"/>
      <c r="KHR6" s="65"/>
      <c r="KHS6" s="4"/>
      <c r="KHT6" s="4"/>
      <c r="KHU6" s="4"/>
      <c r="KHX6" s="34"/>
      <c r="KHY6" s="34"/>
      <c r="KIA6" s="34"/>
      <c r="KIB6" s="72"/>
      <c r="KIC6" s="63"/>
      <c r="KID6" s="34"/>
      <c r="KIE6" s="64"/>
      <c r="KIF6" s="4"/>
      <c r="KIG6" s="65"/>
      <c r="KIH6" s="4"/>
      <c r="KII6" s="4"/>
      <c r="KIJ6" s="4"/>
      <c r="KIM6" s="34"/>
      <c r="KIN6" s="34"/>
      <c r="KIP6" s="34"/>
      <c r="KIQ6" s="72"/>
      <c r="KIR6" s="63"/>
      <c r="KIS6" s="34"/>
      <c r="KIT6" s="64"/>
      <c r="KIU6" s="4"/>
      <c r="KIV6" s="65"/>
      <c r="KIW6" s="4"/>
      <c r="KIX6" s="4"/>
      <c r="KIY6" s="4"/>
      <c r="KJB6" s="34"/>
      <c r="KJC6" s="34"/>
      <c r="KJE6" s="34"/>
      <c r="KJF6" s="72"/>
      <c r="KJG6" s="63"/>
      <c r="KJH6" s="34"/>
      <c r="KJI6" s="64"/>
      <c r="KJJ6" s="4"/>
      <c r="KJK6" s="65"/>
      <c r="KJL6" s="4"/>
      <c r="KJM6" s="4"/>
      <c r="KJN6" s="4"/>
      <c r="KJQ6" s="34"/>
      <c r="KJR6" s="34"/>
      <c r="KJT6" s="34"/>
      <c r="KJU6" s="72"/>
      <c r="KJV6" s="63"/>
      <c r="KJW6" s="34"/>
      <c r="KJX6" s="64"/>
      <c r="KJY6" s="4"/>
      <c r="KJZ6" s="65"/>
      <c r="KKA6" s="4"/>
      <c r="KKB6" s="4"/>
      <c r="KKC6" s="4"/>
      <c r="KKF6" s="34"/>
      <c r="KKG6" s="34"/>
      <c r="KKI6" s="34"/>
      <c r="KKJ6" s="72"/>
      <c r="KKK6" s="63"/>
      <c r="KKL6" s="34"/>
      <c r="KKM6" s="64"/>
      <c r="KKN6" s="4"/>
      <c r="KKO6" s="65"/>
      <c r="KKP6" s="4"/>
      <c r="KKQ6" s="4"/>
      <c r="KKR6" s="4"/>
      <c r="KKU6" s="34"/>
      <c r="KKV6" s="34"/>
      <c r="KKX6" s="34"/>
      <c r="KKY6" s="72"/>
      <c r="KKZ6" s="63"/>
      <c r="KLA6" s="34"/>
      <c r="KLB6" s="64"/>
      <c r="KLC6" s="4"/>
      <c r="KLD6" s="65"/>
      <c r="KLE6" s="4"/>
      <c r="KLF6" s="4"/>
      <c r="KLG6" s="4"/>
      <c r="KLJ6" s="34"/>
      <c r="KLK6" s="34"/>
      <c r="KLM6" s="34"/>
      <c r="KLN6" s="72"/>
      <c r="KLO6" s="63"/>
      <c r="KLP6" s="34"/>
      <c r="KLQ6" s="64"/>
      <c r="KLR6" s="4"/>
      <c r="KLS6" s="65"/>
      <c r="KLT6" s="4"/>
      <c r="KLU6" s="4"/>
      <c r="KLV6" s="4"/>
      <c r="KLY6" s="34"/>
      <c r="KLZ6" s="34"/>
      <c r="KMB6" s="34"/>
      <c r="KMC6" s="72"/>
      <c r="KMD6" s="63"/>
      <c r="KME6" s="34"/>
      <c r="KMF6" s="64"/>
      <c r="KMG6" s="4"/>
      <c r="KMH6" s="65"/>
      <c r="KMI6" s="4"/>
      <c r="KMJ6" s="4"/>
      <c r="KMK6" s="4"/>
      <c r="KMN6" s="34"/>
      <c r="KMO6" s="34"/>
      <c r="KMQ6" s="34"/>
      <c r="KMR6" s="72"/>
      <c r="KMS6" s="63"/>
      <c r="KMT6" s="34"/>
      <c r="KMU6" s="64"/>
      <c r="KMV6" s="4"/>
      <c r="KMW6" s="65"/>
      <c r="KMX6" s="4"/>
      <c r="KMY6" s="4"/>
      <c r="KMZ6" s="4"/>
      <c r="KNC6" s="34"/>
      <c r="KND6" s="34"/>
      <c r="KNF6" s="34"/>
      <c r="KNG6" s="72"/>
      <c r="KNH6" s="63"/>
      <c r="KNI6" s="34"/>
      <c r="KNJ6" s="64"/>
      <c r="KNK6" s="4"/>
      <c r="KNL6" s="65"/>
      <c r="KNM6" s="4"/>
      <c r="KNN6" s="4"/>
      <c r="KNO6" s="4"/>
      <c r="KNR6" s="34"/>
      <c r="KNS6" s="34"/>
      <c r="KNU6" s="34"/>
      <c r="KNV6" s="72"/>
      <c r="KNW6" s="63"/>
      <c r="KNX6" s="34"/>
      <c r="KNY6" s="64"/>
      <c r="KNZ6" s="4"/>
      <c r="KOA6" s="65"/>
      <c r="KOB6" s="4"/>
      <c r="KOC6" s="4"/>
      <c r="KOD6" s="4"/>
      <c r="KOG6" s="34"/>
      <c r="KOH6" s="34"/>
      <c r="KOJ6" s="34"/>
      <c r="KOK6" s="72"/>
      <c r="KOL6" s="63"/>
      <c r="KOM6" s="34"/>
      <c r="KON6" s="64"/>
      <c r="KOO6" s="4"/>
      <c r="KOP6" s="65"/>
      <c r="KOQ6" s="4"/>
      <c r="KOR6" s="4"/>
      <c r="KOS6" s="4"/>
      <c r="KOV6" s="34"/>
      <c r="KOW6" s="34"/>
      <c r="KOY6" s="34"/>
      <c r="KOZ6" s="72"/>
      <c r="KPA6" s="63"/>
      <c r="KPB6" s="34"/>
      <c r="KPC6" s="64"/>
      <c r="KPD6" s="4"/>
      <c r="KPE6" s="65"/>
      <c r="KPF6" s="4"/>
      <c r="KPG6" s="4"/>
      <c r="KPH6" s="4"/>
      <c r="KPK6" s="34"/>
      <c r="KPL6" s="34"/>
      <c r="KPN6" s="34"/>
      <c r="KPO6" s="72"/>
      <c r="KPP6" s="63"/>
      <c r="KPQ6" s="34"/>
      <c r="KPR6" s="64"/>
      <c r="KPS6" s="4"/>
      <c r="KPT6" s="65"/>
      <c r="KPU6" s="4"/>
      <c r="KPV6" s="4"/>
      <c r="KPW6" s="4"/>
      <c r="KPZ6" s="34"/>
      <c r="KQA6" s="34"/>
      <c r="KQC6" s="34"/>
      <c r="KQD6" s="72"/>
      <c r="KQE6" s="63"/>
      <c r="KQF6" s="34"/>
      <c r="KQG6" s="64"/>
      <c r="KQH6" s="4"/>
      <c r="KQI6" s="65"/>
      <c r="KQJ6" s="4"/>
      <c r="KQK6" s="4"/>
      <c r="KQL6" s="4"/>
      <c r="KQO6" s="34"/>
      <c r="KQP6" s="34"/>
      <c r="KQR6" s="34"/>
      <c r="KQS6" s="72"/>
      <c r="KQT6" s="63"/>
      <c r="KQU6" s="34"/>
      <c r="KQV6" s="64"/>
      <c r="KQW6" s="4"/>
      <c r="KQX6" s="65"/>
      <c r="KQY6" s="4"/>
      <c r="KQZ6" s="4"/>
      <c r="KRA6" s="4"/>
      <c r="KRD6" s="34"/>
      <c r="KRE6" s="34"/>
      <c r="KRG6" s="34"/>
      <c r="KRH6" s="72"/>
      <c r="KRI6" s="63"/>
      <c r="KRJ6" s="34"/>
      <c r="KRK6" s="64"/>
      <c r="KRL6" s="4"/>
      <c r="KRM6" s="65"/>
      <c r="KRN6" s="4"/>
      <c r="KRO6" s="4"/>
      <c r="KRP6" s="4"/>
      <c r="KRS6" s="34"/>
      <c r="KRT6" s="34"/>
      <c r="KRV6" s="34"/>
      <c r="KRW6" s="72"/>
      <c r="KRX6" s="63"/>
      <c r="KRY6" s="34"/>
      <c r="KRZ6" s="64"/>
      <c r="KSA6" s="4"/>
      <c r="KSB6" s="65"/>
      <c r="KSC6" s="4"/>
      <c r="KSD6" s="4"/>
      <c r="KSE6" s="4"/>
      <c r="KSH6" s="34"/>
      <c r="KSI6" s="34"/>
      <c r="KSK6" s="34"/>
      <c r="KSL6" s="72"/>
      <c r="KSM6" s="63"/>
      <c r="KSN6" s="34"/>
      <c r="KSO6" s="64"/>
      <c r="KSP6" s="4"/>
      <c r="KSQ6" s="65"/>
      <c r="KSR6" s="4"/>
      <c r="KSS6" s="4"/>
      <c r="KST6" s="4"/>
      <c r="KSW6" s="34"/>
      <c r="KSX6" s="34"/>
      <c r="KSZ6" s="34"/>
      <c r="KTA6" s="72"/>
      <c r="KTB6" s="63"/>
      <c r="KTC6" s="34"/>
      <c r="KTD6" s="64"/>
      <c r="KTE6" s="4"/>
      <c r="KTF6" s="65"/>
      <c r="KTG6" s="4"/>
      <c r="KTH6" s="4"/>
      <c r="KTI6" s="4"/>
      <c r="KTL6" s="34"/>
      <c r="KTM6" s="34"/>
      <c r="KTO6" s="34"/>
      <c r="KTP6" s="72"/>
      <c r="KTQ6" s="63"/>
      <c r="KTR6" s="34"/>
      <c r="KTS6" s="64"/>
      <c r="KTT6" s="4"/>
      <c r="KTU6" s="65"/>
      <c r="KTV6" s="4"/>
      <c r="KTW6" s="4"/>
      <c r="KTX6" s="4"/>
      <c r="KUA6" s="34"/>
      <c r="KUB6" s="34"/>
      <c r="KUD6" s="34"/>
      <c r="KUE6" s="72"/>
      <c r="KUF6" s="63"/>
      <c r="KUG6" s="34"/>
      <c r="KUH6" s="64"/>
      <c r="KUI6" s="4"/>
      <c r="KUJ6" s="65"/>
      <c r="KUK6" s="4"/>
      <c r="KUL6" s="4"/>
      <c r="KUM6" s="4"/>
      <c r="KUP6" s="34"/>
      <c r="KUQ6" s="34"/>
      <c r="KUS6" s="34"/>
      <c r="KUT6" s="72"/>
      <c r="KUU6" s="63"/>
      <c r="KUV6" s="34"/>
      <c r="KUW6" s="64"/>
      <c r="KUX6" s="4"/>
      <c r="KUY6" s="65"/>
      <c r="KUZ6" s="4"/>
      <c r="KVA6" s="4"/>
      <c r="KVB6" s="4"/>
      <c r="KVE6" s="34"/>
      <c r="KVF6" s="34"/>
      <c r="KVH6" s="34"/>
      <c r="KVI6" s="72"/>
      <c r="KVJ6" s="63"/>
      <c r="KVK6" s="34"/>
      <c r="KVL6" s="64"/>
      <c r="KVM6" s="4"/>
      <c r="KVN6" s="65"/>
      <c r="KVO6" s="4"/>
      <c r="KVP6" s="4"/>
      <c r="KVQ6" s="4"/>
      <c r="KVT6" s="34"/>
      <c r="KVU6" s="34"/>
      <c r="KVW6" s="34"/>
      <c r="KVX6" s="72"/>
      <c r="KVY6" s="63"/>
      <c r="KVZ6" s="34"/>
      <c r="KWA6" s="64"/>
      <c r="KWB6" s="4"/>
      <c r="KWC6" s="65"/>
      <c r="KWD6" s="4"/>
      <c r="KWE6" s="4"/>
      <c r="KWF6" s="4"/>
      <c r="KWI6" s="34"/>
      <c r="KWJ6" s="34"/>
      <c r="KWL6" s="34"/>
      <c r="KWM6" s="72"/>
      <c r="KWN6" s="63"/>
      <c r="KWO6" s="34"/>
      <c r="KWP6" s="64"/>
      <c r="KWQ6" s="4"/>
      <c r="KWR6" s="65"/>
      <c r="KWS6" s="4"/>
      <c r="KWT6" s="4"/>
      <c r="KWU6" s="4"/>
      <c r="KWX6" s="34"/>
      <c r="KWY6" s="34"/>
      <c r="KXA6" s="34"/>
      <c r="KXB6" s="72"/>
      <c r="KXC6" s="63"/>
      <c r="KXD6" s="34"/>
      <c r="KXE6" s="64"/>
      <c r="KXF6" s="4"/>
      <c r="KXG6" s="65"/>
      <c r="KXH6" s="4"/>
      <c r="KXI6" s="4"/>
      <c r="KXJ6" s="4"/>
      <c r="KXM6" s="34"/>
      <c r="KXN6" s="34"/>
      <c r="KXP6" s="34"/>
      <c r="KXQ6" s="72"/>
      <c r="KXR6" s="63"/>
      <c r="KXS6" s="34"/>
      <c r="KXT6" s="64"/>
      <c r="KXU6" s="4"/>
      <c r="KXV6" s="65"/>
      <c r="KXW6" s="4"/>
      <c r="KXX6" s="4"/>
      <c r="KXY6" s="4"/>
      <c r="KYB6" s="34"/>
      <c r="KYC6" s="34"/>
      <c r="KYE6" s="34"/>
      <c r="KYF6" s="72"/>
      <c r="KYG6" s="63"/>
      <c r="KYH6" s="34"/>
      <c r="KYI6" s="64"/>
      <c r="KYJ6" s="4"/>
      <c r="KYK6" s="65"/>
      <c r="KYL6" s="4"/>
      <c r="KYM6" s="4"/>
      <c r="KYN6" s="4"/>
      <c r="KYQ6" s="34"/>
      <c r="KYR6" s="34"/>
      <c r="KYT6" s="34"/>
      <c r="KYU6" s="72"/>
      <c r="KYV6" s="63"/>
      <c r="KYW6" s="34"/>
      <c r="KYX6" s="64"/>
      <c r="KYY6" s="4"/>
      <c r="KYZ6" s="65"/>
      <c r="KZA6" s="4"/>
      <c r="KZB6" s="4"/>
      <c r="KZC6" s="4"/>
      <c r="KZF6" s="34"/>
      <c r="KZG6" s="34"/>
      <c r="KZI6" s="34"/>
      <c r="KZJ6" s="72"/>
      <c r="KZK6" s="63"/>
      <c r="KZL6" s="34"/>
      <c r="KZM6" s="64"/>
      <c r="KZN6" s="4"/>
      <c r="KZO6" s="65"/>
      <c r="KZP6" s="4"/>
      <c r="KZQ6" s="4"/>
      <c r="KZR6" s="4"/>
      <c r="KZU6" s="34"/>
      <c r="KZV6" s="34"/>
      <c r="KZX6" s="34"/>
      <c r="KZY6" s="72"/>
      <c r="KZZ6" s="63"/>
      <c r="LAA6" s="34"/>
      <c r="LAB6" s="64"/>
      <c r="LAC6" s="4"/>
      <c r="LAD6" s="65"/>
      <c r="LAE6" s="4"/>
      <c r="LAF6" s="4"/>
      <c r="LAG6" s="4"/>
      <c r="LAJ6" s="34"/>
      <c r="LAK6" s="34"/>
      <c r="LAM6" s="34"/>
      <c r="LAN6" s="72"/>
      <c r="LAO6" s="63"/>
      <c r="LAP6" s="34"/>
      <c r="LAQ6" s="64"/>
      <c r="LAR6" s="4"/>
      <c r="LAS6" s="65"/>
      <c r="LAT6" s="4"/>
      <c r="LAU6" s="4"/>
      <c r="LAV6" s="4"/>
      <c r="LAY6" s="34"/>
      <c r="LAZ6" s="34"/>
      <c r="LBB6" s="34"/>
      <c r="LBC6" s="72"/>
      <c r="LBD6" s="63"/>
      <c r="LBE6" s="34"/>
      <c r="LBF6" s="64"/>
      <c r="LBG6" s="4"/>
      <c r="LBH6" s="65"/>
      <c r="LBI6" s="4"/>
      <c r="LBJ6" s="4"/>
      <c r="LBK6" s="4"/>
      <c r="LBN6" s="34"/>
      <c r="LBO6" s="34"/>
      <c r="LBQ6" s="34"/>
      <c r="LBR6" s="72"/>
      <c r="LBS6" s="63"/>
      <c r="LBT6" s="34"/>
      <c r="LBU6" s="64"/>
      <c r="LBV6" s="4"/>
      <c r="LBW6" s="65"/>
      <c r="LBX6" s="4"/>
      <c r="LBY6" s="4"/>
      <c r="LBZ6" s="4"/>
      <c r="LCC6" s="34"/>
      <c r="LCD6" s="34"/>
      <c r="LCF6" s="34"/>
      <c r="LCG6" s="72"/>
      <c r="LCH6" s="63"/>
      <c r="LCI6" s="34"/>
      <c r="LCJ6" s="64"/>
      <c r="LCK6" s="4"/>
      <c r="LCL6" s="65"/>
      <c r="LCM6" s="4"/>
      <c r="LCN6" s="4"/>
      <c r="LCO6" s="4"/>
      <c r="LCR6" s="34"/>
      <c r="LCS6" s="34"/>
      <c r="LCU6" s="34"/>
      <c r="LCV6" s="72"/>
      <c r="LCW6" s="63"/>
      <c r="LCX6" s="34"/>
      <c r="LCY6" s="64"/>
      <c r="LCZ6" s="4"/>
      <c r="LDA6" s="65"/>
      <c r="LDB6" s="4"/>
      <c r="LDC6" s="4"/>
      <c r="LDD6" s="4"/>
      <c r="LDG6" s="34"/>
      <c r="LDH6" s="34"/>
      <c r="LDJ6" s="34"/>
      <c r="LDK6" s="72"/>
      <c r="LDL6" s="63"/>
      <c r="LDM6" s="34"/>
      <c r="LDN6" s="64"/>
      <c r="LDO6" s="4"/>
      <c r="LDP6" s="65"/>
      <c r="LDQ6" s="4"/>
      <c r="LDR6" s="4"/>
      <c r="LDS6" s="4"/>
      <c r="LDV6" s="34"/>
      <c r="LDW6" s="34"/>
      <c r="LDY6" s="34"/>
      <c r="LDZ6" s="72"/>
      <c r="LEA6" s="63"/>
      <c r="LEB6" s="34"/>
      <c r="LEC6" s="64"/>
      <c r="LED6" s="4"/>
      <c r="LEE6" s="65"/>
      <c r="LEF6" s="4"/>
      <c r="LEG6" s="4"/>
      <c r="LEH6" s="4"/>
      <c r="LEK6" s="34"/>
      <c r="LEL6" s="34"/>
      <c r="LEN6" s="34"/>
      <c r="LEO6" s="72"/>
      <c r="LEP6" s="63"/>
      <c r="LEQ6" s="34"/>
      <c r="LER6" s="64"/>
      <c r="LES6" s="4"/>
      <c r="LET6" s="65"/>
      <c r="LEU6" s="4"/>
      <c r="LEV6" s="4"/>
      <c r="LEW6" s="4"/>
      <c r="LEZ6" s="34"/>
      <c r="LFA6" s="34"/>
      <c r="LFC6" s="34"/>
      <c r="LFD6" s="72"/>
      <c r="LFE6" s="63"/>
      <c r="LFF6" s="34"/>
      <c r="LFG6" s="64"/>
      <c r="LFH6" s="4"/>
      <c r="LFI6" s="65"/>
      <c r="LFJ6" s="4"/>
      <c r="LFK6" s="4"/>
      <c r="LFL6" s="4"/>
      <c r="LFO6" s="34"/>
      <c r="LFP6" s="34"/>
      <c r="LFR6" s="34"/>
      <c r="LFS6" s="72"/>
      <c r="LFT6" s="63"/>
      <c r="LFU6" s="34"/>
      <c r="LFV6" s="64"/>
      <c r="LFW6" s="4"/>
      <c r="LFX6" s="65"/>
      <c r="LFY6" s="4"/>
      <c r="LFZ6" s="4"/>
      <c r="LGA6" s="4"/>
      <c r="LGD6" s="34"/>
      <c r="LGE6" s="34"/>
      <c r="LGG6" s="34"/>
      <c r="LGH6" s="72"/>
      <c r="LGI6" s="63"/>
      <c r="LGJ6" s="34"/>
      <c r="LGK6" s="64"/>
      <c r="LGL6" s="4"/>
      <c r="LGM6" s="65"/>
      <c r="LGN6" s="4"/>
      <c r="LGO6" s="4"/>
      <c r="LGP6" s="4"/>
      <c r="LGS6" s="34"/>
      <c r="LGT6" s="34"/>
      <c r="LGV6" s="34"/>
      <c r="LGW6" s="72"/>
      <c r="LGX6" s="63"/>
      <c r="LGY6" s="34"/>
      <c r="LGZ6" s="64"/>
      <c r="LHA6" s="4"/>
      <c r="LHB6" s="65"/>
      <c r="LHC6" s="4"/>
      <c r="LHD6" s="4"/>
      <c r="LHE6" s="4"/>
      <c r="LHH6" s="34"/>
      <c r="LHI6" s="34"/>
      <c r="LHK6" s="34"/>
      <c r="LHL6" s="72"/>
      <c r="LHM6" s="63"/>
      <c r="LHN6" s="34"/>
      <c r="LHO6" s="64"/>
      <c r="LHP6" s="4"/>
      <c r="LHQ6" s="65"/>
      <c r="LHR6" s="4"/>
      <c r="LHS6" s="4"/>
      <c r="LHT6" s="4"/>
      <c r="LHW6" s="34"/>
      <c r="LHX6" s="34"/>
      <c r="LHZ6" s="34"/>
      <c r="LIA6" s="72"/>
      <c r="LIB6" s="63"/>
      <c r="LIC6" s="34"/>
      <c r="LID6" s="64"/>
      <c r="LIE6" s="4"/>
      <c r="LIF6" s="65"/>
      <c r="LIG6" s="4"/>
      <c r="LIH6" s="4"/>
      <c r="LII6" s="4"/>
      <c r="LIL6" s="34"/>
      <c r="LIM6" s="34"/>
      <c r="LIO6" s="34"/>
      <c r="LIP6" s="72"/>
      <c r="LIQ6" s="63"/>
      <c r="LIR6" s="34"/>
      <c r="LIS6" s="64"/>
      <c r="LIT6" s="4"/>
      <c r="LIU6" s="65"/>
      <c r="LIV6" s="4"/>
      <c r="LIW6" s="4"/>
      <c r="LIX6" s="4"/>
      <c r="LJA6" s="34"/>
      <c r="LJB6" s="34"/>
      <c r="LJD6" s="34"/>
      <c r="LJE6" s="72"/>
      <c r="LJF6" s="63"/>
      <c r="LJG6" s="34"/>
      <c r="LJH6" s="64"/>
      <c r="LJI6" s="4"/>
      <c r="LJJ6" s="65"/>
      <c r="LJK6" s="4"/>
      <c r="LJL6" s="4"/>
      <c r="LJM6" s="4"/>
      <c r="LJP6" s="34"/>
      <c r="LJQ6" s="34"/>
      <c r="LJS6" s="34"/>
      <c r="LJT6" s="72"/>
      <c r="LJU6" s="63"/>
      <c r="LJV6" s="34"/>
      <c r="LJW6" s="64"/>
      <c r="LJX6" s="4"/>
      <c r="LJY6" s="65"/>
      <c r="LJZ6" s="4"/>
      <c r="LKA6" s="4"/>
      <c r="LKB6" s="4"/>
      <c r="LKE6" s="34"/>
      <c r="LKF6" s="34"/>
      <c r="LKH6" s="34"/>
      <c r="LKI6" s="72"/>
      <c r="LKJ6" s="63"/>
      <c r="LKK6" s="34"/>
      <c r="LKL6" s="64"/>
      <c r="LKM6" s="4"/>
      <c r="LKN6" s="65"/>
      <c r="LKO6" s="4"/>
      <c r="LKP6" s="4"/>
      <c r="LKQ6" s="4"/>
      <c r="LKT6" s="34"/>
      <c r="LKU6" s="34"/>
      <c r="LKW6" s="34"/>
      <c r="LKX6" s="72"/>
      <c r="LKY6" s="63"/>
      <c r="LKZ6" s="34"/>
      <c r="LLA6" s="64"/>
      <c r="LLB6" s="4"/>
      <c r="LLC6" s="65"/>
      <c r="LLD6" s="4"/>
      <c r="LLE6" s="4"/>
      <c r="LLF6" s="4"/>
      <c r="LLI6" s="34"/>
      <c r="LLJ6" s="34"/>
      <c r="LLL6" s="34"/>
      <c r="LLM6" s="72"/>
      <c r="LLN6" s="63"/>
      <c r="LLO6" s="34"/>
      <c r="LLP6" s="64"/>
      <c r="LLQ6" s="4"/>
      <c r="LLR6" s="65"/>
      <c r="LLS6" s="4"/>
      <c r="LLT6" s="4"/>
      <c r="LLU6" s="4"/>
      <c r="LLX6" s="34"/>
      <c r="LLY6" s="34"/>
      <c r="LMA6" s="34"/>
      <c r="LMB6" s="72"/>
      <c r="LMC6" s="63"/>
      <c r="LMD6" s="34"/>
      <c r="LME6" s="64"/>
      <c r="LMF6" s="4"/>
      <c r="LMG6" s="65"/>
      <c r="LMH6" s="4"/>
      <c r="LMI6" s="4"/>
      <c r="LMJ6" s="4"/>
      <c r="LMM6" s="34"/>
      <c r="LMN6" s="34"/>
      <c r="LMP6" s="34"/>
      <c r="LMQ6" s="72"/>
      <c r="LMR6" s="63"/>
      <c r="LMS6" s="34"/>
      <c r="LMT6" s="64"/>
      <c r="LMU6" s="4"/>
      <c r="LMV6" s="65"/>
      <c r="LMW6" s="4"/>
      <c r="LMX6" s="4"/>
      <c r="LMY6" s="4"/>
      <c r="LNB6" s="34"/>
      <c r="LNC6" s="34"/>
      <c r="LNE6" s="34"/>
      <c r="LNF6" s="72"/>
      <c r="LNG6" s="63"/>
      <c r="LNH6" s="34"/>
      <c r="LNI6" s="64"/>
      <c r="LNJ6" s="4"/>
      <c r="LNK6" s="65"/>
      <c r="LNL6" s="4"/>
      <c r="LNM6" s="4"/>
      <c r="LNN6" s="4"/>
      <c r="LNQ6" s="34"/>
      <c r="LNR6" s="34"/>
      <c r="LNT6" s="34"/>
      <c r="LNU6" s="72"/>
      <c r="LNV6" s="63"/>
      <c r="LNW6" s="34"/>
      <c r="LNX6" s="64"/>
      <c r="LNY6" s="4"/>
      <c r="LNZ6" s="65"/>
      <c r="LOA6" s="4"/>
      <c r="LOB6" s="4"/>
      <c r="LOC6" s="4"/>
      <c r="LOF6" s="34"/>
      <c r="LOG6" s="34"/>
      <c r="LOI6" s="34"/>
      <c r="LOJ6" s="72"/>
      <c r="LOK6" s="63"/>
      <c r="LOL6" s="34"/>
      <c r="LOM6" s="64"/>
      <c r="LON6" s="4"/>
      <c r="LOO6" s="65"/>
      <c r="LOP6" s="4"/>
      <c r="LOQ6" s="4"/>
      <c r="LOR6" s="4"/>
      <c r="LOU6" s="34"/>
      <c r="LOV6" s="34"/>
      <c r="LOX6" s="34"/>
      <c r="LOY6" s="72"/>
      <c r="LOZ6" s="63"/>
      <c r="LPA6" s="34"/>
      <c r="LPB6" s="64"/>
      <c r="LPC6" s="4"/>
      <c r="LPD6" s="65"/>
      <c r="LPE6" s="4"/>
      <c r="LPF6" s="4"/>
      <c r="LPG6" s="4"/>
      <c r="LPJ6" s="34"/>
      <c r="LPK6" s="34"/>
      <c r="LPM6" s="34"/>
      <c r="LPN6" s="72"/>
      <c r="LPO6" s="63"/>
      <c r="LPP6" s="34"/>
      <c r="LPQ6" s="64"/>
      <c r="LPR6" s="4"/>
      <c r="LPS6" s="65"/>
      <c r="LPT6" s="4"/>
      <c r="LPU6" s="4"/>
      <c r="LPV6" s="4"/>
      <c r="LPY6" s="34"/>
      <c r="LPZ6" s="34"/>
      <c r="LQB6" s="34"/>
      <c r="LQC6" s="72"/>
      <c r="LQD6" s="63"/>
      <c r="LQE6" s="34"/>
      <c r="LQF6" s="64"/>
      <c r="LQG6" s="4"/>
      <c r="LQH6" s="65"/>
      <c r="LQI6" s="4"/>
      <c r="LQJ6" s="4"/>
      <c r="LQK6" s="4"/>
      <c r="LQN6" s="34"/>
      <c r="LQO6" s="34"/>
      <c r="LQQ6" s="34"/>
      <c r="LQR6" s="72"/>
      <c r="LQS6" s="63"/>
      <c r="LQT6" s="34"/>
      <c r="LQU6" s="64"/>
      <c r="LQV6" s="4"/>
      <c r="LQW6" s="65"/>
      <c r="LQX6" s="4"/>
      <c r="LQY6" s="4"/>
      <c r="LQZ6" s="4"/>
      <c r="LRC6" s="34"/>
      <c r="LRD6" s="34"/>
      <c r="LRF6" s="34"/>
      <c r="LRG6" s="72"/>
      <c r="LRH6" s="63"/>
      <c r="LRI6" s="34"/>
      <c r="LRJ6" s="64"/>
      <c r="LRK6" s="4"/>
      <c r="LRL6" s="65"/>
      <c r="LRM6" s="4"/>
      <c r="LRN6" s="4"/>
      <c r="LRO6" s="4"/>
      <c r="LRR6" s="34"/>
      <c r="LRS6" s="34"/>
      <c r="LRU6" s="34"/>
      <c r="LRV6" s="72"/>
      <c r="LRW6" s="63"/>
      <c r="LRX6" s="34"/>
      <c r="LRY6" s="64"/>
      <c r="LRZ6" s="4"/>
      <c r="LSA6" s="65"/>
      <c r="LSB6" s="4"/>
      <c r="LSC6" s="4"/>
      <c r="LSD6" s="4"/>
      <c r="LSG6" s="34"/>
      <c r="LSH6" s="34"/>
      <c r="LSJ6" s="34"/>
      <c r="LSK6" s="72"/>
      <c r="LSL6" s="63"/>
      <c r="LSM6" s="34"/>
      <c r="LSN6" s="64"/>
      <c r="LSO6" s="4"/>
      <c r="LSP6" s="65"/>
      <c r="LSQ6" s="4"/>
      <c r="LSR6" s="4"/>
      <c r="LSS6" s="4"/>
      <c r="LSV6" s="34"/>
      <c r="LSW6" s="34"/>
      <c r="LSY6" s="34"/>
      <c r="LSZ6" s="72"/>
      <c r="LTA6" s="63"/>
      <c r="LTB6" s="34"/>
      <c r="LTC6" s="64"/>
      <c r="LTD6" s="4"/>
      <c r="LTE6" s="65"/>
      <c r="LTF6" s="4"/>
      <c r="LTG6" s="4"/>
      <c r="LTH6" s="4"/>
      <c r="LTK6" s="34"/>
      <c r="LTL6" s="34"/>
      <c r="LTN6" s="34"/>
      <c r="LTO6" s="72"/>
      <c r="LTP6" s="63"/>
      <c r="LTQ6" s="34"/>
      <c r="LTR6" s="64"/>
      <c r="LTS6" s="4"/>
      <c r="LTT6" s="65"/>
      <c r="LTU6" s="4"/>
      <c r="LTV6" s="4"/>
      <c r="LTW6" s="4"/>
      <c r="LTZ6" s="34"/>
      <c r="LUA6" s="34"/>
      <c r="LUC6" s="34"/>
      <c r="LUD6" s="72"/>
      <c r="LUE6" s="63"/>
      <c r="LUF6" s="34"/>
      <c r="LUG6" s="64"/>
      <c r="LUH6" s="4"/>
      <c r="LUI6" s="65"/>
      <c r="LUJ6" s="4"/>
      <c r="LUK6" s="4"/>
      <c r="LUL6" s="4"/>
      <c r="LUO6" s="34"/>
      <c r="LUP6" s="34"/>
      <c r="LUR6" s="34"/>
      <c r="LUS6" s="72"/>
      <c r="LUT6" s="63"/>
      <c r="LUU6" s="34"/>
      <c r="LUV6" s="64"/>
      <c r="LUW6" s="4"/>
      <c r="LUX6" s="65"/>
      <c r="LUY6" s="4"/>
      <c r="LUZ6" s="4"/>
      <c r="LVA6" s="4"/>
      <c r="LVD6" s="34"/>
      <c r="LVE6" s="34"/>
      <c r="LVG6" s="34"/>
      <c r="LVH6" s="72"/>
      <c r="LVI6" s="63"/>
      <c r="LVJ6" s="34"/>
      <c r="LVK6" s="64"/>
      <c r="LVL6" s="4"/>
      <c r="LVM6" s="65"/>
      <c r="LVN6" s="4"/>
      <c r="LVO6" s="4"/>
      <c r="LVP6" s="4"/>
      <c r="LVS6" s="34"/>
      <c r="LVT6" s="34"/>
      <c r="LVV6" s="34"/>
      <c r="LVW6" s="72"/>
      <c r="LVX6" s="63"/>
      <c r="LVY6" s="34"/>
      <c r="LVZ6" s="64"/>
      <c r="LWA6" s="4"/>
      <c r="LWB6" s="65"/>
      <c r="LWC6" s="4"/>
      <c r="LWD6" s="4"/>
      <c r="LWE6" s="4"/>
      <c r="LWH6" s="34"/>
      <c r="LWI6" s="34"/>
      <c r="LWK6" s="34"/>
      <c r="LWL6" s="72"/>
      <c r="LWM6" s="63"/>
      <c r="LWN6" s="34"/>
      <c r="LWO6" s="64"/>
      <c r="LWP6" s="4"/>
      <c r="LWQ6" s="65"/>
      <c r="LWR6" s="4"/>
      <c r="LWS6" s="4"/>
      <c r="LWT6" s="4"/>
      <c r="LWW6" s="34"/>
      <c r="LWX6" s="34"/>
      <c r="LWZ6" s="34"/>
      <c r="LXA6" s="72"/>
      <c r="LXB6" s="63"/>
      <c r="LXC6" s="34"/>
      <c r="LXD6" s="64"/>
      <c r="LXE6" s="4"/>
      <c r="LXF6" s="65"/>
      <c r="LXG6" s="4"/>
      <c r="LXH6" s="4"/>
      <c r="LXI6" s="4"/>
      <c r="LXL6" s="34"/>
      <c r="LXM6" s="34"/>
      <c r="LXO6" s="34"/>
      <c r="LXP6" s="72"/>
      <c r="LXQ6" s="63"/>
      <c r="LXR6" s="34"/>
      <c r="LXS6" s="64"/>
      <c r="LXT6" s="4"/>
      <c r="LXU6" s="65"/>
      <c r="LXV6" s="4"/>
      <c r="LXW6" s="4"/>
      <c r="LXX6" s="4"/>
      <c r="LYA6" s="34"/>
      <c r="LYB6" s="34"/>
      <c r="LYD6" s="34"/>
      <c r="LYE6" s="72"/>
      <c r="LYF6" s="63"/>
      <c r="LYG6" s="34"/>
      <c r="LYH6" s="64"/>
      <c r="LYI6" s="4"/>
      <c r="LYJ6" s="65"/>
      <c r="LYK6" s="4"/>
      <c r="LYL6" s="4"/>
      <c r="LYM6" s="4"/>
      <c r="LYP6" s="34"/>
      <c r="LYQ6" s="34"/>
      <c r="LYS6" s="34"/>
      <c r="LYT6" s="72"/>
      <c r="LYU6" s="63"/>
      <c r="LYV6" s="34"/>
      <c r="LYW6" s="64"/>
      <c r="LYX6" s="4"/>
      <c r="LYY6" s="65"/>
      <c r="LYZ6" s="4"/>
      <c r="LZA6" s="4"/>
      <c r="LZB6" s="4"/>
      <c r="LZE6" s="34"/>
      <c r="LZF6" s="34"/>
      <c r="LZH6" s="34"/>
      <c r="LZI6" s="72"/>
      <c r="LZJ6" s="63"/>
      <c r="LZK6" s="34"/>
      <c r="LZL6" s="64"/>
      <c r="LZM6" s="4"/>
      <c r="LZN6" s="65"/>
      <c r="LZO6" s="4"/>
      <c r="LZP6" s="4"/>
      <c r="LZQ6" s="4"/>
      <c r="LZT6" s="34"/>
      <c r="LZU6" s="34"/>
      <c r="LZW6" s="34"/>
      <c r="LZX6" s="72"/>
      <c r="LZY6" s="63"/>
      <c r="LZZ6" s="34"/>
      <c r="MAA6" s="64"/>
      <c r="MAB6" s="4"/>
      <c r="MAC6" s="65"/>
      <c r="MAD6" s="4"/>
      <c r="MAE6" s="4"/>
      <c r="MAF6" s="4"/>
      <c r="MAI6" s="34"/>
      <c r="MAJ6" s="34"/>
      <c r="MAL6" s="34"/>
      <c r="MAM6" s="72"/>
      <c r="MAN6" s="63"/>
      <c r="MAO6" s="34"/>
      <c r="MAP6" s="64"/>
      <c r="MAQ6" s="4"/>
      <c r="MAR6" s="65"/>
      <c r="MAS6" s="4"/>
      <c r="MAT6" s="4"/>
      <c r="MAU6" s="4"/>
      <c r="MAX6" s="34"/>
      <c r="MAY6" s="34"/>
      <c r="MBA6" s="34"/>
      <c r="MBB6" s="72"/>
      <c r="MBC6" s="63"/>
      <c r="MBD6" s="34"/>
      <c r="MBE6" s="64"/>
      <c r="MBF6" s="4"/>
      <c r="MBG6" s="65"/>
      <c r="MBH6" s="4"/>
      <c r="MBI6" s="4"/>
      <c r="MBJ6" s="4"/>
      <c r="MBM6" s="34"/>
      <c r="MBN6" s="34"/>
      <c r="MBP6" s="34"/>
      <c r="MBQ6" s="72"/>
      <c r="MBR6" s="63"/>
      <c r="MBS6" s="34"/>
      <c r="MBT6" s="64"/>
      <c r="MBU6" s="4"/>
      <c r="MBV6" s="65"/>
      <c r="MBW6" s="4"/>
      <c r="MBX6" s="4"/>
      <c r="MBY6" s="4"/>
      <c r="MCB6" s="34"/>
      <c r="MCC6" s="34"/>
      <c r="MCE6" s="34"/>
      <c r="MCF6" s="72"/>
      <c r="MCG6" s="63"/>
      <c r="MCH6" s="34"/>
      <c r="MCI6" s="64"/>
      <c r="MCJ6" s="4"/>
      <c r="MCK6" s="65"/>
      <c r="MCL6" s="4"/>
      <c r="MCM6" s="4"/>
      <c r="MCN6" s="4"/>
      <c r="MCQ6" s="34"/>
      <c r="MCR6" s="34"/>
      <c r="MCT6" s="34"/>
      <c r="MCU6" s="72"/>
      <c r="MCV6" s="63"/>
      <c r="MCW6" s="34"/>
      <c r="MCX6" s="64"/>
      <c r="MCY6" s="4"/>
      <c r="MCZ6" s="65"/>
      <c r="MDA6" s="4"/>
      <c r="MDB6" s="4"/>
      <c r="MDC6" s="4"/>
      <c r="MDF6" s="34"/>
      <c r="MDG6" s="34"/>
      <c r="MDI6" s="34"/>
      <c r="MDJ6" s="72"/>
      <c r="MDK6" s="63"/>
      <c r="MDL6" s="34"/>
      <c r="MDM6" s="64"/>
      <c r="MDN6" s="4"/>
      <c r="MDO6" s="65"/>
      <c r="MDP6" s="4"/>
      <c r="MDQ6" s="4"/>
      <c r="MDR6" s="4"/>
      <c r="MDU6" s="34"/>
      <c r="MDV6" s="34"/>
      <c r="MDX6" s="34"/>
      <c r="MDY6" s="72"/>
      <c r="MDZ6" s="63"/>
      <c r="MEA6" s="34"/>
      <c r="MEB6" s="64"/>
      <c r="MEC6" s="4"/>
      <c r="MED6" s="65"/>
      <c r="MEE6" s="4"/>
      <c r="MEF6" s="4"/>
      <c r="MEG6" s="4"/>
      <c r="MEJ6" s="34"/>
      <c r="MEK6" s="34"/>
      <c r="MEM6" s="34"/>
      <c r="MEN6" s="72"/>
      <c r="MEO6" s="63"/>
      <c r="MEP6" s="34"/>
      <c r="MEQ6" s="64"/>
      <c r="MER6" s="4"/>
      <c r="MES6" s="65"/>
      <c r="MET6" s="4"/>
      <c r="MEU6" s="4"/>
      <c r="MEV6" s="4"/>
      <c r="MEY6" s="34"/>
      <c r="MEZ6" s="34"/>
      <c r="MFB6" s="34"/>
      <c r="MFC6" s="72"/>
      <c r="MFD6" s="63"/>
      <c r="MFE6" s="34"/>
      <c r="MFF6" s="64"/>
      <c r="MFG6" s="4"/>
      <c r="MFH6" s="65"/>
      <c r="MFI6" s="4"/>
      <c r="MFJ6" s="4"/>
      <c r="MFK6" s="4"/>
      <c r="MFN6" s="34"/>
      <c r="MFO6" s="34"/>
      <c r="MFQ6" s="34"/>
      <c r="MFR6" s="72"/>
      <c r="MFS6" s="63"/>
      <c r="MFT6" s="34"/>
      <c r="MFU6" s="64"/>
      <c r="MFV6" s="4"/>
      <c r="MFW6" s="65"/>
      <c r="MFX6" s="4"/>
      <c r="MFY6" s="4"/>
      <c r="MFZ6" s="4"/>
      <c r="MGC6" s="34"/>
      <c r="MGD6" s="34"/>
      <c r="MGF6" s="34"/>
      <c r="MGG6" s="72"/>
      <c r="MGH6" s="63"/>
      <c r="MGI6" s="34"/>
      <c r="MGJ6" s="64"/>
      <c r="MGK6" s="4"/>
      <c r="MGL6" s="65"/>
      <c r="MGM6" s="4"/>
      <c r="MGN6" s="4"/>
      <c r="MGO6" s="4"/>
      <c r="MGR6" s="34"/>
      <c r="MGS6" s="34"/>
      <c r="MGU6" s="34"/>
      <c r="MGV6" s="72"/>
      <c r="MGW6" s="63"/>
      <c r="MGX6" s="34"/>
      <c r="MGY6" s="64"/>
      <c r="MGZ6" s="4"/>
      <c r="MHA6" s="65"/>
      <c r="MHB6" s="4"/>
      <c r="MHC6" s="4"/>
      <c r="MHD6" s="4"/>
      <c r="MHG6" s="34"/>
      <c r="MHH6" s="34"/>
      <c r="MHJ6" s="34"/>
      <c r="MHK6" s="72"/>
      <c r="MHL6" s="63"/>
      <c r="MHM6" s="34"/>
      <c r="MHN6" s="64"/>
      <c r="MHO6" s="4"/>
      <c r="MHP6" s="65"/>
      <c r="MHQ6" s="4"/>
      <c r="MHR6" s="4"/>
      <c r="MHS6" s="4"/>
      <c r="MHV6" s="34"/>
      <c r="MHW6" s="34"/>
      <c r="MHY6" s="34"/>
      <c r="MHZ6" s="72"/>
      <c r="MIA6" s="63"/>
      <c r="MIB6" s="34"/>
      <c r="MIC6" s="64"/>
      <c r="MID6" s="4"/>
      <c r="MIE6" s="65"/>
      <c r="MIF6" s="4"/>
      <c r="MIG6" s="4"/>
      <c r="MIH6" s="4"/>
      <c r="MIK6" s="34"/>
      <c r="MIL6" s="34"/>
      <c r="MIN6" s="34"/>
      <c r="MIO6" s="72"/>
      <c r="MIP6" s="63"/>
      <c r="MIQ6" s="34"/>
      <c r="MIR6" s="64"/>
      <c r="MIS6" s="4"/>
      <c r="MIT6" s="65"/>
      <c r="MIU6" s="4"/>
      <c r="MIV6" s="4"/>
      <c r="MIW6" s="4"/>
      <c r="MIZ6" s="34"/>
      <c r="MJA6" s="34"/>
      <c r="MJC6" s="34"/>
      <c r="MJD6" s="72"/>
      <c r="MJE6" s="63"/>
      <c r="MJF6" s="34"/>
      <c r="MJG6" s="64"/>
      <c r="MJH6" s="4"/>
      <c r="MJI6" s="65"/>
      <c r="MJJ6" s="4"/>
      <c r="MJK6" s="4"/>
      <c r="MJL6" s="4"/>
      <c r="MJO6" s="34"/>
      <c r="MJP6" s="34"/>
      <c r="MJR6" s="34"/>
      <c r="MJS6" s="72"/>
      <c r="MJT6" s="63"/>
      <c r="MJU6" s="34"/>
      <c r="MJV6" s="64"/>
      <c r="MJW6" s="4"/>
      <c r="MJX6" s="65"/>
      <c r="MJY6" s="4"/>
      <c r="MJZ6" s="4"/>
      <c r="MKA6" s="4"/>
      <c r="MKD6" s="34"/>
      <c r="MKE6" s="34"/>
      <c r="MKG6" s="34"/>
      <c r="MKH6" s="72"/>
      <c r="MKI6" s="63"/>
      <c r="MKJ6" s="34"/>
      <c r="MKK6" s="64"/>
      <c r="MKL6" s="4"/>
      <c r="MKM6" s="65"/>
      <c r="MKN6" s="4"/>
      <c r="MKO6" s="4"/>
      <c r="MKP6" s="4"/>
      <c r="MKS6" s="34"/>
      <c r="MKT6" s="34"/>
      <c r="MKV6" s="34"/>
      <c r="MKW6" s="72"/>
      <c r="MKX6" s="63"/>
      <c r="MKY6" s="34"/>
      <c r="MKZ6" s="64"/>
      <c r="MLA6" s="4"/>
      <c r="MLB6" s="65"/>
      <c r="MLC6" s="4"/>
      <c r="MLD6" s="4"/>
      <c r="MLE6" s="4"/>
      <c r="MLH6" s="34"/>
      <c r="MLI6" s="34"/>
      <c r="MLK6" s="34"/>
      <c r="MLL6" s="72"/>
      <c r="MLM6" s="63"/>
      <c r="MLN6" s="34"/>
      <c r="MLO6" s="64"/>
      <c r="MLP6" s="4"/>
      <c r="MLQ6" s="65"/>
      <c r="MLR6" s="4"/>
      <c r="MLS6" s="4"/>
      <c r="MLT6" s="4"/>
      <c r="MLW6" s="34"/>
      <c r="MLX6" s="34"/>
      <c r="MLZ6" s="34"/>
      <c r="MMA6" s="72"/>
      <c r="MMB6" s="63"/>
      <c r="MMC6" s="34"/>
      <c r="MMD6" s="64"/>
      <c r="MME6" s="4"/>
      <c r="MMF6" s="65"/>
      <c r="MMG6" s="4"/>
      <c r="MMH6" s="4"/>
      <c r="MMI6" s="4"/>
      <c r="MML6" s="34"/>
      <c r="MMM6" s="34"/>
      <c r="MMO6" s="34"/>
      <c r="MMP6" s="72"/>
      <c r="MMQ6" s="63"/>
      <c r="MMR6" s="34"/>
      <c r="MMS6" s="64"/>
      <c r="MMT6" s="4"/>
      <c r="MMU6" s="65"/>
      <c r="MMV6" s="4"/>
      <c r="MMW6" s="4"/>
      <c r="MMX6" s="4"/>
      <c r="MNA6" s="34"/>
      <c r="MNB6" s="34"/>
      <c r="MND6" s="34"/>
      <c r="MNE6" s="72"/>
      <c r="MNF6" s="63"/>
      <c r="MNG6" s="34"/>
      <c r="MNH6" s="64"/>
      <c r="MNI6" s="4"/>
      <c r="MNJ6" s="65"/>
      <c r="MNK6" s="4"/>
      <c r="MNL6" s="4"/>
      <c r="MNM6" s="4"/>
      <c r="MNP6" s="34"/>
      <c r="MNQ6" s="34"/>
      <c r="MNS6" s="34"/>
      <c r="MNT6" s="72"/>
      <c r="MNU6" s="63"/>
      <c r="MNV6" s="34"/>
      <c r="MNW6" s="64"/>
      <c r="MNX6" s="4"/>
      <c r="MNY6" s="65"/>
      <c r="MNZ6" s="4"/>
      <c r="MOA6" s="4"/>
      <c r="MOB6" s="4"/>
      <c r="MOE6" s="34"/>
      <c r="MOF6" s="34"/>
      <c r="MOH6" s="34"/>
      <c r="MOI6" s="72"/>
      <c r="MOJ6" s="63"/>
      <c r="MOK6" s="34"/>
      <c r="MOL6" s="64"/>
      <c r="MOM6" s="4"/>
      <c r="MON6" s="65"/>
      <c r="MOO6" s="4"/>
      <c r="MOP6" s="4"/>
      <c r="MOQ6" s="4"/>
      <c r="MOT6" s="34"/>
      <c r="MOU6" s="34"/>
      <c r="MOW6" s="34"/>
      <c r="MOX6" s="72"/>
      <c r="MOY6" s="63"/>
      <c r="MOZ6" s="34"/>
      <c r="MPA6" s="64"/>
      <c r="MPB6" s="4"/>
      <c r="MPC6" s="65"/>
      <c r="MPD6" s="4"/>
      <c r="MPE6" s="4"/>
      <c r="MPF6" s="4"/>
      <c r="MPI6" s="34"/>
      <c r="MPJ6" s="34"/>
      <c r="MPL6" s="34"/>
      <c r="MPM6" s="72"/>
      <c r="MPN6" s="63"/>
      <c r="MPO6" s="34"/>
      <c r="MPP6" s="64"/>
      <c r="MPQ6" s="4"/>
      <c r="MPR6" s="65"/>
      <c r="MPS6" s="4"/>
      <c r="MPT6" s="4"/>
      <c r="MPU6" s="4"/>
      <c r="MPX6" s="34"/>
      <c r="MPY6" s="34"/>
      <c r="MQA6" s="34"/>
      <c r="MQB6" s="72"/>
      <c r="MQC6" s="63"/>
      <c r="MQD6" s="34"/>
      <c r="MQE6" s="64"/>
      <c r="MQF6" s="4"/>
      <c r="MQG6" s="65"/>
      <c r="MQH6" s="4"/>
      <c r="MQI6" s="4"/>
      <c r="MQJ6" s="4"/>
      <c r="MQM6" s="34"/>
      <c r="MQN6" s="34"/>
      <c r="MQP6" s="34"/>
      <c r="MQQ6" s="72"/>
      <c r="MQR6" s="63"/>
      <c r="MQS6" s="34"/>
      <c r="MQT6" s="64"/>
      <c r="MQU6" s="4"/>
      <c r="MQV6" s="65"/>
      <c r="MQW6" s="4"/>
      <c r="MQX6" s="4"/>
      <c r="MQY6" s="4"/>
      <c r="MRB6" s="34"/>
      <c r="MRC6" s="34"/>
      <c r="MRE6" s="34"/>
      <c r="MRF6" s="72"/>
      <c r="MRG6" s="63"/>
      <c r="MRH6" s="34"/>
      <c r="MRI6" s="64"/>
      <c r="MRJ6" s="4"/>
      <c r="MRK6" s="65"/>
      <c r="MRL6" s="4"/>
      <c r="MRM6" s="4"/>
      <c r="MRN6" s="4"/>
      <c r="MRQ6" s="34"/>
      <c r="MRR6" s="34"/>
      <c r="MRT6" s="34"/>
      <c r="MRU6" s="72"/>
      <c r="MRV6" s="63"/>
      <c r="MRW6" s="34"/>
      <c r="MRX6" s="64"/>
      <c r="MRY6" s="4"/>
      <c r="MRZ6" s="65"/>
      <c r="MSA6" s="4"/>
      <c r="MSB6" s="4"/>
      <c r="MSC6" s="4"/>
      <c r="MSF6" s="34"/>
      <c r="MSG6" s="34"/>
      <c r="MSI6" s="34"/>
      <c r="MSJ6" s="72"/>
      <c r="MSK6" s="63"/>
      <c r="MSL6" s="34"/>
      <c r="MSM6" s="64"/>
      <c r="MSN6" s="4"/>
      <c r="MSO6" s="65"/>
      <c r="MSP6" s="4"/>
      <c r="MSQ6" s="4"/>
      <c r="MSR6" s="4"/>
      <c r="MSU6" s="34"/>
      <c r="MSV6" s="34"/>
      <c r="MSX6" s="34"/>
      <c r="MSY6" s="72"/>
      <c r="MSZ6" s="63"/>
      <c r="MTA6" s="34"/>
      <c r="MTB6" s="64"/>
      <c r="MTC6" s="4"/>
      <c r="MTD6" s="65"/>
      <c r="MTE6" s="4"/>
      <c r="MTF6" s="4"/>
      <c r="MTG6" s="4"/>
      <c r="MTJ6" s="34"/>
      <c r="MTK6" s="34"/>
      <c r="MTM6" s="34"/>
      <c r="MTN6" s="72"/>
      <c r="MTO6" s="63"/>
      <c r="MTP6" s="34"/>
      <c r="MTQ6" s="64"/>
      <c r="MTR6" s="4"/>
      <c r="MTS6" s="65"/>
      <c r="MTT6" s="4"/>
      <c r="MTU6" s="4"/>
      <c r="MTV6" s="4"/>
      <c r="MTY6" s="34"/>
      <c r="MTZ6" s="34"/>
      <c r="MUB6" s="34"/>
      <c r="MUC6" s="72"/>
      <c r="MUD6" s="63"/>
      <c r="MUE6" s="34"/>
      <c r="MUF6" s="64"/>
      <c r="MUG6" s="4"/>
      <c r="MUH6" s="65"/>
      <c r="MUI6" s="4"/>
      <c r="MUJ6" s="4"/>
      <c r="MUK6" s="4"/>
      <c r="MUN6" s="34"/>
      <c r="MUO6" s="34"/>
      <c r="MUQ6" s="34"/>
      <c r="MUR6" s="72"/>
      <c r="MUS6" s="63"/>
      <c r="MUT6" s="34"/>
      <c r="MUU6" s="64"/>
      <c r="MUV6" s="4"/>
      <c r="MUW6" s="65"/>
      <c r="MUX6" s="4"/>
      <c r="MUY6" s="4"/>
      <c r="MUZ6" s="4"/>
      <c r="MVC6" s="34"/>
      <c r="MVD6" s="34"/>
      <c r="MVF6" s="34"/>
      <c r="MVG6" s="72"/>
      <c r="MVH6" s="63"/>
      <c r="MVI6" s="34"/>
      <c r="MVJ6" s="64"/>
      <c r="MVK6" s="4"/>
      <c r="MVL6" s="65"/>
      <c r="MVM6" s="4"/>
      <c r="MVN6" s="4"/>
      <c r="MVO6" s="4"/>
      <c r="MVR6" s="34"/>
      <c r="MVS6" s="34"/>
      <c r="MVU6" s="34"/>
      <c r="MVV6" s="72"/>
      <c r="MVW6" s="63"/>
      <c r="MVX6" s="34"/>
      <c r="MVY6" s="64"/>
      <c r="MVZ6" s="4"/>
      <c r="MWA6" s="65"/>
      <c r="MWB6" s="4"/>
      <c r="MWC6" s="4"/>
      <c r="MWD6" s="4"/>
      <c r="MWG6" s="34"/>
      <c r="MWH6" s="34"/>
      <c r="MWJ6" s="34"/>
      <c r="MWK6" s="72"/>
      <c r="MWL6" s="63"/>
      <c r="MWM6" s="34"/>
      <c r="MWN6" s="64"/>
      <c r="MWO6" s="4"/>
      <c r="MWP6" s="65"/>
      <c r="MWQ6" s="4"/>
      <c r="MWR6" s="4"/>
      <c r="MWS6" s="4"/>
      <c r="MWV6" s="34"/>
      <c r="MWW6" s="34"/>
      <c r="MWY6" s="34"/>
      <c r="MWZ6" s="72"/>
      <c r="MXA6" s="63"/>
      <c r="MXB6" s="34"/>
      <c r="MXC6" s="64"/>
      <c r="MXD6" s="4"/>
      <c r="MXE6" s="65"/>
      <c r="MXF6" s="4"/>
      <c r="MXG6" s="4"/>
      <c r="MXH6" s="4"/>
      <c r="MXK6" s="34"/>
      <c r="MXL6" s="34"/>
      <c r="MXN6" s="34"/>
      <c r="MXO6" s="72"/>
      <c r="MXP6" s="63"/>
      <c r="MXQ6" s="34"/>
      <c r="MXR6" s="64"/>
      <c r="MXS6" s="4"/>
      <c r="MXT6" s="65"/>
      <c r="MXU6" s="4"/>
      <c r="MXV6" s="4"/>
      <c r="MXW6" s="4"/>
      <c r="MXZ6" s="34"/>
      <c r="MYA6" s="34"/>
      <c r="MYC6" s="34"/>
      <c r="MYD6" s="72"/>
      <c r="MYE6" s="63"/>
      <c r="MYF6" s="34"/>
      <c r="MYG6" s="64"/>
      <c r="MYH6" s="4"/>
      <c r="MYI6" s="65"/>
      <c r="MYJ6" s="4"/>
      <c r="MYK6" s="4"/>
      <c r="MYL6" s="4"/>
      <c r="MYO6" s="34"/>
      <c r="MYP6" s="34"/>
      <c r="MYR6" s="34"/>
      <c r="MYS6" s="72"/>
      <c r="MYT6" s="63"/>
      <c r="MYU6" s="34"/>
      <c r="MYV6" s="64"/>
      <c r="MYW6" s="4"/>
      <c r="MYX6" s="65"/>
      <c r="MYY6" s="4"/>
      <c r="MYZ6" s="4"/>
      <c r="MZA6" s="4"/>
      <c r="MZD6" s="34"/>
      <c r="MZE6" s="34"/>
      <c r="MZG6" s="34"/>
      <c r="MZH6" s="72"/>
      <c r="MZI6" s="63"/>
      <c r="MZJ6" s="34"/>
      <c r="MZK6" s="64"/>
      <c r="MZL6" s="4"/>
      <c r="MZM6" s="65"/>
      <c r="MZN6" s="4"/>
      <c r="MZO6" s="4"/>
      <c r="MZP6" s="4"/>
      <c r="MZS6" s="34"/>
      <c r="MZT6" s="34"/>
      <c r="MZV6" s="34"/>
      <c r="MZW6" s="72"/>
      <c r="MZX6" s="63"/>
      <c r="MZY6" s="34"/>
      <c r="MZZ6" s="64"/>
      <c r="NAA6" s="4"/>
      <c r="NAB6" s="65"/>
      <c r="NAC6" s="4"/>
      <c r="NAD6" s="4"/>
      <c r="NAE6" s="4"/>
      <c r="NAH6" s="34"/>
      <c r="NAI6" s="34"/>
      <c r="NAK6" s="34"/>
      <c r="NAL6" s="72"/>
      <c r="NAM6" s="63"/>
      <c r="NAN6" s="34"/>
      <c r="NAO6" s="64"/>
      <c r="NAP6" s="4"/>
      <c r="NAQ6" s="65"/>
      <c r="NAR6" s="4"/>
      <c r="NAS6" s="4"/>
      <c r="NAT6" s="4"/>
      <c r="NAW6" s="34"/>
      <c r="NAX6" s="34"/>
      <c r="NAZ6" s="34"/>
      <c r="NBA6" s="72"/>
      <c r="NBB6" s="63"/>
      <c r="NBC6" s="34"/>
      <c r="NBD6" s="64"/>
      <c r="NBE6" s="4"/>
      <c r="NBF6" s="65"/>
      <c r="NBG6" s="4"/>
      <c r="NBH6" s="4"/>
      <c r="NBI6" s="4"/>
      <c r="NBL6" s="34"/>
      <c r="NBM6" s="34"/>
      <c r="NBO6" s="34"/>
      <c r="NBP6" s="72"/>
      <c r="NBQ6" s="63"/>
      <c r="NBR6" s="34"/>
      <c r="NBS6" s="64"/>
      <c r="NBT6" s="4"/>
      <c r="NBU6" s="65"/>
      <c r="NBV6" s="4"/>
      <c r="NBW6" s="4"/>
      <c r="NBX6" s="4"/>
      <c r="NCA6" s="34"/>
      <c r="NCB6" s="34"/>
      <c r="NCD6" s="34"/>
      <c r="NCE6" s="72"/>
      <c r="NCF6" s="63"/>
      <c r="NCG6" s="34"/>
      <c r="NCH6" s="64"/>
      <c r="NCI6" s="4"/>
      <c r="NCJ6" s="65"/>
      <c r="NCK6" s="4"/>
      <c r="NCL6" s="4"/>
      <c r="NCM6" s="4"/>
      <c r="NCP6" s="34"/>
      <c r="NCQ6" s="34"/>
      <c r="NCS6" s="34"/>
      <c r="NCT6" s="72"/>
      <c r="NCU6" s="63"/>
      <c r="NCV6" s="34"/>
      <c r="NCW6" s="64"/>
      <c r="NCX6" s="4"/>
      <c r="NCY6" s="65"/>
      <c r="NCZ6" s="4"/>
      <c r="NDA6" s="4"/>
      <c r="NDB6" s="4"/>
      <c r="NDE6" s="34"/>
      <c r="NDF6" s="34"/>
      <c r="NDH6" s="34"/>
      <c r="NDI6" s="72"/>
      <c r="NDJ6" s="63"/>
      <c r="NDK6" s="34"/>
      <c r="NDL6" s="64"/>
      <c r="NDM6" s="4"/>
      <c r="NDN6" s="65"/>
      <c r="NDO6" s="4"/>
      <c r="NDP6" s="4"/>
      <c r="NDQ6" s="4"/>
      <c r="NDT6" s="34"/>
      <c r="NDU6" s="34"/>
      <c r="NDW6" s="34"/>
      <c r="NDX6" s="72"/>
      <c r="NDY6" s="63"/>
      <c r="NDZ6" s="34"/>
      <c r="NEA6" s="64"/>
      <c r="NEB6" s="4"/>
      <c r="NEC6" s="65"/>
      <c r="NED6" s="4"/>
      <c r="NEE6" s="4"/>
      <c r="NEF6" s="4"/>
      <c r="NEI6" s="34"/>
      <c r="NEJ6" s="34"/>
      <c r="NEL6" s="34"/>
      <c r="NEM6" s="72"/>
      <c r="NEN6" s="63"/>
      <c r="NEO6" s="34"/>
      <c r="NEP6" s="64"/>
      <c r="NEQ6" s="4"/>
      <c r="NER6" s="65"/>
      <c r="NES6" s="4"/>
      <c r="NET6" s="4"/>
      <c r="NEU6" s="4"/>
      <c r="NEX6" s="34"/>
      <c r="NEY6" s="34"/>
      <c r="NFA6" s="34"/>
      <c r="NFB6" s="72"/>
      <c r="NFC6" s="63"/>
      <c r="NFD6" s="34"/>
      <c r="NFE6" s="64"/>
      <c r="NFF6" s="4"/>
      <c r="NFG6" s="65"/>
      <c r="NFH6" s="4"/>
      <c r="NFI6" s="4"/>
      <c r="NFJ6" s="4"/>
      <c r="NFM6" s="34"/>
      <c r="NFN6" s="34"/>
      <c r="NFP6" s="34"/>
      <c r="NFQ6" s="72"/>
      <c r="NFR6" s="63"/>
      <c r="NFS6" s="34"/>
      <c r="NFT6" s="64"/>
      <c r="NFU6" s="4"/>
      <c r="NFV6" s="65"/>
      <c r="NFW6" s="4"/>
      <c r="NFX6" s="4"/>
      <c r="NFY6" s="4"/>
      <c r="NGB6" s="34"/>
      <c r="NGC6" s="34"/>
      <c r="NGE6" s="34"/>
      <c r="NGF6" s="72"/>
      <c r="NGG6" s="63"/>
      <c r="NGH6" s="34"/>
      <c r="NGI6" s="64"/>
      <c r="NGJ6" s="4"/>
      <c r="NGK6" s="65"/>
      <c r="NGL6" s="4"/>
      <c r="NGM6" s="4"/>
      <c r="NGN6" s="4"/>
      <c r="NGQ6" s="34"/>
      <c r="NGR6" s="34"/>
      <c r="NGT6" s="34"/>
      <c r="NGU6" s="72"/>
      <c r="NGV6" s="63"/>
      <c r="NGW6" s="34"/>
      <c r="NGX6" s="64"/>
      <c r="NGY6" s="4"/>
      <c r="NGZ6" s="65"/>
      <c r="NHA6" s="4"/>
      <c r="NHB6" s="4"/>
      <c r="NHC6" s="4"/>
      <c r="NHF6" s="34"/>
      <c r="NHG6" s="34"/>
      <c r="NHI6" s="34"/>
      <c r="NHJ6" s="72"/>
      <c r="NHK6" s="63"/>
      <c r="NHL6" s="34"/>
      <c r="NHM6" s="64"/>
      <c r="NHN6" s="4"/>
      <c r="NHO6" s="65"/>
      <c r="NHP6" s="4"/>
      <c r="NHQ6" s="4"/>
      <c r="NHR6" s="4"/>
      <c r="NHU6" s="34"/>
      <c r="NHV6" s="34"/>
      <c r="NHX6" s="34"/>
      <c r="NHY6" s="72"/>
      <c r="NHZ6" s="63"/>
      <c r="NIA6" s="34"/>
      <c r="NIB6" s="64"/>
      <c r="NIC6" s="4"/>
      <c r="NID6" s="65"/>
      <c r="NIE6" s="4"/>
      <c r="NIF6" s="4"/>
      <c r="NIG6" s="4"/>
      <c r="NIJ6" s="34"/>
      <c r="NIK6" s="34"/>
      <c r="NIM6" s="34"/>
      <c r="NIN6" s="72"/>
      <c r="NIO6" s="63"/>
      <c r="NIP6" s="34"/>
      <c r="NIQ6" s="64"/>
      <c r="NIR6" s="4"/>
      <c r="NIS6" s="65"/>
      <c r="NIT6" s="4"/>
      <c r="NIU6" s="4"/>
      <c r="NIV6" s="4"/>
      <c r="NIY6" s="34"/>
      <c r="NIZ6" s="34"/>
      <c r="NJB6" s="34"/>
      <c r="NJC6" s="72"/>
      <c r="NJD6" s="63"/>
      <c r="NJE6" s="34"/>
      <c r="NJF6" s="64"/>
      <c r="NJG6" s="4"/>
      <c r="NJH6" s="65"/>
      <c r="NJI6" s="4"/>
      <c r="NJJ6" s="4"/>
      <c r="NJK6" s="4"/>
      <c r="NJN6" s="34"/>
      <c r="NJO6" s="34"/>
      <c r="NJQ6" s="34"/>
      <c r="NJR6" s="72"/>
      <c r="NJS6" s="63"/>
      <c r="NJT6" s="34"/>
      <c r="NJU6" s="64"/>
      <c r="NJV6" s="4"/>
      <c r="NJW6" s="65"/>
      <c r="NJX6" s="4"/>
      <c r="NJY6" s="4"/>
      <c r="NJZ6" s="4"/>
      <c r="NKC6" s="34"/>
      <c r="NKD6" s="34"/>
      <c r="NKF6" s="34"/>
      <c r="NKG6" s="72"/>
      <c r="NKH6" s="63"/>
      <c r="NKI6" s="34"/>
      <c r="NKJ6" s="64"/>
      <c r="NKK6" s="4"/>
      <c r="NKL6" s="65"/>
      <c r="NKM6" s="4"/>
      <c r="NKN6" s="4"/>
      <c r="NKO6" s="4"/>
      <c r="NKR6" s="34"/>
      <c r="NKS6" s="34"/>
      <c r="NKU6" s="34"/>
      <c r="NKV6" s="72"/>
      <c r="NKW6" s="63"/>
      <c r="NKX6" s="34"/>
      <c r="NKY6" s="64"/>
      <c r="NKZ6" s="4"/>
      <c r="NLA6" s="65"/>
      <c r="NLB6" s="4"/>
      <c r="NLC6" s="4"/>
      <c r="NLD6" s="4"/>
      <c r="NLG6" s="34"/>
      <c r="NLH6" s="34"/>
      <c r="NLJ6" s="34"/>
      <c r="NLK6" s="72"/>
      <c r="NLL6" s="63"/>
      <c r="NLM6" s="34"/>
      <c r="NLN6" s="64"/>
      <c r="NLO6" s="4"/>
      <c r="NLP6" s="65"/>
      <c r="NLQ6" s="4"/>
      <c r="NLR6" s="4"/>
      <c r="NLS6" s="4"/>
      <c r="NLV6" s="34"/>
      <c r="NLW6" s="34"/>
      <c r="NLY6" s="34"/>
      <c r="NLZ6" s="72"/>
      <c r="NMA6" s="63"/>
      <c r="NMB6" s="34"/>
      <c r="NMC6" s="64"/>
      <c r="NMD6" s="4"/>
      <c r="NME6" s="65"/>
      <c r="NMF6" s="4"/>
      <c r="NMG6" s="4"/>
      <c r="NMH6" s="4"/>
      <c r="NMK6" s="34"/>
      <c r="NML6" s="34"/>
      <c r="NMN6" s="34"/>
      <c r="NMO6" s="72"/>
      <c r="NMP6" s="63"/>
      <c r="NMQ6" s="34"/>
      <c r="NMR6" s="64"/>
      <c r="NMS6" s="4"/>
      <c r="NMT6" s="65"/>
      <c r="NMU6" s="4"/>
      <c r="NMV6" s="4"/>
      <c r="NMW6" s="4"/>
      <c r="NMZ6" s="34"/>
      <c r="NNA6" s="34"/>
      <c r="NNC6" s="34"/>
      <c r="NND6" s="72"/>
      <c r="NNE6" s="63"/>
      <c r="NNF6" s="34"/>
      <c r="NNG6" s="64"/>
      <c r="NNH6" s="4"/>
      <c r="NNI6" s="65"/>
      <c r="NNJ6" s="4"/>
      <c r="NNK6" s="4"/>
      <c r="NNL6" s="4"/>
      <c r="NNO6" s="34"/>
      <c r="NNP6" s="34"/>
      <c r="NNR6" s="34"/>
      <c r="NNS6" s="72"/>
      <c r="NNT6" s="63"/>
      <c r="NNU6" s="34"/>
      <c r="NNV6" s="64"/>
      <c r="NNW6" s="4"/>
      <c r="NNX6" s="65"/>
      <c r="NNY6" s="4"/>
      <c r="NNZ6" s="4"/>
      <c r="NOA6" s="4"/>
      <c r="NOD6" s="34"/>
      <c r="NOE6" s="34"/>
      <c r="NOG6" s="34"/>
      <c r="NOH6" s="72"/>
      <c r="NOI6" s="63"/>
      <c r="NOJ6" s="34"/>
      <c r="NOK6" s="64"/>
      <c r="NOL6" s="4"/>
      <c r="NOM6" s="65"/>
      <c r="NON6" s="4"/>
      <c r="NOO6" s="4"/>
      <c r="NOP6" s="4"/>
      <c r="NOS6" s="34"/>
      <c r="NOT6" s="34"/>
      <c r="NOV6" s="34"/>
      <c r="NOW6" s="72"/>
      <c r="NOX6" s="63"/>
      <c r="NOY6" s="34"/>
      <c r="NOZ6" s="64"/>
      <c r="NPA6" s="4"/>
      <c r="NPB6" s="65"/>
      <c r="NPC6" s="4"/>
      <c r="NPD6" s="4"/>
      <c r="NPE6" s="4"/>
      <c r="NPH6" s="34"/>
      <c r="NPI6" s="34"/>
      <c r="NPK6" s="34"/>
      <c r="NPL6" s="72"/>
      <c r="NPM6" s="63"/>
      <c r="NPN6" s="34"/>
      <c r="NPO6" s="64"/>
      <c r="NPP6" s="4"/>
      <c r="NPQ6" s="65"/>
      <c r="NPR6" s="4"/>
      <c r="NPS6" s="4"/>
      <c r="NPT6" s="4"/>
      <c r="NPW6" s="34"/>
      <c r="NPX6" s="34"/>
      <c r="NPZ6" s="34"/>
      <c r="NQA6" s="72"/>
      <c r="NQB6" s="63"/>
      <c r="NQC6" s="34"/>
      <c r="NQD6" s="64"/>
      <c r="NQE6" s="4"/>
      <c r="NQF6" s="65"/>
      <c r="NQG6" s="4"/>
      <c r="NQH6" s="4"/>
      <c r="NQI6" s="4"/>
      <c r="NQL6" s="34"/>
      <c r="NQM6" s="34"/>
      <c r="NQO6" s="34"/>
      <c r="NQP6" s="72"/>
      <c r="NQQ6" s="63"/>
      <c r="NQR6" s="34"/>
      <c r="NQS6" s="64"/>
      <c r="NQT6" s="4"/>
      <c r="NQU6" s="65"/>
      <c r="NQV6" s="4"/>
      <c r="NQW6" s="4"/>
      <c r="NQX6" s="4"/>
      <c r="NRA6" s="34"/>
      <c r="NRB6" s="34"/>
      <c r="NRD6" s="34"/>
      <c r="NRE6" s="72"/>
      <c r="NRF6" s="63"/>
      <c r="NRG6" s="34"/>
      <c r="NRH6" s="64"/>
      <c r="NRI6" s="4"/>
      <c r="NRJ6" s="65"/>
      <c r="NRK6" s="4"/>
      <c r="NRL6" s="4"/>
      <c r="NRM6" s="4"/>
      <c r="NRP6" s="34"/>
      <c r="NRQ6" s="34"/>
      <c r="NRS6" s="34"/>
      <c r="NRT6" s="72"/>
      <c r="NRU6" s="63"/>
      <c r="NRV6" s="34"/>
      <c r="NRW6" s="64"/>
      <c r="NRX6" s="4"/>
      <c r="NRY6" s="65"/>
      <c r="NRZ6" s="4"/>
      <c r="NSA6" s="4"/>
      <c r="NSB6" s="4"/>
      <c r="NSE6" s="34"/>
      <c r="NSF6" s="34"/>
      <c r="NSH6" s="34"/>
      <c r="NSI6" s="72"/>
      <c r="NSJ6" s="63"/>
      <c r="NSK6" s="34"/>
      <c r="NSL6" s="64"/>
      <c r="NSM6" s="4"/>
      <c r="NSN6" s="65"/>
      <c r="NSO6" s="4"/>
      <c r="NSP6" s="4"/>
      <c r="NSQ6" s="4"/>
      <c r="NST6" s="34"/>
      <c r="NSU6" s="34"/>
      <c r="NSW6" s="34"/>
      <c r="NSX6" s="72"/>
      <c r="NSY6" s="63"/>
      <c r="NSZ6" s="34"/>
      <c r="NTA6" s="64"/>
      <c r="NTB6" s="4"/>
      <c r="NTC6" s="65"/>
      <c r="NTD6" s="4"/>
      <c r="NTE6" s="4"/>
      <c r="NTF6" s="4"/>
      <c r="NTI6" s="34"/>
      <c r="NTJ6" s="34"/>
      <c r="NTL6" s="34"/>
      <c r="NTM6" s="72"/>
      <c r="NTN6" s="63"/>
      <c r="NTO6" s="34"/>
      <c r="NTP6" s="64"/>
      <c r="NTQ6" s="4"/>
      <c r="NTR6" s="65"/>
      <c r="NTS6" s="4"/>
      <c r="NTT6" s="4"/>
      <c r="NTU6" s="4"/>
      <c r="NTX6" s="34"/>
      <c r="NTY6" s="34"/>
      <c r="NUA6" s="34"/>
      <c r="NUB6" s="72"/>
      <c r="NUC6" s="63"/>
      <c r="NUD6" s="34"/>
      <c r="NUE6" s="64"/>
      <c r="NUF6" s="4"/>
      <c r="NUG6" s="65"/>
      <c r="NUH6" s="4"/>
      <c r="NUI6" s="4"/>
      <c r="NUJ6" s="4"/>
      <c r="NUM6" s="34"/>
      <c r="NUN6" s="34"/>
      <c r="NUP6" s="34"/>
      <c r="NUQ6" s="72"/>
      <c r="NUR6" s="63"/>
      <c r="NUS6" s="34"/>
      <c r="NUT6" s="64"/>
      <c r="NUU6" s="4"/>
      <c r="NUV6" s="65"/>
      <c r="NUW6" s="4"/>
      <c r="NUX6" s="4"/>
      <c r="NUY6" s="4"/>
      <c r="NVB6" s="34"/>
      <c r="NVC6" s="34"/>
      <c r="NVE6" s="34"/>
      <c r="NVF6" s="72"/>
      <c r="NVG6" s="63"/>
      <c r="NVH6" s="34"/>
      <c r="NVI6" s="64"/>
      <c r="NVJ6" s="4"/>
      <c r="NVK6" s="65"/>
      <c r="NVL6" s="4"/>
      <c r="NVM6" s="4"/>
      <c r="NVN6" s="4"/>
      <c r="NVQ6" s="34"/>
      <c r="NVR6" s="34"/>
      <c r="NVT6" s="34"/>
      <c r="NVU6" s="72"/>
      <c r="NVV6" s="63"/>
      <c r="NVW6" s="34"/>
      <c r="NVX6" s="64"/>
      <c r="NVY6" s="4"/>
      <c r="NVZ6" s="65"/>
      <c r="NWA6" s="4"/>
      <c r="NWB6" s="4"/>
      <c r="NWC6" s="4"/>
      <c r="NWF6" s="34"/>
      <c r="NWG6" s="34"/>
      <c r="NWI6" s="34"/>
      <c r="NWJ6" s="72"/>
      <c r="NWK6" s="63"/>
      <c r="NWL6" s="34"/>
      <c r="NWM6" s="64"/>
      <c r="NWN6" s="4"/>
      <c r="NWO6" s="65"/>
      <c r="NWP6" s="4"/>
      <c r="NWQ6" s="4"/>
      <c r="NWR6" s="4"/>
      <c r="NWU6" s="34"/>
      <c r="NWV6" s="34"/>
      <c r="NWX6" s="34"/>
      <c r="NWY6" s="72"/>
      <c r="NWZ6" s="63"/>
      <c r="NXA6" s="34"/>
      <c r="NXB6" s="64"/>
      <c r="NXC6" s="4"/>
      <c r="NXD6" s="65"/>
      <c r="NXE6" s="4"/>
      <c r="NXF6" s="4"/>
      <c r="NXG6" s="4"/>
      <c r="NXJ6" s="34"/>
      <c r="NXK6" s="34"/>
      <c r="NXM6" s="34"/>
      <c r="NXN6" s="72"/>
      <c r="NXO6" s="63"/>
      <c r="NXP6" s="34"/>
      <c r="NXQ6" s="64"/>
      <c r="NXR6" s="4"/>
      <c r="NXS6" s="65"/>
      <c r="NXT6" s="4"/>
      <c r="NXU6" s="4"/>
      <c r="NXV6" s="4"/>
      <c r="NXY6" s="34"/>
      <c r="NXZ6" s="34"/>
      <c r="NYB6" s="34"/>
      <c r="NYC6" s="72"/>
      <c r="NYD6" s="63"/>
      <c r="NYE6" s="34"/>
      <c r="NYF6" s="64"/>
      <c r="NYG6" s="4"/>
      <c r="NYH6" s="65"/>
      <c r="NYI6" s="4"/>
      <c r="NYJ6" s="4"/>
      <c r="NYK6" s="4"/>
      <c r="NYN6" s="34"/>
      <c r="NYO6" s="34"/>
      <c r="NYQ6" s="34"/>
      <c r="NYR6" s="72"/>
      <c r="NYS6" s="63"/>
      <c r="NYT6" s="34"/>
      <c r="NYU6" s="64"/>
      <c r="NYV6" s="4"/>
      <c r="NYW6" s="65"/>
      <c r="NYX6" s="4"/>
      <c r="NYY6" s="4"/>
      <c r="NYZ6" s="4"/>
      <c r="NZC6" s="34"/>
      <c r="NZD6" s="34"/>
      <c r="NZF6" s="34"/>
      <c r="NZG6" s="72"/>
      <c r="NZH6" s="63"/>
      <c r="NZI6" s="34"/>
      <c r="NZJ6" s="64"/>
      <c r="NZK6" s="4"/>
      <c r="NZL6" s="65"/>
      <c r="NZM6" s="4"/>
      <c r="NZN6" s="4"/>
      <c r="NZO6" s="4"/>
      <c r="NZR6" s="34"/>
      <c r="NZS6" s="34"/>
      <c r="NZU6" s="34"/>
      <c r="NZV6" s="72"/>
      <c r="NZW6" s="63"/>
      <c r="NZX6" s="34"/>
      <c r="NZY6" s="64"/>
      <c r="NZZ6" s="4"/>
      <c r="OAA6" s="65"/>
      <c r="OAB6" s="4"/>
      <c r="OAC6" s="4"/>
      <c r="OAD6" s="4"/>
      <c r="OAG6" s="34"/>
      <c r="OAH6" s="34"/>
      <c r="OAJ6" s="34"/>
      <c r="OAK6" s="72"/>
      <c r="OAL6" s="63"/>
      <c r="OAM6" s="34"/>
      <c r="OAN6" s="64"/>
      <c r="OAO6" s="4"/>
      <c r="OAP6" s="65"/>
      <c r="OAQ6" s="4"/>
      <c r="OAR6" s="4"/>
      <c r="OAS6" s="4"/>
      <c r="OAV6" s="34"/>
      <c r="OAW6" s="34"/>
      <c r="OAY6" s="34"/>
      <c r="OAZ6" s="72"/>
      <c r="OBA6" s="63"/>
      <c r="OBB6" s="34"/>
      <c r="OBC6" s="64"/>
      <c r="OBD6" s="4"/>
      <c r="OBE6" s="65"/>
      <c r="OBF6" s="4"/>
      <c r="OBG6" s="4"/>
      <c r="OBH6" s="4"/>
      <c r="OBK6" s="34"/>
      <c r="OBL6" s="34"/>
      <c r="OBN6" s="34"/>
      <c r="OBO6" s="72"/>
      <c r="OBP6" s="63"/>
      <c r="OBQ6" s="34"/>
      <c r="OBR6" s="64"/>
      <c r="OBS6" s="4"/>
      <c r="OBT6" s="65"/>
      <c r="OBU6" s="4"/>
      <c r="OBV6" s="4"/>
      <c r="OBW6" s="4"/>
      <c r="OBZ6" s="34"/>
      <c r="OCA6" s="34"/>
      <c r="OCC6" s="34"/>
      <c r="OCD6" s="72"/>
      <c r="OCE6" s="63"/>
      <c r="OCF6" s="34"/>
      <c r="OCG6" s="64"/>
      <c r="OCH6" s="4"/>
      <c r="OCI6" s="65"/>
      <c r="OCJ6" s="4"/>
      <c r="OCK6" s="4"/>
      <c r="OCL6" s="4"/>
      <c r="OCO6" s="34"/>
      <c r="OCP6" s="34"/>
      <c r="OCR6" s="34"/>
      <c r="OCS6" s="72"/>
      <c r="OCT6" s="63"/>
      <c r="OCU6" s="34"/>
      <c r="OCV6" s="64"/>
      <c r="OCW6" s="4"/>
      <c r="OCX6" s="65"/>
      <c r="OCY6" s="4"/>
      <c r="OCZ6" s="4"/>
      <c r="ODA6" s="4"/>
      <c r="ODD6" s="34"/>
      <c r="ODE6" s="34"/>
      <c r="ODG6" s="34"/>
      <c r="ODH6" s="72"/>
      <c r="ODI6" s="63"/>
      <c r="ODJ6" s="34"/>
      <c r="ODK6" s="64"/>
      <c r="ODL6" s="4"/>
      <c r="ODM6" s="65"/>
      <c r="ODN6" s="4"/>
      <c r="ODO6" s="4"/>
      <c r="ODP6" s="4"/>
      <c r="ODS6" s="34"/>
      <c r="ODT6" s="34"/>
      <c r="ODV6" s="34"/>
      <c r="ODW6" s="72"/>
      <c r="ODX6" s="63"/>
      <c r="ODY6" s="34"/>
      <c r="ODZ6" s="64"/>
      <c r="OEA6" s="4"/>
      <c r="OEB6" s="65"/>
      <c r="OEC6" s="4"/>
      <c r="OED6" s="4"/>
      <c r="OEE6" s="4"/>
      <c r="OEH6" s="34"/>
      <c r="OEI6" s="34"/>
      <c r="OEK6" s="34"/>
      <c r="OEL6" s="72"/>
      <c r="OEM6" s="63"/>
      <c r="OEN6" s="34"/>
      <c r="OEO6" s="64"/>
      <c r="OEP6" s="4"/>
      <c r="OEQ6" s="65"/>
      <c r="OER6" s="4"/>
      <c r="OES6" s="4"/>
      <c r="OET6" s="4"/>
      <c r="OEW6" s="34"/>
      <c r="OEX6" s="34"/>
      <c r="OEZ6" s="34"/>
      <c r="OFA6" s="72"/>
      <c r="OFB6" s="63"/>
      <c r="OFC6" s="34"/>
      <c r="OFD6" s="64"/>
      <c r="OFE6" s="4"/>
      <c r="OFF6" s="65"/>
      <c r="OFG6" s="4"/>
      <c r="OFH6" s="4"/>
      <c r="OFI6" s="4"/>
      <c r="OFL6" s="34"/>
      <c r="OFM6" s="34"/>
      <c r="OFO6" s="34"/>
      <c r="OFP6" s="72"/>
      <c r="OFQ6" s="63"/>
      <c r="OFR6" s="34"/>
      <c r="OFS6" s="64"/>
      <c r="OFT6" s="4"/>
      <c r="OFU6" s="65"/>
      <c r="OFV6" s="4"/>
      <c r="OFW6" s="4"/>
      <c r="OFX6" s="4"/>
      <c r="OGA6" s="34"/>
      <c r="OGB6" s="34"/>
      <c r="OGD6" s="34"/>
      <c r="OGE6" s="72"/>
      <c r="OGF6" s="63"/>
      <c r="OGG6" s="34"/>
      <c r="OGH6" s="64"/>
      <c r="OGI6" s="4"/>
      <c r="OGJ6" s="65"/>
      <c r="OGK6" s="4"/>
      <c r="OGL6" s="4"/>
      <c r="OGM6" s="4"/>
      <c r="OGP6" s="34"/>
      <c r="OGQ6" s="34"/>
      <c r="OGS6" s="34"/>
      <c r="OGT6" s="72"/>
      <c r="OGU6" s="63"/>
      <c r="OGV6" s="34"/>
      <c r="OGW6" s="64"/>
      <c r="OGX6" s="4"/>
      <c r="OGY6" s="65"/>
      <c r="OGZ6" s="4"/>
      <c r="OHA6" s="4"/>
      <c r="OHB6" s="4"/>
      <c r="OHE6" s="34"/>
      <c r="OHF6" s="34"/>
      <c r="OHH6" s="34"/>
      <c r="OHI6" s="72"/>
      <c r="OHJ6" s="63"/>
      <c r="OHK6" s="34"/>
      <c r="OHL6" s="64"/>
      <c r="OHM6" s="4"/>
      <c r="OHN6" s="65"/>
      <c r="OHO6" s="4"/>
      <c r="OHP6" s="4"/>
      <c r="OHQ6" s="4"/>
      <c r="OHT6" s="34"/>
      <c r="OHU6" s="34"/>
      <c r="OHW6" s="34"/>
      <c r="OHX6" s="72"/>
      <c r="OHY6" s="63"/>
      <c r="OHZ6" s="34"/>
      <c r="OIA6" s="64"/>
      <c r="OIB6" s="4"/>
      <c r="OIC6" s="65"/>
      <c r="OID6" s="4"/>
      <c r="OIE6" s="4"/>
      <c r="OIF6" s="4"/>
      <c r="OII6" s="34"/>
      <c r="OIJ6" s="34"/>
      <c r="OIL6" s="34"/>
      <c r="OIM6" s="72"/>
      <c r="OIN6" s="63"/>
      <c r="OIO6" s="34"/>
      <c r="OIP6" s="64"/>
      <c r="OIQ6" s="4"/>
      <c r="OIR6" s="65"/>
      <c r="OIS6" s="4"/>
      <c r="OIT6" s="4"/>
      <c r="OIU6" s="4"/>
      <c r="OIX6" s="34"/>
      <c r="OIY6" s="34"/>
      <c r="OJA6" s="34"/>
      <c r="OJB6" s="72"/>
      <c r="OJC6" s="63"/>
      <c r="OJD6" s="34"/>
      <c r="OJE6" s="64"/>
      <c r="OJF6" s="4"/>
      <c r="OJG6" s="65"/>
      <c r="OJH6" s="4"/>
      <c r="OJI6" s="4"/>
      <c r="OJJ6" s="4"/>
      <c r="OJM6" s="34"/>
      <c r="OJN6" s="34"/>
      <c r="OJP6" s="34"/>
      <c r="OJQ6" s="72"/>
      <c r="OJR6" s="63"/>
      <c r="OJS6" s="34"/>
      <c r="OJT6" s="64"/>
      <c r="OJU6" s="4"/>
      <c r="OJV6" s="65"/>
      <c r="OJW6" s="4"/>
      <c r="OJX6" s="4"/>
      <c r="OJY6" s="4"/>
      <c r="OKB6" s="34"/>
      <c r="OKC6" s="34"/>
      <c r="OKE6" s="34"/>
      <c r="OKF6" s="72"/>
      <c r="OKG6" s="63"/>
      <c r="OKH6" s="34"/>
      <c r="OKI6" s="64"/>
      <c r="OKJ6" s="4"/>
      <c r="OKK6" s="65"/>
      <c r="OKL6" s="4"/>
      <c r="OKM6" s="4"/>
      <c r="OKN6" s="4"/>
      <c r="OKQ6" s="34"/>
      <c r="OKR6" s="34"/>
      <c r="OKT6" s="34"/>
      <c r="OKU6" s="72"/>
      <c r="OKV6" s="63"/>
      <c r="OKW6" s="34"/>
      <c r="OKX6" s="64"/>
      <c r="OKY6" s="4"/>
      <c r="OKZ6" s="65"/>
      <c r="OLA6" s="4"/>
      <c r="OLB6" s="4"/>
      <c r="OLC6" s="4"/>
      <c r="OLF6" s="34"/>
      <c r="OLG6" s="34"/>
      <c r="OLI6" s="34"/>
      <c r="OLJ6" s="72"/>
      <c r="OLK6" s="63"/>
      <c r="OLL6" s="34"/>
      <c r="OLM6" s="64"/>
      <c r="OLN6" s="4"/>
      <c r="OLO6" s="65"/>
      <c r="OLP6" s="4"/>
      <c r="OLQ6" s="4"/>
      <c r="OLR6" s="4"/>
      <c r="OLU6" s="34"/>
      <c r="OLV6" s="34"/>
      <c r="OLX6" s="34"/>
      <c r="OLY6" s="72"/>
      <c r="OLZ6" s="63"/>
      <c r="OMA6" s="34"/>
      <c r="OMB6" s="64"/>
      <c r="OMC6" s="4"/>
      <c r="OMD6" s="65"/>
      <c r="OME6" s="4"/>
      <c r="OMF6" s="4"/>
      <c r="OMG6" s="4"/>
      <c r="OMJ6" s="34"/>
      <c r="OMK6" s="34"/>
      <c r="OMM6" s="34"/>
      <c r="OMN6" s="72"/>
      <c r="OMO6" s="63"/>
      <c r="OMP6" s="34"/>
      <c r="OMQ6" s="64"/>
      <c r="OMR6" s="4"/>
      <c r="OMS6" s="65"/>
      <c r="OMT6" s="4"/>
      <c r="OMU6" s="4"/>
      <c r="OMV6" s="4"/>
      <c r="OMY6" s="34"/>
      <c r="OMZ6" s="34"/>
      <c r="ONB6" s="34"/>
      <c r="ONC6" s="72"/>
      <c r="OND6" s="63"/>
      <c r="ONE6" s="34"/>
      <c r="ONF6" s="64"/>
      <c r="ONG6" s="4"/>
      <c r="ONH6" s="65"/>
      <c r="ONI6" s="4"/>
      <c r="ONJ6" s="4"/>
      <c r="ONK6" s="4"/>
      <c r="ONN6" s="34"/>
      <c r="ONO6" s="34"/>
      <c r="ONQ6" s="34"/>
      <c r="ONR6" s="72"/>
      <c r="ONS6" s="63"/>
      <c r="ONT6" s="34"/>
      <c r="ONU6" s="64"/>
      <c r="ONV6" s="4"/>
      <c r="ONW6" s="65"/>
      <c r="ONX6" s="4"/>
      <c r="ONY6" s="4"/>
      <c r="ONZ6" s="4"/>
      <c r="OOC6" s="34"/>
      <c r="OOD6" s="34"/>
      <c r="OOF6" s="34"/>
      <c r="OOG6" s="72"/>
      <c r="OOH6" s="63"/>
      <c r="OOI6" s="34"/>
      <c r="OOJ6" s="64"/>
      <c r="OOK6" s="4"/>
      <c r="OOL6" s="65"/>
      <c r="OOM6" s="4"/>
      <c r="OON6" s="4"/>
      <c r="OOO6" s="4"/>
      <c r="OOR6" s="34"/>
      <c r="OOS6" s="34"/>
      <c r="OOU6" s="34"/>
      <c r="OOV6" s="72"/>
      <c r="OOW6" s="63"/>
      <c r="OOX6" s="34"/>
      <c r="OOY6" s="64"/>
      <c r="OOZ6" s="4"/>
      <c r="OPA6" s="65"/>
      <c r="OPB6" s="4"/>
      <c r="OPC6" s="4"/>
      <c r="OPD6" s="4"/>
      <c r="OPG6" s="34"/>
      <c r="OPH6" s="34"/>
      <c r="OPJ6" s="34"/>
      <c r="OPK6" s="72"/>
      <c r="OPL6" s="63"/>
      <c r="OPM6" s="34"/>
      <c r="OPN6" s="64"/>
      <c r="OPO6" s="4"/>
      <c r="OPP6" s="65"/>
      <c r="OPQ6" s="4"/>
      <c r="OPR6" s="4"/>
      <c r="OPS6" s="4"/>
      <c r="OPV6" s="34"/>
      <c r="OPW6" s="34"/>
      <c r="OPY6" s="34"/>
      <c r="OPZ6" s="72"/>
      <c r="OQA6" s="63"/>
      <c r="OQB6" s="34"/>
      <c r="OQC6" s="64"/>
      <c r="OQD6" s="4"/>
      <c r="OQE6" s="65"/>
      <c r="OQF6" s="4"/>
      <c r="OQG6" s="4"/>
      <c r="OQH6" s="4"/>
      <c r="OQK6" s="34"/>
      <c r="OQL6" s="34"/>
      <c r="OQN6" s="34"/>
      <c r="OQO6" s="72"/>
      <c r="OQP6" s="63"/>
      <c r="OQQ6" s="34"/>
      <c r="OQR6" s="64"/>
      <c r="OQS6" s="4"/>
      <c r="OQT6" s="65"/>
      <c r="OQU6" s="4"/>
      <c r="OQV6" s="4"/>
      <c r="OQW6" s="4"/>
      <c r="OQZ6" s="34"/>
      <c r="ORA6" s="34"/>
      <c r="ORC6" s="34"/>
      <c r="ORD6" s="72"/>
      <c r="ORE6" s="63"/>
      <c r="ORF6" s="34"/>
      <c r="ORG6" s="64"/>
      <c r="ORH6" s="4"/>
      <c r="ORI6" s="65"/>
      <c r="ORJ6" s="4"/>
      <c r="ORK6" s="4"/>
      <c r="ORL6" s="4"/>
      <c r="ORO6" s="34"/>
      <c r="ORP6" s="34"/>
      <c r="ORR6" s="34"/>
      <c r="ORS6" s="72"/>
      <c r="ORT6" s="63"/>
      <c r="ORU6" s="34"/>
      <c r="ORV6" s="64"/>
      <c r="ORW6" s="4"/>
      <c r="ORX6" s="65"/>
      <c r="ORY6" s="4"/>
      <c r="ORZ6" s="4"/>
      <c r="OSA6" s="4"/>
      <c r="OSD6" s="34"/>
      <c r="OSE6" s="34"/>
      <c r="OSG6" s="34"/>
      <c r="OSH6" s="72"/>
      <c r="OSI6" s="63"/>
      <c r="OSJ6" s="34"/>
      <c r="OSK6" s="64"/>
      <c r="OSL6" s="4"/>
      <c r="OSM6" s="65"/>
      <c r="OSN6" s="4"/>
      <c r="OSO6" s="4"/>
      <c r="OSP6" s="4"/>
      <c r="OSS6" s="34"/>
      <c r="OST6" s="34"/>
      <c r="OSV6" s="34"/>
      <c r="OSW6" s="72"/>
      <c r="OSX6" s="63"/>
      <c r="OSY6" s="34"/>
      <c r="OSZ6" s="64"/>
      <c r="OTA6" s="4"/>
      <c r="OTB6" s="65"/>
      <c r="OTC6" s="4"/>
      <c r="OTD6" s="4"/>
      <c r="OTE6" s="4"/>
      <c r="OTH6" s="34"/>
      <c r="OTI6" s="34"/>
      <c r="OTK6" s="34"/>
      <c r="OTL6" s="72"/>
      <c r="OTM6" s="63"/>
      <c r="OTN6" s="34"/>
      <c r="OTO6" s="64"/>
      <c r="OTP6" s="4"/>
      <c r="OTQ6" s="65"/>
      <c r="OTR6" s="4"/>
      <c r="OTS6" s="4"/>
      <c r="OTT6" s="4"/>
      <c r="OTW6" s="34"/>
      <c r="OTX6" s="34"/>
      <c r="OTZ6" s="34"/>
      <c r="OUA6" s="72"/>
      <c r="OUB6" s="63"/>
      <c r="OUC6" s="34"/>
      <c r="OUD6" s="64"/>
      <c r="OUE6" s="4"/>
      <c r="OUF6" s="65"/>
      <c r="OUG6" s="4"/>
      <c r="OUH6" s="4"/>
      <c r="OUI6" s="4"/>
      <c r="OUL6" s="34"/>
      <c r="OUM6" s="34"/>
      <c r="OUO6" s="34"/>
      <c r="OUP6" s="72"/>
      <c r="OUQ6" s="63"/>
      <c r="OUR6" s="34"/>
      <c r="OUS6" s="64"/>
      <c r="OUT6" s="4"/>
      <c r="OUU6" s="65"/>
      <c r="OUV6" s="4"/>
      <c r="OUW6" s="4"/>
      <c r="OUX6" s="4"/>
      <c r="OVA6" s="34"/>
      <c r="OVB6" s="34"/>
      <c r="OVD6" s="34"/>
      <c r="OVE6" s="72"/>
      <c r="OVF6" s="63"/>
      <c r="OVG6" s="34"/>
      <c r="OVH6" s="64"/>
      <c r="OVI6" s="4"/>
      <c r="OVJ6" s="65"/>
      <c r="OVK6" s="4"/>
      <c r="OVL6" s="4"/>
      <c r="OVM6" s="4"/>
      <c r="OVP6" s="34"/>
      <c r="OVQ6" s="34"/>
      <c r="OVS6" s="34"/>
      <c r="OVT6" s="72"/>
      <c r="OVU6" s="63"/>
      <c r="OVV6" s="34"/>
      <c r="OVW6" s="64"/>
      <c r="OVX6" s="4"/>
      <c r="OVY6" s="65"/>
      <c r="OVZ6" s="4"/>
      <c r="OWA6" s="4"/>
      <c r="OWB6" s="4"/>
      <c r="OWE6" s="34"/>
      <c r="OWF6" s="34"/>
      <c r="OWH6" s="34"/>
      <c r="OWI6" s="72"/>
      <c r="OWJ6" s="63"/>
      <c r="OWK6" s="34"/>
      <c r="OWL6" s="64"/>
      <c r="OWM6" s="4"/>
      <c r="OWN6" s="65"/>
      <c r="OWO6" s="4"/>
      <c r="OWP6" s="4"/>
      <c r="OWQ6" s="4"/>
      <c r="OWT6" s="34"/>
      <c r="OWU6" s="34"/>
      <c r="OWW6" s="34"/>
      <c r="OWX6" s="72"/>
      <c r="OWY6" s="63"/>
      <c r="OWZ6" s="34"/>
      <c r="OXA6" s="64"/>
      <c r="OXB6" s="4"/>
      <c r="OXC6" s="65"/>
      <c r="OXD6" s="4"/>
      <c r="OXE6" s="4"/>
      <c r="OXF6" s="4"/>
      <c r="OXI6" s="34"/>
      <c r="OXJ6" s="34"/>
      <c r="OXL6" s="34"/>
      <c r="OXM6" s="72"/>
      <c r="OXN6" s="63"/>
      <c r="OXO6" s="34"/>
      <c r="OXP6" s="64"/>
      <c r="OXQ6" s="4"/>
      <c r="OXR6" s="65"/>
      <c r="OXS6" s="4"/>
      <c r="OXT6" s="4"/>
      <c r="OXU6" s="4"/>
      <c r="OXX6" s="34"/>
      <c r="OXY6" s="34"/>
      <c r="OYA6" s="34"/>
      <c r="OYB6" s="72"/>
      <c r="OYC6" s="63"/>
      <c r="OYD6" s="34"/>
      <c r="OYE6" s="64"/>
      <c r="OYF6" s="4"/>
      <c r="OYG6" s="65"/>
      <c r="OYH6" s="4"/>
      <c r="OYI6" s="4"/>
      <c r="OYJ6" s="4"/>
      <c r="OYM6" s="34"/>
      <c r="OYN6" s="34"/>
      <c r="OYP6" s="34"/>
      <c r="OYQ6" s="72"/>
      <c r="OYR6" s="63"/>
      <c r="OYS6" s="34"/>
      <c r="OYT6" s="64"/>
      <c r="OYU6" s="4"/>
      <c r="OYV6" s="65"/>
      <c r="OYW6" s="4"/>
      <c r="OYX6" s="4"/>
      <c r="OYY6" s="4"/>
      <c r="OZB6" s="34"/>
      <c r="OZC6" s="34"/>
      <c r="OZE6" s="34"/>
      <c r="OZF6" s="72"/>
      <c r="OZG6" s="63"/>
      <c r="OZH6" s="34"/>
      <c r="OZI6" s="64"/>
      <c r="OZJ6" s="4"/>
      <c r="OZK6" s="65"/>
      <c r="OZL6" s="4"/>
      <c r="OZM6" s="4"/>
      <c r="OZN6" s="4"/>
      <c r="OZQ6" s="34"/>
      <c r="OZR6" s="34"/>
      <c r="OZT6" s="34"/>
      <c r="OZU6" s="72"/>
      <c r="OZV6" s="63"/>
      <c r="OZW6" s="34"/>
      <c r="OZX6" s="64"/>
      <c r="OZY6" s="4"/>
      <c r="OZZ6" s="65"/>
      <c r="PAA6" s="4"/>
      <c r="PAB6" s="4"/>
      <c r="PAC6" s="4"/>
      <c r="PAF6" s="34"/>
      <c r="PAG6" s="34"/>
      <c r="PAI6" s="34"/>
      <c r="PAJ6" s="72"/>
      <c r="PAK6" s="63"/>
      <c r="PAL6" s="34"/>
      <c r="PAM6" s="64"/>
      <c r="PAN6" s="4"/>
      <c r="PAO6" s="65"/>
      <c r="PAP6" s="4"/>
      <c r="PAQ6" s="4"/>
      <c r="PAR6" s="4"/>
      <c r="PAU6" s="34"/>
      <c r="PAV6" s="34"/>
      <c r="PAX6" s="34"/>
      <c r="PAY6" s="72"/>
      <c r="PAZ6" s="63"/>
      <c r="PBA6" s="34"/>
      <c r="PBB6" s="64"/>
      <c r="PBC6" s="4"/>
      <c r="PBD6" s="65"/>
      <c r="PBE6" s="4"/>
      <c r="PBF6" s="4"/>
      <c r="PBG6" s="4"/>
      <c r="PBJ6" s="34"/>
      <c r="PBK6" s="34"/>
      <c r="PBM6" s="34"/>
      <c r="PBN6" s="72"/>
      <c r="PBO6" s="63"/>
      <c r="PBP6" s="34"/>
      <c r="PBQ6" s="64"/>
      <c r="PBR6" s="4"/>
      <c r="PBS6" s="65"/>
      <c r="PBT6" s="4"/>
      <c r="PBU6" s="4"/>
      <c r="PBV6" s="4"/>
      <c r="PBY6" s="34"/>
      <c r="PBZ6" s="34"/>
      <c r="PCB6" s="34"/>
      <c r="PCC6" s="72"/>
      <c r="PCD6" s="63"/>
      <c r="PCE6" s="34"/>
      <c r="PCF6" s="64"/>
      <c r="PCG6" s="4"/>
      <c r="PCH6" s="65"/>
      <c r="PCI6" s="4"/>
      <c r="PCJ6" s="4"/>
      <c r="PCK6" s="4"/>
      <c r="PCN6" s="34"/>
      <c r="PCO6" s="34"/>
      <c r="PCQ6" s="34"/>
      <c r="PCR6" s="72"/>
      <c r="PCS6" s="63"/>
      <c r="PCT6" s="34"/>
      <c r="PCU6" s="64"/>
      <c r="PCV6" s="4"/>
      <c r="PCW6" s="65"/>
      <c r="PCX6" s="4"/>
      <c r="PCY6" s="4"/>
      <c r="PCZ6" s="4"/>
      <c r="PDC6" s="34"/>
      <c r="PDD6" s="34"/>
      <c r="PDF6" s="34"/>
      <c r="PDG6" s="72"/>
      <c r="PDH6" s="63"/>
      <c r="PDI6" s="34"/>
      <c r="PDJ6" s="64"/>
      <c r="PDK6" s="4"/>
      <c r="PDL6" s="65"/>
      <c r="PDM6" s="4"/>
      <c r="PDN6" s="4"/>
      <c r="PDO6" s="4"/>
      <c r="PDR6" s="34"/>
      <c r="PDS6" s="34"/>
      <c r="PDU6" s="34"/>
      <c r="PDV6" s="72"/>
      <c r="PDW6" s="63"/>
      <c r="PDX6" s="34"/>
      <c r="PDY6" s="64"/>
      <c r="PDZ6" s="4"/>
      <c r="PEA6" s="65"/>
      <c r="PEB6" s="4"/>
      <c r="PEC6" s="4"/>
      <c r="PED6" s="4"/>
      <c r="PEG6" s="34"/>
      <c r="PEH6" s="34"/>
      <c r="PEJ6" s="34"/>
      <c r="PEK6" s="72"/>
      <c r="PEL6" s="63"/>
      <c r="PEM6" s="34"/>
      <c r="PEN6" s="64"/>
      <c r="PEO6" s="4"/>
      <c r="PEP6" s="65"/>
      <c r="PEQ6" s="4"/>
      <c r="PER6" s="4"/>
      <c r="PES6" s="4"/>
      <c r="PEV6" s="34"/>
      <c r="PEW6" s="34"/>
      <c r="PEY6" s="34"/>
      <c r="PEZ6" s="72"/>
      <c r="PFA6" s="63"/>
      <c r="PFB6" s="34"/>
      <c r="PFC6" s="64"/>
      <c r="PFD6" s="4"/>
      <c r="PFE6" s="65"/>
      <c r="PFF6" s="4"/>
      <c r="PFG6" s="4"/>
      <c r="PFH6" s="4"/>
      <c r="PFK6" s="34"/>
      <c r="PFL6" s="34"/>
      <c r="PFN6" s="34"/>
      <c r="PFO6" s="72"/>
      <c r="PFP6" s="63"/>
      <c r="PFQ6" s="34"/>
      <c r="PFR6" s="64"/>
      <c r="PFS6" s="4"/>
      <c r="PFT6" s="65"/>
      <c r="PFU6" s="4"/>
      <c r="PFV6" s="4"/>
      <c r="PFW6" s="4"/>
      <c r="PFZ6" s="34"/>
      <c r="PGA6" s="34"/>
      <c r="PGC6" s="34"/>
      <c r="PGD6" s="72"/>
      <c r="PGE6" s="63"/>
      <c r="PGF6" s="34"/>
      <c r="PGG6" s="64"/>
      <c r="PGH6" s="4"/>
      <c r="PGI6" s="65"/>
      <c r="PGJ6" s="4"/>
      <c r="PGK6" s="4"/>
      <c r="PGL6" s="4"/>
      <c r="PGO6" s="34"/>
      <c r="PGP6" s="34"/>
      <c r="PGR6" s="34"/>
      <c r="PGS6" s="72"/>
      <c r="PGT6" s="63"/>
      <c r="PGU6" s="34"/>
      <c r="PGV6" s="64"/>
      <c r="PGW6" s="4"/>
      <c r="PGX6" s="65"/>
      <c r="PGY6" s="4"/>
      <c r="PGZ6" s="4"/>
      <c r="PHA6" s="4"/>
      <c r="PHD6" s="34"/>
      <c r="PHE6" s="34"/>
      <c r="PHG6" s="34"/>
      <c r="PHH6" s="72"/>
      <c r="PHI6" s="63"/>
      <c r="PHJ6" s="34"/>
      <c r="PHK6" s="64"/>
      <c r="PHL6" s="4"/>
      <c r="PHM6" s="65"/>
      <c r="PHN6" s="4"/>
      <c r="PHO6" s="4"/>
      <c r="PHP6" s="4"/>
      <c r="PHS6" s="34"/>
      <c r="PHT6" s="34"/>
      <c r="PHV6" s="34"/>
      <c r="PHW6" s="72"/>
      <c r="PHX6" s="63"/>
      <c r="PHY6" s="34"/>
      <c r="PHZ6" s="64"/>
      <c r="PIA6" s="4"/>
      <c r="PIB6" s="65"/>
      <c r="PIC6" s="4"/>
      <c r="PID6" s="4"/>
      <c r="PIE6" s="4"/>
      <c r="PIH6" s="34"/>
      <c r="PII6" s="34"/>
      <c r="PIK6" s="34"/>
      <c r="PIL6" s="72"/>
      <c r="PIM6" s="63"/>
      <c r="PIN6" s="34"/>
      <c r="PIO6" s="64"/>
      <c r="PIP6" s="4"/>
      <c r="PIQ6" s="65"/>
      <c r="PIR6" s="4"/>
      <c r="PIS6" s="4"/>
      <c r="PIT6" s="4"/>
      <c r="PIW6" s="34"/>
      <c r="PIX6" s="34"/>
      <c r="PIZ6" s="34"/>
      <c r="PJA6" s="72"/>
      <c r="PJB6" s="63"/>
      <c r="PJC6" s="34"/>
      <c r="PJD6" s="64"/>
      <c r="PJE6" s="4"/>
      <c r="PJF6" s="65"/>
      <c r="PJG6" s="4"/>
      <c r="PJH6" s="4"/>
      <c r="PJI6" s="4"/>
      <c r="PJL6" s="34"/>
      <c r="PJM6" s="34"/>
      <c r="PJO6" s="34"/>
      <c r="PJP6" s="72"/>
      <c r="PJQ6" s="63"/>
      <c r="PJR6" s="34"/>
      <c r="PJS6" s="64"/>
      <c r="PJT6" s="4"/>
      <c r="PJU6" s="65"/>
      <c r="PJV6" s="4"/>
      <c r="PJW6" s="4"/>
      <c r="PJX6" s="4"/>
      <c r="PKA6" s="34"/>
      <c r="PKB6" s="34"/>
      <c r="PKD6" s="34"/>
      <c r="PKE6" s="72"/>
      <c r="PKF6" s="63"/>
      <c r="PKG6" s="34"/>
      <c r="PKH6" s="64"/>
      <c r="PKI6" s="4"/>
      <c r="PKJ6" s="65"/>
      <c r="PKK6" s="4"/>
      <c r="PKL6" s="4"/>
      <c r="PKM6" s="4"/>
      <c r="PKP6" s="34"/>
      <c r="PKQ6" s="34"/>
      <c r="PKS6" s="34"/>
      <c r="PKT6" s="72"/>
      <c r="PKU6" s="63"/>
      <c r="PKV6" s="34"/>
      <c r="PKW6" s="64"/>
      <c r="PKX6" s="4"/>
      <c r="PKY6" s="65"/>
      <c r="PKZ6" s="4"/>
      <c r="PLA6" s="4"/>
      <c r="PLB6" s="4"/>
      <c r="PLE6" s="34"/>
      <c r="PLF6" s="34"/>
      <c r="PLH6" s="34"/>
      <c r="PLI6" s="72"/>
      <c r="PLJ6" s="63"/>
      <c r="PLK6" s="34"/>
      <c r="PLL6" s="64"/>
      <c r="PLM6" s="4"/>
      <c r="PLN6" s="65"/>
      <c r="PLO6" s="4"/>
      <c r="PLP6" s="4"/>
      <c r="PLQ6" s="4"/>
      <c r="PLT6" s="34"/>
      <c r="PLU6" s="34"/>
      <c r="PLW6" s="34"/>
      <c r="PLX6" s="72"/>
      <c r="PLY6" s="63"/>
      <c r="PLZ6" s="34"/>
      <c r="PMA6" s="64"/>
      <c r="PMB6" s="4"/>
      <c r="PMC6" s="65"/>
      <c r="PMD6" s="4"/>
      <c r="PME6" s="4"/>
      <c r="PMF6" s="4"/>
      <c r="PMI6" s="34"/>
      <c r="PMJ6" s="34"/>
      <c r="PML6" s="34"/>
      <c r="PMM6" s="72"/>
      <c r="PMN6" s="63"/>
      <c r="PMO6" s="34"/>
      <c r="PMP6" s="64"/>
      <c r="PMQ6" s="4"/>
      <c r="PMR6" s="65"/>
      <c r="PMS6" s="4"/>
      <c r="PMT6" s="4"/>
      <c r="PMU6" s="4"/>
      <c r="PMX6" s="34"/>
      <c r="PMY6" s="34"/>
      <c r="PNA6" s="34"/>
      <c r="PNB6" s="72"/>
      <c r="PNC6" s="63"/>
      <c r="PND6" s="34"/>
      <c r="PNE6" s="64"/>
      <c r="PNF6" s="4"/>
      <c r="PNG6" s="65"/>
      <c r="PNH6" s="4"/>
      <c r="PNI6" s="4"/>
      <c r="PNJ6" s="4"/>
      <c r="PNM6" s="34"/>
      <c r="PNN6" s="34"/>
      <c r="PNP6" s="34"/>
      <c r="PNQ6" s="72"/>
      <c r="PNR6" s="63"/>
      <c r="PNS6" s="34"/>
      <c r="PNT6" s="64"/>
      <c r="PNU6" s="4"/>
      <c r="PNV6" s="65"/>
      <c r="PNW6" s="4"/>
      <c r="PNX6" s="4"/>
      <c r="PNY6" s="4"/>
      <c r="POB6" s="34"/>
      <c r="POC6" s="34"/>
      <c r="POE6" s="34"/>
      <c r="POF6" s="72"/>
      <c r="POG6" s="63"/>
      <c r="POH6" s="34"/>
      <c r="POI6" s="64"/>
      <c r="POJ6" s="4"/>
      <c r="POK6" s="65"/>
      <c r="POL6" s="4"/>
      <c r="POM6" s="4"/>
      <c r="PON6" s="4"/>
      <c r="POQ6" s="34"/>
      <c r="POR6" s="34"/>
      <c r="POT6" s="34"/>
      <c r="POU6" s="72"/>
      <c r="POV6" s="63"/>
      <c r="POW6" s="34"/>
      <c r="POX6" s="64"/>
      <c r="POY6" s="4"/>
      <c r="POZ6" s="65"/>
      <c r="PPA6" s="4"/>
      <c r="PPB6" s="4"/>
      <c r="PPC6" s="4"/>
      <c r="PPF6" s="34"/>
      <c r="PPG6" s="34"/>
      <c r="PPI6" s="34"/>
      <c r="PPJ6" s="72"/>
      <c r="PPK6" s="63"/>
      <c r="PPL6" s="34"/>
      <c r="PPM6" s="64"/>
      <c r="PPN6" s="4"/>
      <c r="PPO6" s="65"/>
      <c r="PPP6" s="4"/>
      <c r="PPQ6" s="4"/>
      <c r="PPR6" s="4"/>
      <c r="PPU6" s="34"/>
      <c r="PPV6" s="34"/>
      <c r="PPX6" s="34"/>
      <c r="PPY6" s="72"/>
      <c r="PPZ6" s="63"/>
      <c r="PQA6" s="34"/>
      <c r="PQB6" s="64"/>
      <c r="PQC6" s="4"/>
      <c r="PQD6" s="65"/>
      <c r="PQE6" s="4"/>
      <c r="PQF6" s="4"/>
      <c r="PQG6" s="4"/>
      <c r="PQJ6" s="34"/>
      <c r="PQK6" s="34"/>
      <c r="PQM6" s="34"/>
      <c r="PQN6" s="72"/>
      <c r="PQO6" s="63"/>
      <c r="PQP6" s="34"/>
      <c r="PQQ6" s="64"/>
      <c r="PQR6" s="4"/>
      <c r="PQS6" s="65"/>
      <c r="PQT6" s="4"/>
      <c r="PQU6" s="4"/>
      <c r="PQV6" s="4"/>
      <c r="PQY6" s="34"/>
      <c r="PQZ6" s="34"/>
      <c r="PRB6" s="34"/>
      <c r="PRC6" s="72"/>
      <c r="PRD6" s="63"/>
      <c r="PRE6" s="34"/>
      <c r="PRF6" s="64"/>
      <c r="PRG6" s="4"/>
      <c r="PRH6" s="65"/>
      <c r="PRI6" s="4"/>
      <c r="PRJ6" s="4"/>
      <c r="PRK6" s="4"/>
      <c r="PRN6" s="34"/>
      <c r="PRO6" s="34"/>
      <c r="PRQ6" s="34"/>
      <c r="PRR6" s="72"/>
      <c r="PRS6" s="63"/>
      <c r="PRT6" s="34"/>
      <c r="PRU6" s="64"/>
      <c r="PRV6" s="4"/>
      <c r="PRW6" s="65"/>
      <c r="PRX6" s="4"/>
      <c r="PRY6" s="4"/>
      <c r="PRZ6" s="4"/>
      <c r="PSC6" s="34"/>
      <c r="PSD6" s="34"/>
      <c r="PSF6" s="34"/>
      <c r="PSG6" s="72"/>
      <c r="PSH6" s="63"/>
      <c r="PSI6" s="34"/>
      <c r="PSJ6" s="64"/>
      <c r="PSK6" s="4"/>
      <c r="PSL6" s="65"/>
      <c r="PSM6" s="4"/>
      <c r="PSN6" s="4"/>
      <c r="PSO6" s="4"/>
      <c r="PSR6" s="34"/>
      <c r="PSS6" s="34"/>
      <c r="PSU6" s="34"/>
      <c r="PSV6" s="72"/>
      <c r="PSW6" s="63"/>
      <c r="PSX6" s="34"/>
      <c r="PSY6" s="64"/>
      <c r="PSZ6" s="4"/>
      <c r="PTA6" s="65"/>
      <c r="PTB6" s="4"/>
      <c r="PTC6" s="4"/>
      <c r="PTD6" s="4"/>
      <c r="PTG6" s="34"/>
      <c r="PTH6" s="34"/>
      <c r="PTJ6" s="34"/>
      <c r="PTK6" s="72"/>
      <c r="PTL6" s="63"/>
      <c r="PTM6" s="34"/>
      <c r="PTN6" s="64"/>
      <c r="PTO6" s="4"/>
      <c r="PTP6" s="65"/>
      <c r="PTQ6" s="4"/>
      <c r="PTR6" s="4"/>
      <c r="PTS6" s="4"/>
      <c r="PTV6" s="34"/>
      <c r="PTW6" s="34"/>
      <c r="PTY6" s="34"/>
      <c r="PTZ6" s="72"/>
      <c r="PUA6" s="63"/>
      <c r="PUB6" s="34"/>
      <c r="PUC6" s="64"/>
      <c r="PUD6" s="4"/>
      <c r="PUE6" s="65"/>
      <c r="PUF6" s="4"/>
      <c r="PUG6" s="4"/>
      <c r="PUH6" s="4"/>
      <c r="PUK6" s="34"/>
      <c r="PUL6" s="34"/>
      <c r="PUN6" s="34"/>
      <c r="PUO6" s="72"/>
      <c r="PUP6" s="63"/>
      <c r="PUQ6" s="34"/>
      <c r="PUR6" s="64"/>
      <c r="PUS6" s="4"/>
      <c r="PUT6" s="65"/>
      <c r="PUU6" s="4"/>
      <c r="PUV6" s="4"/>
      <c r="PUW6" s="4"/>
      <c r="PUZ6" s="34"/>
      <c r="PVA6" s="34"/>
      <c r="PVC6" s="34"/>
      <c r="PVD6" s="72"/>
      <c r="PVE6" s="63"/>
      <c r="PVF6" s="34"/>
      <c r="PVG6" s="64"/>
      <c r="PVH6" s="4"/>
      <c r="PVI6" s="65"/>
      <c r="PVJ6" s="4"/>
      <c r="PVK6" s="4"/>
      <c r="PVL6" s="4"/>
      <c r="PVO6" s="34"/>
      <c r="PVP6" s="34"/>
      <c r="PVR6" s="34"/>
      <c r="PVS6" s="72"/>
      <c r="PVT6" s="63"/>
      <c r="PVU6" s="34"/>
      <c r="PVV6" s="64"/>
      <c r="PVW6" s="4"/>
      <c r="PVX6" s="65"/>
      <c r="PVY6" s="4"/>
      <c r="PVZ6" s="4"/>
      <c r="PWA6" s="4"/>
      <c r="PWD6" s="34"/>
      <c r="PWE6" s="34"/>
      <c r="PWG6" s="34"/>
      <c r="PWH6" s="72"/>
      <c r="PWI6" s="63"/>
      <c r="PWJ6" s="34"/>
      <c r="PWK6" s="64"/>
      <c r="PWL6" s="4"/>
      <c r="PWM6" s="65"/>
      <c r="PWN6" s="4"/>
      <c r="PWO6" s="4"/>
      <c r="PWP6" s="4"/>
      <c r="PWS6" s="34"/>
      <c r="PWT6" s="34"/>
      <c r="PWV6" s="34"/>
      <c r="PWW6" s="72"/>
      <c r="PWX6" s="63"/>
      <c r="PWY6" s="34"/>
      <c r="PWZ6" s="64"/>
      <c r="PXA6" s="4"/>
      <c r="PXB6" s="65"/>
      <c r="PXC6" s="4"/>
      <c r="PXD6" s="4"/>
      <c r="PXE6" s="4"/>
      <c r="PXH6" s="34"/>
      <c r="PXI6" s="34"/>
      <c r="PXK6" s="34"/>
      <c r="PXL6" s="72"/>
      <c r="PXM6" s="63"/>
      <c r="PXN6" s="34"/>
      <c r="PXO6" s="64"/>
      <c r="PXP6" s="4"/>
      <c r="PXQ6" s="65"/>
      <c r="PXR6" s="4"/>
      <c r="PXS6" s="4"/>
      <c r="PXT6" s="4"/>
      <c r="PXW6" s="34"/>
      <c r="PXX6" s="34"/>
      <c r="PXZ6" s="34"/>
      <c r="PYA6" s="72"/>
      <c r="PYB6" s="63"/>
      <c r="PYC6" s="34"/>
      <c r="PYD6" s="64"/>
      <c r="PYE6" s="4"/>
      <c r="PYF6" s="65"/>
      <c r="PYG6" s="4"/>
      <c r="PYH6" s="4"/>
      <c r="PYI6" s="4"/>
      <c r="PYL6" s="34"/>
      <c r="PYM6" s="34"/>
      <c r="PYO6" s="34"/>
      <c r="PYP6" s="72"/>
      <c r="PYQ6" s="63"/>
      <c r="PYR6" s="34"/>
      <c r="PYS6" s="64"/>
      <c r="PYT6" s="4"/>
      <c r="PYU6" s="65"/>
      <c r="PYV6" s="4"/>
      <c r="PYW6" s="4"/>
      <c r="PYX6" s="4"/>
      <c r="PZA6" s="34"/>
      <c r="PZB6" s="34"/>
      <c r="PZD6" s="34"/>
      <c r="PZE6" s="72"/>
      <c r="PZF6" s="63"/>
      <c r="PZG6" s="34"/>
      <c r="PZH6" s="64"/>
      <c r="PZI6" s="4"/>
      <c r="PZJ6" s="65"/>
      <c r="PZK6" s="4"/>
      <c r="PZL6" s="4"/>
      <c r="PZM6" s="4"/>
      <c r="PZP6" s="34"/>
      <c r="PZQ6" s="34"/>
      <c r="PZS6" s="34"/>
      <c r="PZT6" s="72"/>
      <c r="PZU6" s="63"/>
      <c r="PZV6" s="34"/>
      <c r="PZW6" s="64"/>
      <c r="PZX6" s="4"/>
      <c r="PZY6" s="65"/>
      <c r="PZZ6" s="4"/>
      <c r="QAA6" s="4"/>
      <c r="QAB6" s="4"/>
      <c r="QAE6" s="34"/>
      <c r="QAF6" s="34"/>
      <c r="QAH6" s="34"/>
      <c r="QAI6" s="72"/>
      <c r="QAJ6" s="63"/>
      <c r="QAK6" s="34"/>
      <c r="QAL6" s="64"/>
      <c r="QAM6" s="4"/>
      <c r="QAN6" s="65"/>
      <c r="QAO6" s="4"/>
      <c r="QAP6" s="4"/>
      <c r="QAQ6" s="4"/>
      <c r="QAT6" s="34"/>
      <c r="QAU6" s="34"/>
      <c r="QAW6" s="34"/>
      <c r="QAX6" s="72"/>
      <c r="QAY6" s="63"/>
      <c r="QAZ6" s="34"/>
      <c r="QBA6" s="64"/>
      <c r="QBB6" s="4"/>
      <c r="QBC6" s="65"/>
      <c r="QBD6" s="4"/>
      <c r="QBE6" s="4"/>
      <c r="QBF6" s="4"/>
      <c r="QBI6" s="34"/>
      <c r="QBJ6" s="34"/>
      <c r="QBL6" s="34"/>
      <c r="QBM6" s="72"/>
      <c r="QBN6" s="63"/>
      <c r="QBO6" s="34"/>
      <c r="QBP6" s="64"/>
      <c r="QBQ6" s="4"/>
      <c r="QBR6" s="65"/>
      <c r="QBS6" s="4"/>
      <c r="QBT6" s="4"/>
      <c r="QBU6" s="4"/>
      <c r="QBX6" s="34"/>
      <c r="QBY6" s="34"/>
      <c r="QCA6" s="34"/>
      <c r="QCB6" s="72"/>
      <c r="QCC6" s="63"/>
      <c r="QCD6" s="34"/>
      <c r="QCE6" s="64"/>
      <c r="QCF6" s="4"/>
      <c r="QCG6" s="65"/>
      <c r="QCH6" s="4"/>
      <c r="QCI6" s="4"/>
      <c r="QCJ6" s="4"/>
      <c r="QCM6" s="34"/>
      <c r="QCN6" s="34"/>
      <c r="QCP6" s="34"/>
      <c r="QCQ6" s="72"/>
      <c r="QCR6" s="63"/>
      <c r="QCS6" s="34"/>
      <c r="QCT6" s="64"/>
      <c r="QCU6" s="4"/>
      <c r="QCV6" s="65"/>
      <c r="QCW6" s="4"/>
      <c r="QCX6" s="4"/>
      <c r="QCY6" s="4"/>
      <c r="QDB6" s="34"/>
      <c r="QDC6" s="34"/>
      <c r="QDE6" s="34"/>
      <c r="QDF6" s="72"/>
      <c r="QDG6" s="63"/>
      <c r="QDH6" s="34"/>
      <c r="QDI6" s="64"/>
      <c r="QDJ6" s="4"/>
      <c r="QDK6" s="65"/>
      <c r="QDL6" s="4"/>
      <c r="QDM6" s="4"/>
      <c r="QDN6" s="4"/>
      <c r="QDQ6" s="34"/>
      <c r="QDR6" s="34"/>
      <c r="QDT6" s="34"/>
      <c r="QDU6" s="72"/>
      <c r="QDV6" s="63"/>
      <c r="QDW6" s="34"/>
      <c r="QDX6" s="64"/>
      <c r="QDY6" s="4"/>
      <c r="QDZ6" s="65"/>
      <c r="QEA6" s="4"/>
      <c r="QEB6" s="4"/>
      <c r="QEC6" s="4"/>
      <c r="QEF6" s="34"/>
      <c r="QEG6" s="34"/>
      <c r="QEI6" s="34"/>
      <c r="QEJ6" s="72"/>
      <c r="QEK6" s="63"/>
      <c r="QEL6" s="34"/>
      <c r="QEM6" s="64"/>
      <c r="QEN6" s="4"/>
      <c r="QEO6" s="65"/>
      <c r="QEP6" s="4"/>
      <c r="QEQ6" s="4"/>
      <c r="QER6" s="4"/>
      <c r="QEU6" s="34"/>
      <c r="QEV6" s="34"/>
      <c r="QEX6" s="34"/>
      <c r="QEY6" s="72"/>
      <c r="QEZ6" s="63"/>
      <c r="QFA6" s="34"/>
      <c r="QFB6" s="64"/>
      <c r="QFC6" s="4"/>
      <c r="QFD6" s="65"/>
      <c r="QFE6" s="4"/>
      <c r="QFF6" s="4"/>
      <c r="QFG6" s="4"/>
      <c r="QFJ6" s="34"/>
      <c r="QFK6" s="34"/>
      <c r="QFM6" s="34"/>
      <c r="QFN6" s="72"/>
      <c r="QFO6" s="63"/>
      <c r="QFP6" s="34"/>
      <c r="QFQ6" s="64"/>
      <c r="QFR6" s="4"/>
      <c r="QFS6" s="65"/>
      <c r="QFT6" s="4"/>
      <c r="QFU6" s="4"/>
      <c r="QFV6" s="4"/>
      <c r="QFY6" s="34"/>
      <c r="QFZ6" s="34"/>
      <c r="QGB6" s="34"/>
      <c r="QGC6" s="72"/>
      <c r="QGD6" s="63"/>
      <c r="QGE6" s="34"/>
      <c r="QGF6" s="64"/>
      <c r="QGG6" s="4"/>
      <c r="QGH6" s="65"/>
      <c r="QGI6" s="4"/>
      <c r="QGJ6" s="4"/>
      <c r="QGK6" s="4"/>
      <c r="QGN6" s="34"/>
      <c r="QGO6" s="34"/>
      <c r="QGQ6" s="34"/>
      <c r="QGR6" s="72"/>
      <c r="QGS6" s="63"/>
      <c r="QGT6" s="34"/>
      <c r="QGU6" s="64"/>
      <c r="QGV6" s="4"/>
      <c r="QGW6" s="65"/>
      <c r="QGX6" s="4"/>
      <c r="QGY6" s="4"/>
      <c r="QGZ6" s="4"/>
      <c r="QHC6" s="34"/>
      <c r="QHD6" s="34"/>
      <c r="QHF6" s="34"/>
      <c r="QHG6" s="72"/>
      <c r="QHH6" s="63"/>
      <c r="QHI6" s="34"/>
      <c r="QHJ6" s="64"/>
      <c r="QHK6" s="4"/>
      <c r="QHL6" s="65"/>
      <c r="QHM6" s="4"/>
      <c r="QHN6" s="4"/>
      <c r="QHO6" s="4"/>
      <c r="QHR6" s="34"/>
      <c r="QHS6" s="34"/>
      <c r="QHU6" s="34"/>
      <c r="QHV6" s="72"/>
      <c r="QHW6" s="63"/>
      <c r="QHX6" s="34"/>
      <c r="QHY6" s="64"/>
      <c r="QHZ6" s="4"/>
      <c r="QIA6" s="65"/>
      <c r="QIB6" s="4"/>
      <c r="QIC6" s="4"/>
      <c r="QID6" s="4"/>
      <c r="QIG6" s="34"/>
      <c r="QIH6" s="34"/>
      <c r="QIJ6" s="34"/>
      <c r="QIK6" s="72"/>
      <c r="QIL6" s="63"/>
      <c r="QIM6" s="34"/>
      <c r="QIN6" s="64"/>
      <c r="QIO6" s="4"/>
      <c r="QIP6" s="65"/>
      <c r="QIQ6" s="4"/>
      <c r="QIR6" s="4"/>
      <c r="QIS6" s="4"/>
      <c r="QIV6" s="34"/>
      <c r="QIW6" s="34"/>
      <c r="QIY6" s="34"/>
      <c r="QIZ6" s="72"/>
      <c r="QJA6" s="63"/>
      <c r="QJB6" s="34"/>
      <c r="QJC6" s="64"/>
      <c r="QJD6" s="4"/>
      <c r="QJE6" s="65"/>
      <c r="QJF6" s="4"/>
      <c r="QJG6" s="4"/>
      <c r="QJH6" s="4"/>
      <c r="QJK6" s="34"/>
      <c r="QJL6" s="34"/>
      <c r="QJN6" s="34"/>
      <c r="QJO6" s="72"/>
      <c r="QJP6" s="63"/>
      <c r="QJQ6" s="34"/>
      <c r="QJR6" s="64"/>
      <c r="QJS6" s="4"/>
      <c r="QJT6" s="65"/>
      <c r="QJU6" s="4"/>
      <c r="QJV6" s="4"/>
      <c r="QJW6" s="4"/>
      <c r="QJZ6" s="34"/>
      <c r="QKA6" s="34"/>
      <c r="QKC6" s="34"/>
      <c r="QKD6" s="72"/>
      <c r="QKE6" s="63"/>
      <c r="QKF6" s="34"/>
      <c r="QKG6" s="64"/>
      <c r="QKH6" s="4"/>
      <c r="QKI6" s="65"/>
      <c r="QKJ6" s="4"/>
      <c r="QKK6" s="4"/>
      <c r="QKL6" s="4"/>
      <c r="QKO6" s="34"/>
      <c r="QKP6" s="34"/>
      <c r="QKR6" s="34"/>
      <c r="QKS6" s="72"/>
      <c r="QKT6" s="63"/>
      <c r="QKU6" s="34"/>
      <c r="QKV6" s="64"/>
      <c r="QKW6" s="4"/>
      <c r="QKX6" s="65"/>
      <c r="QKY6" s="4"/>
      <c r="QKZ6" s="4"/>
      <c r="QLA6" s="4"/>
      <c r="QLD6" s="34"/>
      <c r="QLE6" s="34"/>
      <c r="QLG6" s="34"/>
      <c r="QLH6" s="72"/>
      <c r="QLI6" s="63"/>
      <c r="QLJ6" s="34"/>
      <c r="QLK6" s="64"/>
      <c r="QLL6" s="4"/>
      <c r="QLM6" s="65"/>
      <c r="QLN6" s="4"/>
      <c r="QLO6" s="4"/>
      <c r="QLP6" s="4"/>
      <c r="QLS6" s="34"/>
      <c r="QLT6" s="34"/>
      <c r="QLV6" s="34"/>
      <c r="QLW6" s="72"/>
      <c r="QLX6" s="63"/>
      <c r="QLY6" s="34"/>
      <c r="QLZ6" s="64"/>
      <c r="QMA6" s="4"/>
      <c r="QMB6" s="65"/>
      <c r="QMC6" s="4"/>
      <c r="QMD6" s="4"/>
      <c r="QME6" s="4"/>
      <c r="QMH6" s="34"/>
      <c r="QMI6" s="34"/>
      <c r="QMK6" s="34"/>
      <c r="QML6" s="72"/>
      <c r="QMM6" s="63"/>
      <c r="QMN6" s="34"/>
      <c r="QMO6" s="64"/>
      <c r="QMP6" s="4"/>
      <c r="QMQ6" s="65"/>
      <c r="QMR6" s="4"/>
      <c r="QMS6" s="4"/>
      <c r="QMT6" s="4"/>
      <c r="QMW6" s="34"/>
      <c r="QMX6" s="34"/>
      <c r="QMZ6" s="34"/>
      <c r="QNA6" s="72"/>
      <c r="QNB6" s="63"/>
      <c r="QNC6" s="34"/>
      <c r="QND6" s="64"/>
      <c r="QNE6" s="4"/>
      <c r="QNF6" s="65"/>
      <c r="QNG6" s="4"/>
      <c r="QNH6" s="4"/>
      <c r="QNI6" s="4"/>
      <c r="QNL6" s="34"/>
      <c r="QNM6" s="34"/>
      <c r="QNO6" s="34"/>
      <c r="QNP6" s="72"/>
      <c r="QNQ6" s="63"/>
      <c r="QNR6" s="34"/>
      <c r="QNS6" s="64"/>
      <c r="QNT6" s="4"/>
      <c r="QNU6" s="65"/>
      <c r="QNV6" s="4"/>
      <c r="QNW6" s="4"/>
      <c r="QNX6" s="4"/>
      <c r="QOA6" s="34"/>
      <c r="QOB6" s="34"/>
      <c r="QOD6" s="34"/>
      <c r="QOE6" s="72"/>
      <c r="QOF6" s="63"/>
      <c r="QOG6" s="34"/>
      <c r="QOH6" s="64"/>
      <c r="QOI6" s="4"/>
      <c r="QOJ6" s="65"/>
      <c r="QOK6" s="4"/>
      <c r="QOL6" s="4"/>
      <c r="QOM6" s="4"/>
      <c r="QOP6" s="34"/>
      <c r="QOQ6" s="34"/>
      <c r="QOS6" s="34"/>
      <c r="QOT6" s="72"/>
      <c r="QOU6" s="63"/>
      <c r="QOV6" s="34"/>
      <c r="QOW6" s="64"/>
      <c r="QOX6" s="4"/>
      <c r="QOY6" s="65"/>
      <c r="QOZ6" s="4"/>
      <c r="QPA6" s="4"/>
      <c r="QPB6" s="4"/>
      <c r="QPE6" s="34"/>
      <c r="QPF6" s="34"/>
      <c r="QPH6" s="34"/>
      <c r="QPI6" s="72"/>
      <c r="QPJ6" s="63"/>
      <c r="QPK6" s="34"/>
      <c r="QPL6" s="64"/>
      <c r="QPM6" s="4"/>
      <c r="QPN6" s="65"/>
      <c r="QPO6" s="4"/>
      <c r="QPP6" s="4"/>
      <c r="QPQ6" s="4"/>
      <c r="QPT6" s="34"/>
      <c r="QPU6" s="34"/>
      <c r="QPW6" s="34"/>
      <c r="QPX6" s="72"/>
      <c r="QPY6" s="63"/>
      <c r="QPZ6" s="34"/>
      <c r="QQA6" s="64"/>
      <c r="QQB6" s="4"/>
      <c r="QQC6" s="65"/>
      <c r="QQD6" s="4"/>
      <c r="QQE6" s="4"/>
      <c r="QQF6" s="4"/>
      <c r="QQI6" s="34"/>
      <c r="QQJ6" s="34"/>
      <c r="QQL6" s="34"/>
      <c r="QQM6" s="72"/>
      <c r="QQN6" s="63"/>
      <c r="QQO6" s="34"/>
      <c r="QQP6" s="64"/>
      <c r="QQQ6" s="4"/>
      <c r="QQR6" s="65"/>
      <c r="QQS6" s="4"/>
      <c r="QQT6" s="4"/>
      <c r="QQU6" s="4"/>
      <c r="QQX6" s="34"/>
      <c r="QQY6" s="34"/>
      <c r="QRA6" s="34"/>
      <c r="QRB6" s="72"/>
      <c r="QRC6" s="63"/>
      <c r="QRD6" s="34"/>
      <c r="QRE6" s="64"/>
      <c r="QRF6" s="4"/>
      <c r="QRG6" s="65"/>
      <c r="QRH6" s="4"/>
      <c r="QRI6" s="4"/>
      <c r="QRJ6" s="4"/>
      <c r="QRM6" s="34"/>
      <c r="QRN6" s="34"/>
      <c r="QRP6" s="34"/>
      <c r="QRQ6" s="72"/>
      <c r="QRR6" s="63"/>
      <c r="QRS6" s="34"/>
      <c r="QRT6" s="64"/>
      <c r="QRU6" s="4"/>
      <c r="QRV6" s="65"/>
      <c r="QRW6" s="4"/>
      <c r="QRX6" s="4"/>
      <c r="QRY6" s="4"/>
      <c r="QSB6" s="34"/>
      <c r="QSC6" s="34"/>
      <c r="QSE6" s="34"/>
      <c r="QSF6" s="72"/>
      <c r="QSG6" s="63"/>
      <c r="QSH6" s="34"/>
      <c r="QSI6" s="64"/>
      <c r="QSJ6" s="4"/>
      <c r="QSK6" s="65"/>
      <c r="QSL6" s="4"/>
      <c r="QSM6" s="4"/>
      <c r="QSN6" s="4"/>
      <c r="QSQ6" s="34"/>
      <c r="QSR6" s="34"/>
      <c r="QST6" s="34"/>
      <c r="QSU6" s="72"/>
      <c r="QSV6" s="63"/>
      <c r="QSW6" s="34"/>
      <c r="QSX6" s="64"/>
      <c r="QSY6" s="4"/>
      <c r="QSZ6" s="65"/>
      <c r="QTA6" s="4"/>
      <c r="QTB6" s="4"/>
      <c r="QTC6" s="4"/>
      <c r="QTF6" s="34"/>
      <c r="QTG6" s="34"/>
      <c r="QTI6" s="34"/>
      <c r="QTJ6" s="72"/>
      <c r="QTK6" s="63"/>
      <c r="QTL6" s="34"/>
      <c r="QTM6" s="64"/>
      <c r="QTN6" s="4"/>
      <c r="QTO6" s="65"/>
      <c r="QTP6" s="4"/>
      <c r="QTQ6" s="4"/>
      <c r="QTR6" s="4"/>
      <c r="QTU6" s="34"/>
      <c r="QTV6" s="34"/>
      <c r="QTX6" s="34"/>
      <c r="QTY6" s="72"/>
      <c r="QTZ6" s="63"/>
      <c r="QUA6" s="34"/>
      <c r="QUB6" s="64"/>
      <c r="QUC6" s="4"/>
      <c r="QUD6" s="65"/>
      <c r="QUE6" s="4"/>
      <c r="QUF6" s="4"/>
      <c r="QUG6" s="4"/>
      <c r="QUJ6" s="34"/>
      <c r="QUK6" s="34"/>
      <c r="QUM6" s="34"/>
      <c r="QUN6" s="72"/>
      <c r="QUO6" s="63"/>
      <c r="QUP6" s="34"/>
      <c r="QUQ6" s="64"/>
      <c r="QUR6" s="4"/>
      <c r="QUS6" s="65"/>
      <c r="QUT6" s="4"/>
      <c r="QUU6" s="4"/>
      <c r="QUV6" s="4"/>
      <c r="QUY6" s="34"/>
      <c r="QUZ6" s="34"/>
      <c r="QVB6" s="34"/>
      <c r="QVC6" s="72"/>
      <c r="QVD6" s="63"/>
      <c r="QVE6" s="34"/>
      <c r="QVF6" s="64"/>
      <c r="QVG6" s="4"/>
      <c r="QVH6" s="65"/>
      <c r="QVI6" s="4"/>
      <c r="QVJ6" s="4"/>
      <c r="QVK6" s="4"/>
      <c r="QVN6" s="34"/>
      <c r="QVO6" s="34"/>
      <c r="QVQ6" s="34"/>
      <c r="QVR6" s="72"/>
      <c r="QVS6" s="63"/>
      <c r="QVT6" s="34"/>
      <c r="QVU6" s="64"/>
      <c r="QVV6" s="4"/>
      <c r="QVW6" s="65"/>
      <c r="QVX6" s="4"/>
      <c r="QVY6" s="4"/>
      <c r="QVZ6" s="4"/>
      <c r="QWC6" s="34"/>
      <c r="QWD6" s="34"/>
      <c r="QWF6" s="34"/>
      <c r="QWG6" s="72"/>
      <c r="QWH6" s="63"/>
      <c r="QWI6" s="34"/>
      <c r="QWJ6" s="64"/>
      <c r="QWK6" s="4"/>
      <c r="QWL6" s="65"/>
      <c r="QWM6" s="4"/>
      <c r="QWN6" s="4"/>
      <c r="QWO6" s="4"/>
      <c r="QWR6" s="34"/>
      <c r="QWS6" s="34"/>
      <c r="QWU6" s="34"/>
      <c r="QWV6" s="72"/>
      <c r="QWW6" s="63"/>
      <c r="QWX6" s="34"/>
      <c r="QWY6" s="64"/>
      <c r="QWZ6" s="4"/>
      <c r="QXA6" s="65"/>
      <c r="QXB6" s="4"/>
      <c r="QXC6" s="4"/>
      <c r="QXD6" s="4"/>
      <c r="QXG6" s="34"/>
      <c r="QXH6" s="34"/>
      <c r="QXJ6" s="34"/>
      <c r="QXK6" s="72"/>
      <c r="QXL6" s="63"/>
      <c r="QXM6" s="34"/>
      <c r="QXN6" s="64"/>
      <c r="QXO6" s="4"/>
      <c r="QXP6" s="65"/>
      <c r="QXQ6" s="4"/>
      <c r="QXR6" s="4"/>
      <c r="QXS6" s="4"/>
      <c r="QXV6" s="34"/>
      <c r="QXW6" s="34"/>
      <c r="QXY6" s="34"/>
      <c r="QXZ6" s="72"/>
      <c r="QYA6" s="63"/>
      <c r="QYB6" s="34"/>
      <c r="QYC6" s="64"/>
      <c r="QYD6" s="4"/>
      <c r="QYE6" s="65"/>
      <c r="QYF6" s="4"/>
      <c r="QYG6" s="4"/>
      <c r="QYH6" s="4"/>
      <c r="QYK6" s="34"/>
      <c r="QYL6" s="34"/>
      <c r="QYN6" s="34"/>
      <c r="QYO6" s="72"/>
      <c r="QYP6" s="63"/>
      <c r="QYQ6" s="34"/>
      <c r="QYR6" s="64"/>
      <c r="QYS6" s="4"/>
      <c r="QYT6" s="65"/>
      <c r="QYU6" s="4"/>
      <c r="QYV6" s="4"/>
      <c r="QYW6" s="4"/>
      <c r="QYZ6" s="34"/>
      <c r="QZA6" s="34"/>
      <c r="QZC6" s="34"/>
      <c r="QZD6" s="72"/>
      <c r="QZE6" s="63"/>
      <c r="QZF6" s="34"/>
      <c r="QZG6" s="64"/>
      <c r="QZH6" s="4"/>
      <c r="QZI6" s="65"/>
      <c r="QZJ6" s="4"/>
      <c r="QZK6" s="4"/>
      <c r="QZL6" s="4"/>
      <c r="QZO6" s="34"/>
      <c r="QZP6" s="34"/>
      <c r="QZR6" s="34"/>
      <c r="QZS6" s="72"/>
      <c r="QZT6" s="63"/>
      <c r="QZU6" s="34"/>
      <c r="QZV6" s="64"/>
      <c r="QZW6" s="4"/>
      <c r="QZX6" s="65"/>
      <c r="QZY6" s="4"/>
      <c r="QZZ6" s="4"/>
      <c r="RAA6" s="4"/>
      <c r="RAD6" s="34"/>
      <c r="RAE6" s="34"/>
      <c r="RAG6" s="34"/>
      <c r="RAH6" s="72"/>
      <c r="RAI6" s="63"/>
      <c r="RAJ6" s="34"/>
      <c r="RAK6" s="64"/>
      <c r="RAL6" s="4"/>
      <c r="RAM6" s="65"/>
      <c r="RAN6" s="4"/>
      <c r="RAO6" s="4"/>
      <c r="RAP6" s="4"/>
      <c r="RAS6" s="34"/>
      <c r="RAT6" s="34"/>
      <c r="RAV6" s="34"/>
      <c r="RAW6" s="72"/>
      <c r="RAX6" s="63"/>
      <c r="RAY6" s="34"/>
      <c r="RAZ6" s="64"/>
      <c r="RBA6" s="4"/>
      <c r="RBB6" s="65"/>
      <c r="RBC6" s="4"/>
      <c r="RBD6" s="4"/>
      <c r="RBE6" s="4"/>
      <c r="RBH6" s="34"/>
      <c r="RBI6" s="34"/>
      <c r="RBK6" s="34"/>
      <c r="RBL6" s="72"/>
      <c r="RBM6" s="63"/>
      <c r="RBN6" s="34"/>
      <c r="RBO6" s="64"/>
      <c r="RBP6" s="4"/>
      <c r="RBQ6" s="65"/>
      <c r="RBR6" s="4"/>
      <c r="RBS6" s="4"/>
      <c r="RBT6" s="4"/>
      <c r="RBW6" s="34"/>
      <c r="RBX6" s="34"/>
      <c r="RBZ6" s="34"/>
      <c r="RCA6" s="72"/>
      <c r="RCB6" s="63"/>
      <c r="RCC6" s="34"/>
      <c r="RCD6" s="64"/>
      <c r="RCE6" s="4"/>
      <c r="RCF6" s="65"/>
      <c r="RCG6" s="4"/>
      <c r="RCH6" s="4"/>
      <c r="RCI6" s="4"/>
      <c r="RCL6" s="34"/>
      <c r="RCM6" s="34"/>
      <c r="RCO6" s="34"/>
      <c r="RCP6" s="72"/>
      <c r="RCQ6" s="63"/>
      <c r="RCR6" s="34"/>
      <c r="RCS6" s="64"/>
      <c r="RCT6" s="4"/>
      <c r="RCU6" s="65"/>
      <c r="RCV6" s="4"/>
      <c r="RCW6" s="4"/>
      <c r="RCX6" s="4"/>
      <c r="RDA6" s="34"/>
      <c r="RDB6" s="34"/>
      <c r="RDD6" s="34"/>
      <c r="RDE6" s="72"/>
      <c r="RDF6" s="63"/>
      <c r="RDG6" s="34"/>
      <c r="RDH6" s="64"/>
      <c r="RDI6" s="4"/>
      <c r="RDJ6" s="65"/>
      <c r="RDK6" s="4"/>
      <c r="RDL6" s="4"/>
      <c r="RDM6" s="4"/>
      <c r="RDP6" s="34"/>
      <c r="RDQ6" s="34"/>
      <c r="RDS6" s="34"/>
      <c r="RDT6" s="72"/>
      <c r="RDU6" s="63"/>
      <c r="RDV6" s="34"/>
      <c r="RDW6" s="64"/>
      <c r="RDX6" s="4"/>
      <c r="RDY6" s="65"/>
      <c r="RDZ6" s="4"/>
      <c r="REA6" s="4"/>
      <c r="REB6" s="4"/>
      <c r="REE6" s="34"/>
      <c r="REF6" s="34"/>
      <c r="REH6" s="34"/>
      <c r="REI6" s="72"/>
      <c r="REJ6" s="63"/>
      <c r="REK6" s="34"/>
      <c r="REL6" s="64"/>
      <c r="REM6" s="4"/>
      <c r="REN6" s="65"/>
      <c r="REO6" s="4"/>
      <c r="REP6" s="4"/>
      <c r="REQ6" s="4"/>
      <c r="RET6" s="34"/>
      <c r="REU6" s="34"/>
      <c r="REW6" s="34"/>
      <c r="REX6" s="72"/>
      <c r="REY6" s="63"/>
      <c r="REZ6" s="34"/>
      <c r="RFA6" s="64"/>
      <c r="RFB6" s="4"/>
      <c r="RFC6" s="65"/>
      <c r="RFD6" s="4"/>
      <c r="RFE6" s="4"/>
      <c r="RFF6" s="4"/>
      <c r="RFI6" s="34"/>
      <c r="RFJ6" s="34"/>
      <c r="RFL6" s="34"/>
      <c r="RFM6" s="72"/>
      <c r="RFN6" s="63"/>
      <c r="RFO6" s="34"/>
      <c r="RFP6" s="64"/>
      <c r="RFQ6" s="4"/>
      <c r="RFR6" s="65"/>
      <c r="RFS6" s="4"/>
      <c r="RFT6" s="4"/>
      <c r="RFU6" s="4"/>
      <c r="RFX6" s="34"/>
      <c r="RFY6" s="34"/>
      <c r="RGA6" s="34"/>
      <c r="RGB6" s="72"/>
      <c r="RGC6" s="63"/>
      <c r="RGD6" s="34"/>
      <c r="RGE6" s="64"/>
      <c r="RGF6" s="4"/>
      <c r="RGG6" s="65"/>
      <c r="RGH6" s="4"/>
      <c r="RGI6" s="4"/>
      <c r="RGJ6" s="4"/>
      <c r="RGM6" s="34"/>
      <c r="RGN6" s="34"/>
      <c r="RGP6" s="34"/>
      <c r="RGQ6" s="72"/>
      <c r="RGR6" s="63"/>
      <c r="RGS6" s="34"/>
      <c r="RGT6" s="64"/>
      <c r="RGU6" s="4"/>
      <c r="RGV6" s="65"/>
      <c r="RGW6" s="4"/>
      <c r="RGX6" s="4"/>
      <c r="RGY6" s="4"/>
      <c r="RHB6" s="34"/>
      <c r="RHC6" s="34"/>
      <c r="RHE6" s="34"/>
      <c r="RHF6" s="72"/>
      <c r="RHG6" s="63"/>
      <c r="RHH6" s="34"/>
      <c r="RHI6" s="64"/>
      <c r="RHJ6" s="4"/>
      <c r="RHK6" s="65"/>
      <c r="RHL6" s="4"/>
      <c r="RHM6" s="4"/>
      <c r="RHN6" s="4"/>
      <c r="RHQ6" s="34"/>
      <c r="RHR6" s="34"/>
      <c r="RHT6" s="34"/>
      <c r="RHU6" s="72"/>
      <c r="RHV6" s="63"/>
      <c r="RHW6" s="34"/>
      <c r="RHX6" s="64"/>
      <c r="RHY6" s="4"/>
      <c r="RHZ6" s="65"/>
      <c r="RIA6" s="4"/>
      <c r="RIB6" s="4"/>
      <c r="RIC6" s="4"/>
      <c r="RIF6" s="34"/>
      <c r="RIG6" s="34"/>
      <c r="RII6" s="34"/>
      <c r="RIJ6" s="72"/>
      <c r="RIK6" s="63"/>
      <c r="RIL6" s="34"/>
      <c r="RIM6" s="64"/>
      <c r="RIN6" s="4"/>
      <c r="RIO6" s="65"/>
      <c r="RIP6" s="4"/>
      <c r="RIQ6" s="4"/>
      <c r="RIR6" s="4"/>
      <c r="RIU6" s="34"/>
      <c r="RIV6" s="34"/>
      <c r="RIX6" s="34"/>
      <c r="RIY6" s="72"/>
      <c r="RIZ6" s="63"/>
      <c r="RJA6" s="34"/>
      <c r="RJB6" s="64"/>
      <c r="RJC6" s="4"/>
      <c r="RJD6" s="65"/>
      <c r="RJE6" s="4"/>
      <c r="RJF6" s="4"/>
      <c r="RJG6" s="4"/>
      <c r="RJJ6" s="34"/>
      <c r="RJK6" s="34"/>
      <c r="RJM6" s="34"/>
      <c r="RJN6" s="72"/>
      <c r="RJO6" s="63"/>
      <c r="RJP6" s="34"/>
      <c r="RJQ6" s="64"/>
      <c r="RJR6" s="4"/>
      <c r="RJS6" s="65"/>
      <c r="RJT6" s="4"/>
      <c r="RJU6" s="4"/>
      <c r="RJV6" s="4"/>
      <c r="RJY6" s="34"/>
      <c r="RJZ6" s="34"/>
      <c r="RKB6" s="34"/>
      <c r="RKC6" s="72"/>
      <c r="RKD6" s="63"/>
      <c r="RKE6" s="34"/>
      <c r="RKF6" s="64"/>
      <c r="RKG6" s="4"/>
      <c r="RKH6" s="65"/>
      <c r="RKI6" s="4"/>
      <c r="RKJ6" s="4"/>
      <c r="RKK6" s="4"/>
      <c r="RKN6" s="34"/>
      <c r="RKO6" s="34"/>
      <c r="RKQ6" s="34"/>
      <c r="RKR6" s="72"/>
      <c r="RKS6" s="63"/>
      <c r="RKT6" s="34"/>
      <c r="RKU6" s="64"/>
      <c r="RKV6" s="4"/>
      <c r="RKW6" s="65"/>
      <c r="RKX6" s="4"/>
      <c r="RKY6" s="4"/>
      <c r="RKZ6" s="4"/>
      <c r="RLC6" s="34"/>
      <c r="RLD6" s="34"/>
      <c r="RLF6" s="34"/>
      <c r="RLG6" s="72"/>
      <c r="RLH6" s="63"/>
      <c r="RLI6" s="34"/>
      <c r="RLJ6" s="64"/>
      <c r="RLK6" s="4"/>
      <c r="RLL6" s="65"/>
      <c r="RLM6" s="4"/>
      <c r="RLN6" s="4"/>
      <c r="RLO6" s="4"/>
      <c r="RLR6" s="34"/>
      <c r="RLS6" s="34"/>
      <c r="RLU6" s="34"/>
      <c r="RLV6" s="72"/>
      <c r="RLW6" s="63"/>
      <c r="RLX6" s="34"/>
      <c r="RLY6" s="64"/>
      <c r="RLZ6" s="4"/>
      <c r="RMA6" s="65"/>
      <c r="RMB6" s="4"/>
      <c r="RMC6" s="4"/>
      <c r="RMD6" s="4"/>
      <c r="RMG6" s="34"/>
      <c r="RMH6" s="34"/>
      <c r="RMJ6" s="34"/>
      <c r="RMK6" s="72"/>
      <c r="RML6" s="63"/>
      <c r="RMM6" s="34"/>
      <c r="RMN6" s="64"/>
      <c r="RMO6" s="4"/>
      <c r="RMP6" s="65"/>
      <c r="RMQ6" s="4"/>
      <c r="RMR6" s="4"/>
      <c r="RMS6" s="4"/>
      <c r="RMV6" s="34"/>
      <c r="RMW6" s="34"/>
      <c r="RMY6" s="34"/>
      <c r="RMZ6" s="72"/>
      <c r="RNA6" s="63"/>
      <c r="RNB6" s="34"/>
      <c r="RNC6" s="64"/>
      <c r="RND6" s="4"/>
      <c r="RNE6" s="65"/>
      <c r="RNF6" s="4"/>
      <c r="RNG6" s="4"/>
      <c r="RNH6" s="4"/>
      <c r="RNK6" s="34"/>
      <c r="RNL6" s="34"/>
      <c r="RNN6" s="34"/>
      <c r="RNO6" s="72"/>
      <c r="RNP6" s="63"/>
      <c r="RNQ6" s="34"/>
      <c r="RNR6" s="64"/>
      <c r="RNS6" s="4"/>
      <c r="RNT6" s="65"/>
      <c r="RNU6" s="4"/>
      <c r="RNV6" s="4"/>
      <c r="RNW6" s="4"/>
      <c r="RNZ6" s="34"/>
      <c r="ROA6" s="34"/>
      <c r="ROC6" s="34"/>
      <c r="ROD6" s="72"/>
      <c r="ROE6" s="63"/>
      <c r="ROF6" s="34"/>
      <c r="ROG6" s="64"/>
      <c r="ROH6" s="4"/>
      <c r="ROI6" s="65"/>
      <c r="ROJ6" s="4"/>
      <c r="ROK6" s="4"/>
      <c r="ROL6" s="4"/>
      <c r="ROO6" s="34"/>
      <c r="ROP6" s="34"/>
      <c r="ROR6" s="34"/>
      <c r="ROS6" s="72"/>
      <c r="ROT6" s="63"/>
      <c r="ROU6" s="34"/>
      <c r="ROV6" s="64"/>
      <c r="ROW6" s="4"/>
      <c r="ROX6" s="65"/>
      <c r="ROY6" s="4"/>
      <c r="ROZ6" s="4"/>
      <c r="RPA6" s="4"/>
      <c r="RPD6" s="34"/>
      <c r="RPE6" s="34"/>
      <c r="RPG6" s="34"/>
      <c r="RPH6" s="72"/>
      <c r="RPI6" s="63"/>
      <c r="RPJ6" s="34"/>
      <c r="RPK6" s="64"/>
      <c r="RPL6" s="4"/>
      <c r="RPM6" s="65"/>
      <c r="RPN6" s="4"/>
      <c r="RPO6" s="4"/>
      <c r="RPP6" s="4"/>
      <c r="RPS6" s="34"/>
      <c r="RPT6" s="34"/>
      <c r="RPV6" s="34"/>
      <c r="RPW6" s="72"/>
      <c r="RPX6" s="63"/>
      <c r="RPY6" s="34"/>
      <c r="RPZ6" s="64"/>
      <c r="RQA6" s="4"/>
      <c r="RQB6" s="65"/>
      <c r="RQC6" s="4"/>
      <c r="RQD6" s="4"/>
      <c r="RQE6" s="4"/>
      <c r="RQH6" s="34"/>
      <c r="RQI6" s="34"/>
      <c r="RQK6" s="34"/>
      <c r="RQL6" s="72"/>
      <c r="RQM6" s="63"/>
      <c r="RQN6" s="34"/>
      <c r="RQO6" s="64"/>
      <c r="RQP6" s="4"/>
      <c r="RQQ6" s="65"/>
      <c r="RQR6" s="4"/>
      <c r="RQS6" s="4"/>
      <c r="RQT6" s="4"/>
      <c r="RQW6" s="34"/>
      <c r="RQX6" s="34"/>
      <c r="RQZ6" s="34"/>
      <c r="RRA6" s="72"/>
      <c r="RRB6" s="63"/>
      <c r="RRC6" s="34"/>
      <c r="RRD6" s="64"/>
      <c r="RRE6" s="4"/>
      <c r="RRF6" s="65"/>
      <c r="RRG6" s="4"/>
      <c r="RRH6" s="4"/>
      <c r="RRI6" s="4"/>
      <c r="RRL6" s="34"/>
      <c r="RRM6" s="34"/>
      <c r="RRO6" s="34"/>
      <c r="RRP6" s="72"/>
      <c r="RRQ6" s="63"/>
      <c r="RRR6" s="34"/>
      <c r="RRS6" s="64"/>
      <c r="RRT6" s="4"/>
      <c r="RRU6" s="65"/>
      <c r="RRV6" s="4"/>
      <c r="RRW6" s="4"/>
      <c r="RRX6" s="4"/>
      <c r="RSA6" s="34"/>
      <c r="RSB6" s="34"/>
      <c r="RSD6" s="34"/>
      <c r="RSE6" s="72"/>
      <c r="RSF6" s="63"/>
      <c r="RSG6" s="34"/>
      <c r="RSH6" s="64"/>
      <c r="RSI6" s="4"/>
      <c r="RSJ6" s="65"/>
      <c r="RSK6" s="4"/>
      <c r="RSL6" s="4"/>
      <c r="RSM6" s="4"/>
      <c r="RSP6" s="34"/>
      <c r="RSQ6" s="34"/>
      <c r="RSS6" s="34"/>
      <c r="RST6" s="72"/>
      <c r="RSU6" s="63"/>
      <c r="RSV6" s="34"/>
      <c r="RSW6" s="64"/>
      <c r="RSX6" s="4"/>
      <c r="RSY6" s="65"/>
      <c r="RSZ6" s="4"/>
      <c r="RTA6" s="4"/>
      <c r="RTB6" s="4"/>
      <c r="RTE6" s="34"/>
      <c r="RTF6" s="34"/>
      <c r="RTH6" s="34"/>
      <c r="RTI6" s="72"/>
      <c r="RTJ6" s="63"/>
      <c r="RTK6" s="34"/>
      <c r="RTL6" s="64"/>
      <c r="RTM6" s="4"/>
      <c r="RTN6" s="65"/>
      <c r="RTO6" s="4"/>
      <c r="RTP6" s="4"/>
      <c r="RTQ6" s="4"/>
      <c r="RTT6" s="34"/>
      <c r="RTU6" s="34"/>
      <c r="RTW6" s="34"/>
      <c r="RTX6" s="72"/>
      <c r="RTY6" s="63"/>
      <c r="RTZ6" s="34"/>
      <c r="RUA6" s="64"/>
      <c r="RUB6" s="4"/>
      <c r="RUC6" s="65"/>
      <c r="RUD6" s="4"/>
      <c r="RUE6" s="4"/>
      <c r="RUF6" s="4"/>
      <c r="RUI6" s="34"/>
      <c r="RUJ6" s="34"/>
      <c r="RUL6" s="34"/>
      <c r="RUM6" s="72"/>
      <c r="RUN6" s="63"/>
      <c r="RUO6" s="34"/>
      <c r="RUP6" s="64"/>
      <c r="RUQ6" s="4"/>
      <c r="RUR6" s="65"/>
      <c r="RUS6" s="4"/>
      <c r="RUT6" s="4"/>
      <c r="RUU6" s="4"/>
      <c r="RUX6" s="34"/>
      <c r="RUY6" s="34"/>
      <c r="RVA6" s="34"/>
      <c r="RVB6" s="72"/>
      <c r="RVC6" s="63"/>
      <c r="RVD6" s="34"/>
      <c r="RVE6" s="64"/>
      <c r="RVF6" s="4"/>
      <c r="RVG6" s="65"/>
      <c r="RVH6" s="4"/>
      <c r="RVI6" s="4"/>
      <c r="RVJ6" s="4"/>
      <c r="RVM6" s="34"/>
      <c r="RVN6" s="34"/>
      <c r="RVP6" s="34"/>
      <c r="RVQ6" s="72"/>
      <c r="RVR6" s="63"/>
      <c r="RVS6" s="34"/>
      <c r="RVT6" s="64"/>
      <c r="RVU6" s="4"/>
      <c r="RVV6" s="65"/>
      <c r="RVW6" s="4"/>
      <c r="RVX6" s="4"/>
      <c r="RVY6" s="4"/>
      <c r="RWB6" s="34"/>
      <c r="RWC6" s="34"/>
      <c r="RWE6" s="34"/>
      <c r="RWF6" s="72"/>
      <c r="RWG6" s="63"/>
      <c r="RWH6" s="34"/>
      <c r="RWI6" s="64"/>
      <c r="RWJ6" s="4"/>
      <c r="RWK6" s="65"/>
      <c r="RWL6" s="4"/>
      <c r="RWM6" s="4"/>
      <c r="RWN6" s="4"/>
      <c r="RWQ6" s="34"/>
      <c r="RWR6" s="34"/>
      <c r="RWT6" s="34"/>
      <c r="RWU6" s="72"/>
      <c r="RWV6" s="63"/>
      <c r="RWW6" s="34"/>
      <c r="RWX6" s="64"/>
      <c r="RWY6" s="4"/>
      <c r="RWZ6" s="65"/>
      <c r="RXA6" s="4"/>
      <c r="RXB6" s="4"/>
      <c r="RXC6" s="4"/>
      <c r="RXF6" s="34"/>
      <c r="RXG6" s="34"/>
      <c r="RXI6" s="34"/>
      <c r="RXJ6" s="72"/>
      <c r="RXK6" s="63"/>
      <c r="RXL6" s="34"/>
      <c r="RXM6" s="64"/>
      <c r="RXN6" s="4"/>
      <c r="RXO6" s="65"/>
      <c r="RXP6" s="4"/>
      <c r="RXQ6" s="4"/>
      <c r="RXR6" s="4"/>
      <c r="RXU6" s="34"/>
      <c r="RXV6" s="34"/>
      <c r="RXX6" s="34"/>
      <c r="RXY6" s="72"/>
      <c r="RXZ6" s="63"/>
      <c r="RYA6" s="34"/>
      <c r="RYB6" s="64"/>
      <c r="RYC6" s="4"/>
      <c r="RYD6" s="65"/>
      <c r="RYE6" s="4"/>
      <c r="RYF6" s="4"/>
      <c r="RYG6" s="4"/>
      <c r="RYJ6" s="34"/>
      <c r="RYK6" s="34"/>
      <c r="RYM6" s="34"/>
      <c r="RYN6" s="72"/>
      <c r="RYO6" s="63"/>
      <c r="RYP6" s="34"/>
      <c r="RYQ6" s="64"/>
      <c r="RYR6" s="4"/>
      <c r="RYS6" s="65"/>
      <c r="RYT6" s="4"/>
      <c r="RYU6" s="4"/>
      <c r="RYV6" s="4"/>
      <c r="RYY6" s="34"/>
      <c r="RYZ6" s="34"/>
      <c r="RZB6" s="34"/>
      <c r="RZC6" s="72"/>
      <c r="RZD6" s="63"/>
      <c r="RZE6" s="34"/>
      <c r="RZF6" s="64"/>
      <c r="RZG6" s="4"/>
      <c r="RZH6" s="65"/>
      <c r="RZI6" s="4"/>
      <c r="RZJ6" s="4"/>
      <c r="RZK6" s="4"/>
      <c r="RZN6" s="34"/>
      <c r="RZO6" s="34"/>
      <c r="RZQ6" s="34"/>
      <c r="RZR6" s="72"/>
      <c r="RZS6" s="63"/>
      <c r="RZT6" s="34"/>
      <c r="RZU6" s="64"/>
      <c r="RZV6" s="4"/>
      <c r="RZW6" s="65"/>
      <c r="RZX6" s="4"/>
      <c r="RZY6" s="4"/>
      <c r="RZZ6" s="4"/>
      <c r="SAC6" s="34"/>
      <c r="SAD6" s="34"/>
      <c r="SAF6" s="34"/>
      <c r="SAG6" s="72"/>
      <c r="SAH6" s="63"/>
      <c r="SAI6" s="34"/>
      <c r="SAJ6" s="64"/>
      <c r="SAK6" s="4"/>
      <c r="SAL6" s="65"/>
      <c r="SAM6" s="4"/>
      <c r="SAN6" s="4"/>
      <c r="SAO6" s="4"/>
      <c r="SAR6" s="34"/>
      <c r="SAS6" s="34"/>
      <c r="SAU6" s="34"/>
      <c r="SAV6" s="72"/>
      <c r="SAW6" s="63"/>
      <c r="SAX6" s="34"/>
      <c r="SAY6" s="64"/>
      <c r="SAZ6" s="4"/>
      <c r="SBA6" s="65"/>
      <c r="SBB6" s="4"/>
      <c r="SBC6" s="4"/>
      <c r="SBD6" s="4"/>
      <c r="SBG6" s="34"/>
      <c r="SBH6" s="34"/>
      <c r="SBJ6" s="34"/>
      <c r="SBK6" s="72"/>
      <c r="SBL6" s="63"/>
      <c r="SBM6" s="34"/>
      <c r="SBN6" s="64"/>
      <c r="SBO6" s="4"/>
      <c r="SBP6" s="65"/>
      <c r="SBQ6" s="4"/>
      <c r="SBR6" s="4"/>
      <c r="SBS6" s="4"/>
      <c r="SBV6" s="34"/>
      <c r="SBW6" s="34"/>
      <c r="SBY6" s="34"/>
      <c r="SBZ6" s="72"/>
      <c r="SCA6" s="63"/>
      <c r="SCB6" s="34"/>
      <c r="SCC6" s="64"/>
      <c r="SCD6" s="4"/>
      <c r="SCE6" s="65"/>
      <c r="SCF6" s="4"/>
      <c r="SCG6" s="4"/>
      <c r="SCH6" s="4"/>
      <c r="SCK6" s="34"/>
      <c r="SCL6" s="34"/>
      <c r="SCN6" s="34"/>
      <c r="SCO6" s="72"/>
      <c r="SCP6" s="63"/>
      <c r="SCQ6" s="34"/>
      <c r="SCR6" s="64"/>
      <c r="SCS6" s="4"/>
      <c r="SCT6" s="65"/>
      <c r="SCU6" s="4"/>
      <c r="SCV6" s="4"/>
      <c r="SCW6" s="4"/>
      <c r="SCZ6" s="34"/>
      <c r="SDA6" s="34"/>
      <c r="SDC6" s="34"/>
      <c r="SDD6" s="72"/>
      <c r="SDE6" s="63"/>
      <c r="SDF6" s="34"/>
      <c r="SDG6" s="64"/>
      <c r="SDH6" s="4"/>
      <c r="SDI6" s="65"/>
      <c r="SDJ6" s="4"/>
      <c r="SDK6" s="4"/>
      <c r="SDL6" s="4"/>
      <c r="SDO6" s="34"/>
      <c r="SDP6" s="34"/>
      <c r="SDR6" s="34"/>
      <c r="SDS6" s="72"/>
      <c r="SDT6" s="63"/>
      <c r="SDU6" s="34"/>
      <c r="SDV6" s="64"/>
      <c r="SDW6" s="4"/>
      <c r="SDX6" s="65"/>
      <c r="SDY6" s="4"/>
      <c r="SDZ6" s="4"/>
      <c r="SEA6" s="4"/>
      <c r="SED6" s="34"/>
      <c r="SEE6" s="34"/>
      <c r="SEG6" s="34"/>
      <c r="SEH6" s="72"/>
      <c r="SEI6" s="63"/>
      <c r="SEJ6" s="34"/>
      <c r="SEK6" s="64"/>
      <c r="SEL6" s="4"/>
      <c r="SEM6" s="65"/>
      <c r="SEN6" s="4"/>
      <c r="SEO6" s="4"/>
      <c r="SEP6" s="4"/>
      <c r="SES6" s="34"/>
      <c r="SET6" s="34"/>
      <c r="SEV6" s="34"/>
      <c r="SEW6" s="72"/>
      <c r="SEX6" s="63"/>
      <c r="SEY6" s="34"/>
      <c r="SEZ6" s="64"/>
      <c r="SFA6" s="4"/>
      <c r="SFB6" s="65"/>
      <c r="SFC6" s="4"/>
      <c r="SFD6" s="4"/>
      <c r="SFE6" s="4"/>
      <c r="SFH6" s="34"/>
      <c r="SFI6" s="34"/>
      <c r="SFK6" s="34"/>
      <c r="SFL6" s="72"/>
      <c r="SFM6" s="63"/>
      <c r="SFN6" s="34"/>
      <c r="SFO6" s="64"/>
      <c r="SFP6" s="4"/>
      <c r="SFQ6" s="65"/>
      <c r="SFR6" s="4"/>
      <c r="SFS6" s="4"/>
      <c r="SFT6" s="4"/>
      <c r="SFW6" s="34"/>
      <c r="SFX6" s="34"/>
      <c r="SFZ6" s="34"/>
      <c r="SGA6" s="72"/>
      <c r="SGB6" s="63"/>
      <c r="SGC6" s="34"/>
      <c r="SGD6" s="64"/>
      <c r="SGE6" s="4"/>
      <c r="SGF6" s="65"/>
      <c r="SGG6" s="4"/>
      <c r="SGH6" s="4"/>
      <c r="SGI6" s="4"/>
      <c r="SGL6" s="34"/>
      <c r="SGM6" s="34"/>
      <c r="SGO6" s="34"/>
      <c r="SGP6" s="72"/>
      <c r="SGQ6" s="63"/>
      <c r="SGR6" s="34"/>
      <c r="SGS6" s="64"/>
      <c r="SGT6" s="4"/>
      <c r="SGU6" s="65"/>
      <c r="SGV6" s="4"/>
      <c r="SGW6" s="4"/>
      <c r="SGX6" s="4"/>
      <c r="SHA6" s="34"/>
      <c r="SHB6" s="34"/>
      <c r="SHD6" s="34"/>
      <c r="SHE6" s="72"/>
      <c r="SHF6" s="63"/>
      <c r="SHG6" s="34"/>
      <c r="SHH6" s="64"/>
      <c r="SHI6" s="4"/>
      <c r="SHJ6" s="65"/>
      <c r="SHK6" s="4"/>
      <c r="SHL6" s="4"/>
      <c r="SHM6" s="4"/>
      <c r="SHP6" s="34"/>
      <c r="SHQ6" s="34"/>
      <c r="SHS6" s="34"/>
      <c r="SHT6" s="72"/>
      <c r="SHU6" s="63"/>
      <c r="SHV6" s="34"/>
      <c r="SHW6" s="64"/>
      <c r="SHX6" s="4"/>
      <c r="SHY6" s="65"/>
      <c r="SHZ6" s="4"/>
      <c r="SIA6" s="4"/>
      <c r="SIB6" s="4"/>
      <c r="SIE6" s="34"/>
      <c r="SIF6" s="34"/>
      <c r="SIH6" s="34"/>
      <c r="SII6" s="72"/>
      <c r="SIJ6" s="63"/>
      <c r="SIK6" s="34"/>
      <c r="SIL6" s="64"/>
      <c r="SIM6" s="4"/>
      <c r="SIN6" s="65"/>
      <c r="SIO6" s="4"/>
      <c r="SIP6" s="4"/>
      <c r="SIQ6" s="4"/>
      <c r="SIT6" s="34"/>
      <c r="SIU6" s="34"/>
      <c r="SIW6" s="34"/>
      <c r="SIX6" s="72"/>
      <c r="SIY6" s="63"/>
      <c r="SIZ6" s="34"/>
      <c r="SJA6" s="64"/>
      <c r="SJB6" s="4"/>
      <c r="SJC6" s="65"/>
      <c r="SJD6" s="4"/>
      <c r="SJE6" s="4"/>
      <c r="SJF6" s="4"/>
      <c r="SJI6" s="34"/>
      <c r="SJJ6" s="34"/>
      <c r="SJL6" s="34"/>
      <c r="SJM6" s="72"/>
      <c r="SJN6" s="63"/>
      <c r="SJO6" s="34"/>
      <c r="SJP6" s="64"/>
      <c r="SJQ6" s="4"/>
      <c r="SJR6" s="65"/>
      <c r="SJS6" s="4"/>
      <c r="SJT6" s="4"/>
      <c r="SJU6" s="4"/>
      <c r="SJX6" s="34"/>
      <c r="SJY6" s="34"/>
      <c r="SKA6" s="34"/>
      <c r="SKB6" s="72"/>
      <c r="SKC6" s="63"/>
      <c r="SKD6" s="34"/>
      <c r="SKE6" s="64"/>
      <c r="SKF6" s="4"/>
      <c r="SKG6" s="65"/>
      <c r="SKH6" s="4"/>
      <c r="SKI6" s="4"/>
      <c r="SKJ6" s="4"/>
      <c r="SKM6" s="34"/>
      <c r="SKN6" s="34"/>
      <c r="SKP6" s="34"/>
      <c r="SKQ6" s="72"/>
      <c r="SKR6" s="63"/>
      <c r="SKS6" s="34"/>
      <c r="SKT6" s="64"/>
      <c r="SKU6" s="4"/>
      <c r="SKV6" s="65"/>
      <c r="SKW6" s="4"/>
      <c r="SKX6" s="4"/>
      <c r="SKY6" s="4"/>
      <c r="SLB6" s="34"/>
      <c r="SLC6" s="34"/>
      <c r="SLE6" s="34"/>
      <c r="SLF6" s="72"/>
      <c r="SLG6" s="63"/>
      <c r="SLH6" s="34"/>
      <c r="SLI6" s="64"/>
      <c r="SLJ6" s="4"/>
      <c r="SLK6" s="65"/>
      <c r="SLL6" s="4"/>
      <c r="SLM6" s="4"/>
      <c r="SLN6" s="4"/>
      <c r="SLQ6" s="34"/>
      <c r="SLR6" s="34"/>
      <c r="SLT6" s="34"/>
      <c r="SLU6" s="72"/>
      <c r="SLV6" s="63"/>
      <c r="SLW6" s="34"/>
      <c r="SLX6" s="64"/>
      <c r="SLY6" s="4"/>
      <c r="SLZ6" s="65"/>
      <c r="SMA6" s="4"/>
      <c r="SMB6" s="4"/>
      <c r="SMC6" s="4"/>
      <c r="SMF6" s="34"/>
      <c r="SMG6" s="34"/>
      <c r="SMI6" s="34"/>
      <c r="SMJ6" s="72"/>
      <c r="SMK6" s="63"/>
      <c r="SML6" s="34"/>
      <c r="SMM6" s="64"/>
      <c r="SMN6" s="4"/>
      <c r="SMO6" s="65"/>
      <c r="SMP6" s="4"/>
      <c r="SMQ6" s="4"/>
      <c r="SMR6" s="4"/>
      <c r="SMU6" s="34"/>
      <c r="SMV6" s="34"/>
      <c r="SMX6" s="34"/>
      <c r="SMY6" s="72"/>
      <c r="SMZ6" s="63"/>
      <c r="SNA6" s="34"/>
      <c r="SNB6" s="64"/>
      <c r="SNC6" s="4"/>
      <c r="SND6" s="65"/>
      <c r="SNE6" s="4"/>
      <c r="SNF6" s="4"/>
      <c r="SNG6" s="4"/>
      <c r="SNJ6" s="34"/>
      <c r="SNK6" s="34"/>
      <c r="SNM6" s="34"/>
      <c r="SNN6" s="72"/>
      <c r="SNO6" s="63"/>
      <c r="SNP6" s="34"/>
      <c r="SNQ6" s="64"/>
      <c r="SNR6" s="4"/>
      <c r="SNS6" s="65"/>
      <c r="SNT6" s="4"/>
      <c r="SNU6" s="4"/>
      <c r="SNV6" s="4"/>
      <c r="SNY6" s="34"/>
      <c r="SNZ6" s="34"/>
      <c r="SOB6" s="34"/>
      <c r="SOC6" s="72"/>
      <c r="SOD6" s="63"/>
      <c r="SOE6" s="34"/>
      <c r="SOF6" s="64"/>
      <c r="SOG6" s="4"/>
      <c r="SOH6" s="65"/>
      <c r="SOI6" s="4"/>
      <c r="SOJ6" s="4"/>
      <c r="SOK6" s="4"/>
      <c r="SON6" s="34"/>
      <c r="SOO6" s="34"/>
      <c r="SOQ6" s="34"/>
      <c r="SOR6" s="72"/>
      <c r="SOS6" s="63"/>
      <c r="SOT6" s="34"/>
      <c r="SOU6" s="64"/>
      <c r="SOV6" s="4"/>
      <c r="SOW6" s="65"/>
      <c r="SOX6" s="4"/>
      <c r="SOY6" s="4"/>
      <c r="SOZ6" s="4"/>
      <c r="SPC6" s="34"/>
      <c r="SPD6" s="34"/>
      <c r="SPF6" s="34"/>
      <c r="SPG6" s="72"/>
      <c r="SPH6" s="63"/>
      <c r="SPI6" s="34"/>
      <c r="SPJ6" s="64"/>
      <c r="SPK6" s="4"/>
      <c r="SPL6" s="65"/>
      <c r="SPM6" s="4"/>
      <c r="SPN6" s="4"/>
      <c r="SPO6" s="4"/>
      <c r="SPR6" s="34"/>
      <c r="SPS6" s="34"/>
      <c r="SPU6" s="34"/>
      <c r="SPV6" s="72"/>
      <c r="SPW6" s="63"/>
      <c r="SPX6" s="34"/>
      <c r="SPY6" s="64"/>
      <c r="SPZ6" s="4"/>
      <c r="SQA6" s="65"/>
      <c r="SQB6" s="4"/>
      <c r="SQC6" s="4"/>
      <c r="SQD6" s="4"/>
      <c r="SQG6" s="34"/>
      <c r="SQH6" s="34"/>
      <c r="SQJ6" s="34"/>
      <c r="SQK6" s="72"/>
      <c r="SQL6" s="63"/>
      <c r="SQM6" s="34"/>
      <c r="SQN6" s="64"/>
      <c r="SQO6" s="4"/>
      <c r="SQP6" s="65"/>
      <c r="SQQ6" s="4"/>
      <c r="SQR6" s="4"/>
      <c r="SQS6" s="4"/>
      <c r="SQV6" s="34"/>
      <c r="SQW6" s="34"/>
      <c r="SQY6" s="34"/>
      <c r="SQZ6" s="72"/>
      <c r="SRA6" s="63"/>
      <c r="SRB6" s="34"/>
      <c r="SRC6" s="64"/>
      <c r="SRD6" s="4"/>
      <c r="SRE6" s="65"/>
      <c r="SRF6" s="4"/>
      <c r="SRG6" s="4"/>
      <c r="SRH6" s="4"/>
      <c r="SRK6" s="34"/>
      <c r="SRL6" s="34"/>
      <c r="SRN6" s="34"/>
      <c r="SRO6" s="72"/>
      <c r="SRP6" s="63"/>
      <c r="SRQ6" s="34"/>
      <c r="SRR6" s="64"/>
      <c r="SRS6" s="4"/>
      <c r="SRT6" s="65"/>
      <c r="SRU6" s="4"/>
      <c r="SRV6" s="4"/>
      <c r="SRW6" s="4"/>
      <c r="SRZ6" s="34"/>
      <c r="SSA6" s="34"/>
      <c r="SSC6" s="34"/>
      <c r="SSD6" s="72"/>
      <c r="SSE6" s="63"/>
      <c r="SSF6" s="34"/>
      <c r="SSG6" s="64"/>
      <c r="SSH6" s="4"/>
      <c r="SSI6" s="65"/>
      <c r="SSJ6" s="4"/>
      <c r="SSK6" s="4"/>
      <c r="SSL6" s="4"/>
      <c r="SSO6" s="34"/>
      <c r="SSP6" s="34"/>
      <c r="SSR6" s="34"/>
      <c r="SSS6" s="72"/>
      <c r="SST6" s="63"/>
      <c r="SSU6" s="34"/>
      <c r="SSV6" s="64"/>
      <c r="SSW6" s="4"/>
      <c r="SSX6" s="65"/>
      <c r="SSY6" s="4"/>
      <c r="SSZ6" s="4"/>
      <c r="STA6" s="4"/>
      <c r="STD6" s="34"/>
      <c r="STE6" s="34"/>
      <c r="STG6" s="34"/>
      <c r="STH6" s="72"/>
      <c r="STI6" s="63"/>
      <c r="STJ6" s="34"/>
      <c r="STK6" s="64"/>
      <c r="STL6" s="4"/>
      <c r="STM6" s="65"/>
      <c r="STN6" s="4"/>
      <c r="STO6" s="4"/>
      <c r="STP6" s="4"/>
      <c r="STS6" s="34"/>
      <c r="STT6" s="34"/>
      <c r="STV6" s="34"/>
      <c r="STW6" s="72"/>
      <c r="STX6" s="63"/>
      <c r="STY6" s="34"/>
      <c r="STZ6" s="64"/>
      <c r="SUA6" s="4"/>
      <c r="SUB6" s="65"/>
      <c r="SUC6" s="4"/>
      <c r="SUD6" s="4"/>
      <c r="SUE6" s="4"/>
      <c r="SUH6" s="34"/>
      <c r="SUI6" s="34"/>
      <c r="SUK6" s="34"/>
      <c r="SUL6" s="72"/>
      <c r="SUM6" s="63"/>
      <c r="SUN6" s="34"/>
      <c r="SUO6" s="64"/>
      <c r="SUP6" s="4"/>
      <c r="SUQ6" s="65"/>
      <c r="SUR6" s="4"/>
      <c r="SUS6" s="4"/>
      <c r="SUT6" s="4"/>
      <c r="SUW6" s="34"/>
      <c r="SUX6" s="34"/>
      <c r="SUZ6" s="34"/>
      <c r="SVA6" s="72"/>
      <c r="SVB6" s="63"/>
      <c r="SVC6" s="34"/>
      <c r="SVD6" s="64"/>
      <c r="SVE6" s="4"/>
      <c r="SVF6" s="65"/>
      <c r="SVG6" s="4"/>
      <c r="SVH6" s="4"/>
      <c r="SVI6" s="4"/>
      <c r="SVL6" s="34"/>
      <c r="SVM6" s="34"/>
      <c r="SVO6" s="34"/>
      <c r="SVP6" s="72"/>
      <c r="SVQ6" s="63"/>
      <c r="SVR6" s="34"/>
      <c r="SVS6" s="64"/>
      <c r="SVT6" s="4"/>
      <c r="SVU6" s="65"/>
      <c r="SVV6" s="4"/>
      <c r="SVW6" s="4"/>
      <c r="SVX6" s="4"/>
      <c r="SWA6" s="34"/>
      <c r="SWB6" s="34"/>
      <c r="SWD6" s="34"/>
      <c r="SWE6" s="72"/>
      <c r="SWF6" s="63"/>
      <c r="SWG6" s="34"/>
      <c r="SWH6" s="64"/>
      <c r="SWI6" s="4"/>
      <c r="SWJ6" s="65"/>
      <c r="SWK6" s="4"/>
      <c r="SWL6" s="4"/>
      <c r="SWM6" s="4"/>
      <c r="SWP6" s="34"/>
      <c r="SWQ6" s="34"/>
      <c r="SWS6" s="34"/>
      <c r="SWT6" s="72"/>
      <c r="SWU6" s="63"/>
      <c r="SWV6" s="34"/>
      <c r="SWW6" s="64"/>
      <c r="SWX6" s="4"/>
      <c r="SWY6" s="65"/>
      <c r="SWZ6" s="4"/>
      <c r="SXA6" s="4"/>
      <c r="SXB6" s="4"/>
      <c r="SXE6" s="34"/>
      <c r="SXF6" s="34"/>
      <c r="SXH6" s="34"/>
      <c r="SXI6" s="72"/>
      <c r="SXJ6" s="63"/>
      <c r="SXK6" s="34"/>
      <c r="SXL6" s="64"/>
      <c r="SXM6" s="4"/>
      <c r="SXN6" s="65"/>
      <c r="SXO6" s="4"/>
      <c r="SXP6" s="4"/>
      <c r="SXQ6" s="4"/>
      <c r="SXT6" s="34"/>
      <c r="SXU6" s="34"/>
      <c r="SXW6" s="34"/>
      <c r="SXX6" s="72"/>
      <c r="SXY6" s="63"/>
      <c r="SXZ6" s="34"/>
      <c r="SYA6" s="64"/>
      <c r="SYB6" s="4"/>
      <c r="SYC6" s="65"/>
      <c r="SYD6" s="4"/>
      <c r="SYE6" s="4"/>
      <c r="SYF6" s="4"/>
      <c r="SYI6" s="34"/>
      <c r="SYJ6" s="34"/>
      <c r="SYL6" s="34"/>
      <c r="SYM6" s="72"/>
      <c r="SYN6" s="63"/>
      <c r="SYO6" s="34"/>
      <c r="SYP6" s="64"/>
      <c r="SYQ6" s="4"/>
      <c r="SYR6" s="65"/>
      <c r="SYS6" s="4"/>
      <c r="SYT6" s="4"/>
      <c r="SYU6" s="4"/>
      <c r="SYX6" s="34"/>
      <c r="SYY6" s="34"/>
      <c r="SZA6" s="34"/>
      <c r="SZB6" s="72"/>
      <c r="SZC6" s="63"/>
      <c r="SZD6" s="34"/>
      <c r="SZE6" s="64"/>
      <c r="SZF6" s="4"/>
      <c r="SZG6" s="65"/>
      <c r="SZH6" s="4"/>
      <c r="SZI6" s="4"/>
      <c r="SZJ6" s="4"/>
      <c r="SZM6" s="34"/>
      <c r="SZN6" s="34"/>
      <c r="SZP6" s="34"/>
      <c r="SZQ6" s="72"/>
      <c r="SZR6" s="63"/>
      <c r="SZS6" s="34"/>
      <c r="SZT6" s="64"/>
      <c r="SZU6" s="4"/>
      <c r="SZV6" s="65"/>
      <c r="SZW6" s="4"/>
      <c r="SZX6" s="4"/>
      <c r="SZY6" s="4"/>
      <c r="TAB6" s="34"/>
      <c r="TAC6" s="34"/>
      <c r="TAE6" s="34"/>
      <c r="TAF6" s="72"/>
      <c r="TAG6" s="63"/>
      <c r="TAH6" s="34"/>
      <c r="TAI6" s="64"/>
      <c r="TAJ6" s="4"/>
      <c r="TAK6" s="65"/>
      <c r="TAL6" s="4"/>
      <c r="TAM6" s="4"/>
      <c r="TAN6" s="4"/>
      <c r="TAQ6" s="34"/>
      <c r="TAR6" s="34"/>
      <c r="TAT6" s="34"/>
      <c r="TAU6" s="72"/>
      <c r="TAV6" s="63"/>
      <c r="TAW6" s="34"/>
      <c r="TAX6" s="64"/>
      <c r="TAY6" s="4"/>
      <c r="TAZ6" s="65"/>
      <c r="TBA6" s="4"/>
      <c r="TBB6" s="4"/>
      <c r="TBC6" s="4"/>
      <c r="TBF6" s="34"/>
      <c r="TBG6" s="34"/>
      <c r="TBI6" s="34"/>
      <c r="TBJ6" s="72"/>
      <c r="TBK6" s="63"/>
      <c r="TBL6" s="34"/>
      <c r="TBM6" s="64"/>
      <c r="TBN6" s="4"/>
      <c r="TBO6" s="65"/>
      <c r="TBP6" s="4"/>
      <c r="TBQ6" s="4"/>
      <c r="TBR6" s="4"/>
      <c r="TBU6" s="34"/>
      <c r="TBV6" s="34"/>
      <c r="TBX6" s="34"/>
      <c r="TBY6" s="72"/>
      <c r="TBZ6" s="63"/>
      <c r="TCA6" s="34"/>
      <c r="TCB6" s="64"/>
      <c r="TCC6" s="4"/>
      <c r="TCD6" s="65"/>
      <c r="TCE6" s="4"/>
      <c r="TCF6" s="4"/>
      <c r="TCG6" s="4"/>
      <c r="TCJ6" s="34"/>
      <c r="TCK6" s="34"/>
      <c r="TCM6" s="34"/>
      <c r="TCN6" s="72"/>
      <c r="TCO6" s="63"/>
      <c r="TCP6" s="34"/>
      <c r="TCQ6" s="64"/>
      <c r="TCR6" s="4"/>
      <c r="TCS6" s="65"/>
      <c r="TCT6" s="4"/>
      <c r="TCU6" s="4"/>
      <c r="TCV6" s="4"/>
      <c r="TCY6" s="34"/>
      <c r="TCZ6" s="34"/>
      <c r="TDB6" s="34"/>
      <c r="TDC6" s="72"/>
      <c r="TDD6" s="63"/>
      <c r="TDE6" s="34"/>
      <c r="TDF6" s="64"/>
      <c r="TDG6" s="4"/>
      <c r="TDH6" s="65"/>
      <c r="TDI6" s="4"/>
      <c r="TDJ6" s="4"/>
      <c r="TDK6" s="4"/>
      <c r="TDN6" s="34"/>
      <c r="TDO6" s="34"/>
      <c r="TDQ6" s="34"/>
      <c r="TDR6" s="72"/>
      <c r="TDS6" s="63"/>
      <c r="TDT6" s="34"/>
      <c r="TDU6" s="64"/>
      <c r="TDV6" s="4"/>
      <c r="TDW6" s="65"/>
      <c r="TDX6" s="4"/>
      <c r="TDY6" s="4"/>
      <c r="TDZ6" s="4"/>
      <c r="TEC6" s="34"/>
      <c r="TED6" s="34"/>
      <c r="TEF6" s="34"/>
      <c r="TEG6" s="72"/>
      <c r="TEH6" s="63"/>
      <c r="TEI6" s="34"/>
      <c r="TEJ6" s="64"/>
      <c r="TEK6" s="4"/>
      <c r="TEL6" s="65"/>
      <c r="TEM6" s="4"/>
      <c r="TEN6" s="4"/>
      <c r="TEO6" s="4"/>
      <c r="TER6" s="34"/>
      <c r="TES6" s="34"/>
      <c r="TEU6" s="34"/>
      <c r="TEV6" s="72"/>
      <c r="TEW6" s="63"/>
      <c r="TEX6" s="34"/>
      <c r="TEY6" s="64"/>
      <c r="TEZ6" s="4"/>
      <c r="TFA6" s="65"/>
      <c r="TFB6" s="4"/>
      <c r="TFC6" s="4"/>
      <c r="TFD6" s="4"/>
      <c r="TFG6" s="34"/>
      <c r="TFH6" s="34"/>
      <c r="TFJ6" s="34"/>
      <c r="TFK6" s="72"/>
      <c r="TFL6" s="63"/>
      <c r="TFM6" s="34"/>
      <c r="TFN6" s="64"/>
      <c r="TFO6" s="4"/>
      <c r="TFP6" s="65"/>
      <c r="TFQ6" s="4"/>
      <c r="TFR6" s="4"/>
      <c r="TFS6" s="4"/>
      <c r="TFV6" s="34"/>
      <c r="TFW6" s="34"/>
      <c r="TFY6" s="34"/>
      <c r="TFZ6" s="72"/>
      <c r="TGA6" s="63"/>
      <c r="TGB6" s="34"/>
      <c r="TGC6" s="64"/>
      <c r="TGD6" s="4"/>
      <c r="TGE6" s="65"/>
      <c r="TGF6" s="4"/>
      <c r="TGG6" s="4"/>
      <c r="TGH6" s="4"/>
      <c r="TGK6" s="34"/>
      <c r="TGL6" s="34"/>
      <c r="TGN6" s="34"/>
      <c r="TGO6" s="72"/>
      <c r="TGP6" s="63"/>
      <c r="TGQ6" s="34"/>
      <c r="TGR6" s="64"/>
      <c r="TGS6" s="4"/>
      <c r="TGT6" s="65"/>
      <c r="TGU6" s="4"/>
      <c r="TGV6" s="4"/>
      <c r="TGW6" s="4"/>
      <c r="TGZ6" s="34"/>
      <c r="THA6" s="34"/>
      <c r="THC6" s="34"/>
      <c r="THD6" s="72"/>
      <c r="THE6" s="63"/>
      <c r="THF6" s="34"/>
      <c r="THG6" s="64"/>
      <c r="THH6" s="4"/>
      <c r="THI6" s="65"/>
      <c r="THJ6" s="4"/>
      <c r="THK6" s="4"/>
      <c r="THL6" s="4"/>
      <c r="THO6" s="34"/>
      <c r="THP6" s="34"/>
      <c r="THR6" s="34"/>
      <c r="THS6" s="72"/>
      <c r="THT6" s="63"/>
      <c r="THU6" s="34"/>
      <c r="THV6" s="64"/>
      <c r="THW6" s="4"/>
      <c r="THX6" s="65"/>
      <c r="THY6" s="4"/>
      <c r="THZ6" s="4"/>
      <c r="TIA6" s="4"/>
      <c r="TID6" s="34"/>
      <c r="TIE6" s="34"/>
      <c r="TIG6" s="34"/>
      <c r="TIH6" s="72"/>
      <c r="TII6" s="63"/>
      <c r="TIJ6" s="34"/>
      <c r="TIK6" s="64"/>
      <c r="TIL6" s="4"/>
      <c r="TIM6" s="65"/>
      <c r="TIN6" s="4"/>
      <c r="TIO6" s="4"/>
      <c r="TIP6" s="4"/>
      <c r="TIS6" s="34"/>
      <c r="TIT6" s="34"/>
      <c r="TIV6" s="34"/>
      <c r="TIW6" s="72"/>
      <c r="TIX6" s="63"/>
      <c r="TIY6" s="34"/>
      <c r="TIZ6" s="64"/>
      <c r="TJA6" s="4"/>
      <c r="TJB6" s="65"/>
      <c r="TJC6" s="4"/>
      <c r="TJD6" s="4"/>
      <c r="TJE6" s="4"/>
      <c r="TJH6" s="34"/>
      <c r="TJI6" s="34"/>
      <c r="TJK6" s="34"/>
      <c r="TJL6" s="72"/>
      <c r="TJM6" s="63"/>
      <c r="TJN6" s="34"/>
      <c r="TJO6" s="64"/>
      <c r="TJP6" s="4"/>
      <c r="TJQ6" s="65"/>
      <c r="TJR6" s="4"/>
      <c r="TJS6" s="4"/>
      <c r="TJT6" s="4"/>
      <c r="TJW6" s="34"/>
      <c r="TJX6" s="34"/>
      <c r="TJZ6" s="34"/>
      <c r="TKA6" s="72"/>
      <c r="TKB6" s="63"/>
      <c r="TKC6" s="34"/>
      <c r="TKD6" s="64"/>
      <c r="TKE6" s="4"/>
      <c r="TKF6" s="65"/>
      <c r="TKG6" s="4"/>
      <c r="TKH6" s="4"/>
      <c r="TKI6" s="4"/>
      <c r="TKL6" s="34"/>
      <c r="TKM6" s="34"/>
      <c r="TKO6" s="34"/>
      <c r="TKP6" s="72"/>
      <c r="TKQ6" s="63"/>
      <c r="TKR6" s="34"/>
      <c r="TKS6" s="64"/>
      <c r="TKT6" s="4"/>
      <c r="TKU6" s="65"/>
      <c r="TKV6" s="4"/>
      <c r="TKW6" s="4"/>
      <c r="TKX6" s="4"/>
      <c r="TLA6" s="34"/>
      <c r="TLB6" s="34"/>
      <c r="TLD6" s="34"/>
      <c r="TLE6" s="72"/>
      <c r="TLF6" s="63"/>
      <c r="TLG6" s="34"/>
      <c r="TLH6" s="64"/>
      <c r="TLI6" s="4"/>
      <c r="TLJ6" s="65"/>
      <c r="TLK6" s="4"/>
      <c r="TLL6" s="4"/>
      <c r="TLM6" s="4"/>
      <c r="TLP6" s="34"/>
      <c r="TLQ6" s="34"/>
      <c r="TLS6" s="34"/>
      <c r="TLT6" s="72"/>
      <c r="TLU6" s="63"/>
      <c r="TLV6" s="34"/>
      <c r="TLW6" s="64"/>
      <c r="TLX6" s="4"/>
      <c r="TLY6" s="65"/>
      <c r="TLZ6" s="4"/>
      <c r="TMA6" s="4"/>
      <c r="TMB6" s="4"/>
      <c r="TME6" s="34"/>
      <c r="TMF6" s="34"/>
      <c r="TMH6" s="34"/>
      <c r="TMI6" s="72"/>
      <c r="TMJ6" s="63"/>
      <c r="TMK6" s="34"/>
      <c r="TML6" s="64"/>
      <c r="TMM6" s="4"/>
      <c r="TMN6" s="65"/>
      <c r="TMO6" s="4"/>
      <c r="TMP6" s="4"/>
      <c r="TMQ6" s="4"/>
      <c r="TMT6" s="34"/>
      <c r="TMU6" s="34"/>
      <c r="TMW6" s="34"/>
      <c r="TMX6" s="72"/>
      <c r="TMY6" s="63"/>
      <c r="TMZ6" s="34"/>
      <c r="TNA6" s="64"/>
      <c r="TNB6" s="4"/>
      <c r="TNC6" s="65"/>
      <c r="TND6" s="4"/>
      <c r="TNE6" s="4"/>
      <c r="TNF6" s="4"/>
      <c r="TNI6" s="34"/>
      <c r="TNJ6" s="34"/>
      <c r="TNL6" s="34"/>
      <c r="TNM6" s="72"/>
      <c r="TNN6" s="63"/>
      <c r="TNO6" s="34"/>
      <c r="TNP6" s="64"/>
      <c r="TNQ6" s="4"/>
      <c r="TNR6" s="65"/>
      <c r="TNS6" s="4"/>
      <c r="TNT6" s="4"/>
      <c r="TNU6" s="4"/>
      <c r="TNX6" s="34"/>
      <c r="TNY6" s="34"/>
      <c r="TOA6" s="34"/>
      <c r="TOB6" s="72"/>
      <c r="TOC6" s="63"/>
      <c r="TOD6" s="34"/>
      <c r="TOE6" s="64"/>
      <c r="TOF6" s="4"/>
      <c r="TOG6" s="65"/>
      <c r="TOH6" s="4"/>
      <c r="TOI6" s="4"/>
      <c r="TOJ6" s="4"/>
      <c r="TOM6" s="34"/>
      <c r="TON6" s="34"/>
      <c r="TOP6" s="34"/>
      <c r="TOQ6" s="72"/>
      <c r="TOR6" s="63"/>
      <c r="TOS6" s="34"/>
      <c r="TOT6" s="64"/>
      <c r="TOU6" s="4"/>
      <c r="TOV6" s="65"/>
      <c r="TOW6" s="4"/>
      <c r="TOX6" s="4"/>
      <c r="TOY6" s="4"/>
      <c r="TPB6" s="34"/>
      <c r="TPC6" s="34"/>
      <c r="TPE6" s="34"/>
      <c r="TPF6" s="72"/>
      <c r="TPG6" s="63"/>
      <c r="TPH6" s="34"/>
      <c r="TPI6" s="64"/>
      <c r="TPJ6" s="4"/>
      <c r="TPK6" s="65"/>
      <c r="TPL6" s="4"/>
      <c r="TPM6" s="4"/>
      <c r="TPN6" s="4"/>
      <c r="TPQ6" s="34"/>
      <c r="TPR6" s="34"/>
      <c r="TPT6" s="34"/>
      <c r="TPU6" s="72"/>
      <c r="TPV6" s="63"/>
      <c r="TPW6" s="34"/>
      <c r="TPX6" s="64"/>
      <c r="TPY6" s="4"/>
      <c r="TPZ6" s="65"/>
      <c r="TQA6" s="4"/>
      <c r="TQB6" s="4"/>
      <c r="TQC6" s="4"/>
      <c r="TQF6" s="34"/>
      <c r="TQG6" s="34"/>
      <c r="TQI6" s="34"/>
      <c r="TQJ6" s="72"/>
      <c r="TQK6" s="63"/>
      <c r="TQL6" s="34"/>
      <c r="TQM6" s="64"/>
      <c r="TQN6" s="4"/>
      <c r="TQO6" s="65"/>
      <c r="TQP6" s="4"/>
      <c r="TQQ6" s="4"/>
      <c r="TQR6" s="4"/>
      <c r="TQU6" s="34"/>
      <c r="TQV6" s="34"/>
      <c r="TQX6" s="34"/>
      <c r="TQY6" s="72"/>
      <c r="TQZ6" s="63"/>
      <c r="TRA6" s="34"/>
      <c r="TRB6" s="64"/>
      <c r="TRC6" s="4"/>
      <c r="TRD6" s="65"/>
      <c r="TRE6" s="4"/>
      <c r="TRF6" s="4"/>
      <c r="TRG6" s="4"/>
      <c r="TRJ6" s="34"/>
      <c r="TRK6" s="34"/>
      <c r="TRM6" s="34"/>
      <c r="TRN6" s="72"/>
      <c r="TRO6" s="63"/>
      <c r="TRP6" s="34"/>
      <c r="TRQ6" s="64"/>
      <c r="TRR6" s="4"/>
      <c r="TRS6" s="65"/>
      <c r="TRT6" s="4"/>
      <c r="TRU6" s="4"/>
      <c r="TRV6" s="4"/>
      <c r="TRY6" s="34"/>
      <c r="TRZ6" s="34"/>
      <c r="TSB6" s="34"/>
      <c r="TSC6" s="72"/>
      <c r="TSD6" s="63"/>
      <c r="TSE6" s="34"/>
      <c r="TSF6" s="64"/>
      <c r="TSG6" s="4"/>
      <c r="TSH6" s="65"/>
      <c r="TSI6" s="4"/>
      <c r="TSJ6" s="4"/>
      <c r="TSK6" s="4"/>
      <c r="TSN6" s="34"/>
      <c r="TSO6" s="34"/>
      <c r="TSQ6" s="34"/>
      <c r="TSR6" s="72"/>
      <c r="TSS6" s="63"/>
      <c r="TST6" s="34"/>
      <c r="TSU6" s="64"/>
      <c r="TSV6" s="4"/>
      <c r="TSW6" s="65"/>
      <c r="TSX6" s="4"/>
      <c r="TSY6" s="4"/>
      <c r="TSZ6" s="4"/>
      <c r="TTC6" s="34"/>
      <c r="TTD6" s="34"/>
      <c r="TTF6" s="34"/>
      <c r="TTG6" s="72"/>
      <c r="TTH6" s="63"/>
      <c r="TTI6" s="34"/>
      <c r="TTJ6" s="64"/>
      <c r="TTK6" s="4"/>
      <c r="TTL6" s="65"/>
      <c r="TTM6" s="4"/>
      <c r="TTN6" s="4"/>
      <c r="TTO6" s="4"/>
      <c r="TTR6" s="34"/>
      <c r="TTS6" s="34"/>
      <c r="TTU6" s="34"/>
      <c r="TTV6" s="72"/>
      <c r="TTW6" s="63"/>
      <c r="TTX6" s="34"/>
      <c r="TTY6" s="64"/>
      <c r="TTZ6" s="4"/>
      <c r="TUA6" s="65"/>
      <c r="TUB6" s="4"/>
      <c r="TUC6" s="4"/>
      <c r="TUD6" s="4"/>
      <c r="TUG6" s="34"/>
      <c r="TUH6" s="34"/>
      <c r="TUJ6" s="34"/>
      <c r="TUK6" s="72"/>
      <c r="TUL6" s="63"/>
      <c r="TUM6" s="34"/>
      <c r="TUN6" s="64"/>
      <c r="TUO6" s="4"/>
      <c r="TUP6" s="65"/>
      <c r="TUQ6" s="4"/>
      <c r="TUR6" s="4"/>
      <c r="TUS6" s="4"/>
      <c r="TUV6" s="34"/>
      <c r="TUW6" s="34"/>
      <c r="TUY6" s="34"/>
      <c r="TUZ6" s="72"/>
      <c r="TVA6" s="63"/>
      <c r="TVB6" s="34"/>
      <c r="TVC6" s="64"/>
      <c r="TVD6" s="4"/>
      <c r="TVE6" s="65"/>
      <c r="TVF6" s="4"/>
      <c r="TVG6" s="4"/>
      <c r="TVH6" s="4"/>
      <c r="TVK6" s="34"/>
      <c r="TVL6" s="34"/>
      <c r="TVN6" s="34"/>
      <c r="TVO6" s="72"/>
      <c r="TVP6" s="63"/>
      <c r="TVQ6" s="34"/>
      <c r="TVR6" s="64"/>
      <c r="TVS6" s="4"/>
      <c r="TVT6" s="65"/>
      <c r="TVU6" s="4"/>
      <c r="TVV6" s="4"/>
      <c r="TVW6" s="4"/>
      <c r="TVZ6" s="34"/>
      <c r="TWA6" s="34"/>
      <c r="TWC6" s="34"/>
      <c r="TWD6" s="72"/>
      <c r="TWE6" s="63"/>
      <c r="TWF6" s="34"/>
      <c r="TWG6" s="64"/>
      <c r="TWH6" s="4"/>
      <c r="TWI6" s="65"/>
      <c r="TWJ6" s="4"/>
      <c r="TWK6" s="4"/>
      <c r="TWL6" s="4"/>
      <c r="TWO6" s="34"/>
      <c r="TWP6" s="34"/>
      <c r="TWR6" s="34"/>
      <c r="TWS6" s="72"/>
      <c r="TWT6" s="63"/>
      <c r="TWU6" s="34"/>
      <c r="TWV6" s="64"/>
      <c r="TWW6" s="4"/>
      <c r="TWX6" s="65"/>
      <c r="TWY6" s="4"/>
      <c r="TWZ6" s="4"/>
      <c r="TXA6" s="4"/>
      <c r="TXD6" s="34"/>
      <c r="TXE6" s="34"/>
      <c r="TXG6" s="34"/>
      <c r="TXH6" s="72"/>
      <c r="TXI6" s="63"/>
      <c r="TXJ6" s="34"/>
      <c r="TXK6" s="64"/>
      <c r="TXL6" s="4"/>
      <c r="TXM6" s="65"/>
      <c r="TXN6" s="4"/>
      <c r="TXO6" s="4"/>
      <c r="TXP6" s="4"/>
      <c r="TXS6" s="34"/>
      <c r="TXT6" s="34"/>
      <c r="TXV6" s="34"/>
      <c r="TXW6" s="72"/>
      <c r="TXX6" s="63"/>
      <c r="TXY6" s="34"/>
      <c r="TXZ6" s="64"/>
      <c r="TYA6" s="4"/>
      <c r="TYB6" s="65"/>
      <c r="TYC6" s="4"/>
      <c r="TYD6" s="4"/>
      <c r="TYE6" s="4"/>
      <c r="TYH6" s="34"/>
      <c r="TYI6" s="34"/>
      <c r="TYK6" s="34"/>
      <c r="TYL6" s="72"/>
      <c r="TYM6" s="63"/>
      <c r="TYN6" s="34"/>
      <c r="TYO6" s="64"/>
      <c r="TYP6" s="4"/>
      <c r="TYQ6" s="65"/>
      <c r="TYR6" s="4"/>
      <c r="TYS6" s="4"/>
      <c r="TYT6" s="4"/>
      <c r="TYW6" s="34"/>
      <c r="TYX6" s="34"/>
      <c r="TYZ6" s="34"/>
      <c r="TZA6" s="72"/>
      <c r="TZB6" s="63"/>
      <c r="TZC6" s="34"/>
      <c r="TZD6" s="64"/>
      <c r="TZE6" s="4"/>
      <c r="TZF6" s="65"/>
      <c r="TZG6" s="4"/>
      <c r="TZH6" s="4"/>
      <c r="TZI6" s="4"/>
      <c r="TZL6" s="34"/>
      <c r="TZM6" s="34"/>
      <c r="TZO6" s="34"/>
      <c r="TZP6" s="72"/>
      <c r="TZQ6" s="63"/>
      <c r="TZR6" s="34"/>
      <c r="TZS6" s="64"/>
      <c r="TZT6" s="4"/>
      <c r="TZU6" s="65"/>
      <c r="TZV6" s="4"/>
      <c r="TZW6" s="4"/>
      <c r="TZX6" s="4"/>
      <c r="UAA6" s="34"/>
      <c r="UAB6" s="34"/>
      <c r="UAD6" s="34"/>
      <c r="UAE6" s="72"/>
      <c r="UAF6" s="63"/>
      <c r="UAG6" s="34"/>
      <c r="UAH6" s="64"/>
      <c r="UAI6" s="4"/>
      <c r="UAJ6" s="65"/>
      <c r="UAK6" s="4"/>
      <c r="UAL6" s="4"/>
      <c r="UAM6" s="4"/>
      <c r="UAP6" s="34"/>
      <c r="UAQ6" s="34"/>
      <c r="UAS6" s="34"/>
      <c r="UAT6" s="72"/>
      <c r="UAU6" s="63"/>
      <c r="UAV6" s="34"/>
      <c r="UAW6" s="64"/>
      <c r="UAX6" s="4"/>
      <c r="UAY6" s="65"/>
      <c r="UAZ6" s="4"/>
      <c r="UBA6" s="4"/>
      <c r="UBB6" s="4"/>
      <c r="UBE6" s="34"/>
      <c r="UBF6" s="34"/>
      <c r="UBH6" s="34"/>
      <c r="UBI6" s="72"/>
      <c r="UBJ6" s="63"/>
      <c r="UBK6" s="34"/>
      <c r="UBL6" s="64"/>
      <c r="UBM6" s="4"/>
      <c r="UBN6" s="65"/>
      <c r="UBO6" s="4"/>
      <c r="UBP6" s="4"/>
      <c r="UBQ6" s="4"/>
      <c r="UBT6" s="34"/>
      <c r="UBU6" s="34"/>
      <c r="UBW6" s="34"/>
      <c r="UBX6" s="72"/>
      <c r="UBY6" s="63"/>
      <c r="UBZ6" s="34"/>
      <c r="UCA6" s="64"/>
      <c r="UCB6" s="4"/>
      <c r="UCC6" s="65"/>
      <c r="UCD6" s="4"/>
      <c r="UCE6" s="4"/>
      <c r="UCF6" s="4"/>
      <c r="UCI6" s="34"/>
      <c r="UCJ6" s="34"/>
      <c r="UCL6" s="34"/>
      <c r="UCM6" s="72"/>
      <c r="UCN6" s="63"/>
      <c r="UCO6" s="34"/>
      <c r="UCP6" s="64"/>
      <c r="UCQ6" s="4"/>
      <c r="UCR6" s="65"/>
      <c r="UCS6" s="4"/>
      <c r="UCT6" s="4"/>
      <c r="UCU6" s="4"/>
      <c r="UCX6" s="34"/>
      <c r="UCY6" s="34"/>
      <c r="UDA6" s="34"/>
      <c r="UDB6" s="72"/>
      <c r="UDC6" s="63"/>
      <c r="UDD6" s="34"/>
      <c r="UDE6" s="64"/>
      <c r="UDF6" s="4"/>
      <c r="UDG6" s="65"/>
      <c r="UDH6" s="4"/>
      <c r="UDI6" s="4"/>
      <c r="UDJ6" s="4"/>
      <c r="UDM6" s="34"/>
      <c r="UDN6" s="34"/>
      <c r="UDP6" s="34"/>
      <c r="UDQ6" s="72"/>
      <c r="UDR6" s="63"/>
      <c r="UDS6" s="34"/>
      <c r="UDT6" s="64"/>
      <c r="UDU6" s="4"/>
      <c r="UDV6" s="65"/>
      <c r="UDW6" s="4"/>
      <c r="UDX6" s="4"/>
      <c r="UDY6" s="4"/>
      <c r="UEB6" s="34"/>
      <c r="UEC6" s="34"/>
      <c r="UEE6" s="34"/>
      <c r="UEF6" s="72"/>
      <c r="UEG6" s="63"/>
      <c r="UEH6" s="34"/>
      <c r="UEI6" s="64"/>
      <c r="UEJ6" s="4"/>
      <c r="UEK6" s="65"/>
      <c r="UEL6" s="4"/>
      <c r="UEM6" s="4"/>
      <c r="UEN6" s="4"/>
      <c r="UEQ6" s="34"/>
      <c r="UER6" s="34"/>
      <c r="UET6" s="34"/>
      <c r="UEU6" s="72"/>
      <c r="UEV6" s="63"/>
      <c r="UEW6" s="34"/>
      <c r="UEX6" s="64"/>
      <c r="UEY6" s="4"/>
      <c r="UEZ6" s="65"/>
      <c r="UFA6" s="4"/>
      <c r="UFB6" s="4"/>
      <c r="UFC6" s="4"/>
      <c r="UFF6" s="34"/>
      <c r="UFG6" s="34"/>
      <c r="UFI6" s="34"/>
      <c r="UFJ6" s="72"/>
      <c r="UFK6" s="63"/>
      <c r="UFL6" s="34"/>
      <c r="UFM6" s="64"/>
      <c r="UFN6" s="4"/>
      <c r="UFO6" s="65"/>
      <c r="UFP6" s="4"/>
      <c r="UFQ6" s="4"/>
      <c r="UFR6" s="4"/>
      <c r="UFU6" s="34"/>
      <c r="UFV6" s="34"/>
      <c r="UFX6" s="34"/>
      <c r="UFY6" s="72"/>
      <c r="UFZ6" s="63"/>
      <c r="UGA6" s="34"/>
      <c r="UGB6" s="64"/>
      <c r="UGC6" s="4"/>
      <c r="UGD6" s="65"/>
      <c r="UGE6" s="4"/>
      <c r="UGF6" s="4"/>
      <c r="UGG6" s="4"/>
      <c r="UGJ6" s="34"/>
      <c r="UGK6" s="34"/>
      <c r="UGM6" s="34"/>
      <c r="UGN6" s="72"/>
      <c r="UGO6" s="63"/>
      <c r="UGP6" s="34"/>
      <c r="UGQ6" s="64"/>
      <c r="UGR6" s="4"/>
      <c r="UGS6" s="65"/>
      <c r="UGT6" s="4"/>
      <c r="UGU6" s="4"/>
      <c r="UGV6" s="4"/>
      <c r="UGY6" s="34"/>
      <c r="UGZ6" s="34"/>
      <c r="UHB6" s="34"/>
      <c r="UHC6" s="72"/>
      <c r="UHD6" s="63"/>
      <c r="UHE6" s="34"/>
      <c r="UHF6" s="64"/>
      <c r="UHG6" s="4"/>
      <c r="UHH6" s="65"/>
      <c r="UHI6" s="4"/>
      <c r="UHJ6" s="4"/>
      <c r="UHK6" s="4"/>
      <c r="UHN6" s="34"/>
      <c r="UHO6" s="34"/>
      <c r="UHQ6" s="34"/>
      <c r="UHR6" s="72"/>
      <c r="UHS6" s="63"/>
      <c r="UHT6" s="34"/>
      <c r="UHU6" s="64"/>
      <c r="UHV6" s="4"/>
      <c r="UHW6" s="65"/>
      <c r="UHX6" s="4"/>
      <c r="UHY6" s="4"/>
      <c r="UHZ6" s="4"/>
      <c r="UIC6" s="34"/>
      <c r="UID6" s="34"/>
      <c r="UIF6" s="34"/>
      <c r="UIG6" s="72"/>
      <c r="UIH6" s="63"/>
      <c r="UII6" s="34"/>
      <c r="UIJ6" s="64"/>
      <c r="UIK6" s="4"/>
      <c r="UIL6" s="65"/>
      <c r="UIM6" s="4"/>
      <c r="UIN6" s="4"/>
      <c r="UIO6" s="4"/>
      <c r="UIR6" s="34"/>
      <c r="UIS6" s="34"/>
      <c r="UIU6" s="34"/>
      <c r="UIV6" s="72"/>
      <c r="UIW6" s="63"/>
      <c r="UIX6" s="34"/>
      <c r="UIY6" s="64"/>
      <c r="UIZ6" s="4"/>
      <c r="UJA6" s="65"/>
      <c r="UJB6" s="4"/>
      <c r="UJC6" s="4"/>
      <c r="UJD6" s="4"/>
      <c r="UJG6" s="34"/>
      <c r="UJH6" s="34"/>
      <c r="UJJ6" s="34"/>
      <c r="UJK6" s="72"/>
      <c r="UJL6" s="63"/>
      <c r="UJM6" s="34"/>
      <c r="UJN6" s="64"/>
      <c r="UJO6" s="4"/>
      <c r="UJP6" s="65"/>
      <c r="UJQ6" s="4"/>
      <c r="UJR6" s="4"/>
      <c r="UJS6" s="4"/>
      <c r="UJV6" s="34"/>
      <c r="UJW6" s="34"/>
      <c r="UJY6" s="34"/>
      <c r="UJZ6" s="72"/>
      <c r="UKA6" s="63"/>
      <c r="UKB6" s="34"/>
      <c r="UKC6" s="64"/>
      <c r="UKD6" s="4"/>
      <c r="UKE6" s="65"/>
      <c r="UKF6" s="4"/>
      <c r="UKG6" s="4"/>
      <c r="UKH6" s="4"/>
      <c r="UKK6" s="34"/>
      <c r="UKL6" s="34"/>
      <c r="UKN6" s="34"/>
      <c r="UKO6" s="72"/>
      <c r="UKP6" s="63"/>
      <c r="UKQ6" s="34"/>
      <c r="UKR6" s="64"/>
      <c r="UKS6" s="4"/>
      <c r="UKT6" s="65"/>
      <c r="UKU6" s="4"/>
      <c r="UKV6" s="4"/>
      <c r="UKW6" s="4"/>
      <c r="UKZ6" s="34"/>
      <c r="ULA6" s="34"/>
      <c r="ULC6" s="34"/>
      <c r="ULD6" s="72"/>
      <c r="ULE6" s="63"/>
      <c r="ULF6" s="34"/>
      <c r="ULG6" s="64"/>
      <c r="ULH6" s="4"/>
      <c r="ULI6" s="65"/>
      <c r="ULJ6" s="4"/>
      <c r="ULK6" s="4"/>
      <c r="ULL6" s="4"/>
      <c r="ULO6" s="34"/>
      <c r="ULP6" s="34"/>
      <c r="ULR6" s="34"/>
      <c r="ULS6" s="72"/>
      <c r="ULT6" s="63"/>
      <c r="ULU6" s="34"/>
      <c r="ULV6" s="64"/>
      <c r="ULW6" s="4"/>
      <c r="ULX6" s="65"/>
      <c r="ULY6" s="4"/>
      <c r="ULZ6" s="4"/>
      <c r="UMA6" s="4"/>
      <c r="UMD6" s="34"/>
      <c r="UME6" s="34"/>
      <c r="UMG6" s="34"/>
      <c r="UMH6" s="72"/>
      <c r="UMI6" s="63"/>
      <c r="UMJ6" s="34"/>
      <c r="UMK6" s="64"/>
      <c r="UML6" s="4"/>
      <c r="UMM6" s="65"/>
      <c r="UMN6" s="4"/>
      <c r="UMO6" s="4"/>
      <c r="UMP6" s="4"/>
      <c r="UMS6" s="34"/>
      <c r="UMT6" s="34"/>
      <c r="UMV6" s="34"/>
      <c r="UMW6" s="72"/>
      <c r="UMX6" s="63"/>
      <c r="UMY6" s="34"/>
      <c r="UMZ6" s="64"/>
      <c r="UNA6" s="4"/>
      <c r="UNB6" s="65"/>
      <c r="UNC6" s="4"/>
      <c r="UND6" s="4"/>
      <c r="UNE6" s="4"/>
      <c r="UNH6" s="34"/>
      <c r="UNI6" s="34"/>
      <c r="UNK6" s="34"/>
      <c r="UNL6" s="72"/>
      <c r="UNM6" s="63"/>
      <c r="UNN6" s="34"/>
      <c r="UNO6" s="64"/>
      <c r="UNP6" s="4"/>
      <c r="UNQ6" s="65"/>
      <c r="UNR6" s="4"/>
      <c r="UNS6" s="4"/>
      <c r="UNT6" s="4"/>
      <c r="UNW6" s="34"/>
      <c r="UNX6" s="34"/>
      <c r="UNZ6" s="34"/>
      <c r="UOA6" s="72"/>
      <c r="UOB6" s="63"/>
      <c r="UOC6" s="34"/>
      <c r="UOD6" s="64"/>
      <c r="UOE6" s="4"/>
      <c r="UOF6" s="65"/>
      <c r="UOG6" s="4"/>
      <c r="UOH6" s="4"/>
      <c r="UOI6" s="4"/>
      <c r="UOL6" s="34"/>
      <c r="UOM6" s="34"/>
      <c r="UOO6" s="34"/>
      <c r="UOP6" s="72"/>
      <c r="UOQ6" s="63"/>
      <c r="UOR6" s="34"/>
      <c r="UOS6" s="64"/>
      <c r="UOT6" s="4"/>
      <c r="UOU6" s="65"/>
      <c r="UOV6" s="4"/>
      <c r="UOW6" s="4"/>
      <c r="UOX6" s="4"/>
      <c r="UPA6" s="34"/>
      <c r="UPB6" s="34"/>
      <c r="UPD6" s="34"/>
      <c r="UPE6" s="72"/>
      <c r="UPF6" s="63"/>
      <c r="UPG6" s="34"/>
      <c r="UPH6" s="64"/>
      <c r="UPI6" s="4"/>
      <c r="UPJ6" s="65"/>
      <c r="UPK6" s="4"/>
      <c r="UPL6" s="4"/>
      <c r="UPM6" s="4"/>
      <c r="UPP6" s="34"/>
      <c r="UPQ6" s="34"/>
      <c r="UPS6" s="34"/>
      <c r="UPT6" s="72"/>
      <c r="UPU6" s="63"/>
      <c r="UPV6" s="34"/>
      <c r="UPW6" s="64"/>
      <c r="UPX6" s="4"/>
      <c r="UPY6" s="65"/>
      <c r="UPZ6" s="4"/>
      <c r="UQA6" s="4"/>
      <c r="UQB6" s="4"/>
      <c r="UQE6" s="34"/>
      <c r="UQF6" s="34"/>
      <c r="UQH6" s="34"/>
      <c r="UQI6" s="72"/>
      <c r="UQJ6" s="63"/>
      <c r="UQK6" s="34"/>
      <c r="UQL6" s="64"/>
      <c r="UQM6" s="4"/>
      <c r="UQN6" s="65"/>
      <c r="UQO6" s="4"/>
      <c r="UQP6" s="4"/>
      <c r="UQQ6" s="4"/>
      <c r="UQT6" s="34"/>
      <c r="UQU6" s="34"/>
      <c r="UQW6" s="34"/>
      <c r="UQX6" s="72"/>
      <c r="UQY6" s="63"/>
      <c r="UQZ6" s="34"/>
      <c r="URA6" s="64"/>
      <c r="URB6" s="4"/>
      <c r="URC6" s="65"/>
      <c r="URD6" s="4"/>
      <c r="URE6" s="4"/>
      <c r="URF6" s="4"/>
      <c r="URI6" s="34"/>
      <c r="URJ6" s="34"/>
      <c r="URL6" s="34"/>
      <c r="URM6" s="72"/>
      <c r="URN6" s="63"/>
      <c r="URO6" s="34"/>
      <c r="URP6" s="64"/>
      <c r="URQ6" s="4"/>
      <c r="URR6" s="65"/>
      <c r="URS6" s="4"/>
      <c r="URT6" s="4"/>
      <c r="URU6" s="4"/>
      <c r="URX6" s="34"/>
      <c r="URY6" s="34"/>
      <c r="USA6" s="34"/>
      <c r="USB6" s="72"/>
      <c r="USC6" s="63"/>
      <c r="USD6" s="34"/>
      <c r="USE6" s="64"/>
      <c r="USF6" s="4"/>
      <c r="USG6" s="65"/>
      <c r="USH6" s="4"/>
      <c r="USI6" s="4"/>
      <c r="USJ6" s="4"/>
      <c r="USM6" s="34"/>
      <c r="USN6" s="34"/>
      <c r="USP6" s="34"/>
      <c r="USQ6" s="72"/>
      <c r="USR6" s="63"/>
      <c r="USS6" s="34"/>
      <c r="UST6" s="64"/>
      <c r="USU6" s="4"/>
      <c r="USV6" s="65"/>
      <c r="USW6" s="4"/>
      <c r="USX6" s="4"/>
      <c r="USY6" s="4"/>
      <c r="UTB6" s="34"/>
      <c r="UTC6" s="34"/>
      <c r="UTE6" s="34"/>
      <c r="UTF6" s="72"/>
      <c r="UTG6" s="63"/>
      <c r="UTH6" s="34"/>
      <c r="UTI6" s="64"/>
      <c r="UTJ6" s="4"/>
      <c r="UTK6" s="65"/>
      <c r="UTL6" s="4"/>
      <c r="UTM6" s="4"/>
      <c r="UTN6" s="4"/>
      <c r="UTQ6" s="34"/>
      <c r="UTR6" s="34"/>
      <c r="UTT6" s="34"/>
      <c r="UTU6" s="72"/>
      <c r="UTV6" s="63"/>
      <c r="UTW6" s="34"/>
      <c r="UTX6" s="64"/>
      <c r="UTY6" s="4"/>
      <c r="UTZ6" s="65"/>
      <c r="UUA6" s="4"/>
      <c r="UUB6" s="4"/>
      <c r="UUC6" s="4"/>
      <c r="UUF6" s="34"/>
      <c r="UUG6" s="34"/>
      <c r="UUI6" s="34"/>
      <c r="UUJ6" s="72"/>
      <c r="UUK6" s="63"/>
      <c r="UUL6" s="34"/>
      <c r="UUM6" s="64"/>
      <c r="UUN6" s="4"/>
      <c r="UUO6" s="65"/>
      <c r="UUP6" s="4"/>
      <c r="UUQ6" s="4"/>
      <c r="UUR6" s="4"/>
      <c r="UUU6" s="34"/>
      <c r="UUV6" s="34"/>
      <c r="UUX6" s="34"/>
      <c r="UUY6" s="72"/>
      <c r="UUZ6" s="63"/>
      <c r="UVA6" s="34"/>
      <c r="UVB6" s="64"/>
      <c r="UVC6" s="4"/>
      <c r="UVD6" s="65"/>
      <c r="UVE6" s="4"/>
      <c r="UVF6" s="4"/>
      <c r="UVG6" s="4"/>
      <c r="UVJ6" s="34"/>
      <c r="UVK6" s="34"/>
      <c r="UVM6" s="34"/>
      <c r="UVN6" s="72"/>
      <c r="UVO6" s="63"/>
      <c r="UVP6" s="34"/>
      <c r="UVQ6" s="64"/>
      <c r="UVR6" s="4"/>
      <c r="UVS6" s="65"/>
      <c r="UVT6" s="4"/>
      <c r="UVU6" s="4"/>
      <c r="UVV6" s="4"/>
      <c r="UVY6" s="34"/>
      <c r="UVZ6" s="34"/>
      <c r="UWB6" s="34"/>
      <c r="UWC6" s="72"/>
      <c r="UWD6" s="63"/>
      <c r="UWE6" s="34"/>
      <c r="UWF6" s="64"/>
      <c r="UWG6" s="4"/>
      <c r="UWH6" s="65"/>
      <c r="UWI6" s="4"/>
      <c r="UWJ6" s="4"/>
      <c r="UWK6" s="4"/>
      <c r="UWN6" s="34"/>
      <c r="UWO6" s="34"/>
      <c r="UWQ6" s="34"/>
      <c r="UWR6" s="72"/>
      <c r="UWS6" s="63"/>
      <c r="UWT6" s="34"/>
      <c r="UWU6" s="64"/>
      <c r="UWV6" s="4"/>
      <c r="UWW6" s="65"/>
      <c r="UWX6" s="4"/>
      <c r="UWY6" s="4"/>
      <c r="UWZ6" s="4"/>
      <c r="UXC6" s="34"/>
      <c r="UXD6" s="34"/>
      <c r="UXF6" s="34"/>
      <c r="UXG6" s="72"/>
      <c r="UXH6" s="63"/>
      <c r="UXI6" s="34"/>
      <c r="UXJ6" s="64"/>
      <c r="UXK6" s="4"/>
      <c r="UXL6" s="65"/>
      <c r="UXM6" s="4"/>
      <c r="UXN6" s="4"/>
      <c r="UXO6" s="4"/>
      <c r="UXR6" s="34"/>
      <c r="UXS6" s="34"/>
      <c r="UXU6" s="34"/>
      <c r="UXV6" s="72"/>
      <c r="UXW6" s="63"/>
      <c r="UXX6" s="34"/>
      <c r="UXY6" s="64"/>
      <c r="UXZ6" s="4"/>
      <c r="UYA6" s="65"/>
      <c r="UYB6" s="4"/>
      <c r="UYC6" s="4"/>
      <c r="UYD6" s="4"/>
      <c r="UYG6" s="34"/>
      <c r="UYH6" s="34"/>
      <c r="UYJ6" s="34"/>
      <c r="UYK6" s="72"/>
      <c r="UYL6" s="63"/>
      <c r="UYM6" s="34"/>
      <c r="UYN6" s="64"/>
      <c r="UYO6" s="4"/>
      <c r="UYP6" s="65"/>
      <c r="UYQ6" s="4"/>
      <c r="UYR6" s="4"/>
      <c r="UYS6" s="4"/>
      <c r="UYV6" s="34"/>
      <c r="UYW6" s="34"/>
      <c r="UYY6" s="34"/>
      <c r="UYZ6" s="72"/>
      <c r="UZA6" s="63"/>
      <c r="UZB6" s="34"/>
      <c r="UZC6" s="64"/>
      <c r="UZD6" s="4"/>
      <c r="UZE6" s="65"/>
      <c r="UZF6" s="4"/>
      <c r="UZG6" s="4"/>
      <c r="UZH6" s="4"/>
      <c r="UZK6" s="34"/>
      <c r="UZL6" s="34"/>
      <c r="UZN6" s="34"/>
      <c r="UZO6" s="72"/>
      <c r="UZP6" s="63"/>
      <c r="UZQ6" s="34"/>
      <c r="UZR6" s="64"/>
      <c r="UZS6" s="4"/>
      <c r="UZT6" s="65"/>
      <c r="UZU6" s="4"/>
      <c r="UZV6" s="4"/>
      <c r="UZW6" s="4"/>
      <c r="UZZ6" s="34"/>
      <c r="VAA6" s="34"/>
      <c r="VAC6" s="34"/>
      <c r="VAD6" s="72"/>
      <c r="VAE6" s="63"/>
      <c r="VAF6" s="34"/>
      <c r="VAG6" s="64"/>
      <c r="VAH6" s="4"/>
      <c r="VAI6" s="65"/>
      <c r="VAJ6" s="4"/>
      <c r="VAK6" s="4"/>
      <c r="VAL6" s="4"/>
      <c r="VAO6" s="34"/>
      <c r="VAP6" s="34"/>
      <c r="VAR6" s="34"/>
      <c r="VAS6" s="72"/>
      <c r="VAT6" s="63"/>
      <c r="VAU6" s="34"/>
      <c r="VAV6" s="64"/>
      <c r="VAW6" s="4"/>
      <c r="VAX6" s="65"/>
      <c r="VAY6" s="4"/>
      <c r="VAZ6" s="4"/>
      <c r="VBA6" s="4"/>
      <c r="VBD6" s="34"/>
      <c r="VBE6" s="34"/>
      <c r="VBG6" s="34"/>
      <c r="VBH6" s="72"/>
      <c r="VBI6" s="63"/>
      <c r="VBJ6" s="34"/>
      <c r="VBK6" s="64"/>
      <c r="VBL6" s="4"/>
      <c r="VBM6" s="65"/>
      <c r="VBN6" s="4"/>
      <c r="VBO6" s="4"/>
      <c r="VBP6" s="4"/>
      <c r="VBS6" s="34"/>
      <c r="VBT6" s="34"/>
      <c r="VBV6" s="34"/>
      <c r="VBW6" s="72"/>
      <c r="VBX6" s="63"/>
      <c r="VBY6" s="34"/>
      <c r="VBZ6" s="64"/>
      <c r="VCA6" s="4"/>
      <c r="VCB6" s="65"/>
      <c r="VCC6" s="4"/>
      <c r="VCD6" s="4"/>
      <c r="VCE6" s="4"/>
      <c r="VCH6" s="34"/>
      <c r="VCI6" s="34"/>
      <c r="VCK6" s="34"/>
      <c r="VCL6" s="72"/>
      <c r="VCM6" s="63"/>
      <c r="VCN6" s="34"/>
      <c r="VCO6" s="64"/>
      <c r="VCP6" s="4"/>
      <c r="VCQ6" s="65"/>
      <c r="VCR6" s="4"/>
      <c r="VCS6" s="4"/>
      <c r="VCT6" s="4"/>
      <c r="VCW6" s="34"/>
      <c r="VCX6" s="34"/>
      <c r="VCZ6" s="34"/>
      <c r="VDA6" s="72"/>
      <c r="VDB6" s="63"/>
      <c r="VDC6" s="34"/>
      <c r="VDD6" s="64"/>
      <c r="VDE6" s="4"/>
      <c r="VDF6" s="65"/>
      <c r="VDG6" s="4"/>
      <c r="VDH6" s="4"/>
      <c r="VDI6" s="4"/>
      <c r="VDL6" s="34"/>
      <c r="VDM6" s="34"/>
      <c r="VDO6" s="34"/>
      <c r="VDP6" s="72"/>
      <c r="VDQ6" s="63"/>
      <c r="VDR6" s="34"/>
      <c r="VDS6" s="64"/>
      <c r="VDT6" s="4"/>
      <c r="VDU6" s="65"/>
      <c r="VDV6" s="4"/>
      <c r="VDW6" s="4"/>
      <c r="VDX6" s="4"/>
      <c r="VEA6" s="34"/>
      <c r="VEB6" s="34"/>
      <c r="VED6" s="34"/>
      <c r="VEE6" s="72"/>
      <c r="VEF6" s="63"/>
      <c r="VEG6" s="34"/>
      <c r="VEH6" s="64"/>
      <c r="VEI6" s="4"/>
      <c r="VEJ6" s="65"/>
      <c r="VEK6" s="4"/>
      <c r="VEL6" s="4"/>
      <c r="VEM6" s="4"/>
      <c r="VEP6" s="34"/>
      <c r="VEQ6" s="34"/>
      <c r="VES6" s="34"/>
      <c r="VET6" s="72"/>
      <c r="VEU6" s="63"/>
      <c r="VEV6" s="34"/>
      <c r="VEW6" s="64"/>
      <c r="VEX6" s="4"/>
      <c r="VEY6" s="65"/>
      <c r="VEZ6" s="4"/>
      <c r="VFA6" s="4"/>
      <c r="VFB6" s="4"/>
      <c r="VFE6" s="34"/>
      <c r="VFF6" s="34"/>
      <c r="VFH6" s="34"/>
      <c r="VFI6" s="72"/>
      <c r="VFJ6" s="63"/>
      <c r="VFK6" s="34"/>
      <c r="VFL6" s="64"/>
      <c r="VFM6" s="4"/>
      <c r="VFN6" s="65"/>
      <c r="VFO6" s="4"/>
      <c r="VFP6" s="4"/>
      <c r="VFQ6" s="4"/>
      <c r="VFT6" s="34"/>
      <c r="VFU6" s="34"/>
      <c r="VFW6" s="34"/>
      <c r="VFX6" s="72"/>
      <c r="VFY6" s="63"/>
      <c r="VFZ6" s="34"/>
      <c r="VGA6" s="64"/>
      <c r="VGB6" s="4"/>
      <c r="VGC6" s="65"/>
      <c r="VGD6" s="4"/>
      <c r="VGE6" s="4"/>
      <c r="VGF6" s="4"/>
      <c r="VGI6" s="34"/>
      <c r="VGJ6" s="34"/>
      <c r="VGL6" s="34"/>
      <c r="VGM6" s="72"/>
      <c r="VGN6" s="63"/>
      <c r="VGO6" s="34"/>
      <c r="VGP6" s="64"/>
      <c r="VGQ6" s="4"/>
      <c r="VGR6" s="65"/>
      <c r="VGS6" s="4"/>
      <c r="VGT6" s="4"/>
      <c r="VGU6" s="4"/>
      <c r="VGX6" s="34"/>
      <c r="VGY6" s="34"/>
      <c r="VHA6" s="34"/>
      <c r="VHB6" s="72"/>
      <c r="VHC6" s="63"/>
      <c r="VHD6" s="34"/>
      <c r="VHE6" s="64"/>
      <c r="VHF6" s="4"/>
      <c r="VHG6" s="65"/>
      <c r="VHH6" s="4"/>
      <c r="VHI6" s="4"/>
      <c r="VHJ6" s="4"/>
      <c r="VHM6" s="34"/>
      <c r="VHN6" s="34"/>
      <c r="VHP6" s="34"/>
      <c r="VHQ6" s="72"/>
      <c r="VHR6" s="63"/>
      <c r="VHS6" s="34"/>
      <c r="VHT6" s="64"/>
      <c r="VHU6" s="4"/>
      <c r="VHV6" s="65"/>
      <c r="VHW6" s="4"/>
      <c r="VHX6" s="4"/>
      <c r="VHY6" s="4"/>
      <c r="VIB6" s="34"/>
      <c r="VIC6" s="34"/>
      <c r="VIE6" s="34"/>
      <c r="VIF6" s="72"/>
      <c r="VIG6" s="63"/>
      <c r="VIH6" s="34"/>
      <c r="VII6" s="64"/>
      <c r="VIJ6" s="4"/>
      <c r="VIK6" s="65"/>
      <c r="VIL6" s="4"/>
      <c r="VIM6" s="4"/>
      <c r="VIN6" s="4"/>
      <c r="VIQ6" s="34"/>
      <c r="VIR6" s="34"/>
      <c r="VIT6" s="34"/>
      <c r="VIU6" s="72"/>
      <c r="VIV6" s="63"/>
      <c r="VIW6" s="34"/>
      <c r="VIX6" s="64"/>
      <c r="VIY6" s="4"/>
      <c r="VIZ6" s="65"/>
      <c r="VJA6" s="4"/>
      <c r="VJB6" s="4"/>
      <c r="VJC6" s="4"/>
      <c r="VJF6" s="34"/>
      <c r="VJG6" s="34"/>
      <c r="VJI6" s="34"/>
      <c r="VJJ6" s="72"/>
      <c r="VJK6" s="63"/>
      <c r="VJL6" s="34"/>
      <c r="VJM6" s="64"/>
      <c r="VJN6" s="4"/>
      <c r="VJO6" s="65"/>
      <c r="VJP6" s="4"/>
      <c r="VJQ6" s="4"/>
      <c r="VJR6" s="4"/>
      <c r="VJU6" s="34"/>
      <c r="VJV6" s="34"/>
      <c r="VJX6" s="34"/>
      <c r="VJY6" s="72"/>
      <c r="VJZ6" s="63"/>
      <c r="VKA6" s="34"/>
      <c r="VKB6" s="64"/>
      <c r="VKC6" s="4"/>
      <c r="VKD6" s="65"/>
      <c r="VKE6" s="4"/>
      <c r="VKF6" s="4"/>
      <c r="VKG6" s="4"/>
      <c r="VKJ6" s="34"/>
      <c r="VKK6" s="34"/>
      <c r="VKM6" s="34"/>
      <c r="VKN6" s="72"/>
      <c r="VKO6" s="63"/>
      <c r="VKP6" s="34"/>
      <c r="VKQ6" s="64"/>
      <c r="VKR6" s="4"/>
      <c r="VKS6" s="65"/>
      <c r="VKT6" s="4"/>
      <c r="VKU6" s="4"/>
      <c r="VKV6" s="4"/>
      <c r="VKY6" s="34"/>
      <c r="VKZ6" s="34"/>
      <c r="VLB6" s="34"/>
      <c r="VLC6" s="72"/>
      <c r="VLD6" s="63"/>
      <c r="VLE6" s="34"/>
      <c r="VLF6" s="64"/>
      <c r="VLG6" s="4"/>
      <c r="VLH6" s="65"/>
      <c r="VLI6" s="4"/>
      <c r="VLJ6" s="4"/>
      <c r="VLK6" s="4"/>
      <c r="VLN6" s="34"/>
      <c r="VLO6" s="34"/>
      <c r="VLQ6" s="34"/>
      <c r="VLR6" s="72"/>
      <c r="VLS6" s="63"/>
      <c r="VLT6" s="34"/>
      <c r="VLU6" s="64"/>
      <c r="VLV6" s="4"/>
      <c r="VLW6" s="65"/>
      <c r="VLX6" s="4"/>
      <c r="VLY6" s="4"/>
      <c r="VLZ6" s="4"/>
      <c r="VMC6" s="34"/>
      <c r="VMD6" s="34"/>
      <c r="VMF6" s="34"/>
      <c r="VMG6" s="72"/>
      <c r="VMH6" s="63"/>
      <c r="VMI6" s="34"/>
      <c r="VMJ6" s="64"/>
      <c r="VMK6" s="4"/>
      <c r="VML6" s="65"/>
      <c r="VMM6" s="4"/>
      <c r="VMN6" s="4"/>
      <c r="VMO6" s="4"/>
      <c r="VMR6" s="34"/>
      <c r="VMS6" s="34"/>
      <c r="VMU6" s="34"/>
      <c r="VMV6" s="72"/>
      <c r="VMW6" s="63"/>
      <c r="VMX6" s="34"/>
      <c r="VMY6" s="64"/>
      <c r="VMZ6" s="4"/>
      <c r="VNA6" s="65"/>
      <c r="VNB6" s="4"/>
      <c r="VNC6" s="4"/>
      <c r="VND6" s="4"/>
      <c r="VNG6" s="34"/>
      <c r="VNH6" s="34"/>
      <c r="VNJ6" s="34"/>
      <c r="VNK6" s="72"/>
      <c r="VNL6" s="63"/>
      <c r="VNM6" s="34"/>
      <c r="VNN6" s="64"/>
      <c r="VNO6" s="4"/>
      <c r="VNP6" s="65"/>
      <c r="VNQ6" s="4"/>
      <c r="VNR6" s="4"/>
      <c r="VNS6" s="4"/>
      <c r="VNV6" s="34"/>
      <c r="VNW6" s="34"/>
      <c r="VNY6" s="34"/>
      <c r="VNZ6" s="72"/>
      <c r="VOA6" s="63"/>
      <c r="VOB6" s="34"/>
      <c r="VOC6" s="64"/>
      <c r="VOD6" s="4"/>
      <c r="VOE6" s="65"/>
      <c r="VOF6" s="4"/>
      <c r="VOG6" s="4"/>
      <c r="VOH6" s="4"/>
      <c r="VOK6" s="34"/>
      <c r="VOL6" s="34"/>
      <c r="VON6" s="34"/>
      <c r="VOO6" s="72"/>
      <c r="VOP6" s="63"/>
      <c r="VOQ6" s="34"/>
      <c r="VOR6" s="64"/>
      <c r="VOS6" s="4"/>
      <c r="VOT6" s="65"/>
      <c r="VOU6" s="4"/>
      <c r="VOV6" s="4"/>
      <c r="VOW6" s="4"/>
      <c r="VOZ6" s="34"/>
      <c r="VPA6" s="34"/>
      <c r="VPC6" s="34"/>
      <c r="VPD6" s="72"/>
      <c r="VPE6" s="63"/>
      <c r="VPF6" s="34"/>
      <c r="VPG6" s="64"/>
      <c r="VPH6" s="4"/>
      <c r="VPI6" s="65"/>
      <c r="VPJ6" s="4"/>
      <c r="VPK6" s="4"/>
      <c r="VPL6" s="4"/>
      <c r="VPO6" s="34"/>
      <c r="VPP6" s="34"/>
      <c r="VPR6" s="34"/>
      <c r="VPS6" s="72"/>
      <c r="VPT6" s="63"/>
      <c r="VPU6" s="34"/>
      <c r="VPV6" s="64"/>
      <c r="VPW6" s="4"/>
      <c r="VPX6" s="65"/>
      <c r="VPY6" s="4"/>
      <c r="VPZ6" s="4"/>
      <c r="VQA6" s="4"/>
      <c r="VQD6" s="34"/>
      <c r="VQE6" s="34"/>
      <c r="VQG6" s="34"/>
      <c r="VQH6" s="72"/>
      <c r="VQI6" s="63"/>
      <c r="VQJ6" s="34"/>
      <c r="VQK6" s="64"/>
      <c r="VQL6" s="4"/>
      <c r="VQM6" s="65"/>
      <c r="VQN6" s="4"/>
      <c r="VQO6" s="4"/>
      <c r="VQP6" s="4"/>
      <c r="VQS6" s="34"/>
      <c r="VQT6" s="34"/>
      <c r="VQV6" s="34"/>
      <c r="VQW6" s="72"/>
      <c r="VQX6" s="63"/>
      <c r="VQY6" s="34"/>
      <c r="VQZ6" s="64"/>
      <c r="VRA6" s="4"/>
      <c r="VRB6" s="65"/>
      <c r="VRC6" s="4"/>
      <c r="VRD6" s="4"/>
      <c r="VRE6" s="4"/>
      <c r="VRH6" s="34"/>
      <c r="VRI6" s="34"/>
      <c r="VRK6" s="34"/>
      <c r="VRL6" s="72"/>
      <c r="VRM6" s="63"/>
      <c r="VRN6" s="34"/>
      <c r="VRO6" s="64"/>
      <c r="VRP6" s="4"/>
      <c r="VRQ6" s="65"/>
      <c r="VRR6" s="4"/>
      <c r="VRS6" s="4"/>
      <c r="VRT6" s="4"/>
      <c r="VRW6" s="34"/>
      <c r="VRX6" s="34"/>
      <c r="VRZ6" s="34"/>
      <c r="VSA6" s="72"/>
      <c r="VSB6" s="63"/>
      <c r="VSC6" s="34"/>
      <c r="VSD6" s="64"/>
      <c r="VSE6" s="4"/>
      <c r="VSF6" s="65"/>
      <c r="VSG6" s="4"/>
      <c r="VSH6" s="4"/>
      <c r="VSI6" s="4"/>
      <c r="VSL6" s="34"/>
      <c r="VSM6" s="34"/>
      <c r="VSO6" s="34"/>
      <c r="VSP6" s="72"/>
      <c r="VSQ6" s="63"/>
      <c r="VSR6" s="34"/>
      <c r="VSS6" s="64"/>
      <c r="VST6" s="4"/>
      <c r="VSU6" s="65"/>
      <c r="VSV6" s="4"/>
      <c r="VSW6" s="4"/>
      <c r="VSX6" s="4"/>
      <c r="VTA6" s="34"/>
      <c r="VTB6" s="34"/>
      <c r="VTD6" s="34"/>
      <c r="VTE6" s="72"/>
      <c r="VTF6" s="63"/>
      <c r="VTG6" s="34"/>
      <c r="VTH6" s="64"/>
      <c r="VTI6" s="4"/>
      <c r="VTJ6" s="65"/>
      <c r="VTK6" s="4"/>
      <c r="VTL6" s="4"/>
      <c r="VTM6" s="4"/>
      <c r="VTP6" s="34"/>
      <c r="VTQ6" s="34"/>
      <c r="VTS6" s="34"/>
      <c r="VTT6" s="72"/>
      <c r="VTU6" s="63"/>
      <c r="VTV6" s="34"/>
      <c r="VTW6" s="64"/>
      <c r="VTX6" s="4"/>
      <c r="VTY6" s="65"/>
      <c r="VTZ6" s="4"/>
      <c r="VUA6" s="4"/>
      <c r="VUB6" s="4"/>
      <c r="VUE6" s="34"/>
      <c r="VUF6" s="34"/>
      <c r="VUH6" s="34"/>
      <c r="VUI6" s="72"/>
      <c r="VUJ6" s="63"/>
      <c r="VUK6" s="34"/>
      <c r="VUL6" s="64"/>
      <c r="VUM6" s="4"/>
      <c r="VUN6" s="65"/>
      <c r="VUO6" s="4"/>
      <c r="VUP6" s="4"/>
      <c r="VUQ6" s="4"/>
      <c r="VUT6" s="34"/>
      <c r="VUU6" s="34"/>
      <c r="VUW6" s="34"/>
      <c r="VUX6" s="72"/>
      <c r="VUY6" s="63"/>
      <c r="VUZ6" s="34"/>
      <c r="VVA6" s="64"/>
      <c r="VVB6" s="4"/>
      <c r="VVC6" s="65"/>
      <c r="VVD6" s="4"/>
      <c r="VVE6" s="4"/>
      <c r="VVF6" s="4"/>
      <c r="VVI6" s="34"/>
      <c r="VVJ6" s="34"/>
      <c r="VVL6" s="34"/>
      <c r="VVM6" s="72"/>
      <c r="VVN6" s="63"/>
      <c r="VVO6" s="34"/>
      <c r="VVP6" s="64"/>
      <c r="VVQ6" s="4"/>
      <c r="VVR6" s="65"/>
      <c r="VVS6" s="4"/>
      <c r="VVT6" s="4"/>
      <c r="VVU6" s="4"/>
      <c r="VVX6" s="34"/>
      <c r="VVY6" s="34"/>
      <c r="VWA6" s="34"/>
      <c r="VWB6" s="72"/>
      <c r="VWC6" s="63"/>
      <c r="VWD6" s="34"/>
      <c r="VWE6" s="64"/>
      <c r="VWF6" s="4"/>
      <c r="VWG6" s="65"/>
      <c r="VWH6" s="4"/>
      <c r="VWI6" s="4"/>
      <c r="VWJ6" s="4"/>
      <c r="VWM6" s="34"/>
      <c r="VWN6" s="34"/>
      <c r="VWP6" s="34"/>
      <c r="VWQ6" s="72"/>
      <c r="VWR6" s="63"/>
      <c r="VWS6" s="34"/>
      <c r="VWT6" s="64"/>
      <c r="VWU6" s="4"/>
      <c r="VWV6" s="65"/>
      <c r="VWW6" s="4"/>
      <c r="VWX6" s="4"/>
      <c r="VWY6" s="4"/>
      <c r="VXB6" s="34"/>
      <c r="VXC6" s="34"/>
      <c r="VXE6" s="34"/>
      <c r="VXF6" s="72"/>
      <c r="VXG6" s="63"/>
      <c r="VXH6" s="34"/>
      <c r="VXI6" s="64"/>
      <c r="VXJ6" s="4"/>
      <c r="VXK6" s="65"/>
      <c r="VXL6" s="4"/>
      <c r="VXM6" s="4"/>
      <c r="VXN6" s="4"/>
      <c r="VXQ6" s="34"/>
      <c r="VXR6" s="34"/>
      <c r="VXT6" s="34"/>
      <c r="VXU6" s="72"/>
      <c r="VXV6" s="63"/>
      <c r="VXW6" s="34"/>
      <c r="VXX6" s="64"/>
      <c r="VXY6" s="4"/>
      <c r="VXZ6" s="65"/>
      <c r="VYA6" s="4"/>
      <c r="VYB6" s="4"/>
      <c r="VYC6" s="4"/>
      <c r="VYF6" s="34"/>
      <c r="VYG6" s="34"/>
      <c r="VYI6" s="34"/>
      <c r="VYJ6" s="72"/>
      <c r="VYK6" s="63"/>
      <c r="VYL6" s="34"/>
      <c r="VYM6" s="64"/>
      <c r="VYN6" s="4"/>
      <c r="VYO6" s="65"/>
      <c r="VYP6" s="4"/>
      <c r="VYQ6" s="4"/>
      <c r="VYR6" s="4"/>
      <c r="VYU6" s="34"/>
      <c r="VYV6" s="34"/>
      <c r="VYX6" s="34"/>
      <c r="VYY6" s="72"/>
      <c r="VYZ6" s="63"/>
      <c r="VZA6" s="34"/>
      <c r="VZB6" s="64"/>
      <c r="VZC6" s="4"/>
      <c r="VZD6" s="65"/>
      <c r="VZE6" s="4"/>
      <c r="VZF6" s="4"/>
      <c r="VZG6" s="4"/>
      <c r="VZJ6" s="34"/>
      <c r="VZK6" s="34"/>
      <c r="VZM6" s="34"/>
      <c r="VZN6" s="72"/>
      <c r="VZO6" s="63"/>
      <c r="VZP6" s="34"/>
      <c r="VZQ6" s="64"/>
      <c r="VZR6" s="4"/>
      <c r="VZS6" s="65"/>
      <c r="VZT6" s="4"/>
      <c r="VZU6" s="4"/>
      <c r="VZV6" s="4"/>
      <c r="VZY6" s="34"/>
      <c r="VZZ6" s="34"/>
      <c r="WAB6" s="34"/>
      <c r="WAC6" s="72"/>
      <c r="WAD6" s="63"/>
      <c r="WAE6" s="34"/>
      <c r="WAF6" s="64"/>
      <c r="WAG6" s="4"/>
      <c r="WAH6" s="65"/>
      <c r="WAI6" s="4"/>
      <c r="WAJ6" s="4"/>
      <c r="WAK6" s="4"/>
      <c r="WAN6" s="34"/>
      <c r="WAO6" s="34"/>
      <c r="WAQ6" s="34"/>
      <c r="WAR6" s="72"/>
      <c r="WAS6" s="63"/>
      <c r="WAT6" s="34"/>
      <c r="WAU6" s="64"/>
      <c r="WAV6" s="4"/>
      <c r="WAW6" s="65"/>
      <c r="WAX6" s="4"/>
      <c r="WAY6" s="4"/>
      <c r="WAZ6" s="4"/>
      <c r="WBC6" s="34"/>
      <c r="WBD6" s="34"/>
      <c r="WBF6" s="34"/>
      <c r="WBG6" s="72"/>
      <c r="WBH6" s="63"/>
      <c r="WBI6" s="34"/>
      <c r="WBJ6" s="64"/>
      <c r="WBK6" s="4"/>
      <c r="WBL6" s="65"/>
      <c r="WBM6" s="4"/>
      <c r="WBN6" s="4"/>
      <c r="WBO6" s="4"/>
      <c r="WBR6" s="34"/>
      <c r="WBS6" s="34"/>
      <c r="WBU6" s="34"/>
      <c r="WBV6" s="72"/>
      <c r="WBW6" s="63"/>
      <c r="WBX6" s="34"/>
      <c r="WBY6" s="64"/>
      <c r="WBZ6" s="4"/>
      <c r="WCA6" s="65"/>
      <c r="WCB6" s="4"/>
      <c r="WCC6" s="4"/>
      <c r="WCD6" s="4"/>
      <c r="WCG6" s="34"/>
      <c r="WCH6" s="34"/>
      <c r="WCJ6" s="34"/>
      <c r="WCK6" s="72"/>
      <c r="WCL6" s="63"/>
      <c r="WCM6" s="34"/>
      <c r="WCN6" s="64"/>
      <c r="WCO6" s="4"/>
      <c r="WCP6" s="65"/>
      <c r="WCQ6" s="4"/>
      <c r="WCR6" s="4"/>
      <c r="WCS6" s="4"/>
      <c r="WCV6" s="34"/>
      <c r="WCW6" s="34"/>
      <c r="WCY6" s="34"/>
      <c r="WCZ6" s="72"/>
      <c r="WDA6" s="63"/>
      <c r="WDB6" s="34"/>
      <c r="WDC6" s="64"/>
      <c r="WDD6" s="4"/>
      <c r="WDE6" s="65"/>
      <c r="WDF6" s="4"/>
      <c r="WDG6" s="4"/>
      <c r="WDH6" s="4"/>
      <c r="WDK6" s="34"/>
      <c r="WDL6" s="34"/>
      <c r="WDN6" s="34"/>
      <c r="WDO6" s="72"/>
      <c r="WDP6" s="63"/>
      <c r="WDQ6" s="34"/>
      <c r="WDR6" s="64"/>
      <c r="WDS6" s="4"/>
      <c r="WDT6" s="65"/>
      <c r="WDU6" s="4"/>
      <c r="WDV6" s="4"/>
      <c r="WDW6" s="4"/>
      <c r="WDZ6" s="34"/>
      <c r="WEA6" s="34"/>
      <c r="WEC6" s="34"/>
      <c r="WED6" s="72"/>
      <c r="WEE6" s="63"/>
      <c r="WEF6" s="34"/>
      <c r="WEG6" s="64"/>
      <c r="WEH6" s="4"/>
      <c r="WEI6" s="65"/>
      <c r="WEJ6" s="4"/>
      <c r="WEK6" s="4"/>
      <c r="WEL6" s="4"/>
      <c r="WEO6" s="34"/>
      <c r="WEP6" s="34"/>
      <c r="WER6" s="34"/>
      <c r="WES6" s="72"/>
      <c r="WET6" s="63"/>
      <c r="WEU6" s="34"/>
      <c r="WEV6" s="64"/>
      <c r="WEW6" s="4"/>
      <c r="WEX6" s="65"/>
      <c r="WEY6" s="4"/>
      <c r="WEZ6" s="4"/>
      <c r="WFA6" s="4"/>
      <c r="WFD6" s="34"/>
      <c r="WFE6" s="34"/>
      <c r="WFG6" s="34"/>
      <c r="WFH6" s="72"/>
      <c r="WFI6" s="63"/>
      <c r="WFJ6" s="34"/>
      <c r="WFK6" s="64"/>
      <c r="WFL6" s="4"/>
      <c r="WFM6" s="65"/>
      <c r="WFN6" s="4"/>
      <c r="WFO6" s="4"/>
      <c r="WFP6" s="4"/>
      <c r="WFS6" s="34"/>
      <c r="WFT6" s="34"/>
      <c r="WFV6" s="34"/>
      <c r="WFW6" s="72"/>
      <c r="WFX6" s="63"/>
      <c r="WFY6" s="34"/>
      <c r="WFZ6" s="64"/>
      <c r="WGA6" s="4"/>
      <c r="WGB6" s="65"/>
      <c r="WGC6" s="4"/>
      <c r="WGD6" s="4"/>
      <c r="WGE6" s="4"/>
      <c r="WGH6" s="34"/>
      <c r="WGI6" s="34"/>
      <c r="WGK6" s="34"/>
      <c r="WGL6" s="72"/>
      <c r="WGM6" s="63"/>
      <c r="WGN6" s="34"/>
      <c r="WGO6" s="64"/>
      <c r="WGP6" s="4"/>
      <c r="WGQ6" s="65"/>
      <c r="WGR6" s="4"/>
      <c r="WGS6" s="4"/>
      <c r="WGT6" s="4"/>
      <c r="WGW6" s="34"/>
      <c r="WGX6" s="34"/>
      <c r="WGZ6" s="34"/>
      <c r="WHA6" s="72"/>
      <c r="WHB6" s="63"/>
      <c r="WHC6" s="34"/>
      <c r="WHD6" s="64"/>
      <c r="WHE6" s="4"/>
      <c r="WHF6" s="65"/>
      <c r="WHG6" s="4"/>
      <c r="WHH6" s="4"/>
      <c r="WHI6" s="4"/>
      <c r="WHL6" s="34"/>
      <c r="WHM6" s="34"/>
      <c r="WHO6" s="34"/>
      <c r="WHP6" s="72"/>
      <c r="WHQ6" s="63"/>
      <c r="WHR6" s="34"/>
      <c r="WHS6" s="64"/>
      <c r="WHT6" s="4"/>
      <c r="WHU6" s="65"/>
      <c r="WHV6" s="4"/>
      <c r="WHW6" s="4"/>
      <c r="WHX6" s="4"/>
      <c r="WIA6" s="34"/>
      <c r="WIB6" s="34"/>
      <c r="WID6" s="34"/>
      <c r="WIE6" s="72"/>
      <c r="WIF6" s="63"/>
      <c r="WIG6" s="34"/>
      <c r="WIH6" s="64"/>
      <c r="WII6" s="4"/>
      <c r="WIJ6" s="65"/>
      <c r="WIK6" s="4"/>
      <c r="WIL6" s="4"/>
      <c r="WIM6" s="4"/>
      <c r="WIP6" s="34"/>
      <c r="WIQ6" s="34"/>
      <c r="WIS6" s="34"/>
      <c r="WIT6" s="72"/>
      <c r="WIU6" s="63"/>
      <c r="WIV6" s="34"/>
      <c r="WIW6" s="64"/>
      <c r="WIX6" s="4"/>
      <c r="WIY6" s="65"/>
      <c r="WIZ6" s="4"/>
      <c r="WJA6" s="4"/>
      <c r="WJB6" s="4"/>
      <c r="WJE6" s="34"/>
      <c r="WJF6" s="34"/>
      <c r="WJH6" s="34"/>
      <c r="WJI6" s="72"/>
      <c r="WJJ6" s="63"/>
      <c r="WJK6" s="34"/>
      <c r="WJL6" s="64"/>
      <c r="WJM6" s="4"/>
      <c r="WJN6" s="65"/>
      <c r="WJO6" s="4"/>
      <c r="WJP6" s="4"/>
      <c r="WJQ6" s="4"/>
      <c r="WJT6" s="34"/>
      <c r="WJU6" s="34"/>
      <c r="WJW6" s="34"/>
      <c r="WJX6" s="72"/>
      <c r="WJY6" s="63"/>
      <c r="WJZ6" s="34"/>
      <c r="WKA6" s="64"/>
      <c r="WKB6" s="4"/>
      <c r="WKC6" s="65"/>
      <c r="WKD6" s="4"/>
      <c r="WKE6" s="4"/>
      <c r="WKF6" s="4"/>
      <c r="WKI6" s="34"/>
      <c r="WKJ6" s="34"/>
      <c r="WKL6" s="34"/>
      <c r="WKM6" s="72"/>
      <c r="WKN6" s="63"/>
      <c r="WKO6" s="34"/>
      <c r="WKP6" s="64"/>
      <c r="WKQ6" s="4"/>
      <c r="WKR6" s="65"/>
      <c r="WKS6" s="4"/>
      <c r="WKT6" s="4"/>
      <c r="WKU6" s="4"/>
      <c r="WKX6" s="34"/>
      <c r="WKY6" s="34"/>
      <c r="WLA6" s="34"/>
      <c r="WLB6" s="72"/>
      <c r="WLC6" s="63"/>
      <c r="WLD6" s="34"/>
      <c r="WLE6" s="64"/>
      <c r="WLF6" s="4"/>
      <c r="WLG6" s="65"/>
      <c r="WLH6" s="4"/>
      <c r="WLI6" s="4"/>
      <c r="WLJ6" s="4"/>
      <c r="WLM6" s="34"/>
      <c r="WLN6" s="34"/>
      <c r="WLP6" s="34"/>
      <c r="WLQ6" s="72"/>
      <c r="WLR6" s="63"/>
      <c r="WLS6" s="34"/>
      <c r="WLT6" s="64"/>
      <c r="WLU6" s="4"/>
      <c r="WLV6" s="65"/>
      <c r="WLW6" s="4"/>
      <c r="WLX6" s="4"/>
      <c r="WLY6" s="4"/>
      <c r="WMB6" s="34"/>
      <c r="WMC6" s="34"/>
      <c r="WME6" s="34"/>
      <c r="WMF6" s="72"/>
      <c r="WMG6" s="63"/>
      <c r="WMH6" s="34"/>
      <c r="WMI6" s="64"/>
      <c r="WMJ6" s="4"/>
      <c r="WMK6" s="65"/>
      <c r="WML6" s="4"/>
      <c r="WMM6" s="4"/>
      <c r="WMN6" s="4"/>
      <c r="WMQ6" s="34"/>
      <c r="WMR6" s="34"/>
      <c r="WMT6" s="34"/>
      <c r="WMU6" s="72"/>
      <c r="WMV6" s="63"/>
      <c r="WMW6" s="34"/>
      <c r="WMX6" s="64"/>
      <c r="WMY6" s="4"/>
      <c r="WMZ6" s="65"/>
      <c r="WNA6" s="4"/>
      <c r="WNB6" s="4"/>
      <c r="WNC6" s="4"/>
      <c r="WNF6" s="34"/>
      <c r="WNG6" s="34"/>
      <c r="WNI6" s="34"/>
      <c r="WNJ6" s="72"/>
      <c r="WNK6" s="63"/>
      <c r="WNL6" s="34"/>
      <c r="WNM6" s="64"/>
      <c r="WNN6" s="4"/>
      <c r="WNO6" s="65"/>
      <c r="WNP6" s="4"/>
      <c r="WNQ6" s="4"/>
      <c r="WNR6" s="4"/>
      <c r="WNU6" s="34"/>
      <c r="WNV6" s="34"/>
      <c r="WNX6" s="34"/>
      <c r="WNY6" s="72"/>
      <c r="WNZ6" s="63"/>
      <c r="WOA6" s="34"/>
      <c r="WOB6" s="64"/>
      <c r="WOC6" s="4"/>
      <c r="WOD6" s="65"/>
      <c r="WOE6" s="4"/>
      <c r="WOF6" s="4"/>
      <c r="WOG6" s="4"/>
      <c r="WOJ6" s="34"/>
      <c r="WOK6" s="34"/>
      <c r="WOM6" s="34"/>
      <c r="WON6" s="72"/>
      <c r="WOO6" s="63"/>
      <c r="WOP6" s="34"/>
      <c r="WOQ6" s="64"/>
      <c r="WOR6" s="4"/>
      <c r="WOS6" s="65"/>
      <c r="WOT6" s="4"/>
      <c r="WOU6" s="4"/>
      <c r="WOV6" s="4"/>
      <c r="WOY6" s="34"/>
      <c r="WOZ6" s="34"/>
      <c r="WPB6" s="34"/>
      <c r="WPC6" s="72"/>
      <c r="WPD6" s="63"/>
      <c r="WPE6" s="34"/>
      <c r="WPF6" s="64"/>
      <c r="WPG6" s="4"/>
      <c r="WPH6" s="65"/>
      <c r="WPI6" s="4"/>
      <c r="WPJ6" s="4"/>
      <c r="WPK6" s="4"/>
      <c r="WPN6" s="34"/>
      <c r="WPO6" s="34"/>
      <c r="WPQ6" s="34"/>
      <c r="WPR6" s="72"/>
      <c r="WPS6" s="63"/>
      <c r="WPT6" s="34"/>
      <c r="WPU6" s="64"/>
      <c r="WPV6" s="4"/>
      <c r="WPW6" s="65"/>
      <c r="WPX6" s="4"/>
      <c r="WPY6" s="4"/>
      <c r="WPZ6" s="4"/>
      <c r="WQC6" s="34"/>
      <c r="WQD6" s="34"/>
      <c r="WQF6" s="34"/>
      <c r="WQG6" s="72"/>
      <c r="WQH6" s="63"/>
      <c r="WQI6" s="34"/>
      <c r="WQJ6" s="64"/>
      <c r="WQK6" s="4"/>
      <c r="WQL6" s="65"/>
      <c r="WQM6" s="4"/>
      <c r="WQN6" s="4"/>
      <c r="WQO6" s="4"/>
      <c r="WQR6" s="34"/>
      <c r="WQS6" s="34"/>
      <c r="WQU6" s="34"/>
      <c r="WQV6" s="72"/>
      <c r="WQW6" s="63"/>
      <c r="WQX6" s="34"/>
      <c r="WQY6" s="64"/>
      <c r="WQZ6" s="4"/>
      <c r="WRA6" s="65"/>
      <c r="WRB6" s="4"/>
      <c r="WRC6" s="4"/>
      <c r="WRD6" s="4"/>
      <c r="WRG6" s="34"/>
      <c r="WRH6" s="34"/>
      <c r="WRJ6" s="34"/>
      <c r="WRK6" s="72"/>
      <c r="WRL6" s="63"/>
      <c r="WRM6" s="34"/>
      <c r="WRN6" s="64"/>
      <c r="WRO6" s="4"/>
      <c r="WRP6" s="65"/>
      <c r="WRQ6" s="4"/>
      <c r="WRR6" s="4"/>
      <c r="WRS6" s="4"/>
      <c r="WRV6" s="34"/>
      <c r="WRW6" s="34"/>
      <c r="WRY6" s="34"/>
      <c r="WRZ6" s="72"/>
      <c r="WSA6" s="63"/>
      <c r="WSB6" s="34"/>
      <c r="WSC6" s="64"/>
      <c r="WSD6" s="4"/>
      <c r="WSE6" s="65"/>
      <c r="WSF6" s="4"/>
      <c r="WSG6" s="4"/>
      <c r="WSH6" s="4"/>
      <c r="WSK6" s="34"/>
      <c r="WSL6" s="34"/>
      <c r="WSN6" s="34"/>
      <c r="WSO6" s="72"/>
      <c r="WSP6" s="63"/>
      <c r="WSQ6" s="34"/>
      <c r="WSR6" s="64"/>
      <c r="WSS6" s="4"/>
      <c r="WST6" s="65"/>
      <c r="WSU6" s="4"/>
      <c r="WSV6" s="4"/>
      <c r="WSW6" s="4"/>
      <c r="WSZ6" s="34"/>
      <c r="WTA6" s="34"/>
      <c r="WTC6" s="34"/>
      <c r="WTD6" s="72"/>
      <c r="WTE6" s="63"/>
      <c r="WTF6" s="34"/>
      <c r="WTG6" s="64"/>
      <c r="WTH6" s="4"/>
      <c r="WTI6" s="65"/>
      <c r="WTJ6" s="4"/>
      <c r="WTK6" s="4"/>
      <c r="WTL6" s="4"/>
      <c r="WTO6" s="34"/>
      <c r="WTP6" s="34"/>
      <c r="WTR6" s="34"/>
      <c r="WTS6" s="72"/>
      <c r="WTT6" s="63"/>
      <c r="WTU6" s="34"/>
      <c r="WTV6" s="64"/>
      <c r="WTW6" s="4"/>
      <c r="WTX6" s="65"/>
      <c r="WTY6" s="4"/>
      <c r="WTZ6" s="4"/>
      <c r="WUA6" s="4"/>
      <c r="WUD6" s="34"/>
      <c r="WUE6" s="34"/>
      <c r="WUG6" s="34"/>
      <c r="WUH6" s="72"/>
      <c r="WUI6" s="63"/>
      <c r="WUJ6" s="34"/>
      <c r="WUK6" s="64"/>
      <c r="WUL6" s="4"/>
      <c r="WUM6" s="65"/>
      <c r="WUN6" s="4"/>
      <c r="WUO6" s="4"/>
      <c r="WUP6" s="4"/>
      <c r="WUS6" s="34"/>
      <c r="WUT6" s="34"/>
      <c r="WUV6" s="34"/>
      <c r="WUW6" s="72"/>
      <c r="WUX6" s="63"/>
      <c r="WUY6" s="34"/>
      <c r="WUZ6" s="64"/>
      <c r="WVA6" s="4"/>
      <c r="WVB6" s="65"/>
      <c r="WVC6" s="4"/>
      <c r="WVD6" s="4"/>
      <c r="WVE6" s="4"/>
      <c r="WVH6" s="34"/>
      <c r="WVI6" s="34"/>
      <c r="WVK6" s="34"/>
      <c r="WVL6" s="72"/>
      <c r="WVM6" s="63"/>
      <c r="WVN6" s="34"/>
      <c r="WVO6" s="64"/>
      <c r="WVP6" s="4"/>
      <c r="WVQ6" s="65"/>
      <c r="WVR6" s="4"/>
      <c r="WVS6" s="4"/>
      <c r="WVT6" s="4"/>
      <c r="WVW6" s="34"/>
      <c r="WVX6" s="34"/>
      <c r="WVZ6" s="34"/>
      <c r="WWA6" s="72"/>
      <c r="WWB6" s="63"/>
      <c r="WWC6" s="34"/>
      <c r="WWD6" s="64"/>
      <c r="WWE6" s="4"/>
      <c r="WWF6" s="65"/>
      <c r="WWG6" s="4"/>
      <c r="WWH6" s="4"/>
      <c r="WWI6" s="4"/>
      <c r="WWL6" s="34"/>
      <c r="WWM6" s="34"/>
      <c r="WWO6" s="34"/>
      <c r="WWP6" s="72"/>
      <c r="WWQ6" s="63"/>
      <c r="WWR6" s="34"/>
      <c r="WWS6" s="64"/>
      <c r="WWT6" s="4"/>
      <c r="WWU6" s="65"/>
      <c r="WWV6" s="4"/>
      <c r="WWW6" s="4"/>
      <c r="WWX6" s="4"/>
      <c r="WXA6" s="34"/>
      <c r="WXB6" s="34"/>
      <c r="WXD6" s="34"/>
      <c r="WXE6" s="72"/>
      <c r="WXF6" s="63"/>
      <c r="WXG6" s="34"/>
      <c r="WXH6" s="64"/>
      <c r="WXI6" s="4"/>
      <c r="WXJ6" s="65"/>
      <c r="WXK6" s="4"/>
      <c r="WXL6" s="4"/>
      <c r="WXM6" s="4"/>
      <c r="WXP6" s="34"/>
      <c r="WXQ6" s="34"/>
      <c r="WXS6" s="34"/>
      <c r="WXT6" s="72"/>
      <c r="WXU6" s="63"/>
      <c r="WXV6" s="34"/>
      <c r="WXW6" s="64"/>
      <c r="WXX6" s="4"/>
      <c r="WXY6" s="65"/>
      <c r="WXZ6" s="4"/>
      <c r="WYA6" s="4"/>
      <c r="WYB6" s="4"/>
      <c r="WYE6" s="34"/>
      <c r="WYF6" s="34"/>
      <c r="WYH6" s="34"/>
      <c r="WYI6" s="72"/>
      <c r="WYJ6" s="63"/>
      <c r="WYK6" s="34"/>
      <c r="WYL6" s="64"/>
      <c r="WYM6" s="4"/>
      <c r="WYN6" s="65"/>
      <c r="WYO6" s="4"/>
      <c r="WYP6" s="4"/>
      <c r="WYQ6" s="4"/>
      <c r="WYT6" s="34"/>
      <c r="WYU6" s="34"/>
      <c r="WYW6" s="34"/>
      <c r="WYX6" s="72"/>
      <c r="WYY6" s="63"/>
      <c r="WYZ6" s="34"/>
      <c r="WZA6" s="64"/>
      <c r="WZB6" s="4"/>
      <c r="WZC6" s="65"/>
      <c r="WZD6" s="4"/>
      <c r="WZE6" s="4"/>
      <c r="WZF6" s="4"/>
      <c r="WZI6" s="34"/>
      <c r="WZJ6" s="34"/>
      <c r="WZL6" s="34"/>
      <c r="WZM6" s="72"/>
      <c r="WZN6" s="63"/>
      <c r="WZO6" s="34"/>
      <c r="WZP6" s="64"/>
      <c r="WZQ6" s="4"/>
      <c r="WZR6" s="65"/>
      <c r="WZS6" s="4"/>
      <c r="WZT6" s="4"/>
      <c r="WZU6" s="4"/>
      <c r="WZX6" s="34"/>
      <c r="WZY6" s="34"/>
      <c r="XAA6" s="34"/>
      <c r="XAB6" s="72"/>
      <c r="XAC6" s="63"/>
      <c r="XAD6" s="34"/>
      <c r="XAE6" s="64"/>
      <c r="XAF6" s="4"/>
      <c r="XAG6" s="65"/>
      <c r="XAH6" s="4"/>
      <c r="XAI6" s="4"/>
      <c r="XAJ6" s="4"/>
      <c r="XAM6" s="34"/>
      <c r="XAN6" s="34"/>
      <c r="XAP6" s="34"/>
      <c r="XAQ6" s="72"/>
      <c r="XAR6" s="63"/>
      <c r="XAS6" s="34"/>
      <c r="XAT6" s="64"/>
      <c r="XAU6" s="4"/>
      <c r="XAV6" s="65"/>
      <c r="XAW6" s="4"/>
      <c r="XAX6" s="4"/>
      <c r="XAY6" s="4"/>
      <c r="XBB6" s="34"/>
      <c r="XBC6" s="34"/>
      <c r="XBE6" s="34"/>
      <c r="XBF6" s="72"/>
      <c r="XBG6" s="63"/>
      <c r="XBH6" s="34"/>
      <c r="XBI6" s="64"/>
      <c r="XBJ6" s="4"/>
      <c r="XBK6" s="65"/>
      <c r="XBL6" s="4"/>
      <c r="XBM6" s="4"/>
      <c r="XBN6" s="4"/>
      <c r="XBQ6" s="34"/>
      <c r="XBR6" s="34"/>
      <c r="XBT6" s="34"/>
      <c r="XBU6" s="72"/>
      <c r="XBV6" s="63"/>
      <c r="XBW6" s="34"/>
      <c r="XBX6" s="64"/>
      <c r="XBY6" s="4"/>
      <c r="XBZ6" s="65"/>
      <c r="XCA6" s="4"/>
      <c r="XCB6" s="4"/>
      <c r="XCC6" s="4"/>
      <c r="XCF6" s="34"/>
      <c r="XCG6" s="34"/>
      <c r="XCI6" s="34"/>
      <c r="XCJ6" s="72"/>
      <c r="XCK6" s="63"/>
      <c r="XCL6" s="34"/>
      <c r="XCM6" s="64"/>
      <c r="XCN6" s="4"/>
      <c r="XCO6" s="65"/>
      <c r="XCP6" s="4"/>
      <c r="XCQ6" s="4"/>
      <c r="XCR6" s="4"/>
      <c r="XCU6" s="34"/>
      <c r="XCV6" s="34"/>
      <c r="XCX6" s="34"/>
      <c r="XCY6" s="72"/>
      <c r="XCZ6" s="63"/>
      <c r="XDA6" s="34"/>
      <c r="XDB6" s="64"/>
      <c r="XDC6" s="4"/>
      <c r="XDD6" s="65"/>
      <c r="XDE6" s="4"/>
      <c r="XDF6" s="4"/>
      <c r="XDG6" s="4"/>
      <c r="XDJ6" s="34"/>
      <c r="XDK6" s="34"/>
      <c r="XDM6" s="34"/>
      <c r="XDN6" s="72"/>
      <c r="XDO6" s="63"/>
      <c r="XDP6" s="34"/>
      <c r="XDQ6" s="64"/>
      <c r="XDR6" s="4"/>
      <c r="XDS6" s="65"/>
      <c r="XDT6" s="4"/>
      <c r="XDU6" s="4"/>
      <c r="XDV6" s="4"/>
      <c r="XDY6" s="34"/>
      <c r="XDZ6" s="34"/>
      <c r="XEB6" s="34"/>
      <c r="XEC6" s="72"/>
      <c r="XED6" s="63"/>
      <c r="XEE6" s="34"/>
      <c r="XEF6" s="64"/>
      <c r="XEG6" s="4"/>
      <c r="XEH6" s="65"/>
      <c r="XEI6" s="4"/>
      <c r="XEJ6" s="4"/>
      <c r="XEK6" s="4"/>
      <c r="XEN6" s="34"/>
      <c r="XEO6" s="34"/>
      <c r="XEQ6" s="34"/>
      <c r="XER6" s="72"/>
      <c r="XES6" s="63"/>
      <c r="XET6" s="34"/>
      <c r="XEU6" s="64"/>
      <c r="XEV6" s="4"/>
      <c r="XEW6" s="65"/>
      <c r="XEX6" s="4"/>
      <c r="XEY6" s="4"/>
      <c r="XEZ6" s="4"/>
      <c r="XFC6" s="34"/>
      <c r="XFD6" s="34"/>
    </row>
    <row r="7" spans="1:1024 1026:4095 4098:5119 5121:8190 8193:15360 15363:16384" x14ac:dyDescent="0.3">
      <c r="A7">
        <v>0</v>
      </c>
      <c r="B7">
        <v>0</v>
      </c>
      <c r="C7" s="34">
        <v>0.33180071558965224</v>
      </c>
      <c r="D7" s="34">
        <v>0.3740390454747714</v>
      </c>
      <c r="E7">
        <v>6</v>
      </c>
      <c r="F7" s="63">
        <v>1.9300000000000001E-3</v>
      </c>
      <c r="G7" s="90">
        <v>1.4607155896516632E-3</v>
      </c>
      <c r="H7" s="34">
        <v>-1.43854302968923E-2</v>
      </c>
      <c r="I7" s="34">
        <v>0.58682634730538918</v>
      </c>
      <c r="J7" s="64">
        <v>0.60256410256410253</v>
      </c>
      <c r="K7" s="4">
        <v>0.55294117647058827</v>
      </c>
      <c r="L7" s="65">
        <v>0.57668711656441718</v>
      </c>
      <c r="M7" s="4">
        <v>0.5730337078651685</v>
      </c>
      <c r="N7" s="4">
        <v>0.62195121951219512</v>
      </c>
      <c r="O7" s="4">
        <v>0.59649122807017541</v>
      </c>
      <c r="R7" s="34"/>
      <c r="S7" s="34"/>
      <c r="U7" s="34"/>
      <c r="V7" s="72"/>
      <c r="W7" s="63"/>
      <c r="X7" s="34"/>
      <c r="Y7" s="64"/>
      <c r="Z7" s="4"/>
      <c r="AA7" s="65"/>
      <c r="AB7" s="4"/>
      <c r="AC7" s="4"/>
      <c r="AD7" s="4"/>
      <c r="AG7" s="34"/>
      <c r="AH7" s="34"/>
      <c r="AJ7" s="34"/>
      <c r="AK7" s="72"/>
      <c r="AL7" s="63"/>
      <c r="AM7" s="34"/>
      <c r="AN7" s="64"/>
      <c r="AO7" s="4"/>
      <c r="AP7" s="65"/>
      <c r="AQ7" s="4"/>
      <c r="AR7" s="4"/>
      <c r="AS7" s="4"/>
      <c r="AV7" s="34"/>
      <c r="AW7" s="34"/>
      <c r="AY7" s="34"/>
      <c r="AZ7" s="72"/>
      <c r="BA7" s="63"/>
      <c r="BB7" s="34"/>
      <c r="BC7" s="64"/>
      <c r="BD7" s="4"/>
      <c r="BE7" s="65"/>
      <c r="BF7" s="4"/>
      <c r="BG7" s="4"/>
      <c r="BH7" s="4"/>
      <c r="BK7" s="34"/>
      <c r="BL7" s="34"/>
      <c r="BN7" s="34"/>
      <c r="BO7" s="72"/>
      <c r="BP7" s="63"/>
      <c r="BQ7" s="34"/>
      <c r="BR7" s="64"/>
      <c r="BS7" s="4"/>
      <c r="BT7" s="65"/>
      <c r="BU7" s="4"/>
      <c r="BV7" s="4"/>
      <c r="BW7" s="4"/>
      <c r="BZ7" s="34"/>
      <c r="CA7" s="34"/>
      <c r="CC7" s="34"/>
      <c r="CD7" s="72"/>
      <c r="CE7" s="63"/>
      <c r="CF7" s="34"/>
      <c r="CG7" s="64"/>
      <c r="CH7" s="4"/>
      <c r="CI7" s="65"/>
      <c r="CJ7" s="4"/>
      <c r="CK7" s="4"/>
      <c r="CL7" s="4"/>
      <c r="CO7" s="34"/>
      <c r="CP7" s="34"/>
      <c r="CR7" s="34"/>
      <c r="CS7" s="72"/>
      <c r="CT7" s="63"/>
      <c r="CU7" s="34"/>
      <c r="CV7" s="64"/>
      <c r="CW7" s="4"/>
      <c r="CX7" s="65"/>
      <c r="CY7" s="4"/>
      <c r="CZ7" s="4"/>
      <c r="DA7" s="4"/>
      <c r="DD7" s="34"/>
      <c r="DE7" s="34"/>
      <c r="DG7" s="34"/>
      <c r="DH7" s="72"/>
      <c r="DI7" s="63"/>
      <c r="DJ7" s="34"/>
      <c r="DK7" s="64"/>
      <c r="DL7" s="4"/>
      <c r="DM7" s="65"/>
      <c r="DN7" s="4"/>
      <c r="DO7" s="4"/>
      <c r="DP7" s="4"/>
      <c r="DS7" s="34"/>
      <c r="DT7" s="34"/>
      <c r="DV7" s="34"/>
      <c r="DW7" s="72"/>
      <c r="DX7" s="63"/>
      <c r="DY7" s="34"/>
      <c r="DZ7" s="64"/>
      <c r="EA7" s="4"/>
      <c r="EB7" s="65"/>
      <c r="EC7" s="4"/>
      <c r="ED7" s="4"/>
      <c r="EE7" s="4"/>
      <c r="EH7" s="34"/>
      <c r="EI7" s="34"/>
      <c r="EK7" s="34"/>
      <c r="EL7" s="72"/>
      <c r="EM7" s="63"/>
      <c r="EN7" s="34"/>
      <c r="EO7" s="64"/>
      <c r="EP7" s="4"/>
      <c r="EQ7" s="65"/>
      <c r="ER7" s="4"/>
      <c r="ES7" s="4"/>
      <c r="ET7" s="4"/>
      <c r="EW7" s="34"/>
      <c r="EX7" s="34"/>
      <c r="EZ7" s="34"/>
      <c r="FA7" s="72"/>
      <c r="FB7" s="63"/>
      <c r="FC7" s="34"/>
      <c r="FD7" s="64"/>
      <c r="FE7" s="4"/>
      <c r="FF7" s="65"/>
      <c r="FG7" s="4"/>
      <c r="FH7" s="4"/>
      <c r="FI7" s="4"/>
      <c r="FL7" s="34"/>
      <c r="FM7" s="34"/>
      <c r="FO7" s="34"/>
      <c r="FP7" s="72"/>
      <c r="FQ7" s="63"/>
      <c r="FR7" s="34"/>
      <c r="FS7" s="64"/>
      <c r="FT7" s="4"/>
      <c r="FU7" s="65"/>
      <c r="FV7" s="4"/>
      <c r="FW7" s="4"/>
      <c r="FX7" s="4"/>
      <c r="GA7" s="34"/>
      <c r="GB7" s="34"/>
      <c r="GD7" s="34"/>
      <c r="GE7" s="72"/>
      <c r="GF7" s="63"/>
      <c r="GG7" s="34"/>
      <c r="GH7" s="64"/>
      <c r="GI7" s="4"/>
      <c r="GJ7" s="65"/>
      <c r="GK7" s="4"/>
      <c r="GL7" s="4"/>
      <c r="GM7" s="4"/>
      <c r="GP7" s="34"/>
      <c r="GQ7" s="34"/>
      <c r="GS7" s="34"/>
      <c r="GT7" s="72"/>
      <c r="GU7" s="63"/>
      <c r="GV7" s="34"/>
      <c r="GW7" s="64"/>
      <c r="GX7" s="4"/>
      <c r="GY7" s="65"/>
      <c r="GZ7" s="4"/>
      <c r="HA7" s="4"/>
      <c r="HB7" s="4"/>
      <c r="HE7" s="34"/>
      <c r="HF7" s="34"/>
      <c r="HH7" s="34"/>
      <c r="HI7" s="72"/>
      <c r="HJ7" s="63"/>
      <c r="HK7" s="34"/>
      <c r="HL7" s="64"/>
      <c r="HM7" s="4"/>
      <c r="HN7" s="65"/>
      <c r="HO7" s="4"/>
      <c r="HP7" s="4"/>
      <c r="HQ7" s="4"/>
      <c r="HT7" s="34"/>
      <c r="HU7" s="34"/>
      <c r="HW7" s="34"/>
      <c r="HX7" s="72"/>
      <c r="HY7" s="63"/>
      <c r="HZ7" s="34"/>
      <c r="IA7" s="64"/>
      <c r="IB7" s="4"/>
      <c r="IC7" s="65"/>
      <c r="ID7" s="4"/>
      <c r="IE7" s="4"/>
      <c r="IF7" s="4"/>
      <c r="II7" s="34"/>
      <c r="IJ7" s="34"/>
      <c r="IL7" s="34"/>
      <c r="IM7" s="72"/>
      <c r="IN7" s="63"/>
      <c r="IO7" s="34"/>
      <c r="IP7" s="64"/>
      <c r="IQ7" s="4"/>
      <c r="IR7" s="65"/>
      <c r="IS7" s="4"/>
      <c r="IT7" s="4"/>
      <c r="IU7" s="4"/>
      <c r="IX7" s="34"/>
      <c r="IY7" s="34"/>
      <c r="JA7" s="34"/>
      <c r="JB7" s="72"/>
      <c r="JC7" s="63"/>
      <c r="JD7" s="34"/>
      <c r="JE7" s="64"/>
      <c r="JF7" s="4"/>
      <c r="JG7" s="65"/>
      <c r="JH7" s="4"/>
      <c r="JI7" s="4"/>
      <c r="JJ7" s="4"/>
      <c r="JM7" s="34"/>
      <c r="JN7" s="34"/>
      <c r="JP7" s="34"/>
      <c r="JQ7" s="72"/>
      <c r="JR7" s="63"/>
      <c r="JS7" s="34"/>
      <c r="JT7" s="64"/>
      <c r="JU7" s="4"/>
      <c r="JV7" s="65"/>
      <c r="JW7" s="4"/>
      <c r="JX7" s="4"/>
      <c r="JY7" s="4"/>
      <c r="KB7" s="34"/>
      <c r="KC7" s="34"/>
      <c r="KE7" s="34"/>
      <c r="KF7" s="72"/>
      <c r="KG7" s="63"/>
      <c r="KH7" s="34"/>
      <c r="KI7" s="64"/>
      <c r="KJ7" s="4"/>
      <c r="KK7" s="65"/>
      <c r="KL7" s="4"/>
      <c r="KM7" s="4"/>
      <c r="KN7" s="4"/>
      <c r="KQ7" s="34"/>
      <c r="KR7" s="34"/>
      <c r="KT7" s="34"/>
      <c r="KU7" s="72"/>
      <c r="KV7" s="63"/>
      <c r="KW7" s="34"/>
      <c r="KX7" s="64"/>
      <c r="KY7" s="4"/>
      <c r="KZ7" s="65"/>
      <c r="LA7" s="4"/>
      <c r="LB7" s="4"/>
      <c r="LC7" s="4"/>
      <c r="LF7" s="34"/>
      <c r="LG7" s="34"/>
      <c r="LI7" s="34"/>
      <c r="LJ7" s="72"/>
      <c r="LK7" s="63"/>
      <c r="LL7" s="34"/>
      <c r="LM7" s="64"/>
      <c r="LN7" s="4"/>
      <c r="LO7" s="65"/>
      <c r="LP7" s="4"/>
      <c r="LQ7" s="4"/>
      <c r="LR7" s="4"/>
      <c r="LU7" s="34"/>
      <c r="LV7" s="34"/>
      <c r="LX7" s="34"/>
      <c r="LY7" s="72"/>
      <c r="LZ7" s="63"/>
      <c r="MA7" s="34"/>
      <c r="MB7" s="64"/>
      <c r="MC7" s="4"/>
      <c r="MD7" s="65"/>
      <c r="ME7" s="4"/>
      <c r="MF7" s="4"/>
      <c r="MG7" s="4"/>
      <c r="MJ7" s="34"/>
      <c r="MK7" s="34"/>
      <c r="MM7" s="34"/>
      <c r="MN7" s="72"/>
      <c r="MO7" s="63"/>
      <c r="MP7" s="34"/>
      <c r="MQ7" s="64"/>
      <c r="MR7" s="4"/>
      <c r="MS7" s="65"/>
      <c r="MT7" s="4"/>
      <c r="MU7" s="4"/>
      <c r="MV7" s="4"/>
      <c r="MY7" s="34"/>
      <c r="MZ7" s="34"/>
      <c r="NB7" s="34"/>
      <c r="NC7" s="72"/>
      <c r="ND7" s="63"/>
      <c r="NE7" s="34"/>
      <c r="NF7" s="64"/>
      <c r="NG7" s="4"/>
      <c r="NH7" s="65"/>
      <c r="NI7" s="4"/>
      <c r="NJ7" s="4"/>
      <c r="NK7" s="4"/>
      <c r="NN7" s="34"/>
      <c r="NO7" s="34"/>
      <c r="NQ7" s="34"/>
      <c r="NR7" s="72"/>
      <c r="NS7" s="63"/>
      <c r="NT7" s="34"/>
      <c r="NU7" s="64"/>
      <c r="NV7" s="4"/>
      <c r="NW7" s="65"/>
      <c r="NX7" s="4"/>
      <c r="NY7" s="4"/>
      <c r="NZ7" s="4"/>
      <c r="OC7" s="34"/>
      <c r="OD7" s="34"/>
      <c r="OF7" s="34"/>
      <c r="OG7" s="72"/>
      <c r="OH7" s="63"/>
      <c r="OI7" s="34"/>
      <c r="OJ7" s="64"/>
      <c r="OK7" s="4"/>
      <c r="OL7" s="65"/>
      <c r="OM7" s="4"/>
      <c r="ON7" s="4"/>
      <c r="OO7" s="4"/>
      <c r="OR7" s="34"/>
      <c r="OS7" s="34"/>
      <c r="OU7" s="34"/>
      <c r="OV7" s="72"/>
      <c r="OW7" s="63"/>
      <c r="OX7" s="34"/>
      <c r="OY7" s="64"/>
      <c r="OZ7" s="4"/>
      <c r="PA7" s="65"/>
      <c r="PB7" s="4"/>
      <c r="PC7" s="4"/>
      <c r="PD7" s="4"/>
      <c r="PG7" s="34"/>
      <c r="PH7" s="34"/>
      <c r="PJ7" s="34"/>
      <c r="PK7" s="72"/>
      <c r="PL7" s="63"/>
      <c r="PM7" s="34"/>
      <c r="PN7" s="64"/>
      <c r="PO7" s="4"/>
      <c r="PP7" s="65"/>
      <c r="PQ7" s="4"/>
      <c r="PR7" s="4"/>
      <c r="PS7" s="4"/>
      <c r="PV7" s="34"/>
      <c r="PW7" s="34"/>
      <c r="PY7" s="34"/>
      <c r="PZ7" s="72"/>
      <c r="QA7" s="63"/>
      <c r="QB7" s="34"/>
      <c r="QC7" s="64"/>
      <c r="QD7" s="4"/>
      <c r="QE7" s="65"/>
      <c r="QF7" s="4"/>
      <c r="QG7" s="4"/>
      <c r="QH7" s="4"/>
      <c r="QK7" s="34"/>
      <c r="QL7" s="34"/>
      <c r="QN7" s="34"/>
      <c r="QO7" s="72"/>
      <c r="QP7" s="63"/>
      <c r="QQ7" s="34"/>
      <c r="QR7" s="64"/>
      <c r="QS7" s="4"/>
      <c r="QT7" s="65"/>
      <c r="QU7" s="4"/>
      <c r="QV7" s="4"/>
      <c r="QW7" s="4"/>
      <c r="QZ7" s="34"/>
      <c r="RA7" s="34"/>
      <c r="RC7" s="34"/>
      <c r="RD7" s="72"/>
      <c r="RE7" s="63"/>
      <c r="RF7" s="34"/>
      <c r="RG7" s="64"/>
      <c r="RH7" s="4"/>
      <c r="RI7" s="65"/>
      <c r="RJ7" s="4"/>
      <c r="RK7" s="4"/>
      <c r="RL7" s="4"/>
      <c r="RO7" s="34"/>
      <c r="RP7" s="34"/>
      <c r="RR7" s="34"/>
      <c r="RS7" s="72"/>
      <c r="RT7" s="63"/>
      <c r="RU7" s="34"/>
      <c r="RV7" s="64"/>
      <c r="RW7" s="4"/>
      <c r="RX7" s="65"/>
      <c r="RY7" s="4"/>
      <c r="RZ7" s="4"/>
      <c r="SA7" s="4"/>
      <c r="SD7" s="34"/>
      <c r="SE7" s="34"/>
      <c r="SG7" s="34"/>
      <c r="SH7" s="72"/>
      <c r="SI7" s="63"/>
      <c r="SJ7" s="34"/>
      <c r="SK7" s="64"/>
      <c r="SL7" s="4"/>
      <c r="SM7" s="65"/>
      <c r="SN7" s="4"/>
      <c r="SO7" s="4"/>
      <c r="SP7" s="4"/>
      <c r="SS7" s="34"/>
      <c r="ST7" s="34"/>
      <c r="SV7" s="34"/>
      <c r="SW7" s="72"/>
      <c r="SX7" s="63"/>
      <c r="SY7" s="34"/>
      <c r="SZ7" s="64"/>
      <c r="TA7" s="4"/>
      <c r="TB7" s="65"/>
      <c r="TC7" s="4"/>
      <c r="TD7" s="4"/>
      <c r="TE7" s="4"/>
      <c r="TH7" s="34"/>
      <c r="TI7" s="34"/>
      <c r="TK7" s="34"/>
      <c r="TL7" s="72"/>
      <c r="TM7" s="63"/>
      <c r="TN7" s="34"/>
      <c r="TO7" s="64"/>
      <c r="TP7" s="4"/>
      <c r="TQ7" s="65"/>
      <c r="TR7" s="4"/>
      <c r="TS7" s="4"/>
      <c r="TT7" s="4"/>
      <c r="TW7" s="34"/>
      <c r="TX7" s="34"/>
      <c r="TZ7" s="34"/>
      <c r="UA7" s="72"/>
      <c r="UB7" s="63"/>
      <c r="UC7" s="34"/>
      <c r="UD7" s="64"/>
      <c r="UE7" s="4"/>
      <c r="UF7" s="65"/>
      <c r="UG7" s="4"/>
      <c r="UH7" s="4"/>
      <c r="UI7" s="4"/>
      <c r="UL7" s="34"/>
      <c r="UM7" s="34"/>
      <c r="UO7" s="34"/>
      <c r="UP7" s="72"/>
      <c r="UQ7" s="63"/>
      <c r="UR7" s="34"/>
      <c r="US7" s="64"/>
      <c r="UT7" s="4"/>
      <c r="UU7" s="65"/>
      <c r="UV7" s="4"/>
      <c r="UW7" s="4"/>
      <c r="UX7" s="4"/>
      <c r="VA7" s="34"/>
      <c r="VB7" s="34"/>
      <c r="VD7" s="34"/>
      <c r="VE7" s="72"/>
      <c r="VF7" s="63"/>
      <c r="VG7" s="34"/>
      <c r="VH7" s="64"/>
      <c r="VI7" s="4"/>
      <c r="VJ7" s="65"/>
      <c r="VK7" s="4"/>
      <c r="VL7" s="4"/>
      <c r="VM7" s="4"/>
      <c r="VP7" s="34"/>
      <c r="VQ7" s="34"/>
      <c r="VS7" s="34"/>
      <c r="VT7" s="72"/>
      <c r="VU7" s="63"/>
      <c r="VV7" s="34"/>
      <c r="VW7" s="64"/>
      <c r="VX7" s="4"/>
      <c r="VY7" s="65"/>
      <c r="VZ7" s="4"/>
      <c r="WA7" s="4"/>
      <c r="WB7" s="4"/>
      <c r="WE7" s="34"/>
      <c r="WF7" s="34"/>
      <c r="WH7" s="34"/>
      <c r="WI7" s="72"/>
      <c r="WJ7" s="63"/>
      <c r="WK7" s="34"/>
      <c r="WL7" s="64"/>
      <c r="WM7" s="4"/>
      <c r="WN7" s="65"/>
      <c r="WO7" s="4"/>
      <c r="WP7" s="4"/>
      <c r="WQ7" s="4"/>
      <c r="WT7" s="34"/>
      <c r="WU7" s="34"/>
      <c r="WW7" s="34"/>
      <c r="WX7" s="72"/>
      <c r="WY7" s="63"/>
      <c r="WZ7" s="34"/>
      <c r="XA7" s="64"/>
      <c r="XB7" s="4"/>
      <c r="XC7" s="65"/>
      <c r="XD7" s="4"/>
      <c r="XE7" s="4"/>
      <c r="XF7" s="4"/>
      <c r="XI7" s="34"/>
      <c r="XJ7" s="34"/>
      <c r="XL7" s="34"/>
      <c r="XM7" s="72"/>
      <c r="XN7" s="63"/>
      <c r="XO7" s="34"/>
      <c r="XP7" s="64"/>
      <c r="XQ7" s="4"/>
      <c r="XR7" s="65"/>
      <c r="XS7" s="4"/>
      <c r="XT7" s="4"/>
      <c r="XU7" s="4"/>
      <c r="XX7" s="34"/>
      <c r="XY7" s="34"/>
      <c r="YA7" s="34"/>
      <c r="YB7" s="72"/>
      <c r="YC7" s="63"/>
      <c r="YD7" s="34"/>
      <c r="YE7" s="64"/>
      <c r="YF7" s="4"/>
      <c r="YG7" s="65"/>
      <c r="YH7" s="4"/>
      <c r="YI7" s="4"/>
      <c r="YJ7" s="4"/>
      <c r="YM7" s="34"/>
      <c r="YN7" s="34"/>
      <c r="YP7" s="34"/>
      <c r="YQ7" s="72"/>
      <c r="YR7" s="63"/>
      <c r="YS7" s="34"/>
      <c r="YT7" s="64"/>
      <c r="YU7" s="4"/>
      <c r="YV7" s="65"/>
      <c r="YW7" s="4"/>
      <c r="YX7" s="4"/>
      <c r="YY7" s="4"/>
      <c r="ZB7" s="34"/>
      <c r="ZC7" s="34"/>
      <c r="ZE7" s="34"/>
      <c r="ZF7" s="72"/>
      <c r="ZG7" s="63"/>
      <c r="ZH7" s="34"/>
      <c r="ZI7" s="64"/>
      <c r="ZJ7" s="4"/>
      <c r="ZK7" s="65"/>
      <c r="ZL7" s="4"/>
      <c r="ZM7" s="4"/>
      <c r="ZN7" s="4"/>
      <c r="ZQ7" s="34"/>
      <c r="ZR7" s="34"/>
      <c r="ZT7" s="34"/>
      <c r="ZU7" s="72"/>
      <c r="ZV7" s="63"/>
      <c r="ZW7" s="34"/>
      <c r="ZX7" s="64"/>
      <c r="ZY7" s="4"/>
      <c r="ZZ7" s="65"/>
      <c r="AAA7" s="4"/>
      <c r="AAB7" s="4"/>
      <c r="AAC7" s="4"/>
      <c r="AAF7" s="34"/>
      <c r="AAG7" s="34"/>
      <c r="AAI7" s="34"/>
      <c r="AAJ7" s="72"/>
      <c r="AAK7" s="63"/>
      <c r="AAL7" s="34"/>
      <c r="AAM7" s="64"/>
      <c r="AAN7" s="4"/>
      <c r="AAO7" s="65"/>
      <c r="AAP7" s="4"/>
      <c r="AAQ7" s="4"/>
      <c r="AAR7" s="4"/>
      <c r="AAU7" s="34"/>
      <c r="AAV7" s="34"/>
      <c r="AAX7" s="34"/>
      <c r="AAY7" s="72"/>
      <c r="AAZ7" s="63"/>
      <c r="ABA7" s="34"/>
      <c r="ABB7" s="64"/>
      <c r="ABC7" s="4"/>
      <c r="ABD7" s="65"/>
      <c r="ABE7" s="4"/>
      <c r="ABF7" s="4"/>
      <c r="ABG7" s="4"/>
      <c r="ABJ7" s="34"/>
      <c r="ABK7" s="34"/>
      <c r="ABM7" s="34"/>
      <c r="ABN7" s="72"/>
      <c r="ABO7" s="63"/>
      <c r="ABP7" s="34"/>
      <c r="ABQ7" s="64"/>
      <c r="ABR7" s="4"/>
      <c r="ABS7" s="65"/>
      <c r="ABT7" s="4"/>
      <c r="ABU7" s="4"/>
      <c r="ABV7" s="4"/>
      <c r="ABY7" s="34"/>
      <c r="ABZ7" s="34"/>
      <c r="ACB7" s="34"/>
      <c r="ACC7" s="72"/>
      <c r="ACD7" s="63"/>
      <c r="ACE7" s="34"/>
      <c r="ACF7" s="64"/>
      <c r="ACG7" s="4"/>
      <c r="ACH7" s="65"/>
      <c r="ACI7" s="4"/>
      <c r="ACJ7" s="4"/>
      <c r="ACK7" s="4"/>
      <c r="ACN7" s="34"/>
      <c r="ACO7" s="34"/>
      <c r="ACQ7" s="34"/>
      <c r="ACR7" s="72"/>
      <c r="ACS7" s="63"/>
      <c r="ACT7" s="34"/>
      <c r="ACU7" s="64"/>
      <c r="ACV7" s="4"/>
      <c r="ACW7" s="65"/>
      <c r="ACX7" s="4"/>
      <c r="ACY7" s="4"/>
      <c r="ACZ7" s="4"/>
      <c r="ADC7" s="34"/>
      <c r="ADD7" s="34"/>
      <c r="ADF7" s="34"/>
      <c r="ADG7" s="72"/>
      <c r="ADH7" s="63"/>
      <c r="ADI7" s="34"/>
      <c r="ADJ7" s="64"/>
      <c r="ADK7" s="4"/>
      <c r="ADL7" s="65"/>
      <c r="ADM7" s="4"/>
      <c r="ADN7" s="4"/>
      <c r="ADO7" s="4"/>
      <c r="ADR7" s="34"/>
      <c r="ADS7" s="34"/>
      <c r="ADU7" s="34"/>
      <c r="ADV7" s="72"/>
      <c r="ADW7" s="63"/>
      <c r="ADX7" s="34"/>
      <c r="ADY7" s="64"/>
      <c r="ADZ7" s="4"/>
      <c r="AEA7" s="65"/>
      <c r="AEB7" s="4"/>
      <c r="AEC7" s="4"/>
      <c r="AED7" s="4"/>
      <c r="AEG7" s="34"/>
      <c r="AEH7" s="34"/>
      <c r="AEJ7" s="34"/>
      <c r="AEK7" s="72"/>
      <c r="AEL7" s="63"/>
      <c r="AEM7" s="34"/>
      <c r="AEN7" s="64"/>
      <c r="AEO7" s="4"/>
      <c r="AEP7" s="65"/>
      <c r="AEQ7" s="4"/>
      <c r="AER7" s="4"/>
      <c r="AES7" s="4"/>
      <c r="AEV7" s="34"/>
      <c r="AEW7" s="34"/>
      <c r="AEY7" s="34"/>
      <c r="AEZ7" s="72"/>
      <c r="AFA7" s="63"/>
      <c r="AFB7" s="34"/>
      <c r="AFC7" s="64"/>
      <c r="AFD7" s="4"/>
      <c r="AFE7" s="65"/>
      <c r="AFF7" s="4"/>
      <c r="AFG7" s="4"/>
      <c r="AFH7" s="4"/>
      <c r="AFK7" s="34"/>
      <c r="AFL7" s="34"/>
      <c r="AFN7" s="34"/>
      <c r="AFO7" s="72"/>
      <c r="AFP7" s="63"/>
      <c r="AFQ7" s="34"/>
      <c r="AFR7" s="64"/>
      <c r="AFS7" s="4"/>
      <c r="AFT7" s="65"/>
      <c r="AFU7" s="4"/>
      <c r="AFV7" s="4"/>
      <c r="AFW7" s="4"/>
      <c r="AFZ7" s="34"/>
      <c r="AGA7" s="34"/>
      <c r="AGC7" s="34"/>
      <c r="AGD7" s="72"/>
      <c r="AGE7" s="63"/>
      <c r="AGF7" s="34"/>
      <c r="AGG7" s="64"/>
      <c r="AGH7" s="4"/>
      <c r="AGI7" s="65"/>
      <c r="AGJ7" s="4"/>
      <c r="AGK7" s="4"/>
      <c r="AGL7" s="4"/>
      <c r="AGO7" s="34"/>
      <c r="AGP7" s="34"/>
      <c r="AGR7" s="34"/>
      <c r="AGS7" s="72"/>
      <c r="AGT7" s="63"/>
      <c r="AGU7" s="34"/>
      <c r="AGV7" s="64"/>
      <c r="AGW7" s="4"/>
      <c r="AGX7" s="65"/>
      <c r="AGY7" s="4"/>
      <c r="AGZ7" s="4"/>
      <c r="AHA7" s="4"/>
      <c r="AHD7" s="34"/>
      <c r="AHE7" s="34"/>
      <c r="AHG7" s="34"/>
      <c r="AHH7" s="72"/>
      <c r="AHI7" s="63"/>
      <c r="AHJ7" s="34"/>
      <c r="AHK7" s="64"/>
      <c r="AHL7" s="4"/>
      <c r="AHM7" s="65"/>
      <c r="AHN7" s="4"/>
      <c r="AHO7" s="4"/>
      <c r="AHP7" s="4"/>
      <c r="AHS7" s="34"/>
      <c r="AHT7" s="34"/>
      <c r="AHV7" s="34"/>
      <c r="AHW7" s="72"/>
      <c r="AHX7" s="63"/>
      <c r="AHY7" s="34"/>
      <c r="AHZ7" s="64"/>
      <c r="AIA7" s="4"/>
      <c r="AIB7" s="65"/>
      <c r="AIC7" s="4"/>
      <c r="AID7" s="4"/>
      <c r="AIE7" s="4"/>
      <c r="AIH7" s="34"/>
      <c r="AII7" s="34"/>
      <c r="AIK7" s="34"/>
      <c r="AIL7" s="72"/>
      <c r="AIM7" s="63"/>
      <c r="AIN7" s="34"/>
      <c r="AIO7" s="64"/>
      <c r="AIP7" s="4"/>
      <c r="AIQ7" s="65"/>
      <c r="AIR7" s="4"/>
      <c r="AIS7" s="4"/>
      <c r="AIT7" s="4"/>
      <c r="AIW7" s="34"/>
      <c r="AIX7" s="34"/>
      <c r="AIZ7" s="34"/>
      <c r="AJA7" s="72"/>
      <c r="AJB7" s="63"/>
      <c r="AJC7" s="34"/>
      <c r="AJD7" s="64"/>
      <c r="AJE7" s="4"/>
      <c r="AJF7" s="65"/>
      <c r="AJG7" s="4"/>
      <c r="AJH7" s="4"/>
      <c r="AJI7" s="4"/>
      <c r="AJL7" s="34"/>
      <c r="AJM7" s="34"/>
      <c r="AJO7" s="34"/>
      <c r="AJP7" s="72"/>
      <c r="AJQ7" s="63"/>
      <c r="AJR7" s="34"/>
      <c r="AJS7" s="64"/>
      <c r="AJT7" s="4"/>
      <c r="AJU7" s="65"/>
      <c r="AJV7" s="4"/>
      <c r="AJW7" s="4"/>
      <c r="AJX7" s="4"/>
      <c r="AKA7" s="34"/>
      <c r="AKB7" s="34"/>
      <c r="AKD7" s="34"/>
      <c r="AKE7" s="72"/>
      <c r="AKF7" s="63"/>
      <c r="AKG7" s="34"/>
      <c r="AKH7" s="64"/>
      <c r="AKI7" s="4"/>
      <c r="AKJ7" s="65"/>
      <c r="AKK7" s="4"/>
      <c r="AKL7" s="4"/>
      <c r="AKM7" s="4"/>
      <c r="AKP7" s="34"/>
      <c r="AKQ7" s="34"/>
      <c r="AKS7" s="34"/>
      <c r="AKT7" s="72"/>
      <c r="AKU7" s="63"/>
      <c r="AKV7" s="34"/>
      <c r="AKW7" s="64"/>
      <c r="AKX7" s="4"/>
      <c r="AKY7" s="65"/>
      <c r="AKZ7" s="4"/>
      <c r="ALA7" s="4"/>
      <c r="ALB7" s="4"/>
      <c r="ALE7" s="34"/>
      <c r="ALF7" s="34"/>
      <c r="ALH7" s="34"/>
      <c r="ALI7" s="72"/>
      <c r="ALJ7" s="63"/>
      <c r="ALK7" s="34"/>
      <c r="ALL7" s="64"/>
      <c r="ALM7" s="4"/>
      <c r="ALN7" s="65"/>
      <c r="ALO7" s="4"/>
      <c r="ALP7" s="4"/>
      <c r="ALQ7" s="4"/>
      <c r="ALT7" s="34"/>
      <c r="ALU7" s="34"/>
      <c r="ALW7" s="34"/>
      <c r="ALX7" s="72"/>
      <c r="ALY7" s="63"/>
      <c r="ALZ7" s="34"/>
      <c r="AMA7" s="64"/>
      <c r="AMB7" s="4"/>
      <c r="AMC7" s="65"/>
      <c r="AMD7" s="4"/>
      <c r="AME7" s="4"/>
      <c r="AMF7" s="4"/>
      <c r="AMI7" s="34"/>
      <c r="AMJ7" s="34"/>
      <c r="AML7" s="34"/>
      <c r="AMM7" s="72"/>
      <c r="AMN7" s="63"/>
      <c r="AMO7" s="34"/>
      <c r="AMP7" s="64"/>
      <c r="AMQ7" s="4"/>
      <c r="AMR7" s="65"/>
      <c r="AMS7" s="4"/>
      <c r="AMT7" s="4"/>
      <c r="AMU7" s="4"/>
      <c r="AMX7" s="34"/>
      <c r="AMY7" s="34"/>
      <c r="ANA7" s="34"/>
      <c r="ANB7" s="72"/>
      <c r="ANC7" s="63"/>
      <c r="AND7" s="34"/>
      <c r="ANE7" s="64"/>
      <c r="ANF7" s="4"/>
      <c r="ANG7" s="65"/>
      <c r="ANH7" s="4"/>
      <c r="ANI7" s="4"/>
      <c r="ANJ7" s="4"/>
      <c r="ANM7" s="34"/>
      <c r="ANN7" s="34"/>
      <c r="ANP7" s="34"/>
      <c r="ANQ7" s="72"/>
      <c r="ANR7" s="63"/>
      <c r="ANS7" s="34"/>
      <c r="ANT7" s="64"/>
      <c r="ANU7" s="4"/>
      <c r="ANV7" s="65"/>
      <c r="ANW7" s="4"/>
      <c r="ANX7" s="4"/>
      <c r="ANY7" s="4"/>
      <c r="AOB7" s="34"/>
      <c r="AOC7" s="34"/>
      <c r="AOE7" s="34"/>
      <c r="AOF7" s="72"/>
      <c r="AOG7" s="63"/>
      <c r="AOH7" s="34"/>
      <c r="AOI7" s="64"/>
      <c r="AOJ7" s="4"/>
      <c r="AOK7" s="65"/>
      <c r="AOL7" s="4"/>
      <c r="AOM7" s="4"/>
      <c r="AON7" s="4"/>
      <c r="AOQ7" s="34"/>
      <c r="AOR7" s="34"/>
      <c r="AOT7" s="34"/>
      <c r="AOU7" s="72"/>
      <c r="AOV7" s="63"/>
      <c r="AOW7" s="34"/>
      <c r="AOX7" s="64"/>
      <c r="AOY7" s="4"/>
      <c r="AOZ7" s="65"/>
      <c r="APA7" s="4"/>
      <c r="APB7" s="4"/>
      <c r="APC7" s="4"/>
      <c r="APF7" s="34"/>
      <c r="APG7" s="34"/>
      <c r="API7" s="34"/>
      <c r="APJ7" s="72"/>
      <c r="APK7" s="63"/>
      <c r="APL7" s="34"/>
      <c r="APM7" s="64"/>
      <c r="APN7" s="4"/>
      <c r="APO7" s="65"/>
      <c r="APP7" s="4"/>
      <c r="APQ7" s="4"/>
      <c r="APR7" s="4"/>
      <c r="APU7" s="34"/>
      <c r="APV7" s="34"/>
      <c r="APX7" s="34"/>
      <c r="APY7" s="72"/>
      <c r="APZ7" s="63"/>
      <c r="AQA7" s="34"/>
      <c r="AQB7" s="64"/>
      <c r="AQC7" s="4"/>
      <c r="AQD7" s="65"/>
      <c r="AQE7" s="4"/>
      <c r="AQF7" s="4"/>
      <c r="AQG7" s="4"/>
      <c r="AQJ7" s="34"/>
      <c r="AQK7" s="34"/>
      <c r="AQM7" s="34"/>
      <c r="AQN7" s="72"/>
      <c r="AQO7" s="63"/>
      <c r="AQP7" s="34"/>
      <c r="AQQ7" s="64"/>
      <c r="AQR7" s="4"/>
      <c r="AQS7" s="65"/>
      <c r="AQT7" s="4"/>
      <c r="AQU7" s="4"/>
      <c r="AQV7" s="4"/>
      <c r="AQY7" s="34"/>
      <c r="AQZ7" s="34"/>
      <c r="ARB7" s="34"/>
      <c r="ARC7" s="72"/>
      <c r="ARD7" s="63"/>
      <c r="ARE7" s="34"/>
      <c r="ARF7" s="64"/>
      <c r="ARG7" s="4"/>
      <c r="ARH7" s="65"/>
      <c r="ARI7" s="4"/>
      <c r="ARJ7" s="4"/>
      <c r="ARK7" s="4"/>
      <c r="ARN7" s="34"/>
      <c r="ARO7" s="34"/>
      <c r="ARQ7" s="34"/>
      <c r="ARR7" s="72"/>
      <c r="ARS7" s="63"/>
      <c r="ART7" s="34"/>
      <c r="ARU7" s="64"/>
      <c r="ARV7" s="4"/>
      <c r="ARW7" s="65"/>
      <c r="ARX7" s="4"/>
      <c r="ARY7" s="4"/>
      <c r="ARZ7" s="4"/>
      <c r="ASC7" s="34"/>
      <c r="ASD7" s="34"/>
      <c r="ASF7" s="34"/>
      <c r="ASG7" s="72"/>
      <c r="ASH7" s="63"/>
      <c r="ASI7" s="34"/>
      <c r="ASJ7" s="64"/>
      <c r="ASK7" s="4"/>
      <c r="ASL7" s="65"/>
      <c r="ASM7" s="4"/>
      <c r="ASN7" s="4"/>
      <c r="ASO7" s="4"/>
      <c r="ASR7" s="34"/>
      <c r="ASS7" s="34"/>
      <c r="ASU7" s="34"/>
      <c r="ASV7" s="72"/>
      <c r="ASW7" s="63"/>
      <c r="ASX7" s="34"/>
      <c r="ASY7" s="64"/>
      <c r="ASZ7" s="4"/>
      <c r="ATA7" s="65"/>
      <c r="ATB7" s="4"/>
      <c r="ATC7" s="4"/>
      <c r="ATD7" s="4"/>
      <c r="ATG7" s="34"/>
      <c r="ATH7" s="34"/>
      <c r="ATJ7" s="34"/>
      <c r="ATK7" s="72"/>
      <c r="ATL7" s="63"/>
      <c r="ATM7" s="34"/>
      <c r="ATN7" s="64"/>
      <c r="ATO7" s="4"/>
      <c r="ATP7" s="65"/>
      <c r="ATQ7" s="4"/>
      <c r="ATR7" s="4"/>
      <c r="ATS7" s="4"/>
      <c r="ATV7" s="34"/>
      <c r="ATW7" s="34"/>
      <c r="ATY7" s="34"/>
      <c r="ATZ7" s="72"/>
      <c r="AUA7" s="63"/>
      <c r="AUB7" s="34"/>
      <c r="AUC7" s="64"/>
      <c r="AUD7" s="4"/>
      <c r="AUE7" s="65"/>
      <c r="AUF7" s="4"/>
      <c r="AUG7" s="4"/>
      <c r="AUH7" s="4"/>
      <c r="AUK7" s="34"/>
      <c r="AUL7" s="34"/>
      <c r="AUN7" s="34"/>
      <c r="AUO7" s="72"/>
      <c r="AUP7" s="63"/>
      <c r="AUQ7" s="34"/>
      <c r="AUR7" s="64"/>
      <c r="AUS7" s="4"/>
      <c r="AUT7" s="65"/>
      <c r="AUU7" s="4"/>
      <c r="AUV7" s="4"/>
      <c r="AUW7" s="4"/>
      <c r="AUZ7" s="34"/>
      <c r="AVA7" s="34"/>
      <c r="AVC7" s="34"/>
      <c r="AVD7" s="72"/>
      <c r="AVE7" s="63"/>
      <c r="AVF7" s="34"/>
      <c r="AVG7" s="64"/>
      <c r="AVH7" s="4"/>
      <c r="AVI7" s="65"/>
      <c r="AVJ7" s="4"/>
      <c r="AVK7" s="4"/>
      <c r="AVL7" s="4"/>
      <c r="AVO7" s="34"/>
      <c r="AVP7" s="34"/>
      <c r="AVR7" s="34"/>
      <c r="AVS7" s="72"/>
      <c r="AVT7" s="63"/>
      <c r="AVU7" s="34"/>
      <c r="AVV7" s="64"/>
      <c r="AVW7" s="4"/>
      <c r="AVX7" s="65"/>
      <c r="AVY7" s="4"/>
      <c r="AVZ7" s="4"/>
      <c r="AWA7" s="4"/>
      <c r="AWD7" s="34"/>
      <c r="AWE7" s="34"/>
      <c r="AWG7" s="34"/>
      <c r="AWH7" s="72"/>
      <c r="AWI7" s="63"/>
      <c r="AWJ7" s="34"/>
      <c r="AWK7" s="64"/>
      <c r="AWL7" s="4"/>
      <c r="AWM7" s="65"/>
      <c r="AWN7" s="4"/>
      <c r="AWO7" s="4"/>
      <c r="AWP7" s="4"/>
      <c r="AWS7" s="34"/>
      <c r="AWT7" s="34"/>
      <c r="AWV7" s="34"/>
      <c r="AWW7" s="72"/>
      <c r="AWX7" s="63"/>
      <c r="AWY7" s="34"/>
      <c r="AWZ7" s="64"/>
      <c r="AXA7" s="4"/>
      <c r="AXB7" s="65"/>
      <c r="AXC7" s="4"/>
      <c r="AXD7" s="4"/>
      <c r="AXE7" s="4"/>
      <c r="AXH7" s="34"/>
      <c r="AXI7" s="34"/>
      <c r="AXK7" s="34"/>
      <c r="AXL7" s="72"/>
      <c r="AXM7" s="63"/>
      <c r="AXN7" s="34"/>
      <c r="AXO7" s="64"/>
      <c r="AXP7" s="4"/>
      <c r="AXQ7" s="65"/>
      <c r="AXR7" s="4"/>
      <c r="AXS7" s="4"/>
      <c r="AXT7" s="4"/>
      <c r="AXW7" s="34"/>
      <c r="AXX7" s="34"/>
      <c r="AXZ7" s="34"/>
      <c r="AYA7" s="72"/>
      <c r="AYB7" s="63"/>
      <c r="AYC7" s="34"/>
      <c r="AYD7" s="64"/>
      <c r="AYE7" s="4"/>
      <c r="AYF7" s="65"/>
      <c r="AYG7" s="4"/>
      <c r="AYH7" s="4"/>
      <c r="AYI7" s="4"/>
      <c r="AYL7" s="34"/>
      <c r="AYM7" s="34"/>
      <c r="AYO7" s="34"/>
      <c r="AYP7" s="72"/>
      <c r="AYQ7" s="63"/>
      <c r="AYR7" s="34"/>
      <c r="AYS7" s="64"/>
      <c r="AYT7" s="4"/>
      <c r="AYU7" s="65"/>
      <c r="AYV7" s="4"/>
      <c r="AYW7" s="4"/>
      <c r="AYX7" s="4"/>
      <c r="AZA7" s="34"/>
      <c r="AZB7" s="34"/>
      <c r="AZD7" s="34"/>
      <c r="AZE7" s="72"/>
      <c r="AZF7" s="63"/>
      <c r="AZG7" s="34"/>
      <c r="AZH7" s="64"/>
      <c r="AZI7" s="4"/>
      <c r="AZJ7" s="65"/>
      <c r="AZK7" s="4"/>
      <c r="AZL7" s="4"/>
      <c r="AZM7" s="4"/>
      <c r="AZP7" s="34"/>
      <c r="AZQ7" s="34"/>
      <c r="AZS7" s="34"/>
      <c r="AZT7" s="72"/>
      <c r="AZU7" s="63"/>
      <c r="AZV7" s="34"/>
      <c r="AZW7" s="64"/>
      <c r="AZX7" s="4"/>
      <c r="AZY7" s="65"/>
      <c r="AZZ7" s="4"/>
      <c r="BAA7" s="4"/>
      <c r="BAB7" s="4"/>
      <c r="BAE7" s="34"/>
      <c r="BAF7" s="34"/>
      <c r="BAH7" s="34"/>
      <c r="BAI7" s="72"/>
      <c r="BAJ7" s="63"/>
      <c r="BAK7" s="34"/>
      <c r="BAL7" s="64"/>
      <c r="BAM7" s="4"/>
      <c r="BAN7" s="65"/>
      <c r="BAO7" s="4"/>
      <c r="BAP7" s="4"/>
      <c r="BAQ7" s="4"/>
      <c r="BAT7" s="34"/>
      <c r="BAU7" s="34"/>
      <c r="BAW7" s="34"/>
      <c r="BAX7" s="72"/>
      <c r="BAY7" s="63"/>
      <c r="BAZ7" s="34"/>
      <c r="BBA7" s="64"/>
      <c r="BBB7" s="4"/>
      <c r="BBC7" s="65"/>
      <c r="BBD7" s="4"/>
      <c r="BBE7" s="4"/>
      <c r="BBF7" s="4"/>
      <c r="BBI7" s="34"/>
      <c r="BBJ7" s="34"/>
      <c r="BBL7" s="34"/>
      <c r="BBM7" s="72"/>
      <c r="BBN7" s="63"/>
      <c r="BBO7" s="34"/>
      <c r="BBP7" s="64"/>
      <c r="BBQ7" s="4"/>
      <c r="BBR7" s="65"/>
      <c r="BBS7" s="4"/>
      <c r="BBT7" s="4"/>
      <c r="BBU7" s="4"/>
      <c r="BBX7" s="34"/>
      <c r="BBY7" s="34"/>
      <c r="BCA7" s="34"/>
      <c r="BCB7" s="72"/>
      <c r="BCC7" s="63"/>
      <c r="BCD7" s="34"/>
      <c r="BCE7" s="64"/>
      <c r="BCF7" s="4"/>
      <c r="BCG7" s="65"/>
      <c r="BCH7" s="4"/>
      <c r="BCI7" s="4"/>
      <c r="BCJ7" s="4"/>
      <c r="BCM7" s="34"/>
      <c r="BCN7" s="34"/>
      <c r="BCP7" s="34"/>
      <c r="BCQ7" s="72"/>
      <c r="BCR7" s="63"/>
      <c r="BCS7" s="34"/>
      <c r="BCT7" s="64"/>
      <c r="BCU7" s="4"/>
      <c r="BCV7" s="65"/>
      <c r="BCW7" s="4"/>
      <c r="BCX7" s="4"/>
      <c r="BCY7" s="4"/>
      <c r="BDB7" s="34"/>
      <c r="BDC7" s="34"/>
      <c r="BDE7" s="34"/>
      <c r="BDF7" s="72"/>
      <c r="BDG7" s="63"/>
      <c r="BDH7" s="34"/>
      <c r="BDI7" s="64"/>
      <c r="BDJ7" s="4"/>
      <c r="BDK7" s="65"/>
      <c r="BDL7" s="4"/>
      <c r="BDM7" s="4"/>
      <c r="BDN7" s="4"/>
      <c r="BDQ7" s="34"/>
      <c r="BDR7" s="34"/>
      <c r="BDT7" s="34"/>
      <c r="BDU7" s="72"/>
      <c r="BDV7" s="63"/>
      <c r="BDW7" s="34"/>
      <c r="BDX7" s="64"/>
      <c r="BDY7" s="4"/>
      <c r="BDZ7" s="65"/>
      <c r="BEA7" s="4"/>
      <c r="BEB7" s="4"/>
      <c r="BEC7" s="4"/>
      <c r="BEF7" s="34"/>
      <c r="BEG7" s="34"/>
      <c r="BEI7" s="34"/>
      <c r="BEJ7" s="72"/>
      <c r="BEK7" s="63"/>
      <c r="BEL7" s="34"/>
      <c r="BEM7" s="64"/>
      <c r="BEN7" s="4"/>
      <c r="BEO7" s="65"/>
      <c r="BEP7" s="4"/>
      <c r="BEQ7" s="4"/>
      <c r="BER7" s="4"/>
      <c r="BEU7" s="34"/>
      <c r="BEV7" s="34"/>
      <c r="BEX7" s="34"/>
      <c r="BEY7" s="72"/>
      <c r="BEZ7" s="63"/>
      <c r="BFA7" s="34"/>
      <c r="BFB7" s="64"/>
      <c r="BFC7" s="4"/>
      <c r="BFD7" s="65"/>
      <c r="BFE7" s="4"/>
      <c r="BFF7" s="4"/>
      <c r="BFG7" s="4"/>
      <c r="BFJ7" s="34"/>
      <c r="BFK7" s="34"/>
      <c r="BFM7" s="34"/>
      <c r="BFN7" s="72"/>
      <c r="BFO7" s="63"/>
      <c r="BFP7" s="34"/>
      <c r="BFQ7" s="64"/>
      <c r="BFR7" s="4"/>
      <c r="BFS7" s="65"/>
      <c r="BFT7" s="4"/>
      <c r="BFU7" s="4"/>
      <c r="BFV7" s="4"/>
      <c r="BFY7" s="34"/>
      <c r="BFZ7" s="34"/>
      <c r="BGB7" s="34"/>
      <c r="BGC7" s="72"/>
      <c r="BGD7" s="63"/>
      <c r="BGE7" s="34"/>
      <c r="BGF7" s="64"/>
      <c r="BGG7" s="4"/>
      <c r="BGH7" s="65"/>
      <c r="BGI7" s="4"/>
      <c r="BGJ7" s="4"/>
      <c r="BGK7" s="4"/>
      <c r="BGN7" s="34"/>
      <c r="BGO7" s="34"/>
      <c r="BGQ7" s="34"/>
      <c r="BGR7" s="72"/>
      <c r="BGS7" s="63"/>
      <c r="BGT7" s="34"/>
      <c r="BGU7" s="64"/>
      <c r="BGV7" s="4"/>
      <c r="BGW7" s="65"/>
      <c r="BGX7" s="4"/>
      <c r="BGY7" s="4"/>
      <c r="BGZ7" s="4"/>
      <c r="BHC7" s="34"/>
      <c r="BHD7" s="34"/>
      <c r="BHF7" s="34"/>
      <c r="BHG7" s="72"/>
      <c r="BHH7" s="63"/>
      <c r="BHI7" s="34"/>
      <c r="BHJ7" s="64"/>
      <c r="BHK7" s="4"/>
      <c r="BHL7" s="65"/>
      <c r="BHM7" s="4"/>
      <c r="BHN7" s="4"/>
      <c r="BHO7" s="4"/>
      <c r="BHR7" s="34"/>
      <c r="BHS7" s="34"/>
      <c r="BHU7" s="34"/>
      <c r="BHV7" s="72"/>
      <c r="BHW7" s="63"/>
      <c r="BHX7" s="34"/>
      <c r="BHY7" s="64"/>
      <c r="BHZ7" s="4"/>
      <c r="BIA7" s="65"/>
      <c r="BIB7" s="4"/>
      <c r="BIC7" s="4"/>
      <c r="BID7" s="4"/>
      <c r="BIG7" s="34"/>
      <c r="BIH7" s="34"/>
      <c r="BIJ7" s="34"/>
      <c r="BIK7" s="72"/>
      <c r="BIL7" s="63"/>
      <c r="BIM7" s="34"/>
      <c r="BIN7" s="64"/>
      <c r="BIO7" s="4"/>
      <c r="BIP7" s="65"/>
      <c r="BIQ7" s="4"/>
      <c r="BIR7" s="4"/>
      <c r="BIS7" s="4"/>
      <c r="BIV7" s="34"/>
      <c r="BIW7" s="34"/>
      <c r="BIY7" s="34"/>
      <c r="BIZ7" s="72"/>
      <c r="BJA7" s="63"/>
      <c r="BJB7" s="34"/>
      <c r="BJC7" s="64"/>
      <c r="BJD7" s="4"/>
      <c r="BJE7" s="65"/>
      <c r="BJF7" s="4"/>
      <c r="BJG7" s="4"/>
      <c r="BJH7" s="4"/>
      <c r="BJK7" s="34"/>
      <c r="BJL7" s="34"/>
      <c r="BJN7" s="34"/>
      <c r="BJO7" s="72"/>
      <c r="BJP7" s="63"/>
      <c r="BJQ7" s="34"/>
      <c r="BJR7" s="64"/>
      <c r="BJS7" s="4"/>
      <c r="BJT7" s="65"/>
      <c r="BJU7" s="4"/>
      <c r="BJV7" s="4"/>
      <c r="BJW7" s="4"/>
      <c r="BJZ7" s="34"/>
      <c r="BKA7" s="34"/>
      <c r="BKC7" s="34"/>
      <c r="BKD7" s="72"/>
      <c r="BKE7" s="63"/>
      <c r="BKF7" s="34"/>
      <c r="BKG7" s="64"/>
      <c r="BKH7" s="4"/>
      <c r="BKI7" s="65"/>
      <c r="BKJ7" s="4"/>
      <c r="BKK7" s="4"/>
      <c r="BKL7" s="4"/>
      <c r="BKO7" s="34"/>
      <c r="BKP7" s="34"/>
      <c r="BKR7" s="34"/>
      <c r="BKS7" s="72"/>
      <c r="BKT7" s="63"/>
      <c r="BKU7" s="34"/>
      <c r="BKV7" s="64"/>
      <c r="BKW7" s="4"/>
      <c r="BKX7" s="65"/>
      <c r="BKY7" s="4"/>
      <c r="BKZ7" s="4"/>
      <c r="BLA7" s="4"/>
      <c r="BLD7" s="34"/>
      <c r="BLE7" s="34"/>
      <c r="BLG7" s="34"/>
      <c r="BLH7" s="72"/>
      <c r="BLI7" s="63"/>
      <c r="BLJ7" s="34"/>
      <c r="BLK7" s="64"/>
      <c r="BLL7" s="4"/>
      <c r="BLM7" s="65"/>
      <c r="BLN7" s="4"/>
      <c r="BLO7" s="4"/>
      <c r="BLP7" s="4"/>
      <c r="BLS7" s="34"/>
      <c r="BLT7" s="34"/>
      <c r="BLV7" s="34"/>
      <c r="BLW7" s="72"/>
      <c r="BLX7" s="63"/>
      <c r="BLY7" s="34"/>
      <c r="BLZ7" s="64"/>
      <c r="BMA7" s="4"/>
      <c r="BMB7" s="65"/>
      <c r="BMC7" s="4"/>
      <c r="BMD7" s="4"/>
      <c r="BME7" s="4"/>
      <c r="BMH7" s="34"/>
      <c r="BMI7" s="34"/>
      <c r="BMK7" s="34"/>
      <c r="BML7" s="72"/>
      <c r="BMM7" s="63"/>
      <c r="BMN7" s="34"/>
      <c r="BMO7" s="64"/>
      <c r="BMP7" s="4"/>
      <c r="BMQ7" s="65"/>
      <c r="BMR7" s="4"/>
      <c r="BMS7" s="4"/>
      <c r="BMT7" s="4"/>
      <c r="BMW7" s="34"/>
      <c r="BMX7" s="34"/>
      <c r="BMZ7" s="34"/>
      <c r="BNA7" s="72"/>
      <c r="BNB7" s="63"/>
      <c r="BNC7" s="34"/>
      <c r="BND7" s="64"/>
      <c r="BNE7" s="4"/>
      <c r="BNF7" s="65"/>
      <c r="BNG7" s="4"/>
      <c r="BNH7" s="4"/>
      <c r="BNI7" s="4"/>
      <c r="BNL7" s="34"/>
      <c r="BNM7" s="34"/>
      <c r="BNO7" s="34"/>
      <c r="BNP7" s="72"/>
      <c r="BNQ7" s="63"/>
      <c r="BNR7" s="34"/>
      <c r="BNS7" s="64"/>
      <c r="BNT7" s="4"/>
      <c r="BNU7" s="65"/>
      <c r="BNV7" s="4"/>
      <c r="BNW7" s="4"/>
      <c r="BNX7" s="4"/>
      <c r="BOA7" s="34"/>
      <c r="BOB7" s="34"/>
      <c r="BOD7" s="34"/>
      <c r="BOE7" s="72"/>
      <c r="BOF7" s="63"/>
      <c r="BOG7" s="34"/>
      <c r="BOH7" s="64"/>
      <c r="BOI7" s="4"/>
      <c r="BOJ7" s="65"/>
      <c r="BOK7" s="4"/>
      <c r="BOL7" s="4"/>
      <c r="BOM7" s="4"/>
      <c r="BOP7" s="34"/>
      <c r="BOQ7" s="34"/>
      <c r="BOS7" s="34"/>
      <c r="BOT7" s="72"/>
      <c r="BOU7" s="63"/>
      <c r="BOV7" s="34"/>
      <c r="BOW7" s="64"/>
      <c r="BOX7" s="4"/>
      <c r="BOY7" s="65"/>
      <c r="BOZ7" s="4"/>
      <c r="BPA7" s="4"/>
      <c r="BPB7" s="4"/>
      <c r="BPE7" s="34"/>
      <c r="BPF7" s="34"/>
      <c r="BPH7" s="34"/>
      <c r="BPI7" s="72"/>
      <c r="BPJ7" s="63"/>
      <c r="BPK7" s="34"/>
      <c r="BPL7" s="64"/>
      <c r="BPM7" s="4"/>
      <c r="BPN7" s="65"/>
      <c r="BPO7" s="4"/>
      <c r="BPP7" s="4"/>
      <c r="BPQ7" s="4"/>
      <c r="BPT7" s="34"/>
      <c r="BPU7" s="34"/>
      <c r="BPW7" s="34"/>
      <c r="BPX7" s="72"/>
      <c r="BPY7" s="63"/>
      <c r="BPZ7" s="34"/>
      <c r="BQA7" s="64"/>
      <c r="BQB7" s="4"/>
      <c r="BQC7" s="65"/>
      <c r="BQD7" s="4"/>
      <c r="BQE7" s="4"/>
      <c r="BQF7" s="4"/>
      <c r="BQI7" s="34"/>
      <c r="BQJ7" s="34"/>
      <c r="BQL7" s="34"/>
      <c r="BQM7" s="72"/>
      <c r="BQN7" s="63"/>
      <c r="BQO7" s="34"/>
      <c r="BQP7" s="64"/>
      <c r="BQQ7" s="4"/>
      <c r="BQR7" s="65"/>
      <c r="BQS7" s="4"/>
      <c r="BQT7" s="4"/>
      <c r="BQU7" s="4"/>
      <c r="BQX7" s="34"/>
      <c r="BQY7" s="34"/>
      <c r="BRA7" s="34"/>
      <c r="BRB7" s="72"/>
      <c r="BRC7" s="63"/>
      <c r="BRD7" s="34"/>
      <c r="BRE7" s="64"/>
      <c r="BRF7" s="4"/>
      <c r="BRG7" s="65"/>
      <c r="BRH7" s="4"/>
      <c r="BRI7" s="4"/>
      <c r="BRJ7" s="4"/>
      <c r="BRM7" s="34"/>
      <c r="BRN7" s="34"/>
      <c r="BRP7" s="34"/>
      <c r="BRQ7" s="72"/>
      <c r="BRR7" s="63"/>
      <c r="BRS7" s="34"/>
      <c r="BRT7" s="64"/>
      <c r="BRU7" s="4"/>
      <c r="BRV7" s="65"/>
      <c r="BRW7" s="4"/>
      <c r="BRX7" s="4"/>
      <c r="BRY7" s="4"/>
      <c r="BSB7" s="34"/>
      <c r="BSC7" s="34"/>
      <c r="BSE7" s="34"/>
      <c r="BSF7" s="72"/>
      <c r="BSG7" s="63"/>
      <c r="BSH7" s="34"/>
      <c r="BSI7" s="64"/>
      <c r="BSJ7" s="4"/>
      <c r="BSK7" s="65"/>
      <c r="BSL7" s="4"/>
      <c r="BSM7" s="4"/>
      <c r="BSN7" s="4"/>
      <c r="BSQ7" s="34"/>
      <c r="BSR7" s="34"/>
      <c r="BST7" s="34"/>
      <c r="BSU7" s="72"/>
      <c r="BSV7" s="63"/>
      <c r="BSW7" s="34"/>
      <c r="BSX7" s="64"/>
      <c r="BSY7" s="4"/>
      <c r="BSZ7" s="65"/>
      <c r="BTA7" s="4"/>
      <c r="BTB7" s="4"/>
      <c r="BTC7" s="4"/>
      <c r="BTF7" s="34"/>
      <c r="BTG7" s="34"/>
      <c r="BTI7" s="34"/>
      <c r="BTJ7" s="72"/>
      <c r="BTK7" s="63"/>
      <c r="BTL7" s="34"/>
      <c r="BTM7" s="64"/>
      <c r="BTN7" s="4"/>
      <c r="BTO7" s="65"/>
      <c r="BTP7" s="4"/>
      <c r="BTQ7" s="4"/>
      <c r="BTR7" s="4"/>
      <c r="BTU7" s="34"/>
      <c r="BTV7" s="34"/>
      <c r="BTX7" s="34"/>
      <c r="BTY7" s="72"/>
      <c r="BTZ7" s="63"/>
      <c r="BUA7" s="34"/>
      <c r="BUB7" s="64"/>
      <c r="BUC7" s="4"/>
      <c r="BUD7" s="65"/>
      <c r="BUE7" s="4"/>
      <c r="BUF7" s="4"/>
      <c r="BUG7" s="4"/>
      <c r="BUJ7" s="34"/>
      <c r="BUK7" s="34"/>
      <c r="BUM7" s="34"/>
      <c r="BUN7" s="72"/>
      <c r="BUO7" s="63"/>
      <c r="BUP7" s="34"/>
      <c r="BUQ7" s="64"/>
      <c r="BUR7" s="4"/>
      <c r="BUS7" s="65"/>
      <c r="BUT7" s="4"/>
      <c r="BUU7" s="4"/>
      <c r="BUV7" s="4"/>
      <c r="BUY7" s="34"/>
      <c r="BUZ7" s="34"/>
      <c r="BVB7" s="34"/>
      <c r="BVC7" s="72"/>
      <c r="BVD7" s="63"/>
      <c r="BVE7" s="34"/>
      <c r="BVF7" s="64"/>
      <c r="BVG7" s="4"/>
      <c r="BVH7" s="65"/>
      <c r="BVI7" s="4"/>
      <c r="BVJ7" s="4"/>
      <c r="BVK7" s="4"/>
      <c r="BVN7" s="34"/>
      <c r="BVO7" s="34"/>
      <c r="BVQ7" s="34"/>
      <c r="BVR7" s="72"/>
      <c r="BVS7" s="63"/>
      <c r="BVT7" s="34"/>
      <c r="BVU7" s="64"/>
      <c r="BVV7" s="4"/>
      <c r="BVW7" s="65"/>
      <c r="BVX7" s="4"/>
      <c r="BVY7" s="4"/>
      <c r="BVZ7" s="4"/>
      <c r="BWC7" s="34"/>
      <c r="BWD7" s="34"/>
      <c r="BWF7" s="34"/>
      <c r="BWG7" s="72"/>
      <c r="BWH7" s="63"/>
      <c r="BWI7" s="34"/>
      <c r="BWJ7" s="64"/>
      <c r="BWK7" s="4"/>
      <c r="BWL7" s="65"/>
      <c r="BWM7" s="4"/>
      <c r="BWN7" s="4"/>
      <c r="BWO7" s="4"/>
      <c r="BWR7" s="34"/>
      <c r="BWS7" s="34"/>
      <c r="BWU7" s="34"/>
      <c r="BWV7" s="72"/>
      <c r="BWW7" s="63"/>
      <c r="BWX7" s="34"/>
      <c r="BWY7" s="64"/>
      <c r="BWZ7" s="4"/>
      <c r="BXA7" s="65"/>
      <c r="BXB7" s="4"/>
      <c r="BXC7" s="4"/>
      <c r="BXD7" s="4"/>
      <c r="BXG7" s="34"/>
      <c r="BXH7" s="34"/>
      <c r="BXJ7" s="34"/>
      <c r="BXK7" s="72"/>
      <c r="BXL7" s="63"/>
      <c r="BXM7" s="34"/>
      <c r="BXN7" s="64"/>
      <c r="BXO7" s="4"/>
      <c r="BXP7" s="65"/>
      <c r="BXQ7" s="4"/>
      <c r="BXR7" s="4"/>
      <c r="BXS7" s="4"/>
      <c r="BXV7" s="34"/>
      <c r="BXW7" s="34"/>
      <c r="BXY7" s="34"/>
      <c r="BXZ7" s="72"/>
      <c r="BYA7" s="63"/>
      <c r="BYB7" s="34"/>
      <c r="BYC7" s="64"/>
      <c r="BYD7" s="4"/>
      <c r="BYE7" s="65"/>
      <c r="BYF7" s="4"/>
      <c r="BYG7" s="4"/>
      <c r="BYH7" s="4"/>
      <c r="BYK7" s="34"/>
      <c r="BYL7" s="34"/>
      <c r="BYN7" s="34"/>
      <c r="BYO7" s="72"/>
      <c r="BYP7" s="63"/>
      <c r="BYQ7" s="34"/>
      <c r="BYR7" s="64"/>
      <c r="BYS7" s="4"/>
      <c r="BYT7" s="65"/>
      <c r="BYU7" s="4"/>
      <c r="BYV7" s="4"/>
      <c r="BYW7" s="4"/>
      <c r="BYZ7" s="34"/>
      <c r="BZA7" s="34"/>
      <c r="BZC7" s="34"/>
      <c r="BZD7" s="72"/>
      <c r="BZE7" s="63"/>
      <c r="BZF7" s="34"/>
      <c r="BZG7" s="64"/>
      <c r="BZH7" s="4"/>
      <c r="BZI7" s="65"/>
      <c r="BZJ7" s="4"/>
      <c r="BZK7" s="4"/>
      <c r="BZL7" s="4"/>
      <c r="BZO7" s="34"/>
      <c r="BZP7" s="34"/>
      <c r="BZR7" s="34"/>
      <c r="BZS7" s="72"/>
      <c r="BZT7" s="63"/>
      <c r="BZU7" s="34"/>
      <c r="BZV7" s="64"/>
      <c r="BZW7" s="4"/>
      <c r="BZX7" s="65"/>
      <c r="BZY7" s="4"/>
      <c r="BZZ7" s="4"/>
      <c r="CAA7" s="4"/>
      <c r="CAD7" s="34"/>
      <c r="CAE7" s="34"/>
      <c r="CAG7" s="34"/>
      <c r="CAH7" s="72"/>
      <c r="CAI7" s="63"/>
      <c r="CAJ7" s="34"/>
      <c r="CAK7" s="64"/>
      <c r="CAL7" s="4"/>
      <c r="CAM7" s="65"/>
      <c r="CAN7" s="4"/>
      <c r="CAO7" s="4"/>
      <c r="CAP7" s="4"/>
      <c r="CAS7" s="34"/>
      <c r="CAT7" s="34"/>
      <c r="CAV7" s="34"/>
      <c r="CAW7" s="72"/>
      <c r="CAX7" s="63"/>
      <c r="CAY7" s="34"/>
      <c r="CAZ7" s="64"/>
      <c r="CBA7" s="4"/>
      <c r="CBB7" s="65"/>
      <c r="CBC7" s="4"/>
      <c r="CBD7" s="4"/>
      <c r="CBE7" s="4"/>
      <c r="CBH7" s="34"/>
      <c r="CBI7" s="34"/>
      <c r="CBK7" s="34"/>
      <c r="CBL7" s="72"/>
      <c r="CBM7" s="63"/>
      <c r="CBN7" s="34"/>
      <c r="CBO7" s="64"/>
      <c r="CBP7" s="4"/>
      <c r="CBQ7" s="65"/>
      <c r="CBR7" s="4"/>
      <c r="CBS7" s="4"/>
      <c r="CBT7" s="4"/>
      <c r="CBW7" s="34"/>
      <c r="CBX7" s="34"/>
      <c r="CBZ7" s="34"/>
      <c r="CCA7" s="72"/>
      <c r="CCB7" s="63"/>
      <c r="CCC7" s="34"/>
      <c r="CCD7" s="64"/>
      <c r="CCE7" s="4"/>
      <c r="CCF7" s="65"/>
      <c r="CCG7" s="4"/>
      <c r="CCH7" s="4"/>
      <c r="CCI7" s="4"/>
      <c r="CCL7" s="34"/>
      <c r="CCM7" s="34"/>
      <c r="CCO7" s="34"/>
      <c r="CCP7" s="72"/>
      <c r="CCQ7" s="63"/>
      <c r="CCR7" s="34"/>
      <c r="CCS7" s="64"/>
      <c r="CCT7" s="4"/>
      <c r="CCU7" s="65"/>
      <c r="CCV7" s="4"/>
      <c r="CCW7" s="4"/>
      <c r="CCX7" s="4"/>
      <c r="CDA7" s="34"/>
      <c r="CDB7" s="34"/>
      <c r="CDD7" s="34"/>
      <c r="CDE7" s="72"/>
      <c r="CDF7" s="63"/>
      <c r="CDG7" s="34"/>
      <c r="CDH7" s="64"/>
      <c r="CDI7" s="4"/>
      <c r="CDJ7" s="65"/>
      <c r="CDK7" s="4"/>
      <c r="CDL7" s="4"/>
      <c r="CDM7" s="4"/>
      <c r="CDP7" s="34"/>
      <c r="CDQ7" s="34"/>
      <c r="CDS7" s="34"/>
      <c r="CDT7" s="72"/>
      <c r="CDU7" s="63"/>
      <c r="CDV7" s="34"/>
      <c r="CDW7" s="64"/>
      <c r="CDX7" s="4"/>
      <c r="CDY7" s="65"/>
      <c r="CDZ7" s="4"/>
      <c r="CEA7" s="4"/>
      <c r="CEB7" s="4"/>
      <c r="CEE7" s="34"/>
      <c r="CEF7" s="34"/>
      <c r="CEH7" s="34"/>
      <c r="CEI7" s="72"/>
      <c r="CEJ7" s="63"/>
      <c r="CEK7" s="34"/>
      <c r="CEL7" s="64"/>
      <c r="CEM7" s="4"/>
      <c r="CEN7" s="65"/>
      <c r="CEO7" s="4"/>
      <c r="CEP7" s="4"/>
      <c r="CEQ7" s="4"/>
      <c r="CET7" s="34"/>
      <c r="CEU7" s="34"/>
      <c r="CEW7" s="34"/>
      <c r="CEX7" s="72"/>
      <c r="CEY7" s="63"/>
      <c r="CEZ7" s="34"/>
      <c r="CFA7" s="64"/>
      <c r="CFB7" s="4"/>
      <c r="CFC7" s="65"/>
      <c r="CFD7" s="4"/>
      <c r="CFE7" s="4"/>
      <c r="CFF7" s="4"/>
      <c r="CFI7" s="34"/>
      <c r="CFJ7" s="34"/>
      <c r="CFL7" s="34"/>
      <c r="CFM7" s="72"/>
      <c r="CFN7" s="63"/>
      <c r="CFO7" s="34"/>
      <c r="CFP7" s="64"/>
      <c r="CFQ7" s="4"/>
      <c r="CFR7" s="65"/>
      <c r="CFS7" s="4"/>
      <c r="CFT7" s="4"/>
      <c r="CFU7" s="4"/>
      <c r="CFX7" s="34"/>
      <c r="CFY7" s="34"/>
      <c r="CGA7" s="34"/>
      <c r="CGB7" s="72"/>
      <c r="CGC7" s="63"/>
      <c r="CGD7" s="34"/>
      <c r="CGE7" s="64"/>
      <c r="CGF7" s="4"/>
      <c r="CGG7" s="65"/>
      <c r="CGH7" s="4"/>
      <c r="CGI7" s="4"/>
      <c r="CGJ7" s="4"/>
      <c r="CGM7" s="34"/>
      <c r="CGN7" s="34"/>
      <c r="CGP7" s="34"/>
      <c r="CGQ7" s="72"/>
      <c r="CGR7" s="63"/>
      <c r="CGS7" s="34"/>
      <c r="CGT7" s="64"/>
      <c r="CGU7" s="4"/>
      <c r="CGV7" s="65"/>
      <c r="CGW7" s="4"/>
      <c r="CGX7" s="4"/>
      <c r="CGY7" s="4"/>
      <c r="CHB7" s="34"/>
      <c r="CHC7" s="34"/>
      <c r="CHE7" s="34"/>
      <c r="CHF7" s="72"/>
      <c r="CHG7" s="63"/>
      <c r="CHH7" s="34"/>
      <c r="CHI7" s="64"/>
      <c r="CHJ7" s="4"/>
      <c r="CHK7" s="65"/>
      <c r="CHL7" s="4"/>
      <c r="CHM7" s="4"/>
      <c r="CHN7" s="4"/>
      <c r="CHQ7" s="34"/>
      <c r="CHR7" s="34"/>
      <c r="CHT7" s="34"/>
      <c r="CHU7" s="72"/>
      <c r="CHV7" s="63"/>
      <c r="CHW7" s="34"/>
      <c r="CHX7" s="64"/>
      <c r="CHY7" s="4"/>
      <c r="CHZ7" s="65"/>
      <c r="CIA7" s="4"/>
      <c r="CIB7" s="4"/>
      <c r="CIC7" s="4"/>
      <c r="CIF7" s="34"/>
      <c r="CIG7" s="34"/>
      <c r="CII7" s="34"/>
      <c r="CIJ7" s="72"/>
      <c r="CIK7" s="63"/>
      <c r="CIL7" s="34"/>
      <c r="CIM7" s="64"/>
      <c r="CIN7" s="4"/>
      <c r="CIO7" s="65"/>
      <c r="CIP7" s="4"/>
      <c r="CIQ7" s="4"/>
      <c r="CIR7" s="4"/>
      <c r="CIU7" s="34"/>
      <c r="CIV7" s="34"/>
      <c r="CIX7" s="34"/>
      <c r="CIY7" s="72"/>
      <c r="CIZ7" s="63"/>
      <c r="CJA7" s="34"/>
      <c r="CJB7" s="64"/>
      <c r="CJC7" s="4"/>
      <c r="CJD7" s="65"/>
      <c r="CJE7" s="4"/>
      <c r="CJF7" s="4"/>
      <c r="CJG7" s="4"/>
      <c r="CJJ7" s="34"/>
      <c r="CJK7" s="34"/>
      <c r="CJM7" s="34"/>
      <c r="CJN7" s="72"/>
      <c r="CJO7" s="63"/>
      <c r="CJP7" s="34"/>
      <c r="CJQ7" s="64"/>
      <c r="CJR7" s="4"/>
      <c r="CJS7" s="65"/>
      <c r="CJT7" s="4"/>
      <c r="CJU7" s="4"/>
      <c r="CJV7" s="4"/>
      <c r="CJY7" s="34"/>
      <c r="CJZ7" s="34"/>
      <c r="CKB7" s="34"/>
      <c r="CKC7" s="72"/>
      <c r="CKD7" s="63"/>
      <c r="CKE7" s="34"/>
      <c r="CKF7" s="64"/>
      <c r="CKG7" s="4"/>
      <c r="CKH7" s="65"/>
      <c r="CKI7" s="4"/>
      <c r="CKJ7" s="4"/>
      <c r="CKK7" s="4"/>
      <c r="CKN7" s="34"/>
      <c r="CKO7" s="34"/>
      <c r="CKQ7" s="34"/>
      <c r="CKR7" s="72"/>
      <c r="CKS7" s="63"/>
      <c r="CKT7" s="34"/>
      <c r="CKU7" s="64"/>
      <c r="CKV7" s="4"/>
      <c r="CKW7" s="65"/>
      <c r="CKX7" s="4"/>
      <c r="CKY7" s="4"/>
      <c r="CKZ7" s="4"/>
      <c r="CLC7" s="34"/>
      <c r="CLD7" s="34"/>
      <c r="CLF7" s="34"/>
      <c r="CLG7" s="72"/>
      <c r="CLH7" s="63"/>
      <c r="CLI7" s="34"/>
      <c r="CLJ7" s="64"/>
      <c r="CLK7" s="4"/>
      <c r="CLL7" s="65"/>
      <c r="CLM7" s="4"/>
      <c r="CLN7" s="4"/>
      <c r="CLO7" s="4"/>
      <c r="CLR7" s="34"/>
      <c r="CLS7" s="34"/>
      <c r="CLU7" s="34"/>
      <c r="CLV7" s="72"/>
      <c r="CLW7" s="63"/>
      <c r="CLX7" s="34"/>
      <c r="CLY7" s="64"/>
      <c r="CLZ7" s="4"/>
      <c r="CMA7" s="65"/>
      <c r="CMB7" s="4"/>
      <c r="CMC7" s="4"/>
      <c r="CMD7" s="4"/>
      <c r="CMG7" s="34"/>
      <c r="CMH7" s="34"/>
      <c r="CMJ7" s="34"/>
      <c r="CMK7" s="72"/>
      <c r="CML7" s="63"/>
      <c r="CMM7" s="34"/>
      <c r="CMN7" s="64"/>
      <c r="CMO7" s="4"/>
      <c r="CMP7" s="65"/>
      <c r="CMQ7" s="4"/>
      <c r="CMR7" s="4"/>
      <c r="CMS7" s="4"/>
      <c r="CMV7" s="34"/>
      <c r="CMW7" s="34"/>
      <c r="CMY7" s="34"/>
      <c r="CMZ7" s="72"/>
      <c r="CNA7" s="63"/>
      <c r="CNB7" s="34"/>
      <c r="CNC7" s="64"/>
      <c r="CND7" s="4"/>
      <c r="CNE7" s="65"/>
      <c r="CNF7" s="4"/>
      <c r="CNG7" s="4"/>
      <c r="CNH7" s="4"/>
      <c r="CNK7" s="34"/>
      <c r="CNL7" s="34"/>
      <c r="CNN7" s="34"/>
      <c r="CNO7" s="72"/>
      <c r="CNP7" s="63"/>
      <c r="CNQ7" s="34"/>
      <c r="CNR7" s="64"/>
      <c r="CNS7" s="4"/>
      <c r="CNT7" s="65"/>
      <c r="CNU7" s="4"/>
      <c r="CNV7" s="4"/>
      <c r="CNW7" s="4"/>
      <c r="CNZ7" s="34"/>
      <c r="COA7" s="34"/>
      <c r="COC7" s="34"/>
      <c r="COD7" s="72"/>
      <c r="COE7" s="63"/>
      <c r="COF7" s="34"/>
      <c r="COG7" s="64"/>
      <c r="COH7" s="4"/>
      <c r="COI7" s="65"/>
      <c r="COJ7" s="4"/>
      <c r="COK7" s="4"/>
      <c r="COL7" s="4"/>
      <c r="COO7" s="34"/>
      <c r="COP7" s="34"/>
      <c r="COR7" s="34"/>
      <c r="COS7" s="72"/>
      <c r="COT7" s="63"/>
      <c r="COU7" s="34"/>
      <c r="COV7" s="64"/>
      <c r="COW7" s="4"/>
      <c r="COX7" s="65"/>
      <c r="COY7" s="4"/>
      <c r="COZ7" s="4"/>
      <c r="CPA7" s="4"/>
      <c r="CPD7" s="34"/>
      <c r="CPE7" s="34"/>
      <c r="CPG7" s="34"/>
      <c r="CPH7" s="72"/>
      <c r="CPI7" s="63"/>
      <c r="CPJ7" s="34"/>
      <c r="CPK7" s="64"/>
      <c r="CPL7" s="4"/>
      <c r="CPM7" s="65"/>
      <c r="CPN7" s="4"/>
      <c r="CPO7" s="4"/>
      <c r="CPP7" s="4"/>
      <c r="CPS7" s="34"/>
      <c r="CPT7" s="34"/>
      <c r="CPV7" s="34"/>
      <c r="CPW7" s="72"/>
      <c r="CPX7" s="63"/>
      <c r="CPY7" s="34"/>
      <c r="CPZ7" s="64"/>
      <c r="CQA7" s="4"/>
      <c r="CQB7" s="65"/>
      <c r="CQC7" s="4"/>
      <c r="CQD7" s="4"/>
      <c r="CQE7" s="4"/>
      <c r="CQH7" s="34"/>
      <c r="CQI7" s="34"/>
      <c r="CQK7" s="34"/>
      <c r="CQL7" s="72"/>
      <c r="CQM7" s="63"/>
      <c r="CQN7" s="34"/>
      <c r="CQO7" s="64"/>
      <c r="CQP7" s="4"/>
      <c r="CQQ7" s="65"/>
      <c r="CQR7" s="4"/>
      <c r="CQS7" s="4"/>
      <c r="CQT7" s="4"/>
      <c r="CQW7" s="34"/>
      <c r="CQX7" s="34"/>
      <c r="CQZ7" s="34"/>
      <c r="CRA7" s="72"/>
      <c r="CRB7" s="63"/>
      <c r="CRC7" s="34"/>
      <c r="CRD7" s="64"/>
      <c r="CRE7" s="4"/>
      <c r="CRF7" s="65"/>
      <c r="CRG7" s="4"/>
      <c r="CRH7" s="4"/>
      <c r="CRI7" s="4"/>
      <c r="CRL7" s="34"/>
      <c r="CRM7" s="34"/>
      <c r="CRO7" s="34"/>
      <c r="CRP7" s="72"/>
      <c r="CRQ7" s="63"/>
      <c r="CRR7" s="34"/>
      <c r="CRS7" s="64"/>
      <c r="CRT7" s="4"/>
      <c r="CRU7" s="65"/>
      <c r="CRV7" s="4"/>
      <c r="CRW7" s="4"/>
      <c r="CRX7" s="4"/>
      <c r="CSA7" s="34"/>
      <c r="CSB7" s="34"/>
      <c r="CSD7" s="34"/>
      <c r="CSE7" s="72"/>
      <c r="CSF7" s="63"/>
      <c r="CSG7" s="34"/>
      <c r="CSH7" s="64"/>
      <c r="CSI7" s="4"/>
      <c r="CSJ7" s="65"/>
      <c r="CSK7" s="4"/>
      <c r="CSL7" s="4"/>
      <c r="CSM7" s="4"/>
      <c r="CSP7" s="34"/>
      <c r="CSQ7" s="34"/>
      <c r="CSS7" s="34"/>
      <c r="CST7" s="72"/>
      <c r="CSU7" s="63"/>
      <c r="CSV7" s="34"/>
      <c r="CSW7" s="64"/>
      <c r="CSX7" s="4"/>
      <c r="CSY7" s="65"/>
      <c r="CSZ7" s="4"/>
      <c r="CTA7" s="4"/>
      <c r="CTB7" s="4"/>
      <c r="CTE7" s="34"/>
      <c r="CTF7" s="34"/>
      <c r="CTH7" s="34"/>
      <c r="CTI7" s="72"/>
      <c r="CTJ7" s="63"/>
      <c r="CTK7" s="34"/>
      <c r="CTL7" s="64"/>
      <c r="CTM7" s="4"/>
      <c r="CTN7" s="65"/>
      <c r="CTO7" s="4"/>
      <c r="CTP7" s="4"/>
      <c r="CTQ7" s="4"/>
      <c r="CTT7" s="34"/>
      <c r="CTU7" s="34"/>
      <c r="CTW7" s="34"/>
      <c r="CTX7" s="72"/>
      <c r="CTY7" s="63"/>
      <c r="CTZ7" s="34"/>
      <c r="CUA7" s="64"/>
      <c r="CUB7" s="4"/>
      <c r="CUC7" s="65"/>
      <c r="CUD7" s="4"/>
      <c r="CUE7" s="4"/>
      <c r="CUF7" s="4"/>
      <c r="CUI7" s="34"/>
      <c r="CUJ7" s="34"/>
      <c r="CUL7" s="34"/>
      <c r="CUM7" s="72"/>
      <c r="CUN7" s="63"/>
      <c r="CUO7" s="34"/>
      <c r="CUP7" s="64"/>
      <c r="CUQ7" s="4"/>
      <c r="CUR7" s="65"/>
      <c r="CUS7" s="4"/>
      <c r="CUT7" s="4"/>
      <c r="CUU7" s="4"/>
      <c r="CUX7" s="34"/>
      <c r="CUY7" s="34"/>
      <c r="CVA7" s="34"/>
      <c r="CVB7" s="72"/>
      <c r="CVC7" s="63"/>
      <c r="CVD7" s="34"/>
      <c r="CVE7" s="64"/>
      <c r="CVF7" s="4"/>
      <c r="CVG7" s="65"/>
      <c r="CVH7" s="4"/>
      <c r="CVI7" s="4"/>
      <c r="CVJ7" s="4"/>
      <c r="CVM7" s="34"/>
      <c r="CVN7" s="34"/>
      <c r="CVP7" s="34"/>
      <c r="CVQ7" s="72"/>
      <c r="CVR7" s="63"/>
      <c r="CVS7" s="34"/>
      <c r="CVT7" s="64"/>
      <c r="CVU7" s="4"/>
      <c r="CVV7" s="65"/>
      <c r="CVW7" s="4"/>
      <c r="CVX7" s="4"/>
      <c r="CVY7" s="4"/>
      <c r="CWB7" s="34"/>
      <c r="CWC7" s="34"/>
      <c r="CWE7" s="34"/>
      <c r="CWF7" s="72"/>
      <c r="CWG7" s="63"/>
      <c r="CWH7" s="34"/>
      <c r="CWI7" s="64"/>
      <c r="CWJ7" s="4"/>
      <c r="CWK7" s="65"/>
      <c r="CWL7" s="4"/>
      <c r="CWM7" s="4"/>
      <c r="CWN7" s="4"/>
      <c r="CWQ7" s="34"/>
      <c r="CWR7" s="34"/>
      <c r="CWT7" s="34"/>
      <c r="CWU7" s="72"/>
      <c r="CWV7" s="63"/>
      <c r="CWW7" s="34"/>
      <c r="CWX7" s="64"/>
      <c r="CWY7" s="4"/>
      <c r="CWZ7" s="65"/>
      <c r="CXA7" s="4"/>
      <c r="CXB7" s="4"/>
      <c r="CXC7" s="4"/>
      <c r="CXF7" s="34"/>
      <c r="CXG7" s="34"/>
      <c r="CXI7" s="34"/>
      <c r="CXJ7" s="72"/>
      <c r="CXK7" s="63"/>
      <c r="CXL7" s="34"/>
      <c r="CXM7" s="64"/>
      <c r="CXN7" s="4"/>
      <c r="CXO7" s="65"/>
      <c r="CXP7" s="4"/>
      <c r="CXQ7" s="4"/>
      <c r="CXR7" s="4"/>
      <c r="CXU7" s="34"/>
      <c r="CXV7" s="34"/>
      <c r="CXX7" s="34"/>
      <c r="CXY7" s="72"/>
      <c r="CXZ7" s="63"/>
      <c r="CYA7" s="34"/>
      <c r="CYB7" s="64"/>
      <c r="CYC7" s="4"/>
      <c r="CYD7" s="65"/>
      <c r="CYE7" s="4"/>
      <c r="CYF7" s="4"/>
      <c r="CYG7" s="4"/>
      <c r="CYJ7" s="34"/>
      <c r="CYK7" s="34"/>
      <c r="CYM7" s="34"/>
      <c r="CYN7" s="72"/>
      <c r="CYO7" s="63"/>
      <c r="CYP7" s="34"/>
      <c r="CYQ7" s="64"/>
      <c r="CYR7" s="4"/>
      <c r="CYS7" s="65"/>
      <c r="CYT7" s="4"/>
      <c r="CYU7" s="4"/>
      <c r="CYV7" s="4"/>
      <c r="CYY7" s="34"/>
      <c r="CYZ7" s="34"/>
      <c r="CZB7" s="34"/>
      <c r="CZC7" s="72"/>
      <c r="CZD7" s="63"/>
      <c r="CZE7" s="34"/>
      <c r="CZF7" s="64"/>
      <c r="CZG7" s="4"/>
      <c r="CZH7" s="65"/>
      <c r="CZI7" s="4"/>
      <c r="CZJ7" s="4"/>
      <c r="CZK7" s="4"/>
      <c r="CZN7" s="34"/>
      <c r="CZO7" s="34"/>
      <c r="CZQ7" s="34"/>
      <c r="CZR7" s="72"/>
      <c r="CZS7" s="63"/>
      <c r="CZT7" s="34"/>
      <c r="CZU7" s="64"/>
      <c r="CZV7" s="4"/>
      <c r="CZW7" s="65"/>
      <c r="CZX7" s="4"/>
      <c r="CZY7" s="4"/>
      <c r="CZZ7" s="4"/>
      <c r="DAC7" s="34"/>
      <c r="DAD7" s="34"/>
      <c r="DAF7" s="34"/>
      <c r="DAG7" s="72"/>
      <c r="DAH7" s="63"/>
      <c r="DAI7" s="34"/>
      <c r="DAJ7" s="64"/>
      <c r="DAK7" s="4"/>
      <c r="DAL7" s="65"/>
      <c r="DAM7" s="4"/>
      <c r="DAN7" s="4"/>
      <c r="DAO7" s="4"/>
      <c r="DAR7" s="34"/>
      <c r="DAS7" s="34"/>
      <c r="DAU7" s="34"/>
      <c r="DAV7" s="72"/>
      <c r="DAW7" s="63"/>
      <c r="DAX7" s="34"/>
      <c r="DAY7" s="64"/>
      <c r="DAZ7" s="4"/>
      <c r="DBA7" s="65"/>
      <c r="DBB7" s="4"/>
      <c r="DBC7" s="4"/>
      <c r="DBD7" s="4"/>
      <c r="DBG7" s="34"/>
      <c r="DBH7" s="34"/>
      <c r="DBJ7" s="34"/>
      <c r="DBK7" s="72"/>
      <c r="DBL7" s="63"/>
      <c r="DBM7" s="34"/>
      <c r="DBN7" s="64"/>
      <c r="DBO7" s="4"/>
      <c r="DBP7" s="65"/>
      <c r="DBQ7" s="4"/>
      <c r="DBR7" s="4"/>
      <c r="DBS7" s="4"/>
      <c r="DBV7" s="34"/>
      <c r="DBW7" s="34"/>
      <c r="DBY7" s="34"/>
      <c r="DBZ7" s="72"/>
      <c r="DCA7" s="63"/>
      <c r="DCB7" s="34"/>
      <c r="DCC7" s="64"/>
      <c r="DCD7" s="4"/>
      <c r="DCE7" s="65"/>
      <c r="DCF7" s="4"/>
      <c r="DCG7" s="4"/>
      <c r="DCH7" s="4"/>
      <c r="DCK7" s="34"/>
      <c r="DCL7" s="34"/>
      <c r="DCN7" s="34"/>
      <c r="DCO7" s="72"/>
      <c r="DCP7" s="63"/>
      <c r="DCQ7" s="34"/>
      <c r="DCR7" s="64"/>
      <c r="DCS7" s="4"/>
      <c r="DCT7" s="65"/>
      <c r="DCU7" s="4"/>
      <c r="DCV7" s="4"/>
      <c r="DCW7" s="4"/>
      <c r="DCZ7" s="34"/>
      <c r="DDA7" s="34"/>
      <c r="DDC7" s="34"/>
      <c r="DDD7" s="72"/>
      <c r="DDE7" s="63"/>
      <c r="DDF7" s="34"/>
      <c r="DDG7" s="64"/>
      <c r="DDH7" s="4"/>
      <c r="DDI7" s="65"/>
      <c r="DDJ7" s="4"/>
      <c r="DDK7" s="4"/>
      <c r="DDL7" s="4"/>
      <c r="DDO7" s="34"/>
      <c r="DDP7" s="34"/>
      <c r="DDR7" s="34"/>
      <c r="DDS7" s="72"/>
      <c r="DDT7" s="63"/>
      <c r="DDU7" s="34"/>
      <c r="DDV7" s="64"/>
      <c r="DDW7" s="4"/>
      <c r="DDX7" s="65"/>
      <c r="DDY7" s="4"/>
      <c r="DDZ7" s="4"/>
      <c r="DEA7" s="4"/>
      <c r="DED7" s="34"/>
      <c r="DEE7" s="34"/>
      <c r="DEG7" s="34"/>
      <c r="DEH7" s="72"/>
      <c r="DEI7" s="63"/>
      <c r="DEJ7" s="34"/>
      <c r="DEK7" s="64"/>
      <c r="DEL7" s="4"/>
      <c r="DEM7" s="65"/>
      <c r="DEN7" s="4"/>
      <c r="DEO7" s="4"/>
      <c r="DEP7" s="4"/>
      <c r="DES7" s="34"/>
      <c r="DET7" s="34"/>
      <c r="DEV7" s="34"/>
      <c r="DEW7" s="72"/>
      <c r="DEX7" s="63"/>
      <c r="DEY7" s="34"/>
      <c r="DEZ7" s="64"/>
      <c r="DFA7" s="4"/>
      <c r="DFB7" s="65"/>
      <c r="DFC7" s="4"/>
      <c r="DFD7" s="4"/>
      <c r="DFE7" s="4"/>
      <c r="DFH7" s="34"/>
      <c r="DFI7" s="34"/>
      <c r="DFK7" s="34"/>
      <c r="DFL7" s="72"/>
      <c r="DFM7" s="63"/>
      <c r="DFN7" s="34"/>
      <c r="DFO7" s="64"/>
      <c r="DFP7" s="4"/>
      <c r="DFQ7" s="65"/>
      <c r="DFR7" s="4"/>
      <c r="DFS7" s="4"/>
      <c r="DFT7" s="4"/>
      <c r="DFW7" s="34"/>
      <c r="DFX7" s="34"/>
      <c r="DFZ7" s="34"/>
      <c r="DGA7" s="72"/>
      <c r="DGB7" s="63"/>
      <c r="DGC7" s="34"/>
      <c r="DGD7" s="64"/>
      <c r="DGE7" s="4"/>
      <c r="DGF7" s="65"/>
      <c r="DGG7" s="4"/>
      <c r="DGH7" s="4"/>
      <c r="DGI7" s="4"/>
      <c r="DGL7" s="34"/>
      <c r="DGM7" s="34"/>
      <c r="DGO7" s="34"/>
      <c r="DGP7" s="72"/>
      <c r="DGQ7" s="63"/>
      <c r="DGR7" s="34"/>
      <c r="DGS7" s="64"/>
      <c r="DGT7" s="4"/>
      <c r="DGU7" s="65"/>
      <c r="DGV7" s="4"/>
      <c r="DGW7" s="4"/>
      <c r="DGX7" s="4"/>
      <c r="DHA7" s="34"/>
      <c r="DHB7" s="34"/>
      <c r="DHD7" s="34"/>
      <c r="DHE7" s="72"/>
      <c r="DHF7" s="63"/>
      <c r="DHG7" s="34"/>
      <c r="DHH7" s="64"/>
      <c r="DHI7" s="4"/>
      <c r="DHJ7" s="65"/>
      <c r="DHK7" s="4"/>
      <c r="DHL7" s="4"/>
      <c r="DHM7" s="4"/>
      <c r="DHP7" s="34"/>
      <c r="DHQ7" s="34"/>
      <c r="DHS7" s="34"/>
      <c r="DHT7" s="72"/>
      <c r="DHU7" s="63"/>
      <c r="DHV7" s="34"/>
      <c r="DHW7" s="64"/>
      <c r="DHX7" s="4"/>
      <c r="DHY7" s="65"/>
      <c r="DHZ7" s="4"/>
      <c r="DIA7" s="4"/>
      <c r="DIB7" s="4"/>
      <c r="DIE7" s="34"/>
      <c r="DIF7" s="34"/>
      <c r="DIH7" s="34"/>
      <c r="DII7" s="72"/>
      <c r="DIJ7" s="63"/>
      <c r="DIK7" s="34"/>
      <c r="DIL7" s="64"/>
      <c r="DIM7" s="4"/>
      <c r="DIN7" s="65"/>
      <c r="DIO7" s="4"/>
      <c r="DIP7" s="4"/>
      <c r="DIQ7" s="4"/>
      <c r="DIT7" s="34"/>
      <c r="DIU7" s="34"/>
      <c r="DIW7" s="34"/>
      <c r="DIX7" s="72"/>
      <c r="DIY7" s="63"/>
      <c r="DIZ7" s="34"/>
      <c r="DJA7" s="64"/>
      <c r="DJB7" s="4"/>
      <c r="DJC7" s="65"/>
      <c r="DJD7" s="4"/>
      <c r="DJE7" s="4"/>
      <c r="DJF7" s="4"/>
      <c r="DJI7" s="34"/>
      <c r="DJJ7" s="34"/>
      <c r="DJL7" s="34"/>
      <c r="DJM7" s="72"/>
      <c r="DJN7" s="63"/>
      <c r="DJO7" s="34"/>
      <c r="DJP7" s="64"/>
      <c r="DJQ7" s="4"/>
      <c r="DJR7" s="65"/>
      <c r="DJS7" s="4"/>
      <c r="DJT7" s="4"/>
      <c r="DJU7" s="4"/>
      <c r="DJX7" s="34"/>
      <c r="DJY7" s="34"/>
      <c r="DKA7" s="34"/>
      <c r="DKB7" s="72"/>
      <c r="DKC7" s="63"/>
      <c r="DKD7" s="34"/>
      <c r="DKE7" s="64"/>
      <c r="DKF7" s="4"/>
      <c r="DKG7" s="65"/>
      <c r="DKH7" s="4"/>
      <c r="DKI7" s="4"/>
      <c r="DKJ7" s="4"/>
      <c r="DKM7" s="34"/>
      <c r="DKN7" s="34"/>
      <c r="DKP7" s="34"/>
      <c r="DKQ7" s="72"/>
      <c r="DKR7" s="63"/>
      <c r="DKS7" s="34"/>
      <c r="DKT7" s="64"/>
      <c r="DKU7" s="4"/>
      <c r="DKV7" s="65"/>
      <c r="DKW7" s="4"/>
      <c r="DKX7" s="4"/>
      <c r="DKY7" s="4"/>
      <c r="DLB7" s="34"/>
      <c r="DLC7" s="34"/>
      <c r="DLE7" s="34"/>
      <c r="DLF7" s="72"/>
      <c r="DLG7" s="63"/>
      <c r="DLH7" s="34"/>
      <c r="DLI7" s="64"/>
      <c r="DLJ7" s="4"/>
      <c r="DLK7" s="65"/>
      <c r="DLL7" s="4"/>
      <c r="DLM7" s="4"/>
      <c r="DLN7" s="4"/>
      <c r="DLQ7" s="34"/>
      <c r="DLR7" s="34"/>
      <c r="DLT7" s="34"/>
      <c r="DLU7" s="72"/>
      <c r="DLV7" s="63"/>
      <c r="DLW7" s="34"/>
      <c r="DLX7" s="64"/>
      <c r="DLY7" s="4"/>
      <c r="DLZ7" s="65"/>
      <c r="DMA7" s="4"/>
      <c r="DMB7" s="4"/>
      <c r="DMC7" s="4"/>
      <c r="DMF7" s="34"/>
      <c r="DMG7" s="34"/>
      <c r="DMI7" s="34"/>
      <c r="DMJ7" s="72"/>
      <c r="DMK7" s="63"/>
      <c r="DML7" s="34"/>
      <c r="DMM7" s="64"/>
      <c r="DMN7" s="4"/>
      <c r="DMO7" s="65"/>
      <c r="DMP7" s="4"/>
      <c r="DMQ7" s="4"/>
      <c r="DMR7" s="4"/>
      <c r="DMU7" s="34"/>
      <c r="DMV7" s="34"/>
      <c r="DMX7" s="34"/>
      <c r="DMY7" s="72"/>
      <c r="DMZ7" s="63"/>
      <c r="DNA7" s="34"/>
      <c r="DNB7" s="64"/>
      <c r="DNC7" s="4"/>
      <c r="DND7" s="65"/>
      <c r="DNE7" s="4"/>
      <c r="DNF7" s="4"/>
      <c r="DNG7" s="4"/>
      <c r="DNJ7" s="34"/>
      <c r="DNK7" s="34"/>
      <c r="DNM7" s="34"/>
      <c r="DNN7" s="72"/>
      <c r="DNO7" s="63"/>
      <c r="DNP7" s="34"/>
      <c r="DNQ7" s="64"/>
      <c r="DNR7" s="4"/>
      <c r="DNS7" s="65"/>
      <c r="DNT7" s="4"/>
      <c r="DNU7" s="4"/>
      <c r="DNV7" s="4"/>
      <c r="DNY7" s="34"/>
      <c r="DNZ7" s="34"/>
      <c r="DOB7" s="34"/>
      <c r="DOC7" s="72"/>
      <c r="DOD7" s="63"/>
      <c r="DOE7" s="34"/>
      <c r="DOF7" s="64"/>
      <c r="DOG7" s="4"/>
      <c r="DOH7" s="65"/>
      <c r="DOI7" s="4"/>
      <c r="DOJ7" s="4"/>
      <c r="DOK7" s="4"/>
      <c r="DON7" s="34"/>
      <c r="DOO7" s="34"/>
      <c r="DOQ7" s="34"/>
      <c r="DOR7" s="72"/>
      <c r="DOS7" s="63"/>
      <c r="DOT7" s="34"/>
      <c r="DOU7" s="64"/>
      <c r="DOV7" s="4"/>
      <c r="DOW7" s="65"/>
      <c r="DOX7" s="4"/>
      <c r="DOY7" s="4"/>
      <c r="DOZ7" s="4"/>
      <c r="DPC7" s="34"/>
      <c r="DPD7" s="34"/>
      <c r="DPF7" s="34"/>
      <c r="DPG7" s="72"/>
      <c r="DPH7" s="63"/>
      <c r="DPI7" s="34"/>
      <c r="DPJ7" s="64"/>
      <c r="DPK7" s="4"/>
      <c r="DPL7" s="65"/>
      <c r="DPM7" s="4"/>
      <c r="DPN7" s="4"/>
      <c r="DPO7" s="4"/>
      <c r="DPR7" s="34"/>
      <c r="DPS7" s="34"/>
      <c r="DPU7" s="34"/>
      <c r="DPV7" s="72"/>
      <c r="DPW7" s="63"/>
      <c r="DPX7" s="34"/>
      <c r="DPY7" s="64"/>
      <c r="DPZ7" s="4"/>
      <c r="DQA7" s="65"/>
      <c r="DQB7" s="4"/>
      <c r="DQC7" s="4"/>
      <c r="DQD7" s="4"/>
      <c r="DQG7" s="34"/>
      <c r="DQH7" s="34"/>
      <c r="DQJ7" s="34"/>
      <c r="DQK7" s="72"/>
      <c r="DQL7" s="63"/>
      <c r="DQM7" s="34"/>
      <c r="DQN7" s="64"/>
      <c r="DQO7" s="4"/>
      <c r="DQP7" s="65"/>
      <c r="DQQ7" s="4"/>
      <c r="DQR7" s="4"/>
      <c r="DQS7" s="4"/>
      <c r="DQV7" s="34"/>
      <c r="DQW7" s="34"/>
      <c r="DQY7" s="34"/>
      <c r="DQZ7" s="72"/>
      <c r="DRA7" s="63"/>
      <c r="DRB7" s="34"/>
      <c r="DRC7" s="64"/>
      <c r="DRD7" s="4"/>
      <c r="DRE7" s="65"/>
      <c r="DRF7" s="4"/>
      <c r="DRG7" s="4"/>
      <c r="DRH7" s="4"/>
      <c r="DRK7" s="34"/>
      <c r="DRL7" s="34"/>
      <c r="DRN7" s="34"/>
      <c r="DRO7" s="72"/>
      <c r="DRP7" s="63"/>
      <c r="DRQ7" s="34"/>
      <c r="DRR7" s="64"/>
      <c r="DRS7" s="4"/>
      <c r="DRT7" s="65"/>
      <c r="DRU7" s="4"/>
      <c r="DRV7" s="4"/>
      <c r="DRW7" s="4"/>
      <c r="DRZ7" s="34"/>
      <c r="DSA7" s="34"/>
      <c r="DSC7" s="34"/>
      <c r="DSD7" s="72"/>
      <c r="DSE7" s="63"/>
      <c r="DSF7" s="34"/>
      <c r="DSG7" s="64"/>
      <c r="DSH7" s="4"/>
      <c r="DSI7" s="65"/>
      <c r="DSJ7" s="4"/>
      <c r="DSK7" s="4"/>
      <c r="DSL7" s="4"/>
      <c r="DSO7" s="34"/>
      <c r="DSP7" s="34"/>
      <c r="DSR7" s="34"/>
      <c r="DSS7" s="72"/>
      <c r="DST7" s="63"/>
      <c r="DSU7" s="34"/>
      <c r="DSV7" s="64"/>
      <c r="DSW7" s="4"/>
      <c r="DSX7" s="65"/>
      <c r="DSY7" s="4"/>
      <c r="DSZ7" s="4"/>
      <c r="DTA7" s="4"/>
      <c r="DTD7" s="34"/>
      <c r="DTE7" s="34"/>
      <c r="DTG7" s="34"/>
      <c r="DTH7" s="72"/>
      <c r="DTI7" s="63"/>
      <c r="DTJ7" s="34"/>
      <c r="DTK7" s="64"/>
      <c r="DTL7" s="4"/>
      <c r="DTM7" s="65"/>
      <c r="DTN7" s="4"/>
      <c r="DTO7" s="4"/>
      <c r="DTP7" s="4"/>
      <c r="DTS7" s="34"/>
      <c r="DTT7" s="34"/>
      <c r="DTV7" s="34"/>
      <c r="DTW7" s="72"/>
      <c r="DTX7" s="63"/>
      <c r="DTY7" s="34"/>
      <c r="DTZ7" s="64"/>
      <c r="DUA7" s="4"/>
      <c r="DUB7" s="65"/>
      <c r="DUC7" s="4"/>
      <c r="DUD7" s="4"/>
      <c r="DUE7" s="4"/>
      <c r="DUH7" s="34"/>
      <c r="DUI7" s="34"/>
      <c r="DUK7" s="34"/>
      <c r="DUL7" s="72"/>
      <c r="DUM7" s="63"/>
      <c r="DUN7" s="34"/>
      <c r="DUO7" s="64"/>
      <c r="DUP7" s="4"/>
      <c r="DUQ7" s="65"/>
      <c r="DUR7" s="4"/>
      <c r="DUS7" s="4"/>
      <c r="DUT7" s="4"/>
      <c r="DUW7" s="34"/>
      <c r="DUX7" s="34"/>
      <c r="DUZ7" s="34"/>
      <c r="DVA7" s="72"/>
      <c r="DVB7" s="63"/>
      <c r="DVC7" s="34"/>
      <c r="DVD7" s="64"/>
      <c r="DVE7" s="4"/>
      <c r="DVF7" s="65"/>
      <c r="DVG7" s="4"/>
      <c r="DVH7" s="4"/>
      <c r="DVI7" s="4"/>
      <c r="DVL7" s="34"/>
      <c r="DVM7" s="34"/>
      <c r="DVO7" s="34"/>
      <c r="DVP7" s="72"/>
      <c r="DVQ7" s="63"/>
      <c r="DVR7" s="34"/>
      <c r="DVS7" s="64"/>
      <c r="DVT7" s="4"/>
      <c r="DVU7" s="65"/>
      <c r="DVV7" s="4"/>
      <c r="DVW7" s="4"/>
      <c r="DVX7" s="4"/>
      <c r="DWA7" s="34"/>
      <c r="DWB7" s="34"/>
      <c r="DWD7" s="34"/>
      <c r="DWE7" s="72"/>
      <c r="DWF7" s="63"/>
      <c r="DWG7" s="34"/>
      <c r="DWH7" s="64"/>
      <c r="DWI7" s="4"/>
      <c r="DWJ7" s="65"/>
      <c r="DWK7" s="4"/>
      <c r="DWL7" s="4"/>
      <c r="DWM7" s="4"/>
      <c r="DWP7" s="34"/>
      <c r="DWQ7" s="34"/>
      <c r="DWS7" s="34"/>
      <c r="DWT7" s="72"/>
      <c r="DWU7" s="63"/>
      <c r="DWV7" s="34"/>
      <c r="DWW7" s="64"/>
      <c r="DWX7" s="4"/>
      <c r="DWY7" s="65"/>
      <c r="DWZ7" s="4"/>
      <c r="DXA7" s="4"/>
      <c r="DXB7" s="4"/>
      <c r="DXE7" s="34"/>
      <c r="DXF7" s="34"/>
      <c r="DXH7" s="34"/>
      <c r="DXI7" s="72"/>
      <c r="DXJ7" s="63"/>
      <c r="DXK7" s="34"/>
      <c r="DXL7" s="64"/>
      <c r="DXM7" s="4"/>
      <c r="DXN7" s="65"/>
      <c r="DXO7" s="4"/>
      <c r="DXP7" s="4"/>
      <c r="DXQ7" s="4"/>
      <c r="DXT7" s="34"/>
      <c r="DXU7" s="34"/>
      <c r="DXW7" s="34"/>
      <c r="DXX7" s="72"/>
      <c r="DXY7" s="63"/>
      <c r="DXZ7" s="34"/>
      <c r="DYA7" s="64"/>
      <c r="DYB7" s="4"/>
      <c r="DYC7" s="65"/>
      <c r="DYD7" s="4"/>
      <c r="DYE7" s="4"/>
      <c r="DYF7" s="4"/>
      <c r="DYI7" s="34"/>
      <c r="DYJ7" s="34"/>
      <c r="DYL7" s="34"/>
      <c r="DYM7" s="72"/>
      <c r="DYN7" s="63"/>
      <c r="DYO7" s="34"/>
      <c r="DYP7" s="64"/>
      <c r="DYQ7" s="4"/>
      <c r="DYR7" s="65"/>
      <c r="DYS7" s="4"/>
      <c r="DYT7" s="4"/>
      <c r="DYU7" s="4"/>
      <c r="DYX7" s="34"/>
      <c r="DYY7" s="34"/>
      <c r="DZA7" s="34"/>
      <c r="DZB7" s="72"/>
      <c r="DZC7" s="63"/>
      <c r="DZD7" s="34"/>
      <c r="DZE7" s="64"/>
      <c r="DZF7" s="4"/>
      <c r="DZG7" s="65"/>
      <c r="DZH7" s="4"/>
      <c r="DZI7" s="4"/>
      <c r="DZJ7" s="4"/>
      <c r="DZM7" s="34"/>
      <c r="DZN7" s="34"/>
      <c r="DZP7" s="34"/>
      <c r="DZQ7" s="72"/>
      <c r="DZR7" s="63"/>
      <c r="DZS7" s="34"/>
      <c r="DZT7" s="64"/>
      <c r="DZU7" s="4"/>
      <c r="DZV7" s="65"/>
      <c r="DZW7" s="4"/>
      <c r="DZX7" s="4"/>
      <c r="DZY7" s="4"/>
      <c r="EAB7" s="34"/>
      <c r="EAC7" s="34"/>
      <c r="EAE7" s="34"/>
      <c r="EAF7" s="72"/>
      <c r="EAG7" s="63"/>
      <c r="EAH7" s="34"/>
      <c r="EAI7" s="64"/>
      <c r="EAJ7" s="4"/>
      <c r="EAK7" s="65"/>
      <c r="EAL7" s="4"/>
      <c r="EAM7" s="4"/>
      <c r="EAN7" s="4"/>
      <c r="EAQ7" s="34"/>
      <c r="EAR7" s="34"/>
      <c r="EAT7" s="34"/>
      <c r="EAU7" s="72"/>
      <c r="EAV7" s="63"/>
      <c r="EAW7" s="34"/>
      <c r="EAX7" s="64"/>
      <c r="EAY7" s="4"/>
      <c r="EAZ7" s="65"/>
      <c r="EBA7" s="4"/>
      <c r="EBB7" s="4"/>
      <c r="EBC7" s="4"/>
      <c r="EBF7" s="34"/>
      <c r="EBG7" s="34"/>
      <c r="EBI7" s="34"/>
      <c r="EBJ7" s="72"/>
      <c r="EBK7" s="63"/>
      <c r="EBL7" s="34"/>
      <c r="EBM7" s="64"/>
      <c r="EBN7" s="4"/>
      <c r="EBO7" s="65"/>
      <c r="EBP7" s="4"/>
      <c r="EBQ7" s="4"/>
      <c r="EBR7" s="4"/>
      <c r="EBU7" s="34"/>
      <c r="EBV7" s="34"/>
      <c r="EBX7" s="34"/>
      <c r="EBY7" s="72"/>
      <c r="EBZ7" s="63"/>
      <c r="ECA7" s="34"/>
      <c r="ECB7" s="64"/>
      <c r="ECC7" s="4"/>
      <c r="ECD7" s="65"/>
      <c r="ECE7" s="4"/>
      <c r="ECF7" s="4"/>
      <c r="ECG7" s="4"/>
      <c r="ECJ7" s="34"/>
      <c r="ECK7" s="34"/>
      <c r="ECM7" s="34"/>
      <c r="ECN7" s="72"/>
      <c r="ECO7" s="63"/>
      <c r="ECP7" s="34"/>
      <c r="ECQ7" s="64"/>
      <c r="ECR7" s="4"/>
      <c r="ECS7" s="65"/>
      <c r="ECT7" s="4"/>
      <c r="ECU7" s="4"/>
      <c r="ECV7" s="4"/>
      <c r="ECY7" s="34"/>
      <c r="ECZ7" s="34"/>
      <c r="EDB7" s="34"/>
      <c r="EDC7" s="72"/>
      <c r="EDD7" s="63"/>
      <c r="EDE7" s="34"/>
      <c r="EDF7" s="64"/>
      <c r="EDG7" s="4"/>
      <c r="EDH7" s="65"/>
      <c r="EDI7" s="4"/>
      <c r="EDJ7" s="4"/>
      <c r="EDK7" s="4"/>
      <c r="EDN7" s="34"/>
      <c r="EDO7" s="34"/>
      <c r="EDQ7" s="34"/>
      <c r="EDR7" s="72"/>
      <c r="EDS7" s="63"/>
      <c r="EDT7" s="34"/>
      <c r="EDU7" s="64"/>
      <c r="EDV7" s="4"/>
      <c r="EDW7" s="65"/>
      <c r="EDX7" s="4"/>
      <c r="EDY7" s="4"/>
      <c r="EDZ7" s="4"/>
      <c r="EEC7" s="34"/>
      <c r="EED7" s="34"/>
      <c r="EEF7" s="34"/>
      <c r="EEG7" s="72"/>
      <c r="EEH7" s="63"/>
      <c r="EEI7" s="34"/>
      <c r="EEJ7" s="64"/>
      <c r="EEK7" s="4"/>
      <c r="EEL7" s="65"/>
      <c r="EEM7" s="4"/>
      <c r="EEN7" s="4"/>
      <c r="EEO7" s="4"/>
      <c r="EER7" s="34"/>
      <c r="EES7" s="34"/>
      <c r="EEU7" s="34"/>
      <c r="EEV7" s="72"/>
      <c r="EEW7" s="63"/>
      <c r="EEX7" s="34"/>
      <c r="EEY7" s="64"/>
      <c r="EEZ7" s="4"/>
      <c r="EFA7" s="65"/>
      <c r="EFB7" s="4"/>
      <c r="EFC7" s="4"/>
      <c r="EFD7" s="4"/>
      <c r="EFG7" s="34"/>
      <c r="EFH7" s="34"/>
      <c r="EFJ7" s="34"/>
      <c r="EFK7" s="72"/>
      <c r="EFL7" s="63"/>
      <c r="EFM7" s="34"/>
      <c r="EFN7" s="64"/>
      <c r="EFO7" s="4"/>
      <c r="EFP7" s="65"/>
      <c r="EFQ7" s="4"/>
      <c r="EFR7" s="4"/>
      <c r="EFS7" s="4"/>
      <c r="EFV7" s="34"/>
      <c r="EFW7" s="34"/>
      <c r="EFY7" s="34"/>
      <c r="EFZ7" s="72"/>
      <c r="EGA7" s="63"/>
      <c r="EGB7" s="34"/>
      <c r="EGC7" s="64"/>
      <c r="EGD7" s="4"/>
      <c r="EGE7" s="65"/>
      <c r="EGF7" s="4"/>
      <c r="EGG7" s="4"/>
      <c r="EGH7" s="4"/>
      <c r="EGK7" s="34"/>
      <c r="EGL7" s="34"/>
      <c r="EGN7" s="34"/>
      <c r="EGO7" s="72"/>
      <c r="EGP7" s="63"/>
      <c r="EGQ7" s="34"/>
      <c r="EGR7" s="64"/>
      <c r="EGS7" s="4"/>
      <c r="EGT7" s="65"/>
      <c r="EGU7" s="4"/>
      <c r="EGV7" s="4"/>
      <c r="EGW7" s="4"/>
      <c r="EGZ7" s="34"/>
      <c r="EHA7" s="34"/>
      <c r="EHC7" s="34"/>
      <c r="EHD7" s="72"/>
      <c r="EHE7" s="63"/>
      <c r="EHF7" s="34"/>
      <c r="EHG7" s="64"/>
      <c r="EHH7" s="4"/>
      <c r="EHI7" s="65"/>
      <c r="EHJ7" s="4"/>
      <c r="EHK7" s="4"/>
      <c r="EHL7" s="4"/>
      <c r="EHO7" s="34"/>
      <c r="EHP7" s="34"/>
      <c r="EHR7" s="34"/>
      <c r="EHS7" s="72"/>
      <c r="EHT7" s="63"/>
      <c r="EHU7" s="34"/>
      <c r="EHV7" s="64"/>
      <c r="EHW7" s="4"/>
      <c r="EHX7" s="65"/>
      <c r="EHY7" s="4"/>
      <c r="EHZ7" s="4"/>
      <c r="EIA7" s="4"/>
      <c r="EID7" s="34"/>
      <c r="EIE7" s="34"/>
      <c r="EIG7" s="34"/>
      <c r="EIH7" s="72"/>
      <c r="EII7" s="63"/>
      <c r="EIJ7" s="34"/>
      <c r="EIK7" s="64"/>
      <c r="EIL7" s="4"/>
      <c r="EIM7" s="65"/>
      <c r="EIN7" s="4"/>
      <c r="EIO7" s="4"/>
      <c r="EIP7" s="4"/>
      <c r="EIS7" s="34"/>
      <c r="EIT7" s="34"/>
      <c r="EIV7" s="34"/>
      <c r="EIW7" s="72"/>
      <c r="EIX7" s="63"/>
      <c r="EIY7" s="34"/>
      <c r="EIZ7" s="64"/>
      <c r="EJA7" s="4"/>
      <c r="EJB7" s="65"/>
      <c r="EJC7" s="4"/>
      <c r="EJD7" s="4"/>
      <c r="EJE7" s="4"/>
      <c r="EJH7" s="34"/>
      <c r="EJI7" s="34"/>
      <c r="EJK7" s="34"/>
      <c r="EJL7" s="72"/>
      <c r="EJM7" s="63"/>
      <c r="EJN7" s="34"/>
      <c r="EJO7" s="64"/>
      <c r="EJP7" s="4"/>
      <c r="EJQ7" s="65"/>
      <c r="EJR7" s="4"/>
      <c r="EJS7" s="4"/>
      <c r="EJT7" s="4"/>
      <c r="EJW7" s="34"/>
      <c r="EJX7" s="34"/>
      <c r="EJZ7" s="34"/>
      <c r="EKA7" s="72"/>
      <c r="EKB7" s="63"/>
      <c r="EKC7" s="34"/>
      <c r="EKD7" s="64"/>
      <c r="EKE7" s="4"/>
      <c r="EKF7" s="65"/>
      <c r="EKG7" s="4"/>
      <c r="EKH7" s="4"/>
      <c r="EKI7" s="4"/>
      <c r="EKL7" s="34"/>
      <c r="EKM7" s="34"/>
      <c r="EKO7" s="34"/>
      <c r="EKP7" s="72"/>
      <c r="EKQ7" s="63"/>
      <c r="EKR7" s="34"/>
      <c r="EKS7" s="64"/>
      <c r="EKT7" s="4"/>
      <c r="EKU7" s="65"/>
      <c r="EKV7" s="4"/>
      <c r="EKW7" s="4"/>
      <c r="EKX7" s="4"/>
      <c r="ELA7" s="34"/>
      <c r="ELB7" s="34"/>
      <c r="ELD7" s="34"/>
      <c r="ELE7" s="72"/>
      <c r="ELF7" s="63"/>
      <c r="ELG7" s="34"/>
      <c r="ELH7" s="64"/>
      <c r="ELI7" s="4"/>
      <c r="ELJ7" s="65"/>
      <c r="ELK7" s="4"/>
      <c r="ELL7" s="4"/>
      <c r="ELM7" s="4"/>
      <c r="ELP7" s="34"/>
      <c r="ELQ7" s="34"/>
      <c r="ELS7" s="34"/>
      <c r="ELT7" s="72"/>
      <c r="ELU7" s="63"/>
      <c r="ELV7" s="34"/>
      <c r="ELW7" s="64"/>
      <c r="ELX7" s="4"/>
      <c r="ELY7" s="65"/>
      <c r="ELZ7" s="4"/>
      <c r="EMA7" s="4"/>
      <c r="EMB7" s="4"/>
      <c r="EME7" s="34"/>
      <c r="EMF7" s="34"/>
      <c r="EMH7" s="34"/>
      <c r="EMI7" s="72"/>
      <c r="EMJ7" s="63"/>
      <c r="EMK7" s="34"/>
      <c r="EML7" s="64"/>
      <c r="EMM7" s="4"/>
      <c r="EMN7" s="65"/>
      <c r="EMO7" s="4"/>
      <c r="EMP7" s="4"/>
      <c r="EMQ7" s="4"/>
      <c r="EMT7" s="34"/>
      <c r="EMU7" s="34"/>
      <c r="EMW7" s="34"/>
      <c r="EMX7" s="72"/>
      <c r="EMY7" s="63"/>
      <c r="EMZ7" s="34"/>
      <c r="ENA7" s="64"/>
      <c r="ENB7" s="4"/>
      <c r="ENC7" s="65"/>
      <c r="END7" s="4"/>
      <c r="ENE7" s="4"/>
      <c r="ENF7" s="4"/>
      <c r="ENI7" s="34"/>
      <c r="ENJ7" s="34"/>
      <c r="ENL7" s="34"/>
      <c r="ENM7" s="72"/>
      <c r="ENN7" s="63"/>
      <c r="ENO7" s="34"/>
      <c r="ENP7" s="64"/>
      <c r="ENQ7" s="4"/>
      <c r="ENR7" s="65"/>
      <c r="ENS7" s="4"/>
      <c r="ENT7" s="4"/>
      <c r="ENU7" s="4"/>
      <c r="ENX7" s="34"/>
      <c r="ENY7" s="34"/>
      <c r="EOA7" s="34"/>
      <c r="EOB7" s="72"/>
      <c r="EOC7" s="63"/>
      <c r="EOD7" s="34"/>
      <c r="EOE7" s="64"/>
      <c r="EOF7" s="4"/>
      <c r="EOG7" s="65"/>
      <c r="EOH7" s="4"/>
      <c r="EOI7" s="4"/>
      <c r="EOJ7" s="4"/>
      <c r="EOM7" s="34"/>
      <c r="EON7" s="34"/>
      <c r="EOP7" s="34"/>
      <c r="EOQ7" s="72"/>
      <c r="EOR7" s="63"/>
      <c r="EOS7" s="34"/>
      <c r="EOT7" s="64"/>
      <c r="EOU7" s="4"/>
      <c r="EOV7" s="65"/>
      <c r="EOW7" s="4"/>
      <c r="EOX7" s="4"/>
      <c r="EOY7" s="4"/>
      <c r="EPB7" s="34"/>
      <c r="EPC7" s="34"/>
      <c r="EPE7" s="34"/>
      <c r="EPF7" s="72"/>
      <c r="EPG7" s="63"/>
      <c r="EPH7" s="34"/>
      <c r="EPI7" s="64"/>
      <c r="EPJ7" s="4"/>
      <c r="EPK7" s="65"/>
      <c r="EPL7" s="4"/>
      <c r="EPM7" s="4"/>
      <c r="EPN7" s="4"/>
      <c r="EPQ7" s="34"/>
      <c r="EPR7" s="34"/>
      <c r="EPT7" s="34"/>
      <c r="EPU7" s="72"/>
      <c r="EPV7" s="63"/>
      <c r="EPW7" s="34"/>
      <c r="EPX7" s="64"/>
      <c r="EPY7" s="4"/>
      <c r="EPZ7" s="65"/>
      <c r="EQA7" s="4"/>
      <c r="EQB7" s="4"/>
      <c r="EQC7" s="4"/>
      <c r="EQF7" s="34"/>
      <c r="EQG7" s="34"/>
      <c r="EQI7" s="34"/>
      <c r="EQJ7" s="72"/>
      <c r="EQK7" s="63"/>
      <c r="EQL7" s="34"/>
      <c r="EQM7" s="64"/>
      <c r="EQN7" s="4"/>
      <c r="EQO7" s="65"/>
      <c r="EQP7" s="4"/>
      <c r="EQQ7" s="4"/>
      <c r="EQR7" s="4"/>
      <c r="EQU7" s="34"/>
      <c r="EQV7" s="34"/>
      <c r="EQX7" s="34"/>
      <c r="EQY7" s="72"/>
      <c r="EQZ7" s="63"/>
      <c r="ERA7" s="34"/>
      <c r="ERB7" s="64"/>
      <c r="ERC7" s="4"/>
      <c r="ERD7" s="65"/>
      <c r="ERE7" s="4"/>
      <c r="ERF7" s="4"/>
      <c r="ERG7" s="4"/>
      <c r="ERJ7" s="34"/>
      <c r="ERK7" s="34"/>
      <c r="ERM7" s="34"/>
      <c r="ERN7" s="72"/>
      <c r="ERO7" s="63"/>
      <c r="ERP7" s="34"/>
      <c r="ERQ7" s="64"/>
      <c r="ERR7" s="4"/>
      <c r="ERS7" s="65"/>
      <c r="ERT7" s="4"/>
      <c r="ERU7" s="4"/>
      <c r="ERV7" s="4"/>
      <c r="ERY7" s="34"/>
      <c r="ERZ7" s="34"/>
      <c r="ESB7" s="34"/>
      <c r="ESC7" s="72"/>
      <c r="ESD7" s="63"/>
      <c r="ESE7" s="34"/>
      <c r="ESF7" s="64"/>
      <c r="ESG7" s="4"/>
      <c r="ESH7" s="65"/>
      <c r="ESI7" s="4"/>
      <c r="ESJ7" s="4"/>
      <c r="ESK7" s="4"/>
      <c r="ESN7" s="34"/>
      <c r="ESO7" s="34"/>
      <c r="ESQ7" s="34"/>
      <c r="ESR7" s="72"/>
      <c r="ESS7" s="63"/>
      <c r="EST7" s="34"/>
      <c r="ESU7" s="64"/>
      <c r="ESV7" s="4"/>
      <c r="ESW7" s="65"/>
      <c r="ESX7" s="4"/>
      <c r="ESY7" s="4"/>
      <c r="ESZ7" s="4"/>
      <c r="ETC7" s="34"/>
      <c r="ETD7" s="34"/>
      <c r="ETF7" s="34"/>
      <c r="ETG7" s="72"/>
      <c r="ETH7" s="63"/>
      <c r="ETI7" s="34"/>
      <c r="ETJ7" s="64"/>
      <c r="ETK7" s="4"/>
      <c r="ETL7" s="65"/>
      <c r="ETM7" s="4"/>
      <c r="ETN7" s="4"/>
      <c r="ETO7" s="4"/>
      <c r="ETR7" s="34"/>
      <c r="ETS7" s="34"/>
      <c r="ETU7" s="34"/>
      <c r="ETV7" s="72"/>
      <c r="ETW7" s="63"/>
      <c r="ETX7" s="34"/>
      <c r="ETY7" s="64"/>
      <c r="ETZ7" s="4"/>
      <c r="EUA7" s="65"/>
      <c r="EUB7" s="4"/>
      <c r="EUC7" s="4"/>
      <c r="EUD7" s="4"/>
      <c r="EUG7" s="34"/>
      <c r="EUH7" s="34"/>
      <c r="EUJ7" s="34"/>
      <c r="EUK7" s="72"/>
      <c r="EUL7" s="63"/>
      <c r="EUM7" s="34"/>
      <c r="EUN7" s="64"/>
      <c r="EUO7" s="4"/>
      <c r="EUP7" s="65"/>
      <c r="EUQ7" s="4"/>
      <c r="EUR7" s="4"/>
      <c r="EUS7" s="4"/>
      <c r="EUV7" s="34"/>
      <c r="EUW7" s="34"/>
      <c r="EUY7" s="34"/>
      <c r="EUZ7" s="72"/>
      <c r="EVA7" s="63"/>
      <c r="EVB7" s="34"/>
      <c r="EVC7" s="64"/>
      <c r="EVD7" s="4"/>
      <c r="EVE7" s="65"/>
      <c r="EVF7" s="4"/>
      <c r="EVG7" s="4"/>
      <c r="EVH7" s="4"/>
      <c r="EVK7" s="34"/>
      <c r="EVL7" s="34"/>
      <c r="EVN7" s="34"/>
      <c r="EVO7" s="72"/>
      <c r="EVP7" s="63"/>
      <c r="EVQ7" s="34"/>
      <c r="EVR7" s="64"/>
      <c r="EVS7" s="4"/>
      <c r="EVT7" s="65"/>
      <c r="EVU7" s="4"/>
      <c r="EVV7" s="4"/>
      <c r="EVW7" s="4"/>
      <c r="EVZ7" s="34"/>
      <c r="EWA7" s="34"/>
      <c r="EWC7" s="34"/>
      <c r="EWD7" s="72"/>
      <c r="EWE7" s="63"/>
      <c r="EWF7" s="34"/>
      <c r="EWG7" s="64"/>
      <c r="EWH7" s="4"/>
      <c r="EWI7" s="65"/>
      <c r="EWJ7" s="4"/>
      <c r="EWK7" s="4"/>
      <c r="EWL7" s="4"/>
      <c r="EWO7" s="34"/>
      <c r="EWP7" s="34"/>
      <c r="EWR7" s="34"/>
      <c r="EWS7" s="72"/>
      <c r="EWT7" s="63"/>
      <c r="EWU7" s="34"/>
      <c r="EWV7" s="64"/>
      <c r="EWW7" s="4"/>
      <c r="EWX7" s="65"/>
      <c r="EWY7" s="4"/>
      <c r="EWZ7" s="4"/>
      <c r="EXA7" s="4"/>
      <c r="EXD7" s="34"/>
      <c r="EXE7" s="34"/>
      <c r="EXG7" s="34"/>
      <c r="EXH7" s="72"/>
      <c r="EXI7" s="63"/>
      <c r="EXJ7" s="34"/>
      <c r="EXK7" s="64"/>
      <c r="EXL7" s="4"/>
      <c r="EXM7" s="65"/>
      <c r="EXN7" s="4"/>
      <c r="EXO7" s="4"/>
      <c r="EXP7" s="4"/>
      <c r="EXS7" s="34"/>
      <c r="EXT7" s="34"/>
      <c r="EXV7" s="34"/>
      <c r="EXW7" s="72"/>
      <c r="EXX7" s="63"/>
      <c r="EXY7" s="34"/>
      <c r="EXZ7" s="64"/>
      <c r="EYA7" s="4"/>
      <c r="EYB7" s="65"/>
      <c r="EYC7" s="4"/>
      <c r="EYD7" s="4"/>
      <c r="EYE7" s="4"/>
      <c r="EYH7" s="34"/>
      <c r="EYI7" s="34"/>
      <c r="EYK7" s="34"/>
      <c r="EYL7" s="72"/>
      <c r="EYM7" s="63"/>
      <c r="EYN7" s="34"/>
      <c r="EYO7" s="64"/>
      <c r="EYP7" s="4"/>
      <c r="EYQ7" s="65"/>
      <c r="EYR7" s="4"/>
      <c r="EYS7" s="4"/>
      <c r="EYT7" s="4"/>
      <c r="EYW7" s="34"/>
      <c r="EYX7" s="34"/>
      <c r="EYZ7" s="34"/>
      <c r="EZA7" s="72"/>
      <c r="EZB7" s="63"/>
      <c r="EZC7" s="34"/>
      <c r="EZD7" s="64"/>
      <c r="EZE7" s="4"/>
      <c r="EZF7" s="65"/>
      <c r="EZG7" s="4"/>
      <c r="EZH7" s="4"/>
      <c r="EZI7" s="4"/>
      <c r="EZL7" s="34"/>
      <c r="EZM7" s="34"/>
      <c r="EZO7" s="34"/>
      <c r="EZP7" s="72"/>
      <c r="EZQ7" s="63"/>
      <c r="EZR7" s="34"/>
      <c r="EZS7" s="64"/>
      <c r="EZT7" s="4"/>
      <c r="EZU7" s="65"/>
      <c r="EZV7" s="4"/>
      <c r="EZW7" s="4"/>
      <c r="EZX7" s="4"/>
      <c r="FAA7" s="34"/>
      <c r="FAB7" s="34"/>
      <c r="FAD7" s="34"/>
      <c r="FAE7" s="72"/>
      <c r="FAF7" s="63"/>
      <c r="FAG7" s="34"/>
      <c r="FAH7" s="64"/>
      <c r="FAI7" s="4"/>
      <c r="FAJ7" s="65"/>
      <c r="FAK7" s="4"/>
      <c r="FAL7" s="4"/>
      <c r="FAM7" s="4"/>
      <c r="FAP7" s="34"/>
      <c r="FAQ7" s="34"/>
      <c r="FAS7" s="34"/>
      <c r="FAT7" s="72"/>
      <c r="FAU7" s="63"/>
      <c r="FAV7" s="34"/>
      <c r="FAW7" s="64"/>
      <c r="FAX7" s="4"/>
      <c r="FAY7" s="65"/>
      <c r="FAZ7" s="4"/>
      <c r="FBA7" s="4"/>
      <c r="FBB7" s="4"/>
      <c r="FBE7" s="34"/>
      <c r="FBF7" s="34"/>
      <c r="FBH7" s="34"/>
      <c r="FBI7" s="72"/>
      <c r="FBJ7" s="63"/>
      <c r="FBK7" s="34"/>
      <c r="FBL7" s="64"/>
      <c r="FBM7" s="4"/>
      <c r="FBN7" s="65"/>
      <c r="FBO7" s="4"/>
      <c r="FBP7" s="4"/>
      <c r="FBQ7" s="4"/>
      <c r="FBT7" s="34"/>
      <c r="FBU7" s="34"/>
      <c r="FBW7" s="34"/>
      <c r="FBX7" s="72"/>
      <c r="FBY7" s="63"/>
      <c r="FBZ7" s="34"/>
      <c r="FCA7" s="64"/>
      <c r="FCB7" s="4"/>
      <c r="FCC7" s="65"/>
      <c r="FCD7" s="4"/>
      <c r="FCE7" s="4"/>
      <c r="FCF7" s="4"/>
      <c r="FCI7" s="34"/>
      <c r="FCJ7" s="34"/>
      <c r="FCL7" s="34"/>
      <c r="FCM7" s="72"/>
      <c r="FCN7" s="63"/>
      <c r="FCO7" s="34"/>
      <c r="FCP7" s="64"/>
      <c r="FCQ7" s="4"/>
      <c r="FCR7" s="65"/>
      <c r="FCS7" s="4"/>
      <c r="FCT7" s="4"/>
      <c r="FCU7" s="4"/>
      <c r="FCX7" s="34"/>
      <c r="FCY7" s="34"/>
      <c r="FDA7" s="34"/>
      <c r="FDB7" s="72"/>
      <c r="FDC7" s="63"/>
      <c r="FDD7" s="34"/>
      <c r="FDE7" s="64"/>
      <c r="FDF7" s="4"/>
      <c r="FDG7" s="65"/>
      <c r="FDH7" s="4"/>
      <c r="FDI7" s="4"/>
      <c r="FDJ7" s="4"/>
      <c r="FDM7" s="34"/>
      <c r="FDN7" s="34"/>
      <c r="FDP7" s="34"/>
      <c r="FDQ7" s="72"/>
      <c r="FDR7" s="63"/>
      <c r="FDS7" s="34"/>
      <c r="FDT7" s="64"/>
      <c r="FDU7" s="4"/>
      <c r="FDV7" s="65"/>
      <c r="FDW7" s="4"/>
      <c r="FDX7" s="4"/>
      <c r="FDY7" s="4"/>
      <c r="FEB7" s="34"/>
      <c r="FEC7" s="34"/>
      <c r="FEE7" s="34"/>
      <c r="FEF7" s="72"/>
      <c r="FEG7" s="63"/>
      <c r="FEH7" s="34"/>
      <c r="FEI7" s="64"/>
      <c r="FEJ7" s="4"/>
      <c r="FEK7" s="65"/>
      <c r="FEL7" s="4"/>
      <c r="FEM7" s="4"/>
      <c r="FEN7" s="4"/>
      <c r="FEQ7" s="34"/>
      <c r="FER7" s="34"/>
      <c r="FET7" s="34"/>
      <c r="FEU7" s="72"/>
      <c r="FEV7" s="63"/>
      <c r="FEW7" s="34"/>
      <c r="FEX7" s="64"/>
      <c r="FEY7" s="4"/>
      <c r="FEZ7" s="65"/>
      <c r="FFA7" s="4"/>
      <c r="FFB7" s="4"/>
      <c r="FFC7" s="4"/>
      <c r="FFF7" s="34"/>
      <c r="FFG7" s="34"/>
      <c r="FFI7" s="34"/>
      <c r="FFJ7" s="72"/>
      <c r="FFK7" s="63"/>
      <c r="FFL7" s="34"/>
      <c r="FFM7" s="64"/>
      <c r="FFN7" s="4"/>
      <c r="FFO7" s="65"/>
      <c r="FFP7" s="4"/>
      <c r="FFQ7" s="4"/>
      <c r="FFR7" s="4"/>
      <c r="FFU7" s="34"/>
      <c r="FFV7" s="34"/>
      <c r="FFX7" s="34"/>
      <c r="FFY7" s="72"/>
      <c r="FFZ7" s="63"/>
      <c r="FGA7" s="34"/>
      <c r="FGB7" s="64"/>
      <c r="FGC7" s="4"/>
      <c r="FGD7" s="65"/>
      <c r="FGE7" s="4"/>
      <c r="FGF7" s="4"/>
      <c r="FGG7" s="4"/>
      <c r="FGJ7" s="34"/>
      <c r="FGK7" s="34"/>
      <c r="FGM7" s="34"/>
      <c r="FGN7" s="72"/>
      <c r="FGO7" s="63"/>
      <c r="FGP7" s="34"/>
      <c r="FGQ7" s="64"/>
      <c r="FGR7" s="4"/>
      <c r="FGS7" s="65"/>
      <c r="FGT7" s="4"/>
      <c r="FGU7" s="4"/>
      <c r="FGV7" s="4"/>
      <c r="FGY7" s="34"/>
      <c r="FGZ7" s="34"/>
      <c r="FHB7" s="34"/>
      <c r="FHC7" s="72"/>
      <c r="FHD7" s="63"/>
      <c r="FHE7" s="34"/>
      <c r="FHF7" s="64"/>
      <c r="FHG7" s="4"/>
      <c r="FHH7" s="65"/>
      <c r="FHI7" s="4"/>
      <c r="FHJ7" s="4"/>
      <c r="FHK7" s="4"/>
      <c r="FHN7" s="34"/>
      <c r="FHO7" s="34"/>
      <c r="FHQ7" s="34"/>
      <c r="FHR7" s="72"/>
      <c r="FHS7" s="63"/>
      <c r="FHT7" s="34"/>
      <c r="FHU7" s="64"/>
      <c r="FHV7" s="4"/>
      <c r="FHW7" s="65"/>
      <c r="FHX7" s="4"/>
      <c r="FHY7" s="4"/>
      <c r="FHZ7" s="4"/>
      <c r="FIC7" s="34"/>
      <c r="FID7" s="34"/>
      <c r="FIF7" s="34"/>
      <c r="FIG7" s="72"/>
      <c r="FIH7" s="63"/>
      <c r="FII7" s="34"/>
      <c r="FIJ7" s="64"/>
      <c r="FIK7" s="4"/>
      <c r="FIL7" s="65"/>
      <c r="FIM7" s="4"/>
      <c r="FIN7" s="4"/>
      <c r="FIO7" s="4"/>
      <c r="FIR7" s="34"/>
      <c r="FIS7" s="34"/>
      <c r="FIU7" s="34"/>
      <c r="FIV7" s="72"/>
      <c r="FIW7" s="63"/>
      <c r="FIX7" s="34"/>
      <c r="FIY7" s="64"/>
      <c r="FIZ7" s="4"/>
      <c r="FJA7" s="65"/>
      <c r="FJB7" s="4"/>
      <c r="FJC7" s="4"/>
      <c r="FJD7" s="4"/>
      <c r="FJG7" s="34"/>
      <c r="FJH7" s="34"/>
      <c r="FJJ7" s="34"/>
      <c r="FJK7" s="72"/>
      <c r="FJL7" s="63"/>
      <c r="FJM7" s="34"/>
      <c r="FJN7" s="64"/>
      <c r="FJO7" s="4"/>
      <c r="FJP7" s="65"/>
      <c r="FJQ7" s="4"/>
      <c r="FJR7" s="4"/>
      <c r="FJS7" s="4"/>
      <c r="FJV7" s="34"/>
      <c r="FJW7" s="34"/>
      <c r="FJY7" s="34"/>
      <c r="FJZ7" s="72"/>
      <c r="FKA7" s="63"/>
      <c r="FKB7" s="34"/>
      <c r="FKC7" s="64"/>
      <c r="FKD7" s="4"/>
      <c r="FKE7" s="65"/>
      <c r="FKF7" s="4"/>
      <c r="FKG7" s="4"/>
      <c r="FKH7" s="4"/>
      <c r="FKK7" s="34"/>
      <c r="FKL7" s="34"/>
      <c r="FKN7" s="34"/>
      <c r="FKO7" s="72"/>
      <c r="FKP7" s="63"/>
      <c r="FKQ7" s="34"/>
      <c r="FKR7" s="64"/>
      <c r="FKS7" s="4"/>
      <c r="FKT7" s="65"/>
      <c r="FKU7" s="4"/>
      <c r="FKV7" s="4"/>
      <c r="FKW7" s="4"/>
      <c r="FKZ7" s="34"/>
      <c r="FLA7" s="34"/>
      <c r="FLC7" s="34"/>
      <c r="FLD7" s="72"/>
      <c r="FLE7" s="63"/>
      <c r="FLF7" s="34"/>
      <c r="FLG7" s="64"/>
      <c r="FLH7" s="4"/>
      <c r="FLI7" s="65"/>
      <c r="FLJ7" s="4"/>
      <c r="FLK7" s="4"/>
      <c r="FLL7" s="4"/>
      <c r="FLO7" s="34"/>
      <c r="FLP7" s="34"/>
      <c r="FLR7" s="34"/>
      <c r="FLS7" s="72"/>
      <c r="FLT7" s="63"/>
      <c r="FLU7" s="34"/>
      <c r="FLV7" s="64"/>
      <c r="FLW7" s="4"/>
      <c r="FLX7" s="65"/>
      <c r="FLY7" s="4"/>
      <c r="FLZ7" s="4"/>
      <c r="FMA7" s="4"/>
      <c r="FMD7" s="34"/>
      <c r="FME7" s="34"/>
      <c r="FMG7" s="34"/>
      <c r="FMH7" s="72"/>
      <c r="FMI7" s="63"/>
      <c r="FMJ7" s="34"/>
      <c r="FMK7" s="64"/>
      <c r="FML7" s="4"/>
      <c r="FMM7" s="65"/>
      <c r="FMN7" s="4"/>
      <c r="FMO7" s="4"/>
      <c r="FMP7" s="4"/>
      <c r="FMS7" s="34"/>
      <c r="FMT7" s="34"/>
      <c r="FMV7" s="34"/>
      <c r="FMW7" s="72"/>
      <c r="FMX7" s="63"/>
      <c r="FMY7" s="34"/>
      <c r="FMZ7" s="64"/>
      <c r="FNA7" s="4"/>
      <c r="FNB7" s="65"/>
      <c r="FNC7" s="4"/>
      <c r="FND7" s="4"/>
      <c r="FNE7" s="4"/>
      <c r="FNH7" s="34"/>
      <c r="FNI7" s="34"/>
      <c r="FNK7" s="34"/>
      <c r="FNL7" s="72"/>
      <c r="FNM7" s="63"/>
      <c r="FNN7" s="34"/>
      <c r="FNO7" s="64"/>
      <c r="FNP7" s="4"/>
      <c r="FNQ7" s="65"/>
      <c r="FNR7" s="4"/>
      <c r="FNS7" s="4"/>
      <c r="FNT7" s="4"/>
      <c r="FNW7" s="34"/>
      <c r="FNX7" s="34"/>
      <c r="FNZ7" s="34"/>
      <c r="FOA7" s="72"/>
      <c r="FOB7" s="63"/>
      <c r="FOC7" s="34"/>
      <c r="FOD7" s="64"/>
      <c r="FOE7" s="4"/>
      <c r="FOF7" s="65"/>
      <c r="FOG7" s="4"/>
      <c r="FOH7" s="4"/>
      <c r="FOI7" s="4"/>
      <c r="FOL7" s="34"/>
      <c r="FOM7" s="34"/>
      <c r="FOO7" s="34"/>
      <c r="FOP7" s="72"/>
      <c r="FOQ7" s="63"/>
      <c r="FOR7" s="34"/>
      <c r="FOS7" s="64"/>
      <c r="FOT7" s="4"/>
      <c r="FOU7" s="65"/>
      <c r="FOV7" s="4"/>
      <c r="FOW7" s="4"/>
      <c r="FOX7" s="4"/>
      <c r="FPA7" s="34"/>
      <c r="FPB7" s="34"/>
      <c r="FPD7" s="34"/>
      <c r="FPE7" s="72"/>
      <c r="FPF7" s="63"/>
      <c r="FPG7" s="34"/>
      <c r="FPH7" s="64"/>
      <c r="FPI7" s="4"/>
      <c r="FPJ7" s="65"/>
      <c r="FPK7" s="4"/>
      <c r="FPL7" s="4"/>
      <c r="FPM7" s="4"/>
      <c r="FPP7" s="34"/>
      <c r="FPQ7" s="34"/>
      <c r="FPS7" s="34"/>
      <c r="FPT7" s="72"/>
      <c r="FPU7" s="63"/>
      <c r="FPV7" s="34"/>
      <c r="FPW7" s="64"/>
      <c r="FPX7" s="4"/>
      <c r="FPY7" s="65"/>
      <c r="FPZ7" s="4"/>
      <c r="FQA7" s="4"/>
      <c r="FQB7" s="4"/>
      <c r="FQE7" s="34"/>
      <c r="FQF7" s="34"/>
      <c r="FQH7" s="34"/>
      <c r="FQI7" s="72"/>
      <c r="FQJ7" s="63"/>
      <c r="FQK7" s="34"/>
      <c r="FQL7" s="64"/>
      <c r="FQM7" s="4"/>
      <c r="FQN7" s="65"/>
      <c r="FQO7" s="4"/>
      <c r="FQP7" s="4"/>
      <c r="FQQ7" s="4"/>
      <c r="FQT7" s="34"/>
      <c r="FQU7" s="34"/>
      <c r="FQW7" s="34"/>
      <c r="FQX7" s="72"/>
      <c r="FQY7" s="63"/>
      <c r="FQZ7" s="34"/>
      <c r="FRA7" s="64"/>
      <c r="FRB7" s="4"/>
      <c r="FRC7" s="65"/>
      <c r="FRD7" s="4"/>
      <c r="FRE7" s="4"/>
      <c r="FRF7" s="4"/>
      <c r="FRI7" s="34"/>
      <c r="FRJ7" s="34"/>
      <c r="FRL7" s="34"/>
      <c r="FRM7" s="72"/>
      <c r="FRN7" s="63"/>
      <c r="FRO7" s="34"/>
      <c r="FRP7" s="64"/>
      <c r="FRQ7" s="4"/>
      <c r="FRR7" s="65"/>
      <c r="FRS7" s="4"/>
      <c r="FRT7" s="4"/>
      <c r="FRU7" s="4"/>
      <c r="FRX7" s="34"/>
      <c r="FRY7" s="34"/>
      <c r="FSA7" s="34"/>
      <c r="FSB7" s="72"/>
      <c r="FSC7" s="63"/>
      <c r="FSD7" s="34"/>
      <c r="FSE7" s="64"/>
      <c r="FSF7" s="4"/>
      <c r="FSG7" s="65"/>
      <c r="FSH7" s="4"/>
      <c r="FSI7" s="4"/>
      <c r="FSJ7" s="4"/>
      <c r="FSM7" s="34"/>
      <c r="FSN7" s="34"/>
      <c r="FSP7" s="34"/>
      <c r="FSQ7" s="72"/>
      <c r="FSR7" s="63"/>
      <c r="FSS7" s="34"/>
      <c r="FST7" s="64"/>
      <c r="FSU7" s="4"/>
      <c r="FSV7" s="65"/>
      <c r="FSW7" s="4"/>
      <c r="FSX7" s="4"/>
      <c r="FSY7" s="4"/>
      <c r="FTB7" s="34"/>
      <c r="FTC7" s="34"/>
      <c r="FTE7" s="34"/>
      <c r="FTF7" s="72"/>
      <c r="FTG7" s="63"/>
      <c r="FTH7" s="34"/>
      <c r="FTI7" s="64"/>
      <c r="FTJ7" s="4"/>
      <c r="FTK7" s="65"/>
      <c r="FTL7" s="4"/>
      <c r="FTM7" s="4"/>
      <c r="FTN7" s="4"/>
      <c r="FTQ7" s="34"/>
      <c r="FTR7" s="34"/>
      <c r="FTT7" s="34"/>
      <c r="FTU7" s="72"/>
      <c r="FTV7" s="63"/>
      <c r="FTW7" s="34"/>
      <c r="FTX7" s="64"/>
      <c r="FTY7" s="4"/>
      <c r="FTZ7" s="65"/>
      <c r="FUA7" s="4"/>
      <c r="FUB7" s="4"/>
      <c r="FUC7" s="4"/>
      <c r="FUF7" s="34"/>
      <c r="FUG7" s="34"/>
      <c r="FUI7" s="34"/>
      <c r="FUJ7" s="72"/>
      <c r="FUK7" s="63"/>
      <c r="FUL7" s="34"/>
      <c r="FUM7" s="64"/>
      <c r="FUN7" s="4"/>
      <c r="FUO7" s="65"/>
      <c r="FUP7" s="4"/>
      <c r="FUQ7" s="4"/>
      <c r="FUR7" s="4"/>
      <c r="FUU7" s="34"/>
      <c r="FUV7" s="34"/>
      <c r="FUX7" s="34"/>
      <c r="FUY7" s="72"/>
      <c r="FUZ7" s="63"/>
      <c r="FVA7" s="34"/>
      <c r="FVB7" s="64"/>
      <c r="FVC7" s="4"/>
      <c r="FVD7" s="65"/>
      <c r="FVE7" s="4"/>
      <c r="FVF7" s="4"/>
      <c r="FVG7" s="4"/>
      <c r="FVJ7" s="34"/>
      <c r="FVK7" s="34"/>
      <c r="FVM7" s="34"/>
      <c r="FVN7" s="72"/>
      <c r="FVO7" s="63"/>
      <c r="FVP7" s="34"/>
      <c r="FVQ7" s="64"/>
      <c r="FVR7" s="4"/>
      <c r="FVS7" s="65"/>
      <c r="FVT7" s="4"/>
      <c r="FVU7" s="4"/>
      <c r="FVV7" s="4"/>
      <c r="FVY7" s="34"/>
      <c r="FVZ7" s="34"/>
      <c r="FWB7" s="34"/>
      <c r="FWC7" s="72"/>
      <c r="FWD7" s="63"/>
      <c r="FWE7" s="34"/>
      <c r="FWF7" s="64"/>
      <c r="FWG7" s="4"/>
      <c r="FWH7" s="65"/>
      <c r="FWI7" s="4"/>
      <c r="FWJ7" s="4"/>
      <c r="FWK7" s="4"/>
      <c r="FWN7" s="34"/>
      <c r="FWO7" s="34"/>
      <c r="FWQ7" s="34"/>
      <c r="FWR7" s="72"/>
      <c r="FWS7" s="63"/>
      <c r="FWT7" s="34"/>
      <c r="FWU7" s="64"/>
      <c r="FWV7" s="4"/>
      <c r="FWW7" s="65"/>
      <c r="FWX7" s="4"/>
      <c r="FWY7" s="4"/>
      <c r="FWZ7" s="4"/>
      <c r="FXC7" s="34"/>
      <c r="FXD7" s="34"/>
      <c r="FXF7" s="34"/>
      <c r="FXG7" s="72"/>
      <c r="FXH7" s="63"/>
      <c r="FXI7" s="34"/>
      <c r="FXJ7" s="64"/>
      <c r="FXK7" s="4"/>
      <c r="FXL7" s="65"/>
      <c r="FXM7" s="4"/>
      <c r="FXN7" s="4"/>
      <c r="FXO7" s="4"/>
      <c r="FXR7" s="34"/>
      <c r="FXS7" s="34"/>
      <c r="FXU7" s="34"/>
      <c r="FXV7" s="72"/>
      <c r="FXW7" s="63"/>
      <c r="FXX7" s="34"/>
      <c r="FXY7" s="64"/>
      <c r="FXZ7" s="4"/>
      <c r="FYA7" s="65"/>
      <c r="FYB7" s="4"/>
      <c r="FYC7" s="4"/>
      <c r="FYD7" s="4"/>
      <c r="FYG7" s="34"/>
      <c r="FYH7" s="34"/>
      <c r="FYJ7" s="34"/>
      <c r="FYK7" s="72"/>
      <c r="FYL7" s="63"/>
      <c r="FYM7" s="34"/>
      <c r="FYN7" s="64"/>
      <c r="FYO7" s="4"/>
      <c r="FYP7" s="65"/>
      <c r="FYQ7" s="4"/>
      <c r="FYR7" s="4"/>
      <c r="FYS7" s="4"/>
      <c r="FYV7" s="34"/>
      <c r="FYW7" s="34"/>
      <c r="FYY7" s="34"/>
      <c r="FYZ7" s="72"/>
      <c r="FZA7" s="63"/>
      <c r="FZB7" s="34"/>
      <c r="FZC7" s="64"/>
      <c r="FZD7" s="4"/>
      <c r="FZE7" s="65"/>
      <c r="FZF7" s="4"/>
      <c r="FZG7" s="4"/>
      <c r="FZH7" s="4"/>
      <c r="FZK7" s="34"/>
      <c r="FZL7" s="34"/>
      <c r="FZN7" s="34"/>
      <c r="FZO7" s="72"/>
      <c r="FZP7" s="63"/>
      <c r="FZQ7" s="34"/>
      <c r="FZR7" s="64"/>
      <c r="FZS7" s="4"/>
      <c r="FZT7" s="65"/>
      <c r="FZU7" s="4"/>
      <c r="FZV7" s="4"/>
      <c r="FZW7" s="4"/>
      <c r="FZZ7" s="34"/>
      <c r="GAA7" s="34"/>
      <c r="GAC7" s="34"/>
      <c r="GAD7" s="72"/>
      <c r="GAE7" s="63"/>
      <c r="GAF7" s="34"/>
      <c r="GAG7" s="64"/>
      <c r="GAH7" s="4"/>
      <c r="GAI7" s="65"/>
      <c r="GAJ7" s="4"/>
      <c r="GAK7" s="4"/>
      <c r="GAL7" s="4"/>
      <c r="GAO7" s="34"/>
      <c r="GAP7" s="34"/>
      <c r="GAR7" s="34"/>
      <c r="GAS7" s="72"/>
      <c r="GAT7" s="63"/>
      <c r="GAU7" s="34"/>
      <c r="GAV7" s="64"/>
      <c r="GAW7" s="4"/>
      <c r="GAX7" s="65"/>
      <c r="GAY7" s="4"/>
      <c r="GAZ7" s="4"/>
      <c r="GBA7" s="4"/>
      <c r="GBD7" s="34"/>
      <c r="GBE7" s="34"/>
      <c r="GBG7" s="34"/>
      <c r="GBH7" s="72"/>
      <c r="GBI7" s="63"/>
      <c r="GBJ7" s="34"/>
      <c r="GBK7" s="64"/>
      <c r="GBL7" s="4"/>
      <c r="GBM7" s="65"/>
      <c r="GBN7" s="4"/>
      <c r="GBO7" s="4"/>
      <c r="GBP7" s="4"/>
      <c r="GBS7" s="34"/>
      <c r="GBT7" s="34"/>
      <c r="GBV7" s="34"/>
      <c r="GBW7" s="72"/>
      <c r="GBX7" s="63"/>
      <c r="GBY7" s="34"/>
      <c r="GBZ7" s="64"/>
      <c r="GCA7" s="4"/>
      <c r="GCB7" s="65"/>
      <c r="GCC7" s="4"/>
      <c r="GCD7" s="4"/>
      <c r="GCE7" s="4"/>
      <c r="GCH7" s="34"/>
      <c r="GCI7" s="34"/>
      <c r="GCK7" s="34"/>
      <c r="GCL7" s="72"/>
      <c r="GCM7" s="63"/>
      <c r="GCN7" s="34"/>
      <c r="GCO7" s="64"/>
      <c r="GCP7" s="4"/>
      <c r="GCQ7" s="65"/>
      <c r="GCR7" s="4"/>
      <c r="GCS7" s="4"/>
      <c r="GCT7" s="4"/>
      <c r="GCW7" s="34"/>
      <c r="GCX7" s="34"/>
      <c r="GCZ7" s="34"/>
      <c r="GDA7" s="72"/>
      <c r="GDB7" s="63"/>
      <c r="GDC7" s="34"/>
      <c r="GDD7" s="64"/>
      <c r="GDE7" s="4"/>
      <c r="GDF7" s="65"/>
      <c r="GDG7" s="4"/>
      <c r="GDH7" s="4"/>
      <c r="GDI7" s="4"/>
      <c r="GDL7" s="34"/>
      <c r="GDM7" s="34"/>
      <c r="GDO7" s="34"/>
      <c r="GDP7" s="72"/>
      <c r="GDQ7" s="63"/>
      <c r="GDR7" s="34"/>
      <c r="GDS7" s="64"/>
      <c r="GDT7" s="4"/>
      <c r="GDU7" s="65"/>
      <c r="GDV7" s="4"/>
      <c r="GDW7" s="4"/>
      <c r="GDX7" s="4"/>
      <c r="GEA7" s="34"/>
      <c r="GEB7" s="34"/>
      <c r="GED7" s="34"/>
      <c r="GEE7" s="72"/>
      <c r="GEF7" s="63"/>
      <c r="GEG7" s="34"/>
      <c r="GEH7" s="64"/>
      <c r="GEI7" s="4"/>
      <c r="GEJ7" s="65"/>
      <c r="GEK7" s="4"/>
      <c r="GEL7" s="4"/>
      <c r="GEM7" s="4"/>
      <c r="GEP7" s="34"/>
      <c r="GEQ7" s="34"/>
      <c r="GES7" s="34"/>
      <c r="GET7" s="72"/>
      <c r="GEU7" s="63"/>
      <c r="GEV7" s="34"/>
      <c r="GEW7" s="64"/>
      <c r="GEX7" s="4"/>
      <c r="GEY7" s="65"/>
      <c r="GEZ7" s="4"/>
      <c r="GFA7" s="4"/>
      <c r="GFB7" s="4"/>
      <c r="GFE7" s="34"/>
      <c r="GFF7" s="34"/>
      <c r="GFH7" s="34"/>
      <c r="GFI7" s="72"/>
      <c r="GFJ7" s="63"/>
      <c r="GFK7" s="34"/>
      <c r="GFL7" s="64"/>
      <c r="GFM7" s="4"/>
      <c r="GFN7" s="65"/>
      <c r="GFO7" s="4"/>
      <c r="GFP7" s="4"/>
      <c r="GFQ7" s="4"/>
      <c r="GFT7" s="34"/>
      <c r="GFU7" s="34"/>
      <c r="GFW7" s="34"/>
      <c r="GFX7" s="72"/>
      <c r="GFY7" s="63"/>
      <c r="GFZ7" s="34"/>
      <c r="GGA7" s="64"/>
      <c r="GGB7" s="4"/>
      <c r="GGC7" s="65"/>
      <c r="GGD7" s="4"/>
      <c r="GGE7" s="4"/>
      <c r="GGF7" s="4"/>
      <c r="GGI7" s="34"/>
      <c r="GGJ7" s="34"/>
      <c r="GGL7" s="34"/>
      <c r="GGM7" s="72"/>
      <c r="GGN7" s="63"/>
      <c r="GGO7" s="34"/>
      <c r="GGP7" s="64"/>
      <c r="GGQ7" s="4"/>
      <c r="GGR7" s="65"/>
      <c r="GGS7" s="4"/>
      <c r="GGT7" s="4"/>
      <c r="GGU7" s="4"/>
      <c r="GGX7" s="34"/>
      <c r="GGY7" s="34"/>
      <c r="GHA7" s="34"/>
      <c r="GHB7" s="72"/>
      <c r="GHC7" s="63"/>
      <c r="GHD7" s="34"/>
      <c r="GHE7" s="64"/>
      <c r="GHF7" s="4"/>
      <c r="GHG7" s="65"/>
      <c r="GHH7" s="4"/>
      <c r="GHI7" s="4"/>
      <c r="GHJ7" s="4"/>
      <c r="GHM7" s="34"/>
      <c r="GHN7" s="34"/>
      <c r="GHP7" s="34"/>
      <c r="GHQ7" s="72"/>
      <c r="GHR7" s="63"/>
      <c r="GHS7" s="34"/>
      <c r="GHT7" s="64"/>
      <c r="GHU7" s="4"/>
      <c r="GHV7" s="65"/>
      <c r="GHW7" s="4"/>
      <c r="GHX7" s="4"/>
      <c r="GHY7" s="4"/>
      <c r="GIB7" s="34"/>
      <c r="GIC7" s="34"/>
      <c r="GIE7" s="34"/>
      <c r="GIF7" s="72"/>
      <c r="GIG7" s="63"/>
      <c r="GIH7" s="34"/>
      <c r="GII7" s="64"/>
      <c r="GIJ7" s="4"/>
      <c r="GIK7" s="65"/>
      <c r="GIL7" s="4"/>
      <c r="GIM7" s="4"/>
      <c r="GIN7" s="4"/>
      <c r="GIQ7" s="34"/>
      <c r="GIR7" s="34"/>
      <c r="GIT7" s="34"/>
      <c r="GIU7" s="72"/>
      <c r="GIV7" s="63"/>
      <c r="GIW7" s="34"/>
      <c r="GIX7" s="64"/>
      <c r="GIY7" s="4"/>
      <c r="GIZ7" s="65"/>
      <c r="GJA7" s="4"/>
      <c r="GJB7" s="4"/>
      <c r="GJC7" s="4"/>
      <c r="GJF7" s="34"/>
      <c r="GJG7" s="34"/>
      <c r="GJI7" s="34"/>
      <c r="GJJ7" s="72"/>
      <c r="GJK7" s="63"/>
      <c r="GJL7" s="34"/>
      <c r="GJM7" s="64"/>
      <c r="GJN7" s="4"/>
      <c r="GJO7" s="65"/>
      <c r="GJP7" s="4"/>
      <c r="GJQ7" s="4"/>
      <c r="GJR7" s="4"/>
      <c r="GJU7" s="34"/>
      <c r="GJV7" s="34"/>
      <c r="GJX7" s="34"/>
      <c r="GJY7" s="72"/>
      <c r="GJZ7" s="63"/>
      <c r="GKA7" s="34"/>
      <c r="GKB7" s="64"/>
      <c r="GKC7" s="4"/>
      <c r="GKD7" s="65"/>
      <c r="GKE7" s="4"/>
      <c r="GKF7" s="4"/>
      <c r="GKG7" s="4"/>
      <c r="GKJ7" s="34"/>
      <c r="GKK7" s="34"/>
      <c r="GKM7" s="34"/>
      <c r="GKN7" s="72"/>
      <c r="GKO7" s="63"/>
      <c r="GKP7" s="34"/>
      <c r="GKQ7" s="64"/>
      <c r="GKR7" s="4"/>
      <c r="GKS7" s="65"/>
      <c r="GKT7" s="4"/>
      <c r="GKU7" s="4"/>
      <c r="GKV7" s="4"/>
      <c r="GKY7" s="34"/>
      <c r="GKZ7" s="34"/>
      <c r="GLB7" s="34"/>
      <c r="GLC7" s="72"/>
      <c r="GLD7" s="63"/>
      <c r="GLE7" s="34"/>
      <c r="GLF7" s="64"/>
      <c r="GLG7" s="4"/>
      <c r="GLH7" s="65"/>
      <c r="GLI7" s="4"/>
      <c r="GLJ7" s="4"/>
      <c r="GLK7" s="4"/>
      <c r="GLN7" s="34"/>
      <c r="GLO7" s="34"/>
      <c r="GLQ7" s="34"/>
      <c r="GLR7" s="72"/>
      <c r="GLS7" s="63"/>
      <c r="GLT7" s="34"/>
      <c r="GLU7" s="64"/>
      <c r="GLV7" s="4"/>
      <c r="GLW7" s="65"/>
      <c r="GLX7" s="4"/>
      <c r="GLY7" s="4"/>
      <c r="GLZ7" s="4"/>
      <c r="GMC7" s="34"/>
      <c r="GMD7" s="34"/>
      <c r="GMF7" s="34"/>
      <c r="GMG7" s="72"/>
      <c r="GMH7" s="63"/>
      <c r="GMI7" s="34"/>
      <c r="GMJ7" s="64"/>
      <c r="GMK7" s="4"/>
      <c r="GML7" s="65"/>
      <c r="GMM7" s="4"/>
      <c r="GMN7" s="4"/>
      <c r="GMO7" s="4"/>
      <c r="GMR7" s="34"/>
      <c r="GMS7" s="34"/>
      <c r="GMU7" s="34"/>
      <c r="GMV7" s="72"/>
      <c r="GMW7" s="63"/>
      <c r="GMX7" s="34"/>
      <c r="GMY7" s="64"/>
      <c r="GMZ7" s="4"/>
      <c r="GNA7" s="65"/>
      <c r="GNB7" s="4"/>
      <c r="GNC7" s="4"/>
      <c r="GND7" s="4"/>
      <c r="GNG7" s="34"/>
      <c r="GNH7" s="34"/>
      <c r="GNJ7" s="34"/>
      <c r="GNK7" s="72"/>
      <c r="GNL7" s="63"/>
      <c r="GNM7" s="34"/>
      <c r="GNN7" s="64"/>
      <c r="GNO7" s="4"/>
      <c r="GNP7" s="65"/>
      <c r="GNQ7" s="4"/>
      <c r="GNR7" s="4"/>
      <c r="GNS7" s="4"/>
      <c r="GNV7" s="34"/>
      <c r="GNW7" s="34"/>
      <c r="GNY7" s="34"/>
      <c r="GNZ7" s="72"/>
      <c r="GOA7" s="63"/>
      <c r="GOB7" s="34"/>
      <c r="GOC7" s="64"/>
      <c r="GOD7" s="4"/>
      <c r="GOE7" s="65"/>
      <c r="GOF7" s="4"/>
      <c r="GOG7" s="4"/>
      <c r="GOH7" s="4"/>
      <c r="GOK7" s="34"/>
      <c r="GOL7" s="34"/>
      <c r="GON7" s="34"/>
      <c r="GOO7" s="72"/>
      <c r="GOP7" s="63"/>
      <c r="GOQ7" s="34"/>
      <c r="GOR7" s="64"/>
      <c r="GOS7" s="4"/>
      <c r="GOT7" s="65"/>
      <c r="GOU7" s="4"/>
      <c r="GOV7" s="4"/>
      <c r="GOW7" s="4"/>
      <c r="GOZ7" s="34"/>
      <c r="GPA7" s="34"/>
      <c r="GPC7" s="34"/>
      <c r="GPD7" s="72"/>
      <c r="GPE7" s="63"/>
      <c r="GPF7" s="34"/>
      <c r="GPG7" s="64"/>
      <c r="GPH7" s="4"/>
      <c r="GPI7" s="65"/>
      <c r="GPJ7" s="4"/>
      <c r="GPK7" s="4"/>
      <c r="GPL7" s="4"/>
      <c r="GPO7" s="34"/>
      <c r="GPP7" s="34"/>
      <c r="GPR7" s="34"/>
      <c r="GPS7" s="72"/>
      <c r="GPT7" s="63"/>
      <c r="GPU7" s="34"/>
      <c r="GPV7" s="64"/>
      <c r="GPW7" s="4"/>
      <c r="GPX7" s="65"/>
      <c r="GPY7" s="4"/>
      <c r="GPZ7" s="4"/>
      <c r="GQA7" s="4"/>
      <c r="GQD7" s="34"/>
      <c r="GQE7" s="34"/>
      <c r="GQG7" s="34"/>
      <c r="GQH7" s="72"/>
      <c r="GQI7" s="63"/>
      <c r="GQJ7" s="34"/>
      <c r="GQK7" s="64"/>
      <c r="GQL7" s="4"/>
      <c r="GQM7" s="65"/>
      <c r="GQN7" s="4"/>
      <c r="GQO7" s="4"/>
      <c r="GQP7" s="4"/>
      <c r="GQS7" s="34"/>
      <c r="GQT7" s="34"/>
      <c r="GQV7" s="34"/>
      <c r="GQW7" s="72"/>
      <c r="GQX7" s="63"/>
      <c r="GQY7" s="34"/>
      <c r="GQZ7" s="64"/>
      <c r="GRA7" s="4"/>
      <c r="GRB7" s="65"/>
      <c r="GRC7" s="4"/>
      <c r="GRD7" s="4"/>
      <c r="GRE7" s="4"/>
      <c r="GRH7" s="34"/>
      <c r="GRI7" s="34"/>
      <c r="GRK7" s="34"/>
      <c r="GRL7" s="72"/>
      <c r="GRM7" s="63"/>
      <c r="GRN7" s="34"/>
      <c r="GRO7" s="64"/>
      <c r="GRP7" s="4"/>
      <c r="GRQ7" s="65"/>
      <c r="GRR7" s="4"/>
      <c r="GRS7" s="4"/>
      <c r="GRT7" s="4"/>
      <c r="GRW7" s="34"/>
      <c r="GRX7" s="34"/>
      <c r="GRZ7" s="34"/>
      <c r="GSA7" s="72"/>
      <c r="GSB7" s="63"/>
      <c r="GSC7" s="34"/>
      <c r="GSD7" s="64"/>
      <c r="GSE7" s="4"/>
      <c r="GSF7" s="65"/>
      <c r="GSG7" s="4"/>
      <c r="GSH7" s="4"/>
      <c r="GSI7" s="4"/>
      <c r="GSL7" s="34"/>
      <c r="GSM7" s="34"/>
      <c r="GSO7" s="34"/>
      <c r="GSP7" s="72"/>
      <c r="GSQ7" s="63"/>
      <c r="GSR7" s="34"/>
      <c r="GSS7" s="64"/>
      <c r="GST7" s="4"/>
      <c r="GSU7" s="65"/>
      <c r="GSV7" s="4"/>
      <c r="GSW7" s="4"/>
      <c r="GSX7" s="4"/>
      <c r="GTA7" s="34"/>
      <c r="GTB7" s="34"/>
      <c r="GTD7" s="34"/>
      <c r="GTE7" s="72"/>
      <c r="GTF7" s="63"/>
      <c r="GTG7" s="34"/>
      <c r="GTH7" s="64"/>
      <c r="GTI7" s="4"/>
      <c r="GTJ7" s="65"/>
      <c r="GTK7" s="4"/>
      <c r="GTL7" s="4"/>
      <c r="GTM7" s="4"/>
      <c r="GTP7" s="34"/>
      <c r="GTQ7" s="34"/>
      <c r="GTS7" s="34"/>
      <c r="GTT7" s="72"/>
      <c r="GTU7" s="63"/>
      <c r="GTV7" s="34"/>
      <c r="GTW7" s="64"/>
      <c r="GTX7" s="4"/>
      <c r="GTY7" s="65"/>
      <c r="GTZ7" s="4"/>
      <c r="GUA7" s="4"/>
      <c r="GUB7" s="4"/>
      <c r="GUE7" s="34"/>
      <c r="GUF7" s="34"/>
      <c r="GUH7" s="34"/>
      <c r="GUI7" s="72"/>
      <c r="GUJ7" s="63"/>
      <c r="GUK7" s="34"/>
      <c r="GUL7" s="64"/>
      <c r="GUM7" s="4"/>
      <c r="GUN7" s="65"/>
      <c r="GUO7" s="4"/>
      <c r="GUP7" s="4"/>
      <c r="GUQ7" s="4"/>
      <c r="GUT7" s="34"/>
      <c r="GUU7" s="34"/>
      <c r="GUW7" s="34"/>
      <c r="GUX7" s="72"/>
      <c r="GUY7" s="63"/>
      <c r="GUZ7" s="34"/>
      <c r="GVA7" s="64"/>
      <c r="GVB7" s="4"/>
      <c r="GVC7" s="65"/>
      <c r="GVD7" s="4"/>
      <c r="GVE7" s="4"/>
      <c r="GVF7" s="4"/>
      <c r="GVI7" s="34"/>
      <c r="GVJ7" s="34"/>
      <c r="GVL7" s="34"/>
      <c r="GVM7" s="72"/>
      <c r="GVN7" s="63"/>
      <c r="GVO7" s="34"/>
      <c r="GVP7" s="64"/>
      <c r="GVQ7" s="4"/>
      <c r="GVR7" s="65"/>
      <c r="GVS7" s="4"/>
      <c r="GVT7" s="4"/>
      <c r="GVU7" s="4"/>
      <c r="GVX7" s="34"/>
      <c r="GVY7" s="34"/>
      <c r="GWA7" s="34"/>
      <c r="GWB7" s="72"/>
      <c r="GWC7" s="63"/>
      <c r="GWD7" s="34"/>
      <c r="GWE7" s="64"/>
      <c r="GWF7" s="4"/>
      <c r="GWG7" s="65"/>
      <c r="GWH7" s="4"/>
      <c r="GWI7" s="4"/>
      <c r="GWJ7" s="4"/>
      <c r="GWM7" s="34"/>
      <c r="GWN7" s="34"/>
      <c r="GWP7" s="34"/>
      <c r="GWQ7" s="72"/>
      <c r="GWR7" s="63"/>
      <c r="GWS7" s="34"/>
      <c r="GWT7" s="64"/>
      <c r="GWU7" s="4"/>
      <c r="GWV7" s="65"/>
      <c r="GWW7" s="4"/>
      <c r="GWX7" s="4"/>
      <c r="GWY7" s="4"/>
      <c r="GXB7" s="34"/>
      <c r="GXC7" s="34"/>
      <c r="GXE7" s="34"/>
      <c r="GXF7" s="72"/>
      <c r="GXG7" s="63"/>
      <c r="GXH7" s="34"/>
      <c r="GXI7" s="64"/>
      <c r="GXJ7" s="4"/>
      <c r="GXK7" s="65"/>
      <c r="GXL7" s="4"/>
      <c r="GXM7" s="4"/>
      <c r="GXN7" s="4"/>
      <c r="GXQ7" s="34"/>
      <c r="GXR7" s="34"/>
      <c r="GXT7" s="34"/>
      <c r="GXU7" s="72"/>
      <c r="GXV7" s="63"/>
      <c r="GXW7" s="34"/>
      <c r="GXX7" s="64"/>
      <c r="GXY7" s="4"/>
      <c r="GXZ7" s="65"/>
      <c r="GYA7" s="4"/>
      <c r="GYB7" s="4"/>
      <c r="GYC7" s="4"/>
      <c r="GYF7" s="34"/>
      <c r="GYG7" s="34"/>
      <c r="GYI7" s="34"/>
      <c r="GYJ7" s="72"/>
      <c r="GYK7" s="63"/>
      <c r="GYL7" s="34"/>
      <c r="GYM7" s="64"/>
      <c r="GYN7" s="4"/>
      <c r="GYO7" s="65"/>
      <c r="GYP7" s="4"/>
      <c r="GYQ7" s="4"/>
      <c r="GYR7" s="4"/>
      <c r="GYU7" s="34"/>
      <c r="GYV7" s="34"/>
      <c r="GYX7" s="34"/>
      <c r="GYY7" s="72"/>
      <c r="GYZ7" s="63"/>
      <c r="GZA7" s="34"/>
      <c r="GZB7" s="64"/>
      <c r="GZC7" s="4"/>
      <c r="GZD7" s="65"/>
      <c r="GZE7" s="4"/>
      <c r="GZF7" s="4"/>
      <c r="GZG7" s="4"/>
      <c r="GZJ7" s="34"/>
      <c r="GZK7" s="34"/>
      <c r="GZM7" s="34"/>
      <c r="GZN7" s="72"/>
      <c r="GZO7" s="63"/>
      <c r="GZP7" s="34"/>
      <c r="GZQ7" s="64"/>
      <c r="GZR7" s="4"/>
      <c r="GZS7" s="65"/>
      <c r="GZT7" s="4"/>
      <c r="GZU7" s="4"/>
      <c r="GZV7" s="4"/>
      <c r="GZY7" s="34"/>
      <c r="GZZ7" s="34"/>
      <c r="HAB7" s="34"/>
      <c r="HAC7" s="72"/>
      <c r="HAD7" s="63"/>
      <c r="HAE7" s="34"/>
      <c r="HAF7" s="64"/>
      <c r="HAG7" s="4"/>
      <c r="HAH7" s="65"/>
      <c r="HAI7" s="4"/>
      <c r="HAJ7" s="4"/>
      <c r="HAK7" s="4"/>
      <c r="HAN7" s="34"/>
      <c r="HAO7" s="34"/>
      <c r="HAQ7" s="34"/>
      <c r="HAR7" s="72"/>
      <c r="HAS7" s="63"/>
      <c r="HAT7" s="34"/>
      <c r="HAU7" s="64"/>
      <c r="HAV7" s="4"/>
      <c r="HAW7" s="65"/>
      <c r="HAX7" s="4"/>
      <c r="HAY7" s="4"/>
      <c r="HAZ7" s="4"/>
      <c r="HBC7" s="34"/>
      <c r="HBD7" s="34"/>
      <c r="HBF7" s="34"/>
      <c r="HBG7" s="72"/>
      <c r="HBH7" s="63"/>
      <c r="HBI7" s="34"/>
      <c r="HBJ7" s="64"/>
      <c r="HBK7" s="4"/>
      <c r="HBL7" s="65"/>
      <c r="HBM7" s="4"/>
      <c r="HBN7" s="4"/>
      <c r="HBO7" s="4"/>
      <c r="HBR7" s="34"/>
      <c r="HBS7" s="34"/>
      <c r="HBU7" s="34"/>
      <c r="HBV7" s="72"/>
      <c r="HBW7" s="63"/>
      <c r="HBX7" s="34"/>
      <c r="HBY7" s="64"/>
      <c r="HBZ7" s="4"/>
      <c r="HCA7" s="65"/>
      <c r="HCB7" s="4"/>
      <c r="HCC7" s="4"/>
      <c r="HCD7" s="4"/>
      <c r="HCG7" s="34"/>
      <c r="HCH7" s="34"/>
      <c r="HCJ7" s="34"/>
      <c r="HCK7" s="72"/>
      <c r="HCL7" s="63"/>
      <c r="HCM7" s="34"/>
      <c r="HCN7" s="64"/>
      <c r="HCO7" s="4"/>
      <c r="HCP7" s="65"/>
      <c r="HCQ7" s="4"/>
      <c r="HCR7" s="4"/>
      <c r="HCS7" s="4"/>
      <c r="HCV7" s="34"/>
      <c r="HCW7" s="34"/>
      <c r="HCY7" s="34"/>
      <c r="HCZ7" s="72"/>
      <c r="HDA7" s="63"/>
      <c r="HDB7" s="34"/>
      <c r="HDC7" s="64"/>
      <c r="HDD7" s="4"/>
      <c r="HDE7" s="65"/>
      <c r="HDF7" s="4"/>
      <c r="HDG7" s="4"/>
      <c r="HDH7" s="4"/>
      <c r="HDK7" s="34"/>
      <c r="HDL7" s="34"/>
      <c r="HDN7" s="34"/>
      <c r="HDO7" s="72"/>
      <c r="HDP7" s="63"/>
      <c r="HDQ7" s="34"/>
      <c r="HDR7" s="64"/>
      <c r="HDS7" s="4"/>
      <c r="HDT7" s="65"/>
      <c r="HDU7" s="4"/>
      <c r="HDV7" s="4"/>
      <c r="HDW7" s="4"/>
      <c r="HDZ7" s="34"/>
      <c r="HEA7" s="34"/>
      <c r="HEC7" s="34"/>
      <c r="HED7" s="72"/>
      <c r="HEE7" s="63"/>
      <c r="HEF7" s="34"/>
      <c r="HEG7" s="64"/>
      <c r="HEH7" s="4"/>
      <c r="HEI7" s="65"/>
      <c r="HEJ7" s="4"/>
      <c r="HEK7" s="4"/>
      <c r="HEL7" s="4"/>
      <c r="HEO7" s="34"/>
      <c r="HEP7" s="34"/>
      <c r="HER7" s="34"/>
      <c r="HES7" s="72"/>
      <c r="HET7" s="63"/>
      <c r="HEU7" s="34"/>
      <c r="HEV7" s="64"/>
      <c r="HEW7" s="4"/>
      <c r="HEX7" s="65"/>
      <c r="HEY7" s="4"/>
      <c r="HEZ7" s="4"/>
      <c r="HFA7" s="4"/>
      <c r="HFD7" s="34"/>
      <c r="HFE7" s="34"/>
      <c r="HFG7" s="34"/>
      <c r="HFH7" s="72"/>
      <c r="HFI7" s="63"/>
      <c r="HFJ7" s="34"/>
      <c r="HFK7" s="64"/>
      <c r="HFL7" s="4"/>
      <c r="HFM7" s="65"/>
      <c r="HFN7" s="4"/>
      <c r="HFO7" s="4"/>
      <c r="HFP7" s="4"/>
      <c r="HFS7" s="34"/>
      <c r="HFT7" s="34"/>
      <c r="HFV7" s="34"/>
      <c r="HFW7" s="72"/>
      <c r="HFX7" s="63"/>
      <c r="HFY7" s="34"/>
      <c r="HFZ7" s="64"/>
      <c r="HGA7" s="4"/>
      <c r="HGB7" s="65"/>
      <c r="HGC7" s="4"/>
      <c r="HGD7" s="4"/>
      <c r="HGE7" s="4"/>
      <c r="HGH7" s="34"/>
      <c r="HGI7" s="34"/>
      <c r="HGK7" s="34"/>
      <c r="HGL7" s="72"/>
      <c r="HGM7" s="63"/>
      <c r="HGN7" s="34"/>
      <c r="HGO7" s="64"/>
      <c r="HGP7" s="4"/>
      <c r="HGQ7" s="65"/>
      <c r="HGR7" s="4"/>
      <c r="HGS7" s="4"/>
      <c r="HGT7" s="4"/>
      <c r="HGW7" s="34"/>
      <c r="HGX7" s="34"/>
      <c r="HGZ7" s="34"/>
      <c r="HHA7" s="72"/>
      <c r="HHB7" s="63"/>
      <c r="HHC7" s="34"/>
      <c r="HHD7" s="64"/>
      <c r="HHE7" s="4"/>
      <c r="HHF7" s="65"/>
      <c r="HHG7" s="4"/>
      <c r="HHH7" s="4"/>
      <c r="HHI7" s="4"/>
      <c r="HHL7" s="34"/>
      <c r="HHM7" s="34"/>
      <c r="HHO7" s="34"/>
      <c r="HHP7" s="72"/>
      <c r="HHQ7" s="63"/>
      <c r="HHR7" s="34"/>
      <c r="HHS7" s="64"/>
      <c r="HHT7" s="4"/>
      <c r="HHU7" s="65"/>
      <c r="HHV7" s="4"/>
      <c r="HHW7" s="4"/>
      <c r="HHX7" s="4"/>
      <c r="HIA7" s="34"/>
      <c r="HIB7" s="34"/>
      <c r="HID7" s="34"/>
      <c r="HIE7" s="72"/>
      <c r="HIF7" s="63"/>
      <c r="HIG7" s="34"/>
      <c r="HIH7" s="64"/>
      <c r="HII7" s="4"/>
      <c r="HIJ7" s="65"/>
      <c r="HIK7" s="4"/>
      <c r="HIL7" s="4"/>
      <c r="HIM7" s="4"/>
      <c r="HIP7" s="34"/>
      <c r="HIQ7" s="34"/>
      <c r="HIS7" s="34"/>
      <c r="HIT7" s="72"/>
      <c r="HIU7" s="63"/>
      <c r="HIV7" s="34"/>
      <c r="HIW7" s="64"/>
      <c r="HIX7" s="4"/>
      <c r="HIY7" s="65"/>
      <c r="HIZ7" s="4"/>
      <c r="HJA7" s="4"/>
      <c r="HJB7" s="4"/>
      <c r="HJE7" s="34"/>
      <c r="HJF7" s="34"/>
      <c r="HJH7" s="34"/>
      <c r="HJI7" s="72"/>
      <c r="HJJ7" s="63"/>
      <c r="HJK7" s="34"/>
      <c r="HJL7" s="64"/>
      <c r="HJM7" s="4"/>
      <c r="HJN7" s="65"/>
      <c r="HJO7" s="4"/>
      <c r="HJP7" s="4"/>
      <c r="HJQ7" s="4"/>
      <c r="HJT7" s="34"/>
      <c r="HJU7" s="34"/>
      <c r="HJW7" s="34"/>
      <c r="HJX7" s="72"/>
      <c r="HJY7" s="63"/>
      <c r="HJZ7" s="34"/>
      <c r="HKA7" s="64"/>
      <c r="HKB7" s="4"/>
      <c r="HKC7" s="65"/>
      <c r="HKD7" s="4"/>
      <c r="HKE7" s="4"/>
      <c r="HKF7" s="4"/>
      <c r="HKI7" s="34"/>
      <c r="HKJ7" s="34"/>
      <c r="HKL7" s="34"/>
      <c r="HKM7" s="72"/>
      <c r="HKN7" s="63"/>
      <c r="HKO7" s="34"/>
      <c r="HKP7" s="64"/>
      <c r="HKQ7" s="4"/>
      <c r="HKR7" s="65"/>
      <c r="HKS7" s="4"/>
      <c r="HKT7" s="4"/>
      <c r="HKU7" s="4"/>
      <c r="HKX7" s="34"/>
      <c r="HKY7" s="34"/>
      <c r="HLA7" s="34"/>
      <c r="HLB7" s="72"/>
      <c r="HLC7" s="63"/>
      <c r="HLD7" s="34"/>
      <c r="HLE7" s="64"/>
      <c r="HLF7" s="4"/>
      <c r="HLG7" s="65"/>
      <c r="HLH7" s="4"/>
      <c r="HLI7" s="4"/>
      <c r="HLJ7" s="4"/>
      <c r="HLM7" s="34"/>
      <c r="HLN7" s="34"/>
      <c r="HLP7" s="34"/>
      <c r="HLQ7" s="72"/>
      <c r="HLR7" s="63"/>
      <c r="HLS7" s="34"/>
      <c r="HLT7" s="64"/>
      <c r="HLU7" s="4"/>
      <c r="HLV7" s="65"/>
      <c r="HLW7" s="4"/>
      <c r="HLX7" s="4"/>
      <c r="HLY7" s="4"/>
      <c r="HMB7" s="34"/>
      <c r="HMC7" s="34"/>
      <c r="HME7" s="34"/>
      <c r="HMF7" s="72"/>
      <c r="HMG7" s="63"/>
      <c r="HMH7" s="34"/>
      <c r="HMI7" s="64"/>
      <c r="HMJ7" s="4"/>
      <c r="HMK7" s="65"/>
      <c r="HML7" s="4"/>
      <c r="HMM7" s="4"/>
      <c r="HMN7" s="4"/>
      <c r="HMQ7" s="34"/>
      <c r="HMR7" s="34"/>
      <c r="HMT7" s="34"/>
      <c r="HMU7" s="72"/>
      <c r="HMV7" s="63"/>
      <c r="HMW7" s="34"/>
      <c r="HMX7" s="64"/>
      <c r="HMY7" s="4"/>
      <c r="HMZ7" s="65"/>
      <c r="HNA7" s="4"/>
      <c r="HNB7" s="4"/>
      <c r="HNC7" s="4"/>
      <c r="HNF7" s="34"/>
      <c r="HNG7" s="34"/>
      <c r="HNI7" s="34"/>
      <c r="HNJ7" s="72"/>
      <c r="HNK7" s="63"/>
      <c r="HNL7" s="34"/>
      <c r="HNM7" s="64"/>
      <c r="HNN7" s="4"/>
      <c r="HNO7" s="65"/>
      <c r="HNP7" s="4"/>
      <c r="HNQ7" s="4"/>
      <c r="HNR7" s="4"/>
      <c r="HNU7" s="34"/>
      <c r="HNV7" s="34"/>
      <c r="HNX7" s="34"/>
      <c r="HNY7" s="72"/>
      <c r="HNZ7" s="63"/>
      <c r="HOA7" s="34"/>
      <c r="HOB7" s="64"/>
      <c r="HOC7" s="4"/>
      <c r="HOD7" s="65"/>
      <c r="HOE7" s="4"/>
      <c r="HOF7" s="4"/>
      <c r="HOG7" s="4"/>
      <c r="HOJ7" s="34"/>
      <c r="HOK7" s="34"/>
      <c r="HOM7" s="34"/>
      <c r="HON7" s="72"/>
      <c r="HOO7" s="63"/>
      <c r="HOP7" s="34"/>
      <c r="HOQ7" s="64"/>
      <c r="HOR7" s="4"/>
      <c r="HOS7" s="65"/>
      <c r="HOT7" s="4"/>
      <c r="HOU7" s="4"/>
      <c r="HOV7" s="4"/>
      <c r="HOY7" s="34"/>
      <c r="HOZ7" s="34"/>
      <c r="HPB7" s="34"/>
      <c r="HPC7" s="72"/>
      <c r="HPD7" s="63"/>
      <c r="HPE7" s="34"/>
      <c r="HPF7" s="64"/>
      <c r="HPG7" s="4"/>
      <c r="HPH7" s="65"/>
      <c r="HPI7" s="4"/>
      <c r="HPJ7" s="4"/>
      <c r="HPK7" s="4"/>
      <c r="HPN7" s="34"/>
      <c r="HPO7" s="34"/>
      <c r="HPQ7" s="34"/>
      <c r="HPR7" s="72"/>
      <c r="HPS7" s="63"/>
      <c r="HPT7" s="34"/>
      <c r="HPU7" s="64"/>
      <c r="HPV7" s="4"/>
      <c r="HPW7" s="65"/>
      <c r="HPX7" s="4"/>
      <c r="HPY7" s="4"/>
      <c r="HPZ7" s="4"/>
      <c r="HQC7" s="34"/>
      <c r="HQD7" s="34"/>
      <c r="HQF7" s="34"/>
      <c r="HQG7" s="72"/>
      <c r="HQH7" s="63"/>
      <c r="HQI7" s="34"/>
      <c r="HQJ7" s="64"/>
      <c r="HQK7" s="4"/>
      <c r="HQL7" s="65"/>
      <c r="HQM7" s="4"/>
      <c r="HQN7" s="4"/>
      <c r="HQO7" s="4"/>
      <c r="HQR7" s="34"/>
      <c r="HQS7" s="34"/>
      <c r="HQU7" s="34"/>
      <c r="HQV7" s="72"/>
      <c r="HQW7" s="63"/>
      <c r="HQX7" s="34"/>
      <c r="HQY7" s="64"/>
      <c r="HQZ7" s="4"/>
      <c r="HRA7" s="65"/>
      <c r="HRB7" s="4"/>
      <c r="HRC7" s="4"/>
      <c r="HRD7" s="4"/>
      <c r="HRG7" s="34"/>
      <c r="HRH7" s="34"/>
      <c r="HRJ7" s="34"/>
      <c r="HRK7" s="72"/>
      <c r="HRL7" s="63"/>
      <c r="HRM7" s="34"/>
      <c r="HRN7" s="64"/>
      <c r="HRO7" s="4"/>
      <c r="HRP7" s="65"/>
      <c r="HRQ7" s="4"/>
      <c r="HRR7" s="4"/>
      <c r="HRS7" s="4"/>
      <c r="HRV7" s="34"/>
      <c r="HRW7" s="34"/>
      <c r="HRY7" s="34"/>
      <c r="HRZ7" s="72"/>
      <c r="HSA7" s="63"/>
      <c r="HSB7" s="34"/>
      <c r="HSC7" s="64"/>
      <c r="HSD7" s="4"/>
      <c r="HSE7" s="65"/>
      <c r="HSF7" s="4"/>
      <c r="HSG7" s="4"/>
      <c r="HSH7" s="4"/>
      <c r="HSK7" s="34"/>
      <c r="HSL7" s="34"/>
      <c r="HSN7" s="34"/>
      <c r="HSO7" s="72"/>
      <c r="HSP7" s="63"/>
      <c r="HSQ7" s="34"/>
      <c r="HSR7" s="64"/>
      <c r="HSS7" s="4"/>
      <c r="HST7" s="65"/>
      <c r="HSU7" s="4"/>
      <c r="HSV7" s="4"/>
      <c r="HSW7" s="4"/>
      <c r="HSZ7" s="34"/>
      <c r="HTA7" s="34"/>
      <c r="HTC7" s="34"/>
      <c r="HTD7" s="72"/>
      <c r="HTE7" s="63"/>
      <c r="HTF7" s="34"/>
      <c r="HTG7" s="64"/>
      <c r="HTH7" s="4"/>
      <c r="HTI7" s="65"/>
      <c r="HTJ7" s="4"/>
      <c r="HTK7" s="4"/>
      <c r="HTL7" s="4"/>
      <c r="HTO7" s="34"/>
      <c r="HTP7" s="34"/>
      <c r="HTR7" s="34"/>
      <c r="HTS7" s="72"/>
      <c r="HTT7" s="63"/>
      <c r="HTU7" s="34"/>
      <c r="HTV7" s="64"/>
      <c r="HTW7" s="4"/>
      <c r="HTX7" s="65"/>
      <c r="HTY7" s="4"/>
      <c r="HTZ7" s="4"/>
      <c r="HUA7" s="4"/>
      <c r="HUD7" s="34"/>
      <c r="HUE7" s="34"/>
      <c r="HUG7" s="34"/>
      <c r="HUH7" s="72"/>
      <c r="HUI7" s="63"/>
      <c r="HUJ7" s="34"/>
      <c r="HUK7" s="64"/>
      <c r="HUL7" s="4"/>
      <c r="HUM7" s="65"/>
      <c r="HUN7" s="4"/>
      <c r="HUO7" s="4"/>
      <c r="HUP7" s="4"/>
      <c r="HUS7" s="34"/>
      <c r="HUT7" s="34"/>
      <c r="HUV7" s="34"/>
      <c r="HUW7" s="72"/>
      <c r="HUX7" s="63"/>
      <c r="HUY7" s="34"/>
      <c r="HUZ7" s="64"/>
      <c r="HVA7" s="4"/>
      <c r="HVB7" s="65"/>
      <c r="HVC7" s="4"/>
      <c r="HVD7" s="4"/>
      <c r="HVE7" s="4"/>
      <c r="HVH7" s="34"/>
      <c r="HVI7" s="34"/>
      <c r="HVK7" s="34"/>
      <c r="HVL7" s="72"/>
      <c r="HVM7" s="63"/>
      <c r="HVN7" s="34"/>
      <c r="HVO7" s="64"/>
      <c r="HVP7" s="4"/>
      <c r="HVQ7" s="65"/>
      <c r="HVR7" s="4"/>
      <c r="HVS7" s="4"/>
      <c r="HVT7" s="4"/>
      <c r="HVW7" s="34"/>
      <c r="HVX7" s="34"/>
      <c r="HVZ7" s="34"/>
      <c r="HWA7" s="72"/>
      <c r="HWB7" s="63"/>
      <c r="HWC7" s="34"/>
      <c r="HWD7" s="64"/>
      <c r="HWE7" s="4"/>
      <c r="HWF7" s="65"/>
      <c r="HWG7" s="4"/>
      <c r="HWH7" s="4"/>
      <c r="HWI7" s="4"/>
      <c r="HWL7" s="34"/>
      <c r="HWM7" s="34"/>
      <c r="HWO7" s="34"/>
      <c r="HWP7" s="72"/>
      <c r="HWQ7" s="63"/>
      <c r="HWR7" s="34"/>
      <c r="HWS7" s="64"/>
      <c r="HWT7" s="4"/>
      <c r="HWU7" s="65"/>
      <c r="HWV7" s="4"/>
      <c r="HWW7" s="4"/>
      <c r="HWX7" s="4"/>
      <c r="HXA7" s="34"/>
      <c r="HXB7" s="34"/>
      <c r="HXD7" s="34"/>
      <c r="HXE7" s="72"/>
      <c r="HXF7" s="63"/>
      <c r="HXG7" s="34"/>
      <c r="HXH7" s="64"/>
      <c r="HXI7" s="4"/>
      <c r="HXJ7" s="65"/>
      <c r="HXK7" s="4"/>
      <c r="HXL7" s="4"/>
      <c r="HXM7" s="4"/>
      <c r="HXP7" s="34"/>
      <c r="HXQ7" s="34"/>
      <c r="HXS7" s="34"/>
      <c r="HXT7" s="72"/>
      <c r="HXU7" s="63"/>
      <c r="HXV7" s="34"/>
      <c r="HXW7" s="64"/>
      <c r="HXX7" s="4"/>
      <c r="HXY7" s="65"/>
      <c r="HXZ7" s="4"/>
      <c r="HYA7" s="4"/>
      <c r="HYB7" s="4"/>
      <c r="HYE7" s="34"/>
      <c r="HYF7" s="34"/>
      <c r="HYH7" s="34"/>
      <c r="HYI7" s="72"/>
      <c r="HYJ7" s="63"/>
      <c r="HYK7" s="34"/>
      <c r="HYL7" s="64"/>
      <c r="HYM7" s="4"/>
      <c r="HYN7" s="65"/>
      <c r="HYO7" s="4"/>
      <c r="HYP7" s="4"/>
      <c r="HYQ7" s="4"/>
      <c r="HYT7" s="34"/>
      <c r="HYU7" s="34"/>
      <c r="HYW7" s="34"/>
      <c r="HYX7" s="72"/>
      <c r="HYY7" s="63"/>
      <c r="HYZ7" s="34"/>
      <c r="HZA7" s="64"/>
      <c r="HZB7" s="4"/>
      <c r="HZC7" s="65"/>
      <c r="HZD7" s="4"/>
      <c r="HZE7" s="4"/>
      <c r="HZF7" s="4"/>
      <c r="HZI7" s="34"/>
      <c r="HZJ7" s="34"/>
      <c r="HZL7" s="34"/>
      <c r="HZM7" s="72"/>
      <c r="HZN7" s="63"/>
      <c r="HZO7" s="34"/>
      <c r="HZP7" s="64"/>
      <c r="HZQ7" s="4"/>
      <c r="HZR7" s="65"/>
      <c r="HZS7" s="4"/>
      <c r="HZT7" s="4"/>
      <c r="HZU7" s="4"/>
      <c r="HZX7" s="34"/>
      <c r="HZY7" s="34"/>
      <c r="IAA7" s="34"/>
      <c r="IAB7" s="72"/>
      <c r="IAC7" s="63"/>
      <c r="IAD7" s="34"/>
      <c r="IAE7" s="64"/>
      <c r="IAF7" s="4"/>
      <c r="IAG7" s="65"/>
      <c r="IAH7" s="4"/>
      <c r="IAI7" s="4"/>
      <c r="IAJ7" s="4"/>
      <c r="IAM7" s="34"/>
      <c r="IAN7" s="34"/>
      <c r="IAP7" s="34"/>
      <c r="IAQ7" s="72"/>
      <c r="IAR7" s="63"/>
      <c r="IAS7" s="34"/>
      <c r="IAT7" s="64"/>
      <c r="IAU7" s="4"/>
      <c r="IAV7" s="65"/>
      <c r="IAW7" s="4"/>
      <c r="IAX7" s="4"/>
      <c r="IAY7" s="4"/>
      <c r="IBB7" s="34"/>
      <c r="IBC7" s="34"/>
      <c r="IBE7" s="34"/>
      <c r="IBF7" s="72"/>
      <c r="IBG7" s="63"/>
      <c r="IBH7" s="34"/>
      <c r="IBI7" s="64"/>
      <c r="IBJ7" s="4"/>
      <c r="IBK7" s="65"/>
      <c r="IBL7" s="4"/>
      <c r="IBM7" s="4"/>
      <c r="IBN7" s="4"/>
      <c r="IBQ7" s="34"/>
      <c r="IBR7" s="34"/>
      <c r="IBT7" s="34"/>
      <c r="IBU7" s="72"/>
      <c r="IBV7" s="63"/>
      <c r="IBW7" s="34"/>
      <c r="IBX7" s="64"/>
      <c r="IBY7" s="4"/>
      <c r="IBZ7" s="65"/>
      <c r="ICA7" s="4"/>
      <c r="ICB7" s="4"/>
      <c r="ICC7" s="4"/>
      <c r="ICF7" s="34"/>
      <c r="ICG7" s="34"/>
      <c r="ICI7" s="34"/>
      <c r="ICJ7" s="72"/>
      <c r="ICK7" s="63"/>
      <c r="ICL7" s="34"/>
      <c r="ICM7" s="64"/>
      <c r="ICN7" s="4"/>
      <c r="ICO7" s="65"/>
      <c r="ICP7" s="4"/>
      <c r="ICQ7" s="4"/>
      <c r="ICR7" s="4"/>
      <c r="ICU7" s="34"/>
      <c r="ICV7" s="34"/>
      <c r="ICX7" s="34"/>
      <c r="ICY7" s="72"/>
      <c r="ICZ7" s="63"/>
      <c r="IDA7" s="34"/>
      <c r="IDB7" s="64"/>
      <c r="IDC7" s="4"/>
      <c r="IDD7" s="65"/>
      <c r="IDE7" s="4"/>
      <c r="IDF7" s="4"/>
      <c r="IDG7" s="4"/>
      <c r="IDJ7" s="34"/>
      <c r="IDK7" s="34"/>
      <c r="IDM7" s="34"/>
      <c r="IDN7" s="72"/>
      <c r="IDO7" s="63"/>
      <c r="IDP7" s="34"/>
      <c r="IDQ7" s="64"/>
      <c r="IDR7" s="4"/>
      <c r="IDS7" s="65"/>
      <c r="IDT7" s="4"/>
      <c r="IDU7" s="4"/>
      <c r="IDV7" s="4"/>
      <c r="IDY7" s="34"/>
      <c r="IDZ7" s="34"/>
      <c r="IEB7" s="34"/>
      <c r="IEC7" s="72"/>
      <c r="IED7" s="63"/>
      <c r="IEE7" s="34"/>
      <c r="IEF7" s="64"/>
      <c r="IEG7" s="4"/>
      <c r="IEH7" s="65"/>
      <c r="IEI7" s="4"/>
      <c r="IEJ7" s="4"/>
      <c r="IEK7" s="4"/>
      <c r="IEN7" s="34"/>
      <c r="IEO7" s="34"/>
      <c r="IEQ7" s="34"/>
      <c r="IER7" s="72"/>
      <c r="IES7" s="63"/>
      <c r="IET7" s="34"/>
      <c r="IEU7" s="64"/>
      <c r="IEV7" s="4"/>
      <c r="IEW7" s="65"/>
      <c r="IEX7" s="4"/>
      <c r="IEY7" s="4"/>
      <c r="IEZ7" s="4"/>
      <c r="IFC7" s="34"/>
      <c r="IFD7" s="34"/>
      <c r="IFF7" s="34"/>
      <c r="IFG7" s="72"/>
      <c r="IFH7" s="63"/>
      <c r="IFI7" s="34"/>
      <c r="IFJ7" s="64"/>
      <c r="IFK7" s="4"/>
      <c r="IFL7" s="65"/>
      <c r="IFM7" s="4"/>
      <c r="IFN7" s="4"/>
      <c r="IFO7" s="4"/>
      <c r="IFR7" s="34"/>
      <c r="IFS7" s="34"/>
      <c r="IFU7" s="34"/>
      <c r="IFV7" s="72"/>
      <c r="IFW7" s="63"/>
      <c r="IFX7" s="34"/>
      <c r="IFY7" s="64"/>
      <c r="IFZ7" s="4"/>
      <c r="IGA7" s="65"/>
      <c r="IGB7" s="4"/>
      <c r="IGC7" s="4"/>
      <c r="IGD7" s="4"/>
      <c r="IGG7" s="34"/>
      <c r="IGH7" s="34"/>
      <c r="IGJ7" s="34"/>
      <c r="IGK7" s="72"/>
      <c r="IGL7" s="63"/>
      <c r="IGM7" s="34"/>
      <c r="IGN7" s="64"/>
      <c r="IGO7" s="4"/>
      <c r="IGP7" s="65"/>
      <c r="IGQ7" s="4"/>
      <c r="IGR7" s="4"/>
      <c r="IGS7" s="4"/>
      <c r="IGV7" s="34"/>
      <c r="IGW7" s="34"/>
      <c r="IGY7" s="34"/>
      <c r="IGZ7" s="72"/>
      <c r="IHA7" s="63"/>
      <c r="IHB7" s="34"/>
      <c r="IHC7" s="64"/>
      <c r="IHD7" s="4"/>
      <c r="IHE7" s="65"/>
      <c r="IHF7" s="4"/>
      <c r="IHG7" s="4"/>
      <c r="IHH7" s="4"/>
      <c r="IHK7" s="34"/>
      <c r="IHL7" s="34"/>
      <c r="IHN7" s="34"/>
      <c r="IHO7" s="72"/>
      <c r="IHP7" s="63"/>
      <c r="IHQ7" s="34"/>
      <c r="IHR7" s="64"/>
      <c r="IHS7" s="4"/>
      <c r="IHT7" s="65"/>
      <c r="IHU7" s="4"/>
      <c r="IHV7" s="4"/>
      <c r="IHW7" s="4"/>
      <c r="IHZ7" s="34"/>
      <c r="IIA7" s="34"/>
      <c r="IIC7" s="34"/>
      <c r="IID7" s="72"/>
      <c r="IIE7" s="63"/>
      <c r="IIF7" s="34"/>
      <c r="IIG7" s="64"/>
      <c r="IIH7" s="4"/>
      <c r="III7" s="65"/>
      <c r="IIJ7" s="4"/>
      <c r="IIK7" s="4"/>
      <c r="IIL7" s="4"/>
      <c r="IIO7" s="34"/>
      <c r="IIP7" s="34"/>
      <c r="IIR7" s="34"/>
      <c r="IIS7" s="72"/>
      <c r="IIT7" s="63"/>
      <c r="IIU7" s="34"/>
      <c r="IIV7" s="64"/>
      <c r="IIW7" s="4"/>
      <c r="IIX7" s="65"/>
      <c r="IIY7" s="4"/>
      <c r="IIZ7" s="4"/>
      <c r="IJA7" s="4"/>
      <c r="IJD7" s="34"/>
      <c r="IJE7" s="34"/>
      <c r="IJG7" s="34"/>
      <c r="IJH7" s="72"/>
      <c r="IJI7" s="63"/>
      <c r="IJJ7" s="34"/>
      <c r="IJK7" s="64"/>
      <c r="IJL7" s="4"/>
      <c r="IJM7" s="65"/>
      <c r="IJN7" s="4"/>
      <c r="IJO7" s="4"/>
      <c r="IJP7" s="4"/>
      <c r="IJS7" s="34"/>
      <c r="IJT7" s="34"/>
      <c r="IJV7" s="34"/>
      <c r="IJW7" s="72"/>
      <c r="IJX7" s="63"/>
      <c r="IJY7" s="34"/>
      <c r="IJZ7" s="64"/>
      <c r="IKA7" s="4"/>
      <c r="IKB7" s="65"/>
      <c r="IKC7" s="4"/>
      <c r="IKD7" s="4"/>
      <c r="IKE7" s="4"/>
      <c r="IKH7" s="34"/>
      <c r="IKI7" s="34"/>
      <c r="IKK7" s="34"/>
      <c r="IKL7" s="72"/>
      <c r="IKM7" s="63"/>
      <c r="IKN7" s="34"/>
      <c r="IKO7" s="64"/>
      <c r="IKP7" s="4"/>
      <c r="IKQ7" s="65"/>
      <c r="IKR7" s="4"/>
      <c r="IKS7" s="4"/>
      <c r="IKT7" s="4"/>
      <c r="IKW7" s="34"/>
      <c r="IKX7" s="34"/>
      <c r="IKZ7" s="34"/>
      <c r="ILA7" s="72"/>
      <c r="ILB7" s="63"/>
      <c r="ILC7" s="34"/>
      <c r="ILD7" s="64"/>
      <c r="ILE7" s="4"/>
      <c r="ILF7" s="65"/>
      <c r="ILG7" s="4"/>
      <c r="ILH7" s="4"/>
      <c r="ILI7" s="4"/>
      <c r="ILL7" s="34"/>
      <c r="ILM7" s="34"/>
      <c r="ILO7" s="34"/>
      <c r="ILP7" s="72"/>
      <c r="ILQ7" s="63"/>
      <c r="ILR7" s="34"/>
      <c r="ILS7" s="64"/>
      <c r="ILT7" s="4"/>
      <c r="ILU7" s="65"/>
      <c r="ILV7" s="4"/>
      <c r="ILW7" s="4"/>
      <c r="ILX7" s="4"/>
      <c r="IMA7" s="34"/>
      <c r="IMB7" s="34"/>
      <c r="IMD7" s="34"/>
      <c r="IME7" s="72"/>
      <c r="IMF7" s="63"/>
      <c r="IMG7" s="34"/>
      <c r="IMH7" s="64"/>
      <c r="IMI7" s="4"/>
      <c r="IMJ7" s="65"/>
      <c r="IMK7" s="4"/>
      <c r="IML7" s="4"/>
      <c r="IMM7" s="4"/>
      <c r="IMP7" s="34"/>
      <c r="IMQ7" s="34"/>
      <c r="IMS7" s="34"/>
      <c r="IMT7" s="72"/>
      <c r="IMU7" s="63"/>
      <c r="IMV7" s="34"/>
      <c r="IMW7" s="64"/>
      <c r="IMX7" s="4"/>
      <c r="IMY7" s="65"/>
      <c r="IMZ7" s="4"/>
      <c r="INA7" s="4"/>
      <c r="INB7" s="4"/>
      <c r="INE7" s="34"/>
      <c r="INF7" s="34"/>
      <c r="INH7" s="34"/>
      <c r="INI7" s="72"/>
      <c r="INJ7" s="63"/>
      <c r="INK7" s="34"/>
      <c r="INL7" s="64"/>
      <c r="INM7" s="4"/>
      <c r="INN7" s="65"/>
      <c r="INO7" s="4"/>
      <c r="INP7" s="4"/>
      <c r="INQ7" s="4"/>
      <c r="INT7" s="34"/>
      <c r="INU7" s="34"/>
      <c r="INW7" s="34"/>
      <c r="INX7" s="72"/>
      <c r="INY7" s="63"/>
      <c r="INZ7" s="34"/>
      <c r="IOA7" s="64"/>
      <c r="IOB7" s="4"/>
      <c r="IOC7" s="65"/>
      <c r="IOD7" s="4"/>
      <c r="IOE7" s="4"/>
      <c r="IOF7" s="4"/>
      <c r="IOI7" s="34"/>
      <c r="IOJ7" s="34"/>
      <c r="IOL7" s="34"/>
      <c r="IOM7" s="72"/>
      <c r="ION7" s="63"/>
      <c r="IOO7" s="34"/>
      <c r="IOP7" s="64"/>
      <c r="IOQ7" s="4"/>
      <c r="IOR7" s="65"/>
      <c r="IOS7" s="4"/>
      <c r="IOT7" s="4"/>
      <c r="IOU7" s="4"/>
      <c r="IOX7" s="34"/>
      <c r="IOY7" s="34"/>
      <c r="IPA7" s="34"/>
      <c r="IPB7" s="72"/>
      <c r="IPC7" s="63"/>
      <c r="IPD7" s="34"/>
      <c r="IPE7" s="64"/>
      <c r="IPF7" s="4"/>
      <c r="IPG7" s="65"/>
      <c r="IPH7" s="4"/>
      <c r="IPI7" s="4"/>
      <c r="IPJ7" s="4"/>
      <c r="IPM7" s="34"/>
      <c r="IPN7" s="34"/>
      <c r="IPP7" s="34"/>
      <c r="IPQ7" s="72"/>
      <c r="IPR7" s="63"/>
      <c r="IPS7" s="34"/>
      <c r="IPT7" s="64"/>
      <c r="IPU7" s="4"/>
      <c r="IPV7" s="65"/>
      <c r="IPW7" s="4"/>
      <c r="IPX7" s="4"/>
      <c r="IPY7" s="4"/>
      <c r="IQB7" s="34"/>
      <c r="IQC7" s="34"/>
      <c r="IQE7" s="34"/>
      <c r="IQF7" s="72"/>
      <c r="IQG7" s="63"/>
      <c r="IQH7" s="34"/>
      <c r="IQI7" s="64"/>
      <c r="IQJ7" s="4"/>
      <c r="IQK7" s="65"/>
      <c r="IQL7" s="4"/>
      <c r="IQM7" s="4"/>
      <c r="IQN7" s="4"/>
      <c r="IQQ7" s="34"/>
      <c r="IQR7" s="34"/>
      <c r="IQT7" s="34"/>
      <c r="IQU7" s="72"/>
      <c r="IQV7" s="63"/>
      <c r="IQW7" s="34"/>
      <c r="IQX7" s="64"/>
      <c r="IQY7" s="4"/>
      <c r="IQZ7" s="65"/>
      <c r="IRA7" s="4"/>
      <c r="IRB7" s="4"/>
      <c r="IRC7" s="4"/>
      <c r="IRF7" s="34"/>
      <c r="IRG7" s="34"/>
      <c r="IRI7" s="34"/>
      <c r="IRJ7" s="72"/>
      <c r="IRK7" s="63"/>
      <c r="IRL7" s="34"/>
      <c r="IRM7" s="64"/>
      <c r="IRN7" s="4"/>
      <c r="IRO7" s="65"/>
      <c r="IRP7" s="4"/>
      <c r="IRQ7" s="4"/>
      <c r="IRR7" s="4"/>
      <c r="IRU7" s="34"/>
      <c r="IRV7" s="34"/>
      <c r="IRX7" s="34"/>
      <c r="IRY7" s="72"/>
      <c r="IRZ7" s="63"/>
      <c r="ISA7" s="34"/>
      <c r="ISB7" s="64"/>
      <c r="ISC7" s="4"/>
      <c r="ISD7" s="65"/>
      <c r="ISE7" s="4"/>
      <c r="ISF7" s="4"/>
      <c r="ISG7" s="4"/>
      <c r="ISJ7" s="34"/>
      <c r="ISK7" s="34"/>
      <c r="ISM7" s="34"/>
      <c r="ISN7" s="72"/>
      <c r="ISO7" s="63"/>
      <c r="ISP7" s="34"/>
      <c r="ISQ7" s="64"/>
      <c r="ISR7" s="4"/>
      <c r="ISS7" s="65"/>
      <c r="IST7" s="4"/>
      <c r="ISU7" s="4"/>
      <c r="ISV7" s="4"/>
      <c r="ISY7" s="34"/>
      <c r="ISZ7" s="34"/>
      <c r="ITB7" s="34"/>
      <c r="ITC7" s="72"/>
      <c r="ITD7" s="63"/>
      <c r="ITE7" s="34"/>
      <c r="ITF7" s="64"/>
      <c r="ITG7" s="4"/>
      <c r="ITH7" s="65"/>
      <c r="ITI7" s="4"/>
      <c r="ITJ7" s="4"/>
      <c r="ITK7" s="4"/>
      <c r="ITN7" s="34"/>
      <c r="ITO7" s="34"/>
      <c r="ITQ7" s="34"/>
      <c r="ITR7" s="72"/>
      <c r="ITS7" s="63"/>
      <c r="ITT7" s="34"/>
      <c r="ITU7" s="64"/>
      <c r="ITV7" s="4"/>
      <c r="ITW7" s="65"/>
      <c r="ITX7" s="4"/>
      <c r="ITY7" s="4"/>
      <c r="ITZ7" s="4"/>
      <c r="IUC7" s="34"/>
      <c r="IUD7" s="34"/>
      <c r="IUF7" s="34"/>
      <c r="IUG7" s="72"/>
      <c r="IUH7" s="63"/>
      <c r="IUI7" s="34"/>
      <c r="IUJ7" s="64"/>
      <c r="IUK7" s="4"/>
      <c r="IUL7" s="65"/>
      <c r="IUM7" s="4"/>
      <c r="IUN7" s="4"/>
      <c r="IUO7" s="4"/>
      <c r="IUR7" s="34"/>
      <c r="IUS7" s="34"/>
      <c r="IUU7" s="34"/>
      <c r="IUV7" s="72"/>
      <c r="IUW7" s="63"/>
      <c r="IUX7" s="34"/>
      <c r="IUY7" s="64"/>
      <c r="IUZ7" s="4"/>
      <c r="IVA7" s="65"/>
      <c r="IVB7" s="4"/>
      <c r="IVC7" s="4"/>
      <c r="IVD7" s="4"/>
      <c r="IVG7" s="34"/>
      <c r="IVH7" s="34"/>
      <c r="IVJ7" s="34"/>
      <c r="IVK7" s="72"/>
      <c r="IVL7" s="63"/>
      <c r="IVM7" s="34"/>
      <c r="IVN7" s="64"/>
      <c r="IVO7" s="4"/>
      <c r="IVP7" s="65"/>
      <c r="IVQ7" s="4"/>
      <c r="IVR7" s="4"/>
      <c r="IVS7" s="4"/>
      <c r="IVV7" s="34"/>
      <c r="IVW7" s="34"/>
      <c r="IVY7" s="34"/>
      <c r="IVZ7" s="72"/>
      <c r="IWA7" s="63"/>
      <c r="IWB7" s="34"/>
      <c r="IWC7" s="64"/>
      <c r="IWD7" s="4"/>
      <c r="IWE7" s="65"/>
      <c r="IWF7" s="4"/>
      <c r="IWG7" s="4"/>
      <c r="IWH7" s="4"/>
      <c r="IWK7" s="34"/>
      <c r="IWL7" s="34"/>
      <c r="IWN7" s="34"/>
      <c r="IWO7" s="72"/>
      <c r="IWP7" s="63"/>
      <c r="IWQ7" s="34"/>
      <c r="IWR7" s="64"/>
      <c r="IWS7" s="4"/>
      <c r="IWT7" s="65"/>
      <c r="IWU7" s="4"/>
      <c r="IWV7" s="4"/>
      <c r="IWW7" s="4"/>
      <c r="IWZ7" s="34"/>
      <c r="IXA7" s="34"/>
      <c r="IXC7" s="34"/>
      <c r="IXD7" s="72"/>
      <c r="IXE7" s="63"/>
      <c r="IXF7" s="34"/>
      <c r="IXG7" s="64"/>
      <c r="IXH7" s="4"/>
      <c r="IXI7" s="65"/>
      <c r="IXJ7" s="4"/>
      <c r="IXK7" s="4"/>
      <c r="IXL7" s="4"/>
      <c r="IXO7" s="34"/>
      <c r="IXP7" s="34"/>
      <c r="IXR7" s="34"/>
      <c r="IXS7" s="72"/>
      <c r="IXT7" s="63"/>
      <c r="IXU7" s="34"/>
      <c r="IXV7" s="64"/>
      <c r="IXW7" s="4"/>
      <c r="IXX7" s="65"/>
      <c r="IXY7" s="4"/>
      <c r="IXZ7" s="4"/>
      <c r="IYA7" s="4"/>
      <c r="IYD7" s="34"/>
      <c r="IYE7" s="34"/>
      <c r="IYG7" s="34"/>
      <c r="IYH7" s="72"/>
      <c r="IYI7" s="63"/>
      <c r="IYJ7" s="34"/>
      <c r="IYK7" s="64"/>
      <c r="IYL7" s="4"/>
      <c r="IYM7" s="65"/>
      <c r="IYN7" s="4"/>
      <c r="IYO7" s="4"/>
      <c r="IYP7" s="4"/>
      <c r="IYS7" s="34"/>
      <c r="IYT7" s="34"/>
      <c r="IYV7" s="34"/>
      <c r="IYW7" s="72"/>
      <c r="IYX7" s="63"/>
      <c r="IYY7" s="34"/>
      <c r="IYZ7" s="64"/>
      <c r="IZA7" s="4"/>
      <c r="IZB7" s="65"/>
      <c r="IZC7" s="4"/>
      <c r="IZD7" s="4"/>
      <c r="IZE7" s="4"/>
      <c r="IZH7" s="34"/>
      <c r="IZI7" s="34"/>
      <c r="IZK7" s="34"/>
      <c r="IZL7" s="72"/>
      <c r="IZM7" s="63"/>
      <c r="IZN7" s="34"/>
      <c r="IZO7" s="64"/>
      <c r="IZP7" s="4"/>
      <c r="IZQ7" s="65"/>
      <c r="IZR7" s="4"/>
      <c r="IZS7" s="4"/>
      <c r="IZT7" s="4"/>
      <c r="IZW7" s="34"/>
      <c r="IZX7" s="34"/>
      <c r="IZZ7" s="34"/>
      <c r="JAA7" s="72"/>
      <c r="JAB7" s="63"/>
      <c r="JAC7" s="34"/>
      <c r="JAD7" s="64"/>
      <c r="JAE7" s="4"/>
      <c r="JAF7" s="65"/>
      <c r="JAG7" s="4"/>
      <c r="JAH7" s="4"/>
      <c r="JAI7" s="4"/>
      <c r="JAL7" s="34"/>
      <c r="JAM7" s="34"/>
      <c r="JAO7" s="34"/>
      <c r="JAP7" s="72"/>
      <c r="JAQ7" s="63"/>
      <c r="JAR7" s="34"/>
      <c r="JAS7" s="64"/>
      <c r="JAT7" s="4"/>
      <c r="JAU7" s="65"/>
      <c r="JAV7" s="4"/>
      <c r="JAW7" s="4"/>
      <c r="JAX7" s="4"/>
      <c r="JBA7" s="34"/>
      <c r="JBB7" s="34"/>
      <c r="JBD7" s="34"/>
      <c r="JBE7" s="72"/>
      <c r="JBF7" s="63"/>
      <c r="JBG7" s="34"/>
      <c r="JBH7" s="64"/>
      <c r="JBI7" s="4"/>
      <c r="JBJ7" s="65"/>
      <c r="JBK7" s="4"/>
      <c r="JBL7" s="4"/>
      <c r="JBM7" s="4"/>
      <c r="JBP7" s="34"/>
      <c r="JBQ7" s="34"/>
      <c r="JBS7" s="34"/>
      <c r="JBT7" s="72"/>
      <c r="JBU7" s="63"/>
      <c r="JBV7" s="34"/>
      <c r="JBW7" s="64"/>
      <c r="JBX7" s="4"/>
      <c r="JBY7" s="65"/>
      <c r="JBZ7" s="4"/>
      <c r="JCA7" s="4"/>
      <c r="JCB7" s="4"/>
      <c r="JCE7" s="34"/>
      <c r="JCF7" s="34"/>
      <c r="JCH7" s="34"/>
      <c r="JCI7" s="72"/>
      <c r="JCJ7" s="63"/>
      <c r="JCK7" s="34"/>
      <c r="JCL7" s="64"/>
      <c r="JCM7" s="4"/>
      <c r="JCN7" s="65"/>
      <c r="JCO7" s="4"/>
      <c r="JCP7" s="4"/>
      <c r="JCQ7" s="4"/>
      <c r="JCT7" s="34"/>
      <c r="JCU7" s="34"/>
      <c r="JCW7" s="34"/>
      <c r="JCX7" s="72"/>
      <c r="JCY7" s="63"/>
      <c r="JCZ7" s="34"/>
      <c r="JDA7" s="64"/>
      <c r="JDB7" s="4"/>
      <c r="JDC7" s="65"/>
      <c r="JDD7" s="4"/>
      <c r="JDE7" s="4"/>
      <c r="JDF7" s="4"/>
      <c r="JDI7" s="34"/>
      <c r="JDJ7" s="34"/>
      <c r="JDL7" s="34"/>
      <c r="JDM7" s="72"/>
      <c r="JDN7" s="63"/>
      <c r="JDO7" s="34"/>
      <c r="JDP7" s="64"/>
      <c r="JDQ7" s="4"/>
      <c r="JDR7" s="65"/>
      <c r="JDS7" s="4"/>
      <c r="JDT7" s="4"/>
      <c r="JDU7" s="4"/>
      <c r="JDX7" s="34"/>
      <c r="JDY7" s="34"/>
      <c r="JEA7" s="34"/>
      <c r="JEB7" s="72"/>
      <c r="JEC7" s="63"/>
      <c r="JED7" s="34"/>
      <c r="JEE7" s="64"/>
      <c r="JEF7" s="4"/>
      <c r="JEG7" s="65"/>
      <c r="JEH7" s="4"/>
      <c r="JEI7" s="4"/>
      <c r="JEJ7" s="4"/>
      <c r="JEM7" s="34"/>
      <c r="JEN7" s="34"/>
      <c r="JEP7" s="34"/>
      <c r="JEQ7" s="72"/>
      <c r="JER7" s="63"/>
      <c r="JES7" s="34"/>
      <c r="JET7" s="64"/>
      <c r="JEU7" s="4"/>
      <c r="JEV7" s="65"/>
      <c r="JEW7" s="4"/>
      <c r="JEX7" s="4"/>
      <c r="JEY7" s="4"/>
      <c r="JFB7" s="34"/>
      <c r="JFC7" s="34"/>
      <c r="JFE7" s="34"/>
      <c r="JFF7" s="72"/>
      <c r="JFG7" s="63"/>
      <c r="JFH7" s="34"/>
      <c r="JFI7" s="64"/>
      <c r="JFJ7" s="4"/>
      <c r="JFK7" s="65"/>
      <c r="JFL7" s="4"/>
      <c r="JFM7" s="4"/>
      <c r="JFN7" s="4"/>
      <c r="JFQ7" s="34"/>
      <c r="JFR7" s="34"/>
      <c r="JFT7" s="34"/>
      <c r="JFU7" s="72"/>
      <c r="JFV7" s="63"/>
      <c r="JFW7" s="34"/>
      <c r="JFX7" s="64"/>
      <c r="JFY7" s="4"/>
      <c r="JFZ7" s="65"/>
      <c r="JGA7" s="4"/>
      <c r="JGB7" s="4"/>
      <c r="JGC7" s="4"/>
      <c r="JGF7" s="34"/>
      <c r="JGG7" s="34"/>
      <c r="JGI7" s="34"/>
      <c r="JGJ7" s="72"/>
      <c r="JGK7" s="63"/>
      <c r="JGL7" s="34"/>
      <c r="JGM7" s="64"/>
      <c r="JGN7" s="4"/>
      <c r="JGO7" s="65"/>
      <c r="JGP7" s="4"/>
      <c r="JGQ7" s="4"/>
      <c r="JGR7" s="4"/>
      <c r="JGU7" s="34"/>
      <c r="JGV7" s="34"/>
      <c r="JGX7" s="34"/>
      <c r="JGY7" s="72"/>
      <c r="JGZ7" s="63"/>
      <c r="JHA7" s="34"/>
      <c r="JHB7" s="64"/>
      <c r="JHC7" s="4"/>
      <c r="JHD7" s="65"/>
      <c r="JHE7" s="4"/>
      <c r="JHF7" s="4"/>
      <c r="JHG7" s="4"/>
      <c r="JHJ7" s="34"/>
      <c r="JHK7" s="34"/>
      <c r="JHM7" s="34"/>
      <c r="JHN7" s="72"/>
      <c r="JHO7" s="63"/>
      <c r="JHP7" s="34"/>
      <c r="JHQ7" s="64"/>
      <c r="JHR7" s="4"/>
      <c r="JHS7" s="65"/>
      <c r="JHT7" s="4"/>
      <c r="JHU7" s="4"/>
      <c r="JHV7" s="4"/>
      <c r="JHY7" s="34"/>
      <c r="JHZ7" s="34"/>
      <c r="JIB7" s="34"/>
      <c r="JIC7" s="72"/>
      <c r="JID7" s="63"/>
      <c r="JIE7" s="34"/>
      <c r="JIF7" s="64"/>
      <c r="JIG7" s="4"/>
      <c r="JIH7" s="65"/>
      <c r="JII7" s="4"/>
      <c r="JIJ7" s="4"/>
      <c r="JIK7" s="4"/>
      <c r="JIN7" s="34"/>
      <c r="JIO7" s="34"/>
      <c r="JIQ7" s="34"/>
      <c r="JIR7" s="72"/>
      <c r="JIS7" s="63"/>
      <c r="JIT7" s="34"/>
      <c r="JIU7" s="64"/>
      <c r="JIV7" s="4"/>
      <c r="JIW7" s="65"/>
      <c r="JIX7" s="4"/>
      <c r="JIY7" s="4"/>
      <c r="JIZ7" s="4"/>
      <c r="JJC7" s="34"/>
      <c r="JJD7" s="34"/>
      <c r="JJF7" s="34"/>
      <c r="JJG7" s="72"/>
      <c r="JJH7" s="63"/>
      <c r="JJI7" s="34"/>
      <c r="JJJ7" s="64"/>
      <c r="JJK7" s="4"/>
      <c r="JJL7" s="65"/>
      <c r="JJM7" s="4"/>
      <c r="JJN7" s="4"/>
      <c r="JJO7" s="4"/>
      <c r="JJR7" s="34"/>
      <c r="JJS7" s="34"/>
      <c r="JJU7" s="34"/>
      <c r="JJV7" s="72"/>
      <c r="JJW7" s="63"/>
      <c r="JJX7" s="34"/>
      <c r="JJY7" s="64"/>
      <c r="JJZ7" s="4"/>
      <c r="JKA7" s="65"/>
      <c r="JKB7" s="4"/>
      <c r="JKC7" s="4"/>
      <c r="JKD7" s="4"/>
      <c r="JKG7" s="34"/>
      <c r="JKH7" s="34"/>
      <c r="JKJ7" s="34"/>
      <c r="JKK7" s="72"/>
      <c r="JKL7" s="63"/>
      <c r="JKM7" s="34"/>
      <c r="JKN7" s="64"/>
      <c r="JKO7" s="4"/>
      <c r="JKP7" s="65"/>
      <c r="JKQ7" s="4"/>
      <c r="JKR7" s="4"/>
      <c r="JKS7" s="4"/>
      <c r="JKV7" s="34"/>
      <c r="JKW7" s="34"/>
      <c r="JKY7" s="34"/>
      <c r="JKZ7" s="72"/>
      <c r="JLA7" s="63"/>
      <c r="JLB7" s="34"/>
      <c r="JLC7" s="64"/>
      <c r="JLD7" s="4"/>
      <c r="JLE7" s="65"/>
      <c r="JLF7" s="4"/>
      <c r="JLG7" s="4"/>
      <c r="JLH7" s="4"/>
      <c r="JLK7" s="34"/>
      <c r="JLL7" s="34"/>
      <c r="JLN7" s="34"/>
      <c r="JLO7" s="72"/>
      <c r="JLP7" s="63"/>
      <c r="JLQ7" s="34"/>
      <c r="JLR7" s="64"/>
      <c r="JLS7" s="4"/>
      <c r="JLT7" s="65"/>
      <c r="JLU7" s="4"/>
      <c r="JLV7" s="4"/>
      <c r="JLW7" s="4"/>
      <c r="JLZ7" s="34"/>
      <c r="JMA7" s="34"/>
      <c r="JMC7" s="34"/>
      <c r="JMD7" s="72"/>
      <c r="JME7" s="63"/>
      <c r="JMF7" s="34"/>
      <c r="JMG7" s="64"/>
      <c r="JMH7" s="4"/>
      <c r="JMI7" s="65"/>
      <c r="JMJ7" s="4"/>
      <c r="JMK7" s="4"/>
      <c r="JML7" s="4"/>
      <c r="JMO7" s="34"/>
      <c r="JMP7" s="34"/>
      <c r="JMR7" s="34"/>
      <c r="JMS7" s="72"/>
      <c r="JMT7" s="63"/>
      <c r="JMU7" s="34"/>
      <c r="JMV7" s="64"/>
      <c r="JMW7" s="4"/>
      <c r="JMX7" s="65"/>
      <c r="JMY7" s="4"/>
      <c r="JMZ7" s="4"/>
      <c r="JNA7" s="4"/>
      <c r="JND7" s="34"/>
      <c r="JNE7" s="34"/>
      <c r="JNG7" s="34"/>
      <c r="JNH7" s="72"/>
      <c r="JNI7" s="63"/>
      <c r="JNJ7" s="34"/>
      <c r="JNK7" s="64"/>
      <c r="JNL7" s="4"/>
      <c r="JNM7" s="65"/>
      <c r="JNN7" s="4"/>
      <c r="JNO7" s="4"/>
      <c r="JNP7" s="4"/>
      <c r="JNS7" s="34"/>
      <c r="JNT7" s="34"/>
      <c r="JNV7" s="34"/>
      <c r="JNW7" s="72"/>
      <c r="JNX7" s="63"/>
      <c r="JNY7" s="34"/>
      <c r="JNZ7" s="64"/>
      <c r="JOA7" s="4"/>
      <c r="JOB7" s="65"/>
      <c r="JOC7" s="4"/>
      <c r="JOD7" s="4"/>
      <c r="JOE7" s="4"/>
      <c r="JOH7" s="34"/>
      <c r="JOI7" s="34"/>
      <c r="JOK7" s="34"/>
      <c r="JOL7" s="72"/>
      <c r="JOM7" s="63"/>
      <c r="JON7" s="34"/>
      <c r="JOO7" s="64"/>
      <c r="JOP7" s="4"/>
      <c r="JOQ7" s="65"/>
      <c r="JOR7" s="4"/>
      <c r="JOS7" s="4"/>
      <c r="JOT7" s="4"/>
      <c r="JOW7" s="34"/>
      <c r="JOX7" s="34"/>
      <c r="JOZ7" s="34"/>
      <c r="JPA7" s="72"/>
      <c r="JPB7" s="63"/>
      <c r="JPC7" s="34"/>
      <c r="JPD7" s="64"/>
      <c r="JPE7" s="4"/>
      <c r="JPF7" s="65"/>
      <c r="JPG7" s="4"/>
      <c r="JPH7" s="4"/>
      <c r="JPI7" s="4"/>
      <c r="JPL7" s="34"/>
      <c r="JPM7" s="34"/>
      <c r="JPO7" s="34"/>
      <c r="JPP7" s="72"/>
      <c r="JPQ7" s="63"/>
      <c r="JPR7" s="34"/>
      <c r="JPS7" s="64"/>
      <c r="JPT7" s="4"/>
      <c r="JPU7" s="65"/>
      <c r="JPV7" s="4"/>
      <c r="JPW7" s="4"/>
      <c r="JPX7" s="4"/>
      <c r="JQA7" s="34"/>
      <c r="JQB7" s="34"/>
      <c r="JQD7" s="34"/>
      <c r="JQE7" s="72"/>
      <c r="JQF7" s="63"/>
      <c r="JQG7" s="34"/>
      <c r="JQH7" s="64"/>
      <c r="JQI7" s="4"/>
      <c r="JQJ7" s="65"/>
      <c r="JQK7" s="4"/>
      <c r="JQL7" s="4"/>
      <c r="JQM7" s="4"/>
      <c r="JQP7" s="34"/>
      <c r="JQQ7" s="34"/>
      <c r="JQS7" s="34"/>
      <c r="JQT7" s="72"/>
      <c r="JQU7" s="63"/>
      <c r="JQV7" s="34"/>
      <c r="JQW7" s="64"/>
      <c r="JQX7" s="4"/>
      <c r="JQY7" s="65"/>
      <c r="JQZ7" s="4"/>
      <c r="JRA7" s="4"/>
      <c r="JRB7" s="4"/>
      <c r="JRE7" s="34"/>
      <c r="JRF7" s="34"/>
      <c r="JRH7" s="34"/>
      <c r="JRI7" s="72"/>
      <c r="JRJ7" s="63"/>
      <c r="JRK7" s="34"/>
      <c r="JRL7" s="64"/>
      <c r="JRM7" s="4"/>
      <c r="JRN7" s="65"/>
      <c r="JRO7" s="4"/>
      <c r="JRP7" s="4"/>
      <c r="JRQ7" s="4"/>
      <c r="JRT7" s="34"/>
      <c r="JRU7" s="34"/>
      <c r="JRW7" s="34"/>
      <c r="JRX7" s="72"/>
      <c r="JRY7" s="63"/>
      <c r="JRZ7" s="34"/>
      <c r="JSA7" s="64"/>
      <c r="JSB7" s="4"/>
      <c r="JSC7" s="65"/>
      <c r="JSD7" s="4"/>
      <c r="JSE7" s="4"/>
      <c r="JSF7" s="4"/>
      <c r="JSI7" s="34"/>
      <c r="JSJ7" s="34"/>
      <c r="JSL7" s="34"/>
      <c r="JSM7" s="72"/>
      <c r="JSN7" s="63"/>
      <c r="JSO7" s="34"/>
      <c r="JSP7" s="64"/>
      <c r="JSQ7" s="4"/>
      <c r="JSR7" s="65"/>
      <c r="JSS7" s="4"/>
      <c r="JST7" s="4"/>
      <c r="JSU7" s="4"/>
      <c r="JSX7" s="34"/>
      <c r="JSY7" s="34"/>
      <c r="JTA7" s="34"/>
      <c r="JTB7" s="72"/>
      <c r="JTC7" s="63"/>
      <c r="JTD7" s="34"/>
      <c r="JTE7" s="64"/>
      <c r="JTF7" s="4"/>
      <c r="JTG7" s="65"/>
      <c r="JTH7" s="4"/>
      <c r="JTI7" s="4"/>
      <c r="JTJ7" s="4"/>
      <c r="JTM7" s="34"/>
      <c r="JTN7" s="34"/>
      <c r="JTP7" s="34"/>
      <c r="JTQ7" s="72"/>
      <c r="JTR7" s="63"/>
      <c r="JTS7" s="34"/>
      <c r="JTT7" s="64"/>
      <c r="JTU7" s="4"/>
      <c r="JTV7" s="65"/>
      <c r="JTW7" s="4"/>
      <c r="JTX7" s="4"/>
      <c r="JTY7" s="4"/>
      <c r="JUB7" s="34"/>
      <c r="JUC7" s="34"/>
      <c r="JUE7" s="34"/>
      <c r="JUF7" s="72"/>
      <c r="JUG7" s="63"/>
      <c r="JUH7" s="34"/>
      <c r="JUI7" s="64"/>
      <c r="JUJ7" s="4"/>
      <c r="JUK7" s="65"/>
      <c r="JUL7" s="4"/>
      <c r="JUM7" s="4"/>
      <c r="JUN7" s="4"/>
      <c r="JUQ7" s="34"/>
      <c r="JUR7" s="34"/>
      <c r="JUT7" s="34"/>
      <c r="JUU7" s="72"/>
      <c r="JUV7" s="63"/>
      <c r="JUW7" s="34"/>
      <c r="JUX7" s="64"/>
      <c r="JUY7" s="4"/>
      <c r="JUZ7" s="65"/>
      <c r="JVA7" s="4"/>
      <c r="JVB7" s="4"/>
      <c r="JVC7" s="4"/>
      <c r="JVF7" s="34"/>
      <c r="JVG7" s="34"/>
      <c r="JVI7" s="34"/>
      <c r="JVJ7" s="72"/>
      <c r="JVK7" s="63"/>
      <c r="JVL7" s="34"/>
      <c r="JVM7" s="64"/>
      <c r="JVN7" s="4"/>
      <c r="JVO7" s="65"/>
      <c r="JVP7" s="4"/>
      <c r="JVQ7" s="4"/>
      <c r="JVR7" s="4"/>
      <c r="JVU7" s="34"/>
      <c r="JVV7" s="34"/>
      <c r="JVX7" s="34"/>
      <c r="JVY7" s="72"/>
      <c r="JVZ7" s="63"/>
      <c r="JWA7" s="34"/>
      <c r="JWB7" s="64"/>
      <c r="JWC7" s="4"/>
      <c r="JWD7" s="65"/>
      <c r="JWE7" s="4"/>
      <c r="JWF7" s="4"/>
      <c r="JWG7" s="4"/>
      <c r="JWJ7" s="34"/>
      <c r="JWK7" s="34"/>
      <c r="JWM7" s="34"/>
      <c r="JWN7" s="72"/>
      <c r="JWO7" s="63"/>
      <c r="JWP7" s="34"/>
      <c r="JWQ7" s="64"/>
      <c r="JWR7" s="4"/>
      <c r="JWS7" s="65"/>
      <c r="JWT7" s="4"/>
      <c r="JWU7" s="4"/>
      <c r="JWV7" s="4"/>
      <c r="JWY7" s="34"/>
      <c r="JWZ7" s="34"/>
      <c r="JXB7" s="34"/>
      <c r="JXC7" s="72"/>
      <c r="JXD7" s="63"/>
      <c r="JXE7" s="34"/>
      <c r="JXF7" s="64"/>
      <c r="JXG7" s="4"/>
      <c r="JXH7" s="65"/>
      <c r="JXI7" s="4"/>
      <c r="JXJ7" s="4"/>
      <c r="JXK7" s="4"/>
      <c r="JXN7" s="34"/>
      <c r="JXO7" s="34"/>
      <c r="JXQ7" s="34"/>
      <c r="JXR7" s="72"/>
      <c r="JXS7" s="63"/>
      <c r="JXT7" s="34"/>
      <c r="JXU7" s="64"/>
      <c r="JXV7" s="4"/>
      <c r="JXW7" s="65"/>
      <c r="JXX7" s="4"/>
      <c r="JXY7" s="4"/>
      <c r="JXZ7" s="4"/>
      <c r="JYC7" s="34"/>
      <c r="JYD7" s="34"/>
      <c r="JYF7" s="34"/>
      <c r="JYG7" s="72"/>
      <c r="JYH7" s="63"/>
      <c r="JYI7" s="34"/>
      <c r="JYJ7" s="64"/>
      <c r="JYK7" s="4"/>
      <c r="JYL7" s="65"/>
      <c r="JYM7" s="4"/>
      <c r="JYN7" s="4"/>
      <c r="JYO7" s="4"/>
      <c r="JYR7" s="34"/>
      <c r="JYS7" s="34"/>
      <c r="JYU7" s="34"/>
      <c r="JYV7" s="72"/>
      <c r="JYW7" s="63"/>
      <c r="JYX7" s="34"/>
      <c r="JYY7" s="64"/>
      <c r="JYZ7" s="4"/>
      <c r="JZA7" s="65"/>
      <c r="JZB7" s="4"/>
      <c r="JZC7" s="4"/>
      <c r="JZD7" s="4"/>
      <c r="JZG7" s="34"/>
      <c r="JZH7" s="34"/>
      <c r="JZJ7" s="34"/>
      <c r="JZK7" s="72"/>
      <c r="JZL7" s="63"/>
      <c r="JZM7" s="34"/>
      <c r="JZN7" s="64"/>
      <c r="JZO7" s="4"/>
      <c r="JZP7" s="65"/>
      <c r="JZQ7" s="4"/>
      <c r="JZR7" s="4"/>
      <c r="JZS7" s="4"/>
      <c r="JZV7" s="34"/>
      <c r="JZW7" s="34"/>
      <c r="JZY7" s="34"/>
      <c r="JZZ7" s="72"/>
      <c r="KAA7" s="63"/>
      <c r="KAB7" s="34"/>
      <c r="KAC7" s="64"/>
      <c r="KAD7" s="4"/>
      <c r="KAE7" s="65"/>
      <c r="KAF7" s="4"/>
      <c r="KAG7" s="4"/>
      <c r="KAH7" s="4"/>
      <c r="KAK7" s="34"/>
      <c r="KAL7" s="34"/>
      <c r="KAN7" s="34"/>
      <c r="KAO7" s="72"/>
      <c r="KAP7" s="63"/>
      <c r="KAQ7" s="34"/>
      <c r="KAR7" s="64"/>
      <c r="KAS7" s="4"/>
      <c r="KAT7" s="65"/>
      <c r="KAU7" s="4"/>
      <c r="KAV7" s="4"/>
      <c r="KAW7" s="4"/>
      <c r="KAZ7" s="34"/>
      <c r="KBA7" s="34"/>
      <c r="KBC7" s="34"/>
      <c r="KBD7" s="72"/>
      <c r="KBE7" s="63"/>
      <c r="KBF7" s="34"/>
      <c r="KBG7" s="64"/>
      <c r="KBH7" s="4"/>
      <c r="KBI7" s="65"/>
      <c r="KBJ7" s="4"/>
      <c r="KBK7" s="4"/>
      <c r="KBL7" s="4"/>
      <c r="KBO7" s="34"/>
      <c r="KBP7" s="34"/>
      <c r="KBR7" s="34"/>
      <c r="KBS7" s="72"/>
      <c r="KBT7" s="63"/>
      <c r="KBU7" s="34"/>
      <c r="KBV7" s="64"/>
      <c r="KBW7" s="4"/>
      <c r="KBX7" s="65"/>
      <c r="KBY7" s="4"/>
      <c r="KBZ7" s="4"/>
      <c r="KCA7" s="4"/>
      <c r="KCD7" s="34"/>
      <c r="KCE7" s="34"/>
      <c r="KCG7" s="34"/>
      <c r="KCH7" s="72"/>
      <c r="KCI7" s="63"/>
      <c r="KCJ7" s="34"/>
      <c r="KCK7" s="64"/>
      <c r="KCL7" s="4"/>
      <c r="KCM7" s="65"/>
      <c r="KCN7" s="4"/>
      <c r="KCO7" s="4"/>
      <c r="KCP7" s="4"/>
      <c r="KCS7" s="34"/>
      <c r="KCT7" s="34"/>
      <c r="KCV7" s="34"/>
      <c r="KCW7" s="72"/>
      <c r="KCX7" s="63"/>
      <c r="KCY7" s="34"/>
      <c r="KCZ7" s="64"/>
      <c r="KDA7" s="4"/>
      <c r="KDB7" s="65"/>
      <c r="KDC7" s="4"/>
      <c r="KDD7" s="4"/>
      <c r="KDE7" s="4"/>
      <c r="KDH7" s="34"/>
      <c r="KDI7" s="34"/>
      <c r="KDK7" s="34"/>
      <c r="KDL7" s="72"/>
      <c r="KDM7" s="63"/>
      <c r="KDN7" s="34"/>
      <c r="KDO7" s="64"/>
      <c r="KDP7" s="4"/>
      <c r="KDQ7" s="65"/>
      <c r="KDR7" s="4"/>
      <c r="KDS7" s="4"/>
      <c r="KDT7" s="4"/>
      <c r="KDW7" s="34"/>
      <c r="KDX7" s="34"/>
      <c r="KDZ7" s="34"/>
      <c r="KEA7" s="72"/>
      <c r="KEB7" s="63"/>
      <c r="KEC7" s="34"/>
      <c r="KED7" s="64"/>
      <c r="KEE7" s="4"/>
      <c r="KEF7" s="65"/>
      <c r="KEG7" s="4"/>
      <c r="KEH7" s="4"/>
      <c r="KEI7" s="4"/>
      <c r="KEL7" s="34"/>
      <c r="KEM7" s="34"/>
      <c r="KEO7" s="34"/>
      <c r="KEP7" s="72"/>
      <c r="KEQ7" s="63"/>
      <c r="KER7" s="34"/>
      <c r="KES7" s="64"/>
      <c r="KET7" s="4"/>
      <c r="KEU7" s="65"/>
      <c r="KEV7" s="4"/>
      <c r="KEW7" s="4"/>
      <c r="KEX7" s="4"/>
      <c r="KFA7" s="34"/>
      <c r="KFB7" s="34"/>
      <c r="KFD7" s="34"/>
      <c r="KFE7" s="72"/>
      <c r="KFF7" s="63"/>
      <c r="KFG7" s="34"/>
      <c r="KFH7" s="64"/>
      <c r="KFI7" s="4"/>
      <c r="KFJ7" s="65"/>
      <c r="KFK7" s="4"/>
      <c r="KFL7" s="4"/>
      <c r="KFM7" s="4"/>
      <c r="KFP7" s="34"/>
      <c r="KFQ7" s="34"/>
      <c r="KFS7" s="34"/>
      <c r="KFT7" s="72"/>
      <c r="KFU7" s="63"/>
      <c r="KFV7" s="34"/>
      <c r="KFW7" s="64"/>
      <c r="KFX7" s="4"/>
      <c r="KFY7" s="65"/>
      <c r="KFZ7" s="4"/>
      <c r="KGA7" s="4"/>
      <c r="KGB7" s="4"/>
      <c r="KGE7" s="34"/>
      <c r="KGF7" s="34"/>
      <c r="KGH7" s="34"/>
      <c r="KGI7" s="72"/>
      <c r="KGJ7" s="63"/>
      <c r="KGK7" s="34"/>
      <c r="KGL7" s="64"/>
      <c r="KGM7" s="4"/>
      <c r="KGN7" s="65"/>
      <c r="KGO7" s="4"/>
      <c r="KGP7" s="4"/>
      <c r="KGQ7" s="4"/>
      <c r="KGT7" s="34"/>
      <c r="KGU7" s="34"/>
      <c r="KGW7" s="34"/>
      <c r="KGX7" s="72"/>
      <c r="KGY7" s="63"/>
      <c r="KGZ7" s="34"/>
      <c r="KHA7" s="64"/>
      <c r="KHB7" s="4"/>
      <c r="KHC7" s="65"/>
      <c r="KHD7" s="4"/>
      <c r="KHE7" s="4"/>
      <c r="KHF7" s="4"/>
      <c r="KHI7" s="34"/>
      <c r="KHJ7" s="34"/>
      <c r="KHL7" s="34"/>
      <c r="KHM7" s="72"/>
      <c r="KHN7" s="63"/>
      <c r="KHO7" s="34"/>
      <c r="KHP7" s="64"/>
      <c r="KHQ7" s="4"/>
      <c r="KHR7" s="65"/>
      <c r="KHS7" s="4"/>
      <c r="KHT7" s="4"/>
      <c r="KHU7" s="4"/>
      <c r="KHX7" s="34"/>
      <c r="KHY7" s="34"/>
      <c r="KIA7" s="34"/>
      <c r="KIB7" s="72"/>
      <c r="KIC7" s="63"/>
      <c r="KID7" s="34"/>
      <c r="KIE7" s="64"/>
      <c r="KIF7" s="4"/>
      <c r="KIG7" s="65"/>
      <c r="KIH7" s="4"/>
      <c r="KII7" s="4"/>
      <c r="KIJ7" s="4"/>
      <c r="KIM7" s="34"/>
      <c r="KIN7" s="34"/>
      <c r="KIP7" s="34"/>
      <c r="KIQ7" s="72"/>
      <c r="KIR7" s="63"/>
      <c r="KIS7" s="34"/>
      <c r="KIT7" s="64"/>
      <c r="KIU7" s="4"/>
      <c r="KIV7" s="65"/>
      <c r="KIW7" s="4"/>
      <c r="KIX7" s="4"/>
      <c r="KIY7" s="4"/>
      <c r="KJB7" s="34"/>
      <c r="KJC7" s="34"/>
      <c r="KJE7" s="34"/>
      <c r="KJF7" s="72"/>
      <c r="KJG7" s="63"/>
      <c r="KJH7" s="34"/>
      <c r="KJI7" s="64"/>
      <c r="KJJ7" s="4"/>
      <c r="KJK7" s="65"/>
      <c r="KJL7" s="4"/>
      <c r="KJM7" s="4"/>
      <c r="KJN7" s="4"/>
      <c r="KJQ7" s="34"/>
      <c r="KJR7" s="34"/>
      <c r="KJT7" s="34"/>
      <c r="KJU7" s="72"/>
      <c r="KJV7" s="63"/>
      <c r="KJW7" s="34"/>
      <c r="KJX7" s="64"/>
      <c r="KJY7" s="4"/>
      <c r="KJZ7" s="65"/>
      <c r="KKA7" s="4"/>
      <c r="KKB7" s="4"/>
      <c r="KKC7" s="4"/>
      <c r="KKF7" s="34"/>
      <c r="KKG7" s="34"/>
      <c r="KKI7" s="34"/>
      <c r="KKJ7" s="72"/>
      <c r="KKK7" s="63"/>
      <c r="KKL7" s="34"/>
      <c r="KKM7" s="64"/>
      <c r="KKN7" s="4"/>
      <c r="KKO7" s="65"/>
      <c r="KKP7" s="4"/>
      <c r="KKQ7" s="4"/>
      <c r="KKR7" s="4"/>
      <c r="KKU7" s="34"/>
      <c r="KKV7" s="34"/>
      <c r="KKX7" s="34"/>
      <c r="KKY7" s="72"/>
      <c r="KKZ7" s="63"/>
      <c r="KLA7" s="34"/>
      <c r="KLB7" s="64"/>
      <c r="KLC7" s="4"/>
      <c r="KLD7" s="65"/>
      <c r="KLE7" s="4"/>
      <c r="KLF7" s="4"/>
      <c r="KLG7" s="4"/>
      <c r="KLJ7" s="34"/>
      <c r="KLK7" s="34"/>
      <c r="KLM7" s="34"/>
      <c r="KLN7" s="72"/>
      <c r="KLO7" s="63"/>
      <c r="KLP7" s="34"/>
      <c r="KLQ7" s="64"/>
      <c r="KLR7" s="4"/>
      <c r="KLS7" s="65"/>
      <c r="KLT7" s="4"/>
      <c r="KLU7" s="4"/>
      <c r="KLV7" s="4"/>
      <c r="KLY7" s="34"/>
      <c r="KLZ7" s="34"/>
      <c r="KMB7" s="34"/>
      <c r="KMC7" s="72"/>
      <c r="KMD7" s="63"/>
      <c r="KME7" s="34"/>
      <c r="KMF7" s="64"/>
      <c r="KMG7" s="4"/>
      <c r="KMH7" s="65"/>
      <c r="KMI7" s="4"/>
      <c r="KMJ7" s="4"/>
      <c r="KMK7" s="4"/>
      <c r="KMN7" s="34"/>
      <c r="KMO7" s="34"/>
      <c r="KMQ7" s="34"/>
      <c r="KMR7" s="72"/>
      <c r="KMS7" s="63"/>
      <c r="KMT7" s="34"/>
      <c r="KMU7" s="64"/>
      <c r="KMV7" s="4"/>
      <c r="KMW7" s="65"/>
      <c r="KMX7" s="4"/>
      <c r="KMY7" s="4"/>
      <c r="KMZ7" s="4"/>
      <c r="KNC7" s="34"/>
      <c r="KND7" s="34"/>
      <c r="KNF7" s="34"/>
      <c r="KNG7" s="72"/>
      <c r="KNH7" s="63"/>
      <c r="KNI7" s="34"/>
      <c r="KNJ7" s="64"/>
      <c r="KNK7" s="4"/>
      <c r="KNL7" s="65"/>
      <c r="KNM7" s="4"/>
      <c r="KNN7" s="4"/>
      <c r="KNO7" s="4"/>
      <c r="KNR7" s="34"/>
      <c r="KNS7" s="34"/>
      <c r="KNU7" s="34"/>
      <c r="KNV7" s="72"/>
      <c r="KNW7" s="63"/>
      <c r="KNX7" s="34"/>
      <c r="KNY7" s="64"/>
      <c r="KNZ7" s="4"/>
      <c r="KOA7" s="65"/>
      <c r="KOB7" s="4"/>
      <c r="KOC7" s="4"/>
      <c r="KOD7" s="4"/>
      <c r="KOG7" s="34"/>
      <c r="KOH7" s="34"/>
      <c r="KOJ7" s="34"/>
      <c r="KOK7" s="72"/>
      <c r="KOL7" s="63"/>
      <c r="KOM7" s="34"/>
      <c r="KON7" s="64"/>
      <c r="KOO7" s="4"/>
      <c r="KOP7" s="65"/>
      <c r="KOQ7" s="4"/>
      <c r="KOR7" s="4"/>
      <c r="KOS7" s="4"/>
      <c r="KOV7" s="34"/>
      <c r="KOW7" s="34"/>
      <c r="KOY7" s="34"/>
      <c r="KOZ7" s="72"/>
      <c r="KPA7" s="63"/>
      <c r="KPB7" s="34"/>
      <c r="KPC7" s="64"/>
      <c r="KPD7" s="4"/>
      <c r="KPE7" s="65"/>
      <c r="KPF7" s="4"/>
      <c r="KPG7" s="4"/>
      <c r="KPH7" s="4"/>
      <c r="KPK7" s="34"/>
      <c r="KPL7" s="34"/>
      <c r="KPN7" s="34"/>
      <c r="KPO7" s="72"/>
      <c r="KPP7" s="63"/>
      <c r="KPQ7" s="34"/>
      <c r="KPR7" s="64"/>
      <c r="KPS7" s="4"/>
      <c r="KPT7" s="65"/>
      <c r="KPU7" s="4"/>
      <c r="KPV7" s="4"/>
      <c r="KPW7" s="4"/>
      <c r="KPZ7" s="34"/>
      <c r="KQA7" s="34"/>
      <c r="KQC7" s="34"/>
      <c r="KQD7" s="72"/>
      <c r="KQE7" s="63"/>
      <c r="KQF7" s="34"/>
      <c r="KQG7" s="64"/>
      <c r="KQH7" s="4"/>
      <c r="KQI7" s="65"/>
      <c r="KQJ7" s="4"/>
      <c r="KQK7" s="4"/>
      <c r="KQL7" s="4"/>
      <c r="KQO7" s="34"/>
      <c r="KQP7" s="34"/>
      <c r="KQR7" s="34"/>
      <c r="KQS7" s="72"/>
      <c r="KQT7" s="63"/>
      <c r="KQU7" s="34"/>
      <c r="KQV7" s="64"/>
      <c r="KQW7" s="4"/>
      <c r="KQX7" s="65"/>
      <c r="KQY7" s="4"/>
      <c r="KQZ7" s="4"/>
      <c r="KRA7" s="4"/>
      <c r="KRD7" s="34"/>
      <c r="KRE7" s="34"/>
      <c r="KRG7" s="34"/>
      <c r="KRH7" s="72"/>
      <c r="KRI7" s="63"/>
      <c r="KRJ7" s="34"/>
      <c r="KRK7" s="64"/>
      <c r="KRL7" s="4"/>
      <c r="KRM7" s="65"/>
      <c r="KRN7" s="4"/>
      <c r="KRO7" s="4"/>
      <c r="KRP7" s="4"/>
      <c r="KRS7" s="34"/>
      <c r="KRT7" s="34"/>
      <c r="KRV7" s="34"/>
      <c r="KRW7" s="72"/>
      <c r="KRX7" s="63"/>
      <c r="KRY7" s="34"/>
      <c r="KRZ7" s="64"/>
      <c r="KSA7" s="4"/>
      <c r="KSB7" s="65"/>
      <c r="KSC7" s="4"/>
      <c r="KSD7" s="4"/>
      <c r="KSE7" s="4"/>
      <c r="KSH7" s="34"/>
      <c r="KSI7" s="34"/>
      <c r="KSK7" s="34"/>
      <c r="KSL7" s="72"/>
      <c r="KSM7" s="63"/>
      <c r="KSN7" s="34"/>
      <c r="KSO7" s="64"/>
      <c r="KSP7" s="4"/>
      <c r="KSQ7" s="65"/>
      <c r="KSR7" s="4"/>
      <c r="KSS7" s="4"/>
      <c r="KST7" s="4"/>
      <c r="KSW7" s="34"/>
      <c r="KSX7" s="34"/>
      <c r="KSZ7" s="34"/>
      <c r="KTA7" s="72"/>
      <c r="KTB7" s="63"/>
      <c r="KTC7" s="34"/>
      <c r="KTD7" s="64"/>
      <c r="KTE7" s="4"/>
      <c r="KTF7" s="65"/>
      <c r="KTG7" s="4"/>
      <c r="KTH7" s="4"/>
      <c r="KTI7" s="4"/>
      <c r="KTL7" s="34"/>
      <c r="KTM7" s="34"/>
      <c r="KTO7" s="34"/>
      <c r="KTP7" s="72"/>
      <c r="KTQ7" s="63"/>
      <c r="KTR7" s="34"/>
      <c r="KTS7" s="64"/>
      <c r="KTT7" s="4"/>
      <c r="KTU7" s="65"/>
      <c r="KTV7" s="4"/>
      <c r="KTW7" s="4"/>
      <c r="KTX7" s="4"/>
      <c r="KUA7" s="34"/>
      <c r="KUB7" s="34"/>
      <c r="KUD7" s="34"/>
      <c r="KUE7" s="72"/>
      <c r="KUF7" s="63"/>
      <c r="KUG7" s="34"/>
      <c r="KUH7" s="64"/>
      <c r="KUI7" s="4"/>
      <c r="KUJ7" s="65"/>
      <c r="KUK7" s="4"/>
      <c r="KUL7" s="4"/>
      <c r="KUM7" s="4"/>
      <c r="KUP7" s="34"/>
      <c r="KUQ7" s="34"/>
      <c r="KUS7" s="34"/>
      <c r="KUT7" s="72"/>
      <c r="KUU7" s="63"/>
      <c r="KUV7" s="34"/>
      <c r="KUW7" s="64"/>
      <c r="KUX7" s="4"/>
      <c r="KUY7" s="65"/>
      <c r="KUZ7" s="4"/>
      <c r="KVA7" s="4"/>
      <c r="KVB7" s="4"/>
      <c r="KVE7" s="34"/>
      <c r="KVF7" s="34"/>
      <c r="KVH7" s="34"/>
      <c r="KVI7" s="72"/>
      <c r="KVJ7" s="63"/>
      <c r="KVK7" s="34"/>
      <c r="KVL7" s="64"/>
      <c r="KVM7" s="4"/>
      <c r="KVN7" s="65"/>
      <c r="KVO7" s="4"/>
      <c r="KVP7" s="4"/>
      <c r="KVQ7" s="4"/>
      <c r="KVT7" s="34"/>
      <c r="KVU7" s="34"/>
      <c r="KVW7" s="34"/>
      <c r="KVX7" s="72"/>
      <c r="KVY7" s="63"/>
      <c r="KVZ7" s="34"/>
      <c r="KWA7" s="64"/>
      <c r="KWB7" s="4"/>
      <c r="KWC7" s="65"/>
      <c r="KWD7" s="4"/>
      <c r="KWE7" s="4"/>
      <c r="KWF7" s="4"/>
      <c r="KWI7" s="34"/>
      <c r="KWJ7" s="34"/>
      <c r="KWL7" s="34"/>
      <c r="KWM7" s="72"/>
      <c r="KWN7" s="63"/>
      <c r="KWO7" s="34"/>
      <c r="KWP7" s="64"/>
      <c r="KWQ7" s="4"/>
      <c r="KWR7" s="65"/>
      <c r="KWS7" s="4"/>
      <c r="KWT7" s="4"/>
      <c r="KWU7" s="4"/>
      <c r="KWX7" s="34"/>
      <c r="KWY7" s="34"/>
      <c r="KXA7" s="34"/>
      <c r="KXB7" s="72"/>
      <c r="KXC7" s="63"/>
      <c r="KXD7" s="34"/>
      <c r="KXE7" s="64"/>
      <c r="KXF7" s="4"/>
      <c r="KXG7" s="65"/>
      <c r="KXH7" s="4"/>
      <c r="KXI7" s="4"/>
      <c r="KXJ7" s="4"/>
      <c r="KXM7" s="34"/>
      <c r="KXN7" s="34"/>
      <c r="KXP7" s="34"/>
      <c r="KXQ7" s="72"/>
      <c r="KXR7" s="63"/>
      <c r="KXS7" s="34"/>
      <c r="KXT7" s="64"/>
      <c r="KXU7" s="4"/>
      <c r="KXV7" s="65"/>
      <c r="KXW7" s="4"/>
      <c r="KXX7" s="4"/>
      <c r="KXY7" s="4"/>
      <c r="KYB7" s="34"/>
      <c r="KYC7" s="34"/>
      <c r="KYE7" s="34"/>
      <c r="KYF7" s="72"/>
      <c r="KYG7" s="63"/>
      <c r="KYH7" s="34"/>
      <c r="KYI7" s="64"/>
      <c r="KYJ7" s="4"/>
      <c r="KYK7" s="65"/>
      <c r="KYL7" s="4"/>
      <c r="KYM7" s="4"/>
      <c r="KYN7" s="4"/>
      <c r="KYQ7" s="34"/>
      <c r="KYR7" s="34"/>
      <c r="KYT7" s="34"/>
      <c r="KYU7" s="72"/>
      <c r="KYV7" s="63"/>
      <c r="KYW7" s="34"/>
      <c r="KYX7" s="64"/>
      <c r="KYY7" s="4"/>
      <c r="KYZ7" s="65"/>
      <c r="KZA7" s="4"/>
      <c r="KZB7" s="4"/>
      <c r="KZC7" s="4"/>
      <c r="KZF7" s="34"/>
      <c r="KZG7" s="34"/>
      <c r="KZI7" s="34"/>
      <c r="KZJ7" s="72"/>
      <c r="KZK7" s="63"/>
      <c r="KZL7" s="34"/>
      <c r="KZM7" s="64"/>
      <c r="KZN7" s="4"/>
      <c r="KZO7" s="65"/>
      <c r="KZP7" s="4"/>
      <c r="KZQ7" s="4"/>
      <c r="KZR7" s="4"/>
      <c r="KZU7" s="34"/>
      <c r="KZV7" s="34"/>
      <c r="KZX7" s="34"/>
      <c r="KZY7" s="72"/>
      <c r="KZZ7" s="63"/>
      <c r="LAA7" s="34"/>
      <c r="LAB7" s="64"/>
      <c r="LAC7" s="4"/>
      <c r="LAD7" s="65"/>
      <c r="LAE7" s="4"/>
      <c r="LAF7" s="4"/>
      <c r="LAG7" s="4"/>
      <c r="LAJ7" s="34"/>
      <c r="LAK7" s="34"/>
      <c r="LAM7" s="34"/>
      <c r="LAN7" s="72"/>
      <c r="LAO7" s="63"/>
      <c r="LAP7" s="34"/>
      <c r="LAQ7" s="64"/>
      <c r="LAR7" s="4"/>
      <c r="LAS7" s="65"/>
      <c r="LAT7" s="4"/>
      <c r="LAU7" s="4"/>
      <c r="LAV7" s="4"/>
      <c r="LAY7" s="34"/>
      <c r="LAZ7" s="34"/>
      <c r="LBB7" s="34"/>
      <c r="LBC7" s="72"/>
      <c r="LBD7" s="63"/>
      <c r="LBE7" s="34"/>
      <c r="LBF7" s="64"/>
      <c r="LBG7" s="4"/>
      <c r="LBH7" s="65"/>
      <c r="LBI7" s="4"/>
      <c r="LBJ7" s="4"/>
      <c r="LBK7" s="4"/>
      <c r="LBN7" s="34"/>
      <c r="LBO7" s="34"/>
      <c r="LBQ7" s="34"/>
      <c r="LBR7" s="72"/>
      <c r="LBS7" s="63"/>
      <c r="LBT7" s="34"/>
      <c r="LBU7" s="64"/>
      <c r="LBV7" s="4"/>
      <c r="LBW7" s="65"/>
      <c r="LBX7" s="4"/>
      <c r="LBY7" s="4"/>
      <c r="LBZ7" s="4"/>
      <c r="LCC7" s="34"/>
      <c r="LCD7" s="34"/>
      <c r="LCF7" s="34"/>
      <c r="LCG7" s="72"/>
      <c r="LCH7" s="63"/>
      <c r="LCI7" s="34"/>
      <c r="LCJ7" s="64"/>
      <c r="LCK7" s="4"/>
      <c r="LCL7" s="65"/>
      <c r="LCM7" s="4"/>
      <c r="LCN7" s="4"/>
      <c r="LCO7" s="4"/>
      <c r="LCR7" s="34"/>
      <c r="LCS7" s="34"/>
      <c r="LCU7" s="34"/>
      <c r="LCV7" s="72"/>
      <c r="LCW7" s="63"/>
      <c r="LCX7" s="34"/>
      <c r="LCY7" s="64"/>
      <c r="LCZ7" s="4"/>
      <c r="LDA7" s="65"/>
      <c r="LDB7" s="4"/>
      <c r="LDC7" s="4"/>
      <c r="LDD7" s="4"/>
      <c r="LDG7" s="34"/>
      <c r="LDH7" s="34"/>
      <c r="LDJ7" s="34"/>
      <c r="LDK7" s="72"/>
      <c r="LDL7" s="63"/>
      <c r="LDM7" s="34"/>
      <c r="LDN7" s="64"/>
      <c r="LDO7" s="4"/>
      <c r="LDP7" s="65"/>
      <c r="LDQ7" s="4"/>
      <c r="LDR7" s="4"/>
      <c r="LDS7" s="4"/>
      <c r="LDV7" s="34"/>
      <c r="LDW7" s="34"/>
      <c r="LDY7" s="34"/>
      <c r="LDZ7" s="72"/>
      <c r="LEA7" s="63"/>
      <c r="LEB7" s="34"/>
      <c r="LEC7" s="64"/>
      <c r="LED7" s="4"/>
      <c r="LEE7" s="65"/>
      <c r="LEF7" s="4"/>
      <c r="LEG7" s="4"/>
      <c r="LEH7" s="4"/>
      <c r="LEK7" s="34"/>
      <c r="LEL7" s="34"/>
      <c r="LEN7" s="34"/>
      <c r="LEO7" s="72"/>
      <c r="LEP7" s="63"/>
      <c r="LEQ7" s="34"/>
      <c r="LER7" s="64"/>
      <c r="LES7" s="4"/>
      <c r="LET7" s="65"/>
      <c r="LEU7" s="4"/>
      <c r="LEV7" s="4"/>
      <c r="LEW7" s="4"/>
      <c r="LEZ7" s="34"/>
      <c r="LFA7" s="34"/>
      <c r="LFC7" s="34"/>
      <c r="LFD7" s="72"/>
      <c r="LFE7" s="63"/>
      <c r="LFF7" s="34"/>
      <c r="LFG7" s="64"/>
      <c r="LFH7" s="4"/>
      <c r="LFI7" s="65"/>
      <c r="LFJ7" s="4"/>
      <c r="LFK7" s="4"/>
      <c r="LFL7" s="4"/>
      <c r="LFO7" s="34"/>
      <c r="LFP7" s="34"/>
      <c r="LFR7" s="34"/>
      <c r="LFS7" s="72"/>
      <c r="LFT7" s="63"/>
      <c r="LFU7" s="34"/>
      <c r="LFV7" s="64"/>
      <c r="LFW7" s="4"/>
      <c r="LFX7" s="65"/>
      <c r="LFY7" s="4"/>
      <c r="LFZ7" s="4"/>
      <c r="LGA7" s="4"/>
      <c r="LGD7" s="34"/>
      <c r="LGE7" s="34"/>
      <c r="LGG7" s="34"/>
      <c r="LGH7" s="72"/>
      <c r="LGI7" s="63"/>
      <c r="LGJ7" s="34"/>
      <c r="LGK7" s="64"/>
      <c r="LGL7" s="4"/>
      <c r="LGM7" s="65"/>
      <c r="LGN7" s="4"/>
      <c r="LGO7" s="4"/>
      <c r="LGP7" s="4"/>
      <c r="LGS7" s="34"/>
      <c r="LGT7" s="34"/>
      <c r="LGV7" s="34"/>
      <c r="LGW7" s="72"/>
      <c r="LGX7" s="63"/>
      <c r="LGY7" s="34"/>
      <c r="LGZ7" s="64"/>
      <c r="LHA7" s="4"/>
      <c r="LHB7" s="65"/>
      <c r="LHC7" s="4"/>
      <c r="LHD7" s="4"/>
      <c r="LHE7" s="4"/>
      <c r="LHH7" s="34"/>
      <c r="LHI7" s="34"/>
      <c r="LHK7" s="34"/>
      <c r="LHL7" s="72"/>
      <c r="LHM7" s="63"/>
      <c r="LHN7" s="34"/>
      <c r="LHO7" s="64"/>
      <c r="LHP7" s="4"/>
      <c r="LHQ7" s="65"/>
      <c r="LHR7" s="4"/>
      <c r="LHS7" s="4"/>
      <c r="LHT7" s="4"/>
      <c r="LHW7" s="34"/>
      <c r="LHX7" s="34"/>
      <c r="LHZ7" s="34"/>
      <c r="LIA7" s="72"/>
      <c r="LIB7" s="63"/>
      <c r="LIC7" s="34"/>
      <c r="LID7" s="64"/>
      <c r="LIE7" s="4"/>
      <c r="LIF7" s="65"/>
      <c r="LIG7" s="4"/>
      <c r="LIH7" s="4"/>
      <c r="LII7" s="4"/>
      <c r="LIL7" s="34"/>
      <c r="LIM7" s="34"/>
      <c r="LIO7" s="34"/>
      <c r="LIP7" s="72"/>
      <c r="LIQ7" s="63"/>
      <c r="LIR7" s="34"/>
      <c r="LIS7" s="64"/>
      <c r="LIT7" s="4"/>
      <c r="LIU7" s="65"/>
      <c r="LIV7" s="4"/>
      <c r="LIW7" s="4"/>
      <c r="LIX7" s="4"/>
      <c r="LJA7" s="34"/>
      <c r="LJB7" s="34"/>
      <c r="LJD7" s="34"/>
      <c r="LJE7" s="72"/>
      <c r="LJF7" s="63"/>
      <c r="LJG7" s="34"/>
      <c r="LJH7" s="64"/>
      <c r="LJI7" s="4"/>
      <c r="LJJ7" s="65"/>
      <c r="LJK7" s="4"/>
      <c r="LJL7" s="4"/>
      <c r="LJM7" s="4"/>
      <c r="LJP7" s="34"/>
      <c r="LJQ7" s="34"/>
      <c r="LJS7" s="34"/>
      <c r="LJT7" s="72"/>
      <c r="LJU7" s="63"/>
      <c r="LJV7" s="34"/>
      <c r="LJW7" s="64"/>
      <c r="LJX7" s="4"/>
      <c r="LJY7" s="65"/>
      <c r="LJZ7" s="4"/>
      <c r="LKA7" s="4"/>
      <c r="LKB7" s="4"/>
      <c r="LKE7" s="34"/>
      <c r="LKF7" s="34"/>
      <c r="LKH7" s="34"/>
      <c r="LKI7" s="72"/>
      <c r="LKJ7" s="63"/>
      <c r="LKK7" s="34"/>
      <c r="LKL7" s="64"/>
      <c r="LKM7" s="4"/>
      <c r="LKN7" s="65"/>
      <c r="LKO7" s="4"/>
      <c r="LKP7" s="4"/>
      <c r="LKQ7" s="4"/>
      <c r="LKT7" s="34"/>
      <c r="LKU7" s="34"/>
      <c r="LKW7" s="34"/>
      <c r="LKX7" s="72"/>
      <c r="LKY7" s="63"/>
      <c r="LKZ7" s="34"/>
      <c r="LLA7" s="64"/>
      <c r="LLB7" s="4"/>
      <c r="LLC7" s="65"/>
      <c r="LLD7" s="4"/>
      <c r="LLE7" s="4"/>
      <c r="LLF7" s="4"/>
      <c r="LLI7" s="34"/>
      <c r="LLJ7" s="34"/>
      <c r="LLL7" s="34"/>
      <c r="LLM7" s="72"/>
      <c r="LLN7" s="63"/>
      <c r="LLO7" s="34"/>
      <c r="LLP7" s="64"/>
      <c r="LLQ7" s="4"/>
      <c r="LLR7" s="65"/>
      <c r="LLS7" s="4"/>
      <c r="LLT7" s="4"/>
      <c r="LLU7" s="4"/>
      <c r="LLX7" s="34"/>
      <c r="LLY7" s="34"/>
      <c r="LMA7" s="34"/>
      <c r="LMB7" s="72"/>
      <c r="LMC7" s="63"/>
      <c r="LMD7" s="34"/>
      <c r="LME7" s="64"/>
      <c r="LMF7" s="4"/>
      <c r="LMG7" s="65"/>
      <c r="LMH7" s="4"/>
      <c r="LMI7" s="4"/>
      <c r="LMJ7" s="4"/>
      <c r="LMM7" s="34"/>
      <c r="LMN7" s="34"/>
      <c r="LMP7" s="34"/>
      <c r="LMQ7" s="72"/>
      <c r="LMR7" s="63"/>
      <c r="LMS7" s="34"/>
      <c r="LMT7" s="64"/>
      <c r="LMU7" s="4"/>
      <c r="LMV7" s="65"/>
      <c r="LMW7" s="4"/>
      <c r="LMX7" s="4"/>
      <c r="LMY7" s="4"/>
      <c r="LNB7" s="34"/>
      <c r="LNC7" s="34"/>
      <c r="LNE7" s="34"/>
      <c r="LNF7" s="72"/>
      <c r="LNG7" s="63"/>
      <c r="LNH7" s="34"/>
      <c r="LNI7" s="64"/>
      <c r="LNJ7" s="4"/>
      <c r="LNK7" s="65"/>
      <c r="LNL7" s="4"/>
      <c r="LNM7" s="4"/>
      <c r="LNN7" s="4"/>
      <c r="LNQ7" s="34"/>
      <c r="LNR7" s="34"/>
      <c r="LNT7" s="34"/>
      <c r="LNU7" s="72"/>
      <c r="LNV7" s="63"/>
      <c r="LNW7" s="34"/>
      <c r="LNX7" s="64"/>
      <c r="LNY7" s="4"/>
      <c r="LNZ7" s="65"/>
      <c r="LOA7" s="4"/>
      <c r="LOB7" s="4"/>
      <c r="LOC7" s="4"/>
      <c r="LOF7" s="34"/>
      <c r="LOG7" s="34"/>
      <c r="LOI7" s="34"/>
      <c r="LOJ7" s="72"/>
      <c r="LOK7" s="63"/>
      <c r="LOL7" s="34"/>
      <c r="LOM7" s="64"/>
      <c r="LON7" s="4"/>
      <c r="LOO7" s="65"/>
      <c r="LOP7" s="4"/>
      <c r="LOQ7" s="4"/>
      <c r="LOR7" s="4"/>
      <c r="LOU7" s="34"/>
      <c r="LOV7" s="34"/>
      <c r="LOX7" s="34"/>
      <c r="LOY7" s="72"/>
      <c r="LOZ7" s="63"/>
      <c r="LPA7" s="34"/>
      <c r="LPB7" s="64"/>
      <c r="LPC7" s="4"/>
      <c r="LPD7" s="65"/>
      <c r="LPE7" s="4"/>
      <c r="LPF7" s="4"/>
      <c r="LPG7" s="4"/>
      <c r="LPJ7" s="34"/>
      <c r="LPK7" s="34"/>
      <c r="LPM7" s="34"/>
      <c r="LPN7" s="72"/>
      <c r="LPO7" s="63"/>
      <c r="LPP7" s="34"/>
      <c r="LPQ7" s="64"/>
      <c r="LPR7" s="4"/>
      <c r="LPS7" s="65"/>
      <c r="LPT7" s="4"/>
      <c r="LPU7" s="4"/>
      <c r="LPV7" s="4"/>
      <c r="LPY7" s="34"/>
      <c r="LPZ7" s="34"/>
      <c r="LQB7" s="34"/>
      <c r="LQC7" s="72"/>
      <c r="LQD7" s="63"/>
      <c r="LQE7" s="34"/>
      <c r="LQF7" s="64"/>
      <c r="LQG7" s="4"/>
      <c r="LQH7" s="65"/>
      <c r="LQI7" s="4"/>
      <c r="LQJ7" s="4"/>
      <c r="LQK7" s="4"/>
      <c r="LQN7" s="34"/>
      <c r="LQO7" s="34"/>
      <c r="LQQ7" s="34"/>
      <c r="LQR7" s="72"/>
      <c r="LQS7" s="63"/>
      <c r="LQT7" s="34"/>
      <c r="LQU7" s="64"/>
      <c r="LQV7" s="4"/>
      <c r="LQW7" s="65"/>
      <c r="LQX7" s="4"/>
      <c r="LQY7" s="4"/>
      <c r="LQZ7" s="4"/>
      <c r="LRC7" s="34"/>
      <c r="LRD7" s="34"/>
      <c r="LRF7" s="34"/>
      <c r="LRG7" s="72"/>
      <c r="LRH7" s="63"/>
      <c r="LRI7" s="34"/>
      <c r="LRJ7" s="64"/>
      <c r="LRK7" s="4"/>
      <c r="LRL7" s="65"/>
      <c r="LRM7" s="4"/>
      <c r="LRN7" s="4"/>
      <c r="LRO7" s="4"/>
      <c r="LRR7" s="34"/>
      <c r="LRS7" s="34"/>
      <c r="LRU7" s="34"/>
      <c r="LRV7" s="72"/>
      <c r="LRW7" s="63"/>
      <c r="LRX7" s="34"/>
      <c r="LRY7" s="64"/>
      <c r="LRZ7" s="4"/>
      <c r="LSA7" s="65"/>
      <c r="LSB7" s="4"/>
      <c r="LSC7" s="4"/>
      <c r="LSD7" s="4"/>
      <c r="LSG7" s="34"/>
      <c r="LSH7" s="34"/>
      <c r="LSJ7" s="34"/>
      <c r="LSK7" s="72"/>
      <c r="LSL7" s="63"/>
      <c r="LSM7" s="34"/>
      <c r="LSN7" s="64"/>
      <c r="LSO7" s="4"/>
      <c r="LSP7" s="65"/>
      <c r="LSQ7" s="4"/>
      <c r="LSR7" s="4"/>
      <c r="LSS7" s="4"/>
      <c r="LSV7" s="34"/>
      <c r="LSW7" s="34"/>
      <c r="LSY7" s="34"/>
      <c r="LSZ7" s="72"/>
      <c r="LTA7" s="63"/>
      <c r="LTB7" s="34"/>
      <c r="LTC7" s="64"/>
      <c r="LTD7" s="4"/>
      <c r="LTE7" s="65"/>
      <c r="LTF7" s="4"/>
      <c r="LTG7" s="4"/>
      <c r="LTH7" s="4"/>
      <c r="LTK7" s="34"/>
      <c r="LTL7" s="34"/>
      <c r="LTN7" s="34"/>
      <c r="LTO7" s="72"/>
      <c r="LTP7" s="63"/>
      <c r="LTQ7" s="34"/>
      <c r="LTR7" s="64"/>
      <c r="LTS7" s="4"/>
      <c r="LTT7" s="65"/>
      <c r="LTU7" s="4"/>
      <c r="LTV7" s="4"/>
      <c r="LTW7" s="4"/>
      <c r="LTZ7" s="34"/>
      <c r="LUA7" s="34"/>
      <c r="LUC7" s="34"/>
      <c r="LUD7" s="72"/>
      <c r="LUE7" s="63"/>
      <c r="LUF7" s="34"/>
      <c r="LUG7" s="64"/>
      <c r="LUH7" s="4"/>
      <c r="LUI7" s="65"/>
      <c r="LUJ7" s="4"/>
      <c r="LUK7" s="4"/>
      <c r="LUL7" s="4"/>
      <c r="LUO7" s="34"/>
      <c r="LUP7" s="34"/>
      <c r="LUR7" s="34"/>
      <c r="LUS7" s="72"/>
      <c r="LUT7" s="63"/>
      <c r="LUU7" s="34"/>
      <c r="LUV7" s="64"/>
      <c r="LUW7" s="4"/>
      <c r="LUX7" s="65"/>
      <c r="LUY7" s="4"/>
      <c r="LUZ7" s="4"/>
      <c r="LVA7" s="4"/>
      <c r="LVD7" s="34"/>
      <c r="LVE7" s="34"/>
      <c r="LVG7" s="34"/>
      <c r="LVH7" s="72"/>
      <c r="LVI7" s="63"/>
      <c r="LVJ7" s="34"/>
      <c r="LVK7" s="64"/>
      <c r="LVL7" s="4"/>
      <c r="LVM7" s="65"/>
      <c r="LVN7" s="4"/>
      <c r="LVO7" s="4"/>
      <c r="LVP7" s="4"/>
      <c r="LVS7" s="34"/>
      <c r="LVT7" s="34"/>
      <c r="LVV7" s="34"/>
      <c r="LVW7" s="72"/>
      <c r="LVX7" s="63"/>
      <c r="LVY7" s="34"/>
      <c r="LVZ7" s="64"/>
      <c r="LWA7" s="4"/>
      <c r="LWB7" s="65"/>
      <c r="LWC7" s="4"/>
      <c r="LWD7" s="4"/>
      <c r="LWE7" s="4"/>
      <c r="LWH7" s="34"/>
      <c r="LWI7" s="34"/>
      <c r="LWK7" s="34"/>
      <c r="LWL7" s="72"/>
      <c r="LWM7" s="63"/>
      <c r="LWN7" s="34"/>
      <c r="LWO7" s="64"/>
      <c r="LWP7" s="4"/>
      <c r="LWQ7" s="65"/>
      <c r="LWR7" s="4"/>
      <c r="LWS7" s="4"/>
      <c r="LWT7" s="4"/>
      <c r="LWW7" s="34"/>
      <c r="LWX7" s="34"/>
      <c r="LWZ7" s="34"/>
      <c r="LXA7" s="72"/>
      <c r="LXB7" s="63"/>
      <c r="LXC7" s="34"/>
      <c r="LXD7" s="64"/>
      <c r="LXE7" s="4"/>
      <c r="LXF7" s="65"/>
      <c r="LXG7" s="4"/>
      <c r="LXH7" s="4"/>
      <c r="LXI7" s="4"/>
      <c r="LXL7" s="34"/>
      <c r="LXM7" s="34"/>
      <c r="LXO7" s="34"/>
      <c r="LXP7" s="72"/>
      <c r="LXQ7" s="63"/>
      <c r="LXR7" s="34"/>
      <c r="LXS7" s="64"/>
      <c r="LXT7" s="4"/>
      <c r="LXU7" s="65"/>
      <c r="LXV7" s="4"/>
      <c r="LXW7" s="4"/>
      <c r="LXX7" s="4"/>
      <c r="LYA7" s="34"/>
      <c r="LYB7" s="34"/>
      <c r="LYD7" s="34"/>
      <c r="LYE7" s="72"/>
      <c r="LYF7" s="63"/>
      <c r="LYG7" s="34"/>
      <c r="LYH7" s="64"/>
      <c r="LYI7" s="4"/>
      <c r="LYJ7" s="65"/>
      <c r="LYK7" s="4"/>
      <c r="LYL7" s="4"/>
      <c r="LYM7" s="4"/>
      <c r="LYP7" s="34"/>
      <c r="LYQ7" s="34"/>
      <c r="LYS7" s="34"/>
      <c r="LYT7" s="72"/>
      <c r="LYU7" s="63"/>
      <c r="LYV7" s="34"/>
      <c r="LYW7" s="64"/>
      <c r="LYX7" s="4"/>
      <c r="LYY7" s="65"/>
      <c r="LYZ7" s="4"/>
      <c r="LZA7" s="4"/>
      <c r="LZB7" s="4"/>
      <c r="LZE7" s="34"/>
      <c r="LZF7" s="34"/>
      <c r="LZH7" s="34"/>
      <c r="LZI7" s="72"/>
      <c r="LZJ7" s="63"/>
      <c r="LZK7" s="34"/>
      <c r="LZL7" s="64"/>
      <c r="LZM7" s="4"/>
      <c r="LZN7" s="65"/>
      <c r="LZO7" s="4"/>
      <c r="LZP7" s="4"/>
      <c r="LZQ7" s="4"/>
      <c r="LZT7" s="34"/>
      <c r="LZU7" s="34"/>
      <c r="LZW7" s="34"/>
      <c r="LZX7" s="72"/>
      <c r="LZY7" s="63"/>
      <c r="LZZ7" s="34"/>
      <c r="MAA7" s="64"/>
      <c r="MAB7" s="4"/>
      <c r="MAC7" s="65"/>
      <c r="MAD7" s="4"/>
      <c r="MAE7" s="4"/>
      <c r="MAF7" s="4"/>
      <c r="MAI7" s="34"/>
      <c r="MAJ7" s="34"/>
      <c r="MAL7" s="34"/>
      <c r="MAM7" s="72"/>
      <c r="MAN7" s="63"/>
      <c r="MAO7" s="34"/>
      <c r="MAP7" s="64"/>
      <c r="MAQ7" s="4"/>
      <c r="MAR7" s="65"/>
      <c r="MAS7" s="4"/>
      <c r="MAT7" s="4"/>
      <c r="MAU7" s="4"/>
      <c r="MAX7" s="34"/>
      <c r="MAY7" s="34"/>
      <c r="MBA7" s="34"/>
      <c r="MBB7" s="72"/>
      <c r="MBC7" s="63"/>
      <c r="MBD7" s="34"/>
      <c r="MBE7" s="64"/>
      <c r="MBF7" s="4"/>
      <c r="MBG7" s="65"/>
      <c r="MBH7" s="4"/>
      <c r="MBI7" s="4"/>
      <c r="MBJ7" s="4"/>
      <c r="MBM7" s="34"/>
      <c r="MBN7" s="34"/>
      <c r="MBP7" s="34"/>
      <c r="MBQ7" s="72"/>
      <c r="MBR7" s="63"/>
      <c r="MBS7" s="34"/>
      <c r="MBT7" s="64"/>
      <c r="MBU7" s="4"/>
      <c r="MBV7" s="65"/>
      <c r="MBW7" s="4"/>
      <c r="MBX7" s="4"/>
      <c r="MBY7" s="4"/>
      <c r="MCB7" s="34"/>
      <c r="MCC7" s="34"/>
      <c r="MCE7" s="34"/>
      <c r="MCF7" s="72"/>
      <c r="MCG7" s="63"/>
      <c r="MCH7" s="34"/>
      <c r="MCI7" s="64"/>
      <c r="MCJ7" s="4"/>
      <c r="MCK7" s="65"/>
      <c r="MCL7" s="4"/>
      <c r="MCM7" s="4"/>
      <c r="MCN7" s="4"/>
      <c r="MCQ7" s="34"/>
      <c r="MCR7" s="34"/>
      <c r="MCT7" s="34"/>
      <c r="MCU7" s="72"/>
      <c r="MCV7" s="63"/>
      <c r="MCW7" s="34"/>
      <c r="MCX7" s="64"/>
      <c r="MCY7" s="4"/>
      <c r="MCZ7" s="65"/>
      <c r="MDA7" s="4"/>
      <c r="MDB7" s="4"/>
      <c r="MDC7" s="4"/>
      <c r="MDF7" s="34"/>
      <c r="MDG7" s="34"/>
      <c r="MDI7" s="34"/>
      <c r="MDJ7" s="72"/>
      <c r="MDK7" s="63"/>
      <c r="MDL7" s="34"/>
      <c r="MDM7" s="64"/>
      <c r="MDN7" s="4"/>
      <c r="MDO7" s="65"/>
      <c r="MDP7" s="4"/>
      <c r="MDQ7" s="4"/>
      <c r="MDR7" s="4"/>
      <c r="MDU7" s="34"/>
      <c r="MDV7" s="34"/>
      <c r="MDX7" s="34"/>
      <c r="MDY7" s="72"/>
      <c r="MDZ7" s="63"/>
      <c r="MEA7" s="34"/>
      <c r="MEB7" s="64"/>
      <c r="MEC7" s="4"/>
      <c r="MED7" s="65"/>
      <c r="MEE7" s="4"/>
      <c r="MEF7" s="4"/>
      <c r="MEG7" s="4"/>
      <c r="MEJ7" s="34"/>
      <c r="MEK7" s="34"/>
      <c r="MEM7" s="34"/>
      <c r="MEN7" s="72"/>
      <c r="MEO7" s="63"/>
      <c r="MEP7" s="34"/>
      <c r="MEQ7" s="64"/>
      <c r="MER7" s="4"/>
      <c r="MES7" s="65"/>
      <c r="MET7" s="4"/>
      <c r="MEU7" s="4"/>
      <c r="MEV7" s="4"/>
      <c r="MEY7" s="34"/>
      <c r="MEZ7" s="34"/>
      <c r="MFB7" s="34"/>
      <c r="MFC7" s="72"/>
      <c r="MFD7" s="63"/>
      <c r="MFE7" s="34"/>
      <c r="MFF7" s="64"/>
      <c r="MFG7" s="4"/>
      <c r="MFH7" s="65"/>
      <c r="MFI7" s="4"/>
      <c r="MFJ7" s="4"/>
      <c r="MFK7" s="4"/>
      <c r="MFN7" s="34"/>
      <c r="MFO7" s="34"/>
      <c r="MFQ7" s="34"/>
      <c r="MFR7" s="72"/>
      <c r="MFS7" s="63"/>
      <c r="MFT7" s="34"/>
      <c r="MFU7" s="64"/>
      <c r="MFV7" s="4"/>
      <c r="MFW7" s="65"/>
      <c r="MFX7" s="4"/>
      <c r="MFY7" s="4"/>
      <c r="MFZ7" s="4"/>
      <c r="MGC7" s="34"/>
      <c r="MGD7" s="34"/>
      <c r="MGF7" s="34"/>
      <c r="MGG7" s="72"/>
      <c r="MGH7" s="63"/>
      <c r="MGI7" s="34"/>
      <c r="MGJ7" s="64"/>
      <c r="MGK7" s="4"/>
      <c r="MGL7" s="65"/>
      <c r="MGM7" s="4"/>
      <c r="MGN7" s="4"/>
      <c r="MGO7" s="4"/>
      <c r="MGR7" s="34"/>
      <c r="MGS7" s="34"/>
      <c r="MGU7" s="34"/>
      <c r="MGV7" s="72"/>
      <c r="MGW7" s="63"/>
      <c r="MGX7" s="34"/>
      <c r="MGY7" s="64"/>
      <c r="MGZ7" s="4"/>
      <c r="MHA7" s="65"/>
      <c r="MHB7" s="4"/>
      <c r="MHC7" s="4"/>
      <c r="MHD7" s="4"/>
      <c r="MHG7" s="34"/>
      <c r="MHH7" s="34"/>
      <c r="MHJ7" s="34"/>
      <c r="MHK7" s="72"/>
      <c r="MHL7" s="63"/>
      <c r="MHM7" s="34"/>
      <c r="MHN7" s="64"/>
      <c r="MHO7" s="4"/>
      <c r="MHP7" s="65"/>
      <c r="MHQ7" s="4"/>
      <c r="MHR7" s="4"/>
      <c r="MHS7" s="4"/>
      <c r="MHV7" s="34"/>
      <c r="MHW7" s="34"/>
      <c r="MHY7" s="34"/>
      <c r="MHZ7" s="72"/>
      <c r="MIA7" s="63"/>
      <c r="MIB7" s="34"/>
      <c r="MIC7" s="64"/>
      <c r="MID7" s="4"/>
      <c r="MIE7" s="65"/>
      <c r="MIF7" s="4"/>
      <c r="MIG7" s="4"/>
      <c r="MIH7" s="4"/>
      <c r="MIK7" s="34"/>
      <c r="MIL7" s="34"/>
      <c r="MIN7" s="34"/>
      <c r="MIO7" s="72"/>
      <c r="MIP7" s="63"/>
      <c r="MIQ7" s="34"/>
      <c r="MIR7" s="64"/>
      <c r="MIS7" s="4"/>
      <c r="MIT7" s="65"/>
      <c r="MIU7" s="4"/>
      <c r="MIV7" s="4"/>
      <c r="MIW7" s="4"/>
      <c r="MIZ7" s="34"/>
      <c r="MJA7" s="34"/>
      <c r="MJC7" s="34"/>
      <c r="MJD7" s="72"/>
      <c r="MJE7" s="63"/>
      <c r="MJF7" s="34"/>
      <c r="MJG7" s="64"/>
      <c r="MJH7" s="4"/>
      <c r="MJI7" s="65"/>
      <c r="MJJ7" s="4"/>
      <c r="MJK7" s="4"/>
      <c r="MJL7" s="4"/>
      <c r="MJO7" s="34"/>
      <c r="MJP7" s="34"/>
      <c r="MJR7" s="34"/>
      <c r="MJS7" s="72"/>
      <c r="MJT7" s="63"/>
      <c r="MJU7" s="34"/>
      <c r="MJV7" s="64"/>
      <c r="MJW7" s="4"/>
      <c r="MJX7" s="65"/>
      <c r="MJY7" s="4"/>
      <c r="MJZ7" s="4"/>
      <c r="MKA7" s="4"/>
      <c r="MKD7" s="34"/>
      <c r="MKE7" s="34"/>
      <c r="MKG7" s="34"/>
      <c r="MKH7" s="72"/>
      <c r="MKI7" s="63"/>
      <c r="MKJ7" s="34"/>
      <c r="MKK7" s="64"/>
      <c r="MKL7" s="4"/>
      <c r="MKM7" s="65"/>
      <c r="MKN7" s="4"/>
      <c r="MKO7" s="4"/>
      <c r="MKP7" s="4"/>
      <c r="MKS7" s="34"/>
      <c r="MKT7" s="34"/>
      <c r="MKV7" s="34"/>
      <c r="MKW7" s="72"/>
      <c r="MKX7" s="63"/>
      <c r="MKY7" s="34"/>
      <c r="MKZ7" s="64"/>
      <c r="MLA7" s="4"/>
      <c r="MLB7" s="65"/>
      <c r="MLC7" s="4"/>
      <c r="MLD7" s="4"/>
      <c r="MLE7" s="4"/>
      <c r="MLH7" s="34"/>
      <c r="MLI7" s="34"/>
      <c r="MLK7" s="34"/>
      <c r="MLL7" s="72"/>
      <c r="MLM7" s="63"/>
      <c r="MLN7" s="34"/>
      <c r="MLO7" s="64"/>
      <c r="MLP7" s="4"/>
      <c r="MLQ7" s="65"/>
      <c r="MLR7" s="4"/>
      <c r="MLS7" s="4"/>
      <c r="MLT7" s="4"/>
      <c r="MLW7" s="34"/>
      <c r="MLX7" s="34"/>
      <c r="MLZ7" s="34"/>
      <c r="MMA7" s="72"/>
      <c r="MMB7" s="63"/>
      <c r="MMC7" s="34"/>
      <c r="MMD7" s="64"/>
      <c r="MME7" s="4"/>
      <c r="MMF7" s="65"/>
      <c r="MMG7" s="4"/>
      <c r="MMH7" s="4"/>
      <c r="MMI7" s="4"/>
      <c r="MML7" s="34"/>
      <c r="MMM7" s="34"/>
      <c r="MMO7" s="34"/>
      <c r="MMP7" s="72"/>
      <c r="MMQ7" s="63"/>
      <c r="MMR7" s="34"/>
      <c r="MMS7" s="64"/>
      <c r="MMT7" s="4"/>
      <c r="MMU7" s="65"/>
      <c r="MMV7" s="4"/>
      <c r="MMW7" s="4"/>
      <c r="MMX7" s="4"/>
      <c r="MNA7" s="34"/>
      <c r="MNB7" s="34"/>
      <c r="MND7" s="34"/>
      <c r="MNE7" s="72"/>
      <c r="MNF7" s="63"/>
      <c r="MNG7" s="34"/>
      <c r="MNH7" s="64"/>
      <c r="MNI7" s="4"/>
      <c r="MNJ7" s="65"/>
      <c r="MNK7" s="4"/>
      <c r="MNL7" s="4"/>
      <c r="MNM7" s="4"/>
      <c r="MNP7" s="34"/>
      <c r="MNQ7" s="34"/>
      <c r="MNS7" s="34"/>
      <c r="MNT7" s="72"/>
      <c r="MNU7" s="63"/>
      <c r="MNV7" s="34"/>
      <c r="MNW7" s="64"/>
      <c r="MNX7" s="4"/>
      <c r="MNY7" s="65"/>
      <c r="MNZ7" s="4"/>
      <c r="MOA7" s="4"/>
      <c r="MOB7" s="4"/>
      <c r="MOE7" s="34"/>
      <c r="MOF7" s="34"/>
      <c r="MOH7" s="34"/>
      <c r="MOI7" s="72"/>
      <c r="MOJ7" s="63"/>
      <c r="MOK7" s="34"/>
      <c r="MOL7" s="64"/>
      <c r="MOM7" s="4"/>
      <c r="MON7" s="65"/>
      <c r="MOO7" s="4"/>
      <c r="MOP7" s="4"/>
      <c r="MOQ7" s="4"/>
      <c r="MOT7" s="34"/>
      <c r="MOU7" s="34"/>
      <c r="MOW7" s="34"/>
      <c r="MOX7" s="72"/>
      <c r="MOY7" s="63"/>
      <c r="MOZ7" s="34"/>
      <c r="MPA7" s="64"/>
      <c r="MPB7" s="4"/>
      <c r="MPC7" s="65"/>
      <c r="MPD7" s="4"/>
      <c r="MPE7" s="4"/>
      <c r="MPF7" s="4"/>
      <c r="MPI7" s="34"/>
      <c r="MPJ7" s="34"/>
      <c r="MPL7" s="34"/>
      <c r="MPM7" s="72"/>
      <c r="MPN7" s="63"/>
      <c r="MPO7" s="34"/>
      <c r="MPP7" s="64"/>
      <c r="MPQ7" s="4"/>
      <c r="MPR7" s="65"/>
      <c r="MPS7" s="4"/>
      <c r="MPT7" s="4"/>
      <c r="MPU7" s="4"/>
      <c r="MPX7" s="34"/>
      <c r="MPY7" s="34"/>
      <c r="MQA7" s="34"/>
      <c r="MQB7" s="72"/>
      <c r="MQC7" s="63"/>
      <c r="MQD7" s="34"/>
      <c r="MQE7" s="64"/>
      <c r="MQF7" s="4"/>
      <c r="MQG7" s="65"/>
      <c r="MQH7" s="4"/>
      <c r="MQI7" s="4"/>
      <c r="MQJ7" s="4"/>
      <c r="MQM7" s="34"/>
      <c r="MQN7" s="34"/>
      <c r="MQP7" s="34"/>
      <c r="MQQ7" s="72"/>
      <c r="MQR7" s="63"/>
      <c r="MQS7" s="34"/>
      <c r="MQT7" s="64"/>
      <c r="MQU7" s="4"/>
      <c r="MQV7" s="65"/>
      <c r="MQW7" s="4"/>
      <c r="MQX7" s="4"/>
      <c r="MQY7" s="4"/>
      <c r="MRB7" s="34"/>
      <c r="MRC7" s="34"/>
      <c r="MRE7" s="34"/>
      <c r="MRF7" s="72"/>
      <c r="MRG7" s="63"/>
      <c r="MRH7" s="34"/>
      <c r="MRI7" s="64"/>
      <c r="MRJ7" s="4"/>
      <c r="MRK7" s="65"/>
      <c r="MRL7" s="4"/>
      <c r="MRM7" s="4"/>
      <c r="MRN7" s="4"/>
      <c r="MRQ7" s="34"/>
      <c r="MRR7" s="34"/>
      <c r="MRT7" s="34"/>
      <c r="MRU7" s="72"/>
      <c r="MRV7" s="63"/>
      <c r="MRW7" s="34"/>
      <c r="MRX7" s="64"/>
      <c r="MRY7" s="4"/>
      <c r="MRZ7" s="65"/>
      <c r="MSA7" s="4"/>
      <c r="MSB7" s="4"/>
      <c r="MSC7" s="4"/>
      <c r="MSF7" s="34"/>
      <c r="MSG7" s="34"/>
      <c r="MSI7" s="34"/>
      <c r="MSJ7" s="72"/>
      <c r="MSK7" s="63"/>
      <c r="MSL7" s="34"/>
      <c r="MSM7" s="64"/>
      <c r="MSN7" s="4"/>
      <c r="MSO7" s="65"/>
      <c r="MSP7" s="4"/>
      <c r="MSQ7" s="4"/>
      <c r="MSR7" s="4"/>
      <c r="MSU7" s="34"/>
      <c r="MSV7" s="34"/>
      <c r="MSX7" s="34"/>
      <c r="MSY7" s="72"/>
      <c r="MSZ7" s="63"/>
      <c r="MTA7" s="34"/>
      <c r="MTB7" s="64"/>
      <c r="MTC7" s="4"/>
      <c r="MTD7" s="65"/>
      <c r="MTE7" s="4"/>
      <c r="MTF7" s="4"/>
      <c r="MTG7" s="4"/>
      <c r="MTJ7" s="34"/>
      <c r="MTK7" s="34"/>
      <c r="MTM7" s="34"/>
      <c r="MTN7" s="72"/>
      <c r="MTO7" s="63"/>
      <c r="MTP7" s="34"/>
      <c r="MTQ7" s="64"/>
      <c r="MTR7" s="4"/>
      <c r="MTS7" s="65"/>
      <c r="MTT7" s="4"/>
      <c r="MTU7" s="4"/>
      <c r="MTV7" s="4"/>
      <c r="MTY7" s="34"/>
      <c r="MTZ7" s="34"/>
      <c r="MUB7" s="34"/>
      <c r="MUC7" s="72"/>
      <c r="MUD7" s="63"/>
      <c r="MUE7" s="34"/>
      <c r="MUF7" s="64"/>
      <c r="MUG7" s="4"/>
      <c r="MUH7" s="65"/>
      <c r="MUI7" s="4"/>
      <c r="MUJ7" s="4"/>
      <c r="MUK7" s="4"/>
      <c r="MUN7" s="34"/>
      <c r="MUO7" s="34"/>
      <c r="MUQ7" s="34"/>
      <c r="MUR7" s="72"/>
      <c r="MUS7" s="63"/>
      <c r="MUT7" s="34"/>
      <c r="MUU7" s="64"/>
      <c r="MUV7" s="4"/>
      <c r="MUW7" s="65"/>
      <c r="MUX7" s="4"/>
      <c r="MUY7" s="4"/>
      <c r="MUZ7" s="4"/>
      <c r="MVC7" s="34"/>
      <c r="MVD7" s="34"/>
      <c r="MVF7" s="34"/>
      <c r="MVG7" s="72"/>
      <c r="MVH7" s="63"/>
      <c r="MVI7" s="34"/>
      <c r="MVJ7" s="64"/>
      <c r="MVK7" s="4"/>
      <c r="MVL7" s="65"/>
      <c r="MVM7" s="4"/>
      <c r="MVN7" s="4"/>
      <c r="MVO7" s="4"/>
      <c r="MVR7" s="34"/>
      <c r="MVS7" s="34"/>
      <c r="MVU7" s="34"/>
      <c r="MVV7" s="72"/>
      <c r="MVW7" s="63"/>
      <c r="MVX7" s="34"/>
      <c r="MVY7" s="64"/>
      <c r="MVZ7" s="4"/>
      <c r="MWA7" s="65"/>
      <c r="MWB7" s="4"/>
      <c r="MWC7" s="4"/>
      <c r="MWD7" s="4"/>
      <c r="MWG7" s="34"/>
      <c r="MWH7" s="34"/>
      <c r="MWJ7" s="34"/>
      <c r="MWK7" s="72"/>
      <c r="MWL7" s="63"/>
      <c r="MWM7" s="34"/>
      <c r="MWN7" s="64"/>
      <c r="MWO7" s="4"/>
      <c r="MWP7" s="65"/>
      <c r="MWQ7" s="4"/>
      <c r="MWR7" s="4"/>
      <c r="MWS7" s="4"/>
      <c r="MWV7" s="34"/>
      <c r="MWW7" s="34"/>
      <c r="MWY7" s="34"/>
      <c r="MWZ7" s="72"/>
      <c r="MXA7" s="63"/>
      <c r="MXB7" s="34"/>
      <c r="MXC7" s="64"/>
      <c r="MXD7" s="4"/>
      <c r="MXE7" s="65"/>
      <c r="MXF7" s="4"/>
      <c r="MXG7" s="4"/>
      <c r="MXH7" s="4"/>
      <c r="MXK7" s="34"/>
      <c r="MXL7" s="34"/>
      <c r="MXN7" s="34"/>
      <c r="MXO7" s="72"/>
      <c r="MXP7" s="63"/>
      <c r="MXQ7" s="34"/>
      <c r="MXR7" s="64"/>
      <c r="MXS7" s="4"/>
      <c r="MXT7" s="65"/>
      <c r="MXU7" s="4"/>
      <c r="MXV7" s="4"/>
      <c r="MXW7" s="4"/>
      <c r="MXZ7" s="34"/>
      <c r="MYA7" s="34"/>
      <c r="MYC7" s="34"/>
      <c r="MYD7" s="72"/>
      <c r="MYE7" s="63"/>
      <c r="MYF7" s="34"/>
      <c r="MYG7" s="64"/>
      <c r="MYH7" s="4"/>
      <c r="MYI7" s="65"/>
      <c r="MYJ7" s="4"/>
      <c r="MYK7" s="4"/>
      <c r="MYL7" s="4"/>
      <c r="MYO7" s="34"/>
      <c r="MYP7" s="34"/>
      <c r="MYR7" s="34"/>
      <c r="MYS7" s="72"/>
      <c r="MYT7" s="63"/>
      <c r="MYU7" s="34"/>
      <c r="MYV7" s="64"/>
      <c r="MYW7" s="4"/>
      <c r="MYX7" s="65"/>
      <c r="MYY7" s="4"/>
      <c r="MYZ7" s="4"/>
      <c r="MZA7" s="4"/>
      <c r="MZD7" s="34"/>
      <c r="MZE7" s="34"/>
      <c r="MZG7" s="34"/>
      <c r="MZH7" s="72"/>
      <c r="MZI7" s="63"/>
      <c r="MZJ7" s="34"/>
      <c r="MZK7" s="64"/>
      <c r="MZL7" s="4"/>
      <c r="MZM7" s="65"/>
      <c r="MZN7" s="4"/>
      <c r="MZO7" s="4"/>
      <c r="MZP7" s="4"/>
      <c r="MZS7" s="34"/>
      <c r="MZT7" s="34"/>
      <c r="MZV7" s="34"/>
      <c r="MZW7" s="72"/>
      <c r="MZX7" s="63"/>
      <c r="MZY7" s="34"/>
      <c r="MZZ7" s="64"/>
      <c r="NAA7" s="4"/>
      <c r="NAB7" s="65"/>
      <c r="NAC7" s="4"/>
      <c r="NAD7" s="4"/>
      <c r="NAE7" s="4"/>
      <c r="NAH7" s="34"/>
      <c r="NAI7" s="34"/>
      <c r="NAK7" s="34"/>
      <c r="NAL7" s="72"/>
      <c r="NAM7" s="63"/>
      <c r="NAN7" s="34"/>
      <c r="NAO7" s="64"/>
      <c r="NAP7" s="4"/>
      <c r="NAQ7" s="65"/>
      <c r="NAR7" s="4"/>
      <c r="NAS7" s="4"/>
      <c r="NAT7" s="4"/>
      <c r="NAW7" s="34"/>
      <c r="NAX7" s="34"/>
      <c r="NAZ7" s="34"/>
      <c r="NBA7" s="72"/>
      <c r="NBB7" s="63"/>
      <c r="NBC7" s="34"/>
      <c r="NBD7" s="64"/>
      <c r="NBE7" s="4"/>
      <c r="NBF7" s="65"/>
      <c r="NBG7" s="4"/>
      <c r="NBH7" s="4"/>
      <c r="NBI7" s="4"/>
      <c r="NBL7" s="34"/>
      <c r="NBM7" s="34"/>
      <c r="NBO7" s="34"/>
      <c r="NBP7" s="72"/>
      <c r="NBQ7" s="63"/>
      <c r="NBR7" s="34"/>
      <c r="NBS7" s="64"/>
      <c r="NBT7" s="4"/>
      <c r="NBU7" s="65"/>
      <c r="NBV7" s="4"/>
      <c r="NBW7" s="4"/>
      <c r="NBX7" s="4"/>
      <c r="NCA7" s="34"/>
      <c r="NCB7" s="34"/>
      <c r="NCD7" s="34"/>
      <c r="NCE7" s="72"/>
      <c r="NCF7" s="63"/>
      <c r="NCG7" s="34"/>
      <c r="NCH7" s="64"/>
      <c r="NCI7" s="4"/>
      <c r="NCJ7" s="65"/>
      <c r="NCK7" s="4"/>
      <c r="NCL7" s="4"/>
      <c r="NCM7" s="4"/>
      <c r="NCP7" s="34"/>
      <c r="NCQ7" s="34"/>
      <c r="NCS7" s="34"/>
      <c r="NCT7" s="72"/>
      <c r="NCU7" s="63"/>
      <c r="NCV7" s="34"/>
      <c r="NCW7" s="64"/>
      <c r="NCX7" s="4"/>
      <c r="NCY7" s="65"/>
      <c r="NCZ7" s="4"/>
      <c r="NDA7" s="4"/>
      <c r="NDB7" s="4"/>
      <c r="NDE7" s="34"/>
      <c r="NDF7" s="34"/>
      <c r="NDH7" s="34"/>
      <c r="NDI7" s="72"/>
      <c r="NDJ7" s="63"/>
      <c r="NDK7" s="34"/>
      <c r="NDL7" s="64"/>
      <c r="NDM7" s="4"/>
      <c r="NDN7" s="65"/>
      <c r="NDO7" s="4"/>
      <c r="NDP7" s="4"/>
      <c r="NDQ7" s="4"/>
      <c r="NDT7" s="34"/>
      <c r="NDU7" s="34"/>
      <c r="NDW7" s="34"/>
      <c r="NDX7" s="72"/>
      <c r="NDY7" s="63"/>
      <c r="NDZ7" s="34"/>
      <c r="NEA7" s="64"/>
      <c r="NEB7" s="4"/>
      <c r="NEC7" s="65"/>
      <c r="NED7" s="4"/>
      <c r="NEE7" s="4"/>
      <c r="NEF7" s="4"/>
      <c r="NEI7" s="34"/>
      <c r="NEJ7" s="34"/>
      <c r="NEL7" s="34"/>
      <c r="NEM7" s="72"/>
      <c r="NEN7" s="63"/>
      <c r="NEO7" s="34"/>
      <c r="NEP7" s="64"/>
      <c r="NEQ7" s="4"/>
      <c r="NER7" s="65"/>
      <c r="NES7" s="4"/>
      <c r="NET7" s="4"/>
      <c r="NEU7" s="4"/>
      <c r="NEX7" s="34"/>
      <c r="NEY7" s="34"/>
      <c r="NFA7" s="34"/>
      <c r="NFB7" s="72"/>
      <c r="NFC7" s="63"/>
      <c r="NFD7" s="34"/>
      <c r="NFE7" s="64"/>
      <c r="NFF7" s="4"/>
      <c r="NFG7" s="65"/>
      <c r="NFH7" s="4"/>
      <c r="NFI7" s="4"/>
      <c r="NFJ7" s="4"/>
      <c r="NFM7" s="34"/>
      <c r="NFN7" s="34"/>
      <c r="NFP7" s="34"/>
      <c r="NFQ7" s="72"/>
      <c r="NFR7" s="63"/>
      <c r="NFS7" s="34"/>
      <c r="NFT7" s="64"/>
      <c r="NFU7" s="4"/>
      <c r="NFV7" s="65"/>
      <c r="NFW7" s="4"/>
      <c r="NFX7" s="4"/>
      <c r="NFY7" s="4"/>
      <c r="NGB7" s="34"/>
      <c r="NGC7" s="34"/>
      <c r="NGE7" s="34"/>
      <c r="NGF7" s="72"/>
      <c r="NGG7" s="63"/>
      <c r="NGH7" s="34"/>
      <c r="NGI7" s="64"/>
      <c r="NGJ7" s="4"/>
      <c r="NGK7" s="65"/>
      <c r="NGL7" s="4"/>
      <c r="NGM7" s="4"/>
      <c r="NGN7" s="4"/>
      <c r="NGQ7" s="34"/>
      <c r="NGR7" s="34"/>
      <c r="NGT7" s="34"/>
      <c r="NGU7" s="72"/>
      <c r="NGV7" s="63"/>
      <c r="NGW7" s="34"/>
      <c r="NGX7" s="64"/>
      <c r="NGY7" s="4"/>
      <c r="NGZ7" s="65"/>
      <c r="NHA7" s="4"/>
      <c r="NHB7" s="4"/>
      <c r="NHC7" s="4"/>
      <c r="NHF7" s="34"/>
      <c r="NHG7" s="34"/>
      <c r="NHI7" s="34"/>
      <c r="NHJ7" s="72"/>
      <c r="NHK7" s="63"/>
      <c r="NHL7" s="34"/>
      <c r="NHM7" s="64"/>
      <c r="NHN7" s="4"/>
      <c r="NHO7" s="65"/>
      <c r="NHP7" s="4"/>
      <c r="NHQ7" s="4"/>
      <c r="NHR7" s="4"/>
      <c r="NHU7" s="34"/>
      <c r="NHV7" s="34"/>
      <c r="NHX7" s="34"/>
      <c r="NHY7" s="72"/>
      <c r="NHZ7" s="63"/>
      <c r="NIA7" s="34"/>
      <c r="NIB7" s="64"/>
      <c r="NIC7" s="4"/>
      <c r="NID7" s="65"/>
      <c r="NIE7" s="4"/>
      <c r="NIF7" s="4"/>
      <c r="NIG7" s="4"/>
      <c r="NIJ7" s="34"/>
      <c r="NIK7" s="34"/>
      <c r="NIM7" s="34"/>
      <c r="NIN7" s="72"/>
      <c r="NIO7" s="63"/>
      <c r="NIP7" s="34"/>
      <c r="NIQ7" s="64"/>
      <c r="NIR7" s="4"/>
      <c r="NIS7" s="65"/>
      <c r="NIT7" s="4"/>
      <c r="NIU7" s="4"/>
      <c r="NIV7" s="4"/>
      <c r="NIY7" s="34"/>
      <c r="NIZ7" s="34"/>
      <c r="NJB7" s="34"/>
      <c r="NJC7" s="72"/>
      <c r="NJD7" s="63"/>
      <c r="NJE7" s="34"/>
      <c r="NJF7" s="64"/>
      <c r="NJG7" s="4"/>
      <c r="NJH7" s="65"/>
      <c r="NJI7" s="4"/>
      <c r="NJJ7" s="4"/>
      <c r="NJK7" s="4"/>
      <c r="NJN7" s="34"/>
      <c r="NJO7" s="34"/>
      <c r="NJQ7" s="34"/>
      <c r="NJR7" s="72"/>
      <c r="NJS7" s="63"/>
      <c r="NJT7" s="34"/>
      <c r="NJU7" s="64"/>
      <c r="NJV7" s="4"/>
      <c r="NJW7" s="65"/>
      <c r="NJX7" s="4"/>
      <c r="NJY7" s="4"/>
      <c r="NJZ7" s="4"/>
      <c r="NKC7" s="34"/>
      <c r="NKD7" s="34"/>
      <c r="NKF7" s="34"/>
      <c r="NKG7" s="72"/>
      <c r="NKH7" s="63"/>
      <c r="NKI7" s="34"/>
      <c r="NKJ7" s="64"/>
      <c r="NKK7" s="4"/>
      <c r="NKL7" s="65"/>
      <c r="NKM7" s="4"/>
      <c r="NKN7" s="4"/>
      <c r="NKO7" s="4"/>
      <c r="NKR7" s="34"/>
      <c r="NKS7" s="34"/>
      <c r="NKU7" s="34"/>
      <c r="NKV7" s="72"/>
      <c r="NKW7" s="63"/>
      <c r="NKX7" s="34"/>
      <c r="NKY7" s="64"/>
      <c r="NKZ7" s="4"/>
      <c r="NLA7" s="65"/>
      <c r="NLB7" s="4"/>
      <c r="NLC7" s="4"/>
      <c r="NLD7" s="4"/>
      <c r="NLG7" s="34"/>
      <c r="NLH7" s="34"/>
      <c r="NLJ7" s="34"/>
      <c r="NLK7" s="72"/>
      <c r="NLL7" s="63"/>
      <c r="NLM7" s="34"/>
      <c r="NLN7" s="64"/>
      <c r="NLO7" s="4"/>
      <c r="NLP7" s="65"/>
      <c r="NLQ7" s="4"/>
      <c r="NLR7" s="4"/>
      <c r="NLS7" s="4"/>
      <c r="NLV7" s="34"/>
      <c r="NLW7" s="34"/>
      <c r="NLY7" s="34"/>
      <c r="NLZ7" s="72"/>
      <c r="NMA7" s="63"/>
      <c r="NMB7" s="34"/>
      <c r="NMC7" s="64"/>
      <c r="NMD7" s="4"/>
      <c r="NME7" s="65"/>
      <c r="NMF7" s="4"/>
      <c r="NMG7" s="4"/>
      <c r="NMH7" s="4"/>
      <c r="NMK7" s="34"/>
      <c r="NML7" s="34"/>
      <c r="NMN7" s="34"/>
      <c r="NMO7" s="72"/>
      <c r="NMP7" s="63"/>
      <c r="NMQ7" s="34"/>
      <c r="NMR7" s="64"/>
      <c r="NMS7" s="4"/>
      <c r="NMT7" s="65"/>
      <c r="NMU7" s="4"/>
      <c r="NMV7" s="4"/>
      <c r="NMW7" s="4"/>
      <c r="NMZ7" s="34"/>
      <c r="NNA7" s="34"/>
      <c r="NNC7" s="34"/>
      <c r="NND7" s="72"/>
      <c r="NNE7" s="63"/>
      <c r="NNF7" s="34"/>
      <c r="NNG7" s="64"/>
      <c r="NNH7" s="4"/>
      <c r="NNI7" s="65"/>
      <c r="NNJ7" s="4"/>
      <c r="NNK7" s="4"/>
      <c r="NNL7" s="4"/>
      <c r="NNO7" s="34"/>
      <c r="NNP7" s="34"/>
      <c r="NNR7" s="34"/>
      <c r="NNS7" s="72"/>
      <c r="NNT7" s="63"/>
      <c r="NNU7" s="34"/>
      <c r="NNV7" s="64"/>
      <c r="NNW7" s="4"/>
      <c r="NNX7" s="65"/>
      <c r="NNY7" s="4"/>
      <c r="NNZ7" s="4"/>
      <c r="NOA7" s="4"/>
      <c r="NOD7" s="34"/>
      <c r="NOE7" s="34"/>
      <c r="NOG7" s="34"/>
      <c r="NOH7" s="72"/>
      <c r="NOI7" s="63"/>
      <c r="NOJ7" s="34"/>
      <c r="NOK7" s="64"/>
      <c r="NOL7" s="4"/>
      <c r="NOM7" s="65"/>
      <c r="NON7" s="4"/>
      <c r="NOO7" s="4"/>
      <c r="NOP7" s="4"/>
      <c r="NOS7" s="34"/>
      <c r="NOT7" s="34"/>
      <c r="NOV7" s="34"/>
      <c r="NOW7" s="72"/>
      <c r="NOX7" s="63"/>
      <c r="NOY7" s="34"/>
      <c r="NOZ7" s="64"/>
      <c r="NPA7" s="4"/>
      <c r="NPB7" s="65"/>
      <c r="NPC7" s="4"/>
      <c r="NPD7" s="4"/>
      <c r="NPE7" s="4"/>
      <c r="NPH7" s="34"/>
      <c r="NPI7" s="34"/>
      <c r="NPK7" s="34"/>
      <c r="NPL7" s="72"/>
      <c r="NPM7" s="63"/>
      <c r="NPN7" s="34"/>
      <c r="NPO7" s="64"/>
      <c r="NPP7" s="4"/>
      <c r="NPQ7" s="65"/>
      <c r="NPR7" s="4"/>
      <c r="NPS7" s="4"/>
      <c r="NPT7" s="4"/>
      <c r="NPW7" s="34"/>
      <c r="NPX7" s="34"/>
      <c r="NPZ7" s="34"/>
      <c r="NQA7" s="72"/>
      <c r="NQB7" s="63"/>
      <c r="NQC7" s="34"/>
      <c r="NQD7" s="64"/>
      <c r="NQE7" s="4"/>
      <c r="NQF7" s="65"/>
      <c r="NQG7" s="4"/>
      <c r="NQH7" s="4"/>
      <c r="NQI7" s="4"/>
      <c r="NQL7" s="34"/>
      <c r="NQM7" s="34"/>
      <c r="NQO7" s="34"/>
      <c r="NQP7" s="72"/>
      <c r="NQQ7" s="63"/>
      <c r="NQR7" s="34"/>
      <c r="NQS7" s="64"/>
      <c r="NQT7" s="4"/>
      <c r="NQU7" s="65"/>
      <c r="NQV7" s="4"/>
      <c r="NQW7" s="4"/>
      <c r="NQX7" s="4"/>
      <c r="NRA7" s="34"/>
      <c r="NRB7" s="34"/>
      <c r="NRD7" s="34"/>
      <c r="NRE7" s="72"/>
      <c r="NRF7" s="63"/>
      <c r="NRG7" s="34"/>
      <c r="NRH7" s="64"/>
      <c r="NRI7" s="4"/>
      <c r="NRJ7" s="65"/>
      <c r="NRK7" s="4"/>
      <c r="NRL7" s="4"/>
      <c r="NRM7" s="4"/>
      <c r="NRP7" s="34"/>
      <c r="NRQ7" s="34"/>
      <c r="NRS7" s="34"/>
      <c r="NRT7" s="72"/>
      <c r="NRU7" s="63"/>
      <c r="NRV7" s="34"/>
      <c r="NRW7" s="64"/>
      <c r="NRX7" s="4"/>
      <c r="NRY7" s="65"/>
      <c r="NRZ7" s="4"/>
      <c r="NSA7" s="4"/>
      <c r="NSB7" s="4"/>
      <c r="NSE7" s="34"/>
      <c r="NSF7" s="34"/>
      <c r="NSH7" s="34"/>
      <c r="NSI7" s="72"/>
      <c r="NSJ7" s="63"/>
      <c r="NSK7" s="34"/>
      <c r="NSL7" s="64"/>
      <c r="NSM7" s="4"/>
      <c r="NSN7" s="65"/>
      <c r="NSO7" s="4"/>
      <c r="NSP7" s="4"/>
      <c r="NSQ7" s="4"/>
      <c r="NST7" s="34"/>
      <c r="NSU7" s="34"/>
      <c r="NSW7" s="34"/>
      <c r="NSX7" s="72"/>
      <c r="NSY7" s="63"/>
      <c r="NSZ7" s="34"/>
      <c r="NTA7" s="64"/>
      <c r="NTB7" s="4"/>
      <c r="NTC7" s="65"/>
      <c r="NTD7" s="4"/>
      <c r="NTE7" s="4"/>
      <c r="NTF7" s="4"/>
      <c r="NTI7" s="34"/>
      <c r="NTJ7" s="34"/>
      <c r="NTL7" s="34"/>
      <c r="NTM7" s="72"/>
      <c r="NTN7" s="63"/>
      <c r="NTO7" s="34"/>
      <c r="NTP7" s="64"/>
      <c r="NTQ7" s="4"/>
      <c r="NTR7" s="65"/>
      <c r="NTS7" s="4"/>
      <c r="NTT7" s="4"/>
      <c r="NTU7" s="4"/>
      <c r="NTX7" s="34"/>
      <c r="NTY7" s="34"/>
      <c r="NUA7" s="34"/>
      <c r="NUB7" s="72"/>
      <c r="NUC7" s="63"/>
      <c r="NUD7" s="34"/>
      <c r="NUE7" s="64"/>
      <c r="NUF7" s="4"/>
      <c r="NUG7" s="65"/>
      <c r="NUH7" s="4"/>
      <c r="NUI7" s="4"/>
      <c r="NUJ7" s="4"/>
      <c r="NUM7" s="34"/>
      <c r="NUN7" s="34"/>
      <c r="NUP7" s="34"/>
      <c r="NUQ7" s="72"/>
      <c r="NUR7" s="63"/>
      <c r="NUS7" s="34"/>
      <c r="NUT7" s="64"/>
      <c r="NUU7" s="4"/>
      <c r="NUV7" s="65"/>
      <c r="NUW7" s="4"/>
      <c r="NUX7" s="4"/>
      <c r="NUY7" s="4"/>
      <c r="NVB7" s="34"/>
      <c r="NVC7" s="34"/>
      <c r="NVE7" s="34"/>
      <c r="NVF7" s="72"/>
      <c r="NVG7" s="63"/>
      <c r="NVH7" s="34"/>
      <c r="NVI7" s="64"/>
      <c r="NVJ7" s="4"/>
      <c r="NVK7" s="65"/>
      <c r="NVL7" s="4"/>
      <c r="NVM7" s="4"/>
      <c r="NVN7" s="4"/>
      <c r="NVQ7" s="34"/>
      <c r="NVR7" s="34"/>
      <c r="NVT7" s="34"/>
      <c r="NVU7" s="72"/>
      <c r="NVV7" s="63"/>
      <c r="NVW7" s="34"/>
      <c r="NVX7" s="64"/>
      <c r="NVY7" s="4"/>
      <c r="NVZ7" s="65"/>
      <c r="NWA7" s="4"/>
      <c r="NWB7" s="4"/>
      <c r="NWC7" s="4"/>
      <c r="NWF7" s="34"/>
      <c r="NWG7" s="34"/>
      <c r="NWI7" s="34"/>
      <c r="NWJ7" s="72"/>
      <c r="NWK7" s="63"/>
      <c r="NWL7" s="34"/>
      <c r="NWM7" s="64"/>
      <c r="NWN7" s="4"/>
      <c r="NWO7" s="65"/>
      <c r="NWP7" s="4"/>
      <c r="NWQ7" s="4"/>
      <c r="NWR7" s="4"/>
      <c r="NWU7" s="34"/>
      <c r="NWV7" s="34"/>
      <c r="NWX7" s="34"/>
      <c r="NWY7" s="72"/>
      <c r="NWZ7" s="63"/>
      <c r="NXA7" s="34"/>
      <c r="NXB7" s="64"/>
      <c r="NXC7" s="4"/>
      <c r="NXD7" s="65"/>
      <c r="NXE7" s="4"/>
      <c r="NXF7" s="4"/>
      <c r="NXG7" s="4"/>
      <c r="NXJ7" s="34"/>
      <c r="NXK7" s="34"/>
      <c r="NXM7" s="34"/>
      <c r="NXN7" s="72"/>
      <c r="NXO7" s="63"/>
      <c r="NXP7" s="34"/>
      <c r="NXQ7" s="64"/>
      <c r="NXR7" s="4"/>
      <c r="NXS7" s="65"/>
      <c r="NXT7" s="4"/>
      <c r="NXU7" s="4"/>
      <c r="NXV7" s="4"/>
      <c r="NXY7" s="34"/>
      <c r="NXZ7" s="34"/>
      <c r="NYB7" s="34"/>
      <c r="NYC7" s="72"/>
      <c r="NYD7" s="63"/>
      <c r="NYE7" s="34"/>
      <c r="NYF7" s="64"/>
      <c r="NYG7" s="4"/>
      <c r="NYH7" s="65"/>
      <c r="NYI7" s="4"/>
      <c r="NYJ7" s="4"/>
      <c r="NYK7" s="4"/>
      <c r="NYN7" s="34"/>
      <c r="NYO7" s="34"/>
      <c r="NYQ7" s="34"/>
      <c r="NYR7" s="72"/>
      <c r="NYS7" s="63"/>
      <c r="NYT7" s="34"/>
      <c r="NYU7" s="64"/>
      <c r="NYV7" s="4"/>
      <c r="NYW7" s="65"/>
      <c r="NYX7" s="4"/>
      <c r="NYY7" s="4"/>
      <c r="NYZ7" s="4"/>
      <c r="NZC7" s="34"/>
      <c r="NZD7" s="34"/>
      <c r="NZF7" s="34"/>
      <c r="NZG7" s="72"/>
      <c r="NZH7" s="63"/>
      <c r="NZI7" s="34"/>
      <c r="NZJ7" s="64"/>
      <c r="NZK7" s="4"/>
      <c r="NZL7" s="65"/>
      <c r="NZM7" s="4"/>
      <c r="NZN7" s="4"/>
      <c r="NZO7" s="4"/>
      <c r="NZR7" s="34"/>
      <c r="NZS7" s="34"/>
      <c r="NZU7" s="34"/>
      <c r="NZV7" s="72"/>
      <c r="NZW7" s="63"/>
      <c r="NZX7" s="34"/>
      <c r="NZY7" s="64"/>
      <c r="NZZ7" s="4"/>
      <c r="OAA7" s="65"/>
      <c r="OAB7" s="4"/>
      <c r="OAC7" s="4"/>
      <c r="OAD7" s="4"/>
      <c r="OAG7" s="34"/>
      <c r="OAH7" s="34"/>
      <c r="OAJ7" s="34"/>
      <c r="OAK7" s="72"/>
      <c r="OAL7" s="63"/>
      <c r="OAM7" s="34"/>
      <c r="OAN7" s="64"/>
      <c r="OAO7" s="4"/>
      <c r="OAP7" s="65"/>
      <c r="OAQ7" s="4"/>
      <c r="OAR7" s="4"/>
      <c r="OAS7" s="4"/>
      <c r="OAV7" s="34"/>
      <c r="OAW7" s="34"/>
      <c r="OAY7" s="34"/>
      <c r="OAZ7" s="72"/>
      <c r="OBA7" s="63"/>
      <c r="OBB7" s="34"/>
      <c r="OBC7" s="64"/>
      <c r="OBD7" s="4"/>
      <c r="OBE7" s="65"/>
      <c r="OBF7" s="4"/>
      <c r="OBG7" s="4"/>
      <c r="OBH7" s="4"/>
      <c r="OBK7" s="34"/>
      <c r="OBL7" s="34"/>
      <c r="OBN7" s="34"/>
      <c r="OBO7" s="72"/>
      <c r="OBP7" s="63"/>
      <c r="OBQ7" s="34"/>
      <c r="OBR7" s="64"/>
      <c r="OBS7" s="4"/>
      <c r="OBT7" s="65"/>
      <c r="OBU7" s="4"/>
      <c r="OBV7" s="4"/>
      <c r="OBW7" s="4"/>
      <c r="OBZ7" s="34"/>
      <c r="OCA7" s="34"/>
      <c r="OCC7" s="34"/>
      <c r="OCD7" s="72"/>
      <c r="OCE7" s="63"/>
      <c r="OCF7" s="34"/>
      <c r="OCG7" s="64"/>
      <c r="OCH7" s="4"/>
      <c r="OCI7" s="65"/>
      <c r="OCJ7" s="4"/>
      <c r="OCK7" s="4"/>
      <c r="OCL7" s="4"/>
      <c r="OCO7" s="34"/>
      <c r="OCP7" s="34"/>
      <c r="OCR7" s="34"/>
      <c r="OCS7" s="72"/>
      <c r="OCT7" s="63"/>
      <c r="OCU7" s="34"/>
      <c r="OCV7" s="64"/>
      <c r="OCW7" s="4"/>
      <c r="OCX7" s="65"/>
      <c r="OCY7" s="4"/>
      <c r="OCZ7" s="4"/>
      <c r="ODA7" s="4"/>
      <c r="ODD7" s="34"/>
      <c r="ODE7" s="34"/>
      <c r="ODG7" s="34"/>
      <c r="ODH7" s="72"/>
      <c r="ODI7" s="63"/>
      <c r="ODJ7" s="34"/>
      <c r="ODK7" s="64"/>
      <c r="ODL7" s="4"/>
      <c r="ODM7" s="65"/>
      <c r="ODN7" s="4"/>
      <c r="ODO7" s="4"/>
      <c r="ODP7" s="4"/>
      <c r="ODS7" s="34"/>
      <c r="ODT7" s="34"/>
      <c r="ODV7" s="34"/>
      <c r="ODW7" s="72"/>
      <c r="ODX7" s="63"/>
      <c r="ODY7" s="34"/>
      <c r="ODZ7" s="64"/>
      <c r="OEA7" s="4"/>
      <c r="OEB7" s="65"/>
      <c r="OEC7" s="4"/>
      <c r="OED7" s="4"/>
      <c r="OEE7" s="4"/>
      <c r="OEH7" s="34"/>
      <c r="OEI7" s="34"/>
      <c r="OEK7" s="34"/>
      <c r="OEL7" s="72"/>
      <c r="OEM7" s="63"/>
      <c r="OEN7" s="34"/>
      <c r="OEO7" s="64"/>
      <c r="OEP7" s="4"/>
      <c r="OEQ7" s="65"/>
      <c r="OER7" s="4"/>
      <c r="OES7" s="4"/>
      <c r="OET7" s="4"/>
      <c r="OEW7" s="34"/>
      <c r="OEX7" s="34"/>
      <c r="OEZ7" s="34"/>
      <c r="OFA7" s="72"/>
      <c r="OFB7" s="63"/>
      <c r="OFC7" s="34"/>
      <c r="OFD7" s="64"/>
      <c r="OFE7" s="4"/>
      <c r="OFF7" s="65"/>
      <c r="OFG7" s="4"/>
      <c r="OFH7" s="4"/>
      <c r="OFI7" s="4"/>
      <c r="OFL7" s="34"/>
      <c r="OFM7" s="34"/>
      <c r="OFO7" s="34"/>
      <c r="OFP7" s="72"/>
      <c r="OFQ7" s="63"/>
      <c r="OFR7" s="34"/>
      <c r="OFS7" s="64"/>
      <c r="OFT7" s="4"/>
      <c r="OFU7" s="65"/>
      <c r="OFV7" s="4"/>
      <c r="OFW7" s="4"/>
      <c r="OFX7" s="4"/>
      <c r="OGA7" s="34"/>
      <c r="OGB7" s="34"/>
      <c r="OGD7" s="34"/>
      <c r="OGE7" s="72"/>
      <c r="OGF7" s="63"/>
      <c r="OGG7" s="34"/>
      <c r="OGH7" s="64"/>
      <c r="OGI7" s="4"/>
      <c r="OGJ7" s="65"/>
      <c r="OGK7" s="4"/>
      <c r="OGL7" s="4"/>
      <c r="OGM7" s="4"/>
      <c r="OGP7" s="34"/>
      <c r="OGQ7" s="34"/>
      <c r="OGS7" s="34"/>
      <c r="OGT7" s="72"/>
      <c r="OGU7" s="63"/>
      <c r="OGV7" s="34"/>
      <c r="OGW7" s="64"/>
      <c r="OGX7" s="4"/>
      <c r="OGY7" s="65"/>
      <c r="OGZ7" s="4"/>
      <c r="OHA7" s="4"/>
      <c r="OHB7" s="4"/>
      <c r="OHE7" s="34"/>
      <c r="OHF7" s="34"/>
      <c r="OHH7" s="34"/>
      <c r="OHI7" s="72"/>
      <c r="OHJ7" s="63"/>
      <c r="OHK7" s="34"/>
      <c r="OHL7" s="64"/>
      <c r="OHM7" s="4"/>
      <c r="OHN7" s="65"/>
      <c r="OHO7" s="4"/>
      <c r="OHP7" s="4"/>
      <c r="OHQ7" s="4"/>
      <c r="OHT7" s="34"/>
      <c r="OHU7" s="34"/>
      <c r="OHW7" s="34"/>
      <c r="OHX7" s="72"/>
      <c r="OHY7" s="63"/>
      <c r="OHZ7" s="34"/>
      <c r="OIA7" s="64"/>
      <c r="OIB7" s="4"/>
      <c r="OIC7" s="65"/>
      <c r="OID7" s="4"/>
      <c r="OIE7" s="4"/>
      <c r="OIF7" s="4"/>
      <c r="OII7" s="34"/>
      <c r="OIJ7" s="34"/>
      <c r="OIL7" s="34"/>
      <c r="OIM7" s="72"/>
      <c r="OIN7" s="63"/>
      <c r="OIO7" s="34"/>
      <c r="OIP7" s="64"/>
      <c r="OIQ7" s="4"/>
      <c r="OIR7" s="65"/>
      <c r="OIS7" s="4"/>
      <c r="OIT7" s="4"/>
      <c r="OIU7" s="4"/>
      <c r="OIX7" s="34"/>
      <c r="OIY7" s="34"/>
      <c r="OJA7" s="34"/>
      <c r="OJB7" s="72"/>
      <c r="OJC7" s="63"/>
      <c r="OJD7" s="34"/>
      <c r="OJE7" s="64"/>
      <c r="OJF7" s="4"/>
      <c r="OJG7" s="65"/>
      <c r="OJH7" s="4"/>
      <c r="OJI7" s="4"/>
      <c r="OJJ7" s="4"/>
      <c r="OJM7" s="34"/>
      <c r="OJN7" s="34"/>
      <c r="OJP7" s="34"/>
      <c r="OJQ7" s="72"/>
      <c r="OJR7" s="63"/>
      <c r="OJS7" s="34"/>
      <c r="OJT7" s="64"/>
      <c r="OJU7" s="4"/>
      <c r="OJV7" s="65"/>
      <c r="OJW7" s="4"/>
      <c r="OJX7" s="4"/>
      <c r="OJY7" s="4"/>
      <c r="OKB7" s="34"/>
      <c r="OKC7" s="34"/>
      <c r="OKE7" s="34"/>
      <c r="OKF7" s="72"/>
      <c r="OKG7" s="63"/>
      <c r="OKH7" s="34"/>
      <c r="OKI7" s="64"/>
      <c r="OKJ7" s="4"/>
      <c r="OKK7" s="65"/>
      <c r="OKL7" s="4"/>
      <c r="OKM7" s="4"/>
      <c r="OKN7" s="4"/>
      <c r="OKQ7" s="34"/>
      <c r="OKR7" s="34"/>
      <c r="OKT7" s="34"/>
      <c r="OKU7" s="72"/>
      <c r="OKV7" s="63"/>
      <c r="OKW7" s="34"/>
      <c r="OKX7" s="64"/>
      <c r="OKY7" s="4"/>
      <c r="OKZ7" s="65"/>
      <c r="OLA7" s="4"/>
      <c r="OLB7" s="4"/>
      <c r="OLC7" s="4"/>
      <c r="OLF7" s="34"/>
      <c r="OLG7" s="34"/>
      <c r="OLI7" s="34"/>
      <c r="OLJ7" s="72"/>
      <c r="OLK7" s="63"/>
      <c r="OLL7" s="34"/>
      <c r="OLM7" s="64"/>
      <c r="OLN7" s="4"/>
      <c r="OLO7" s="65"/>
      <c r="OLP7" s="4"/>
      <c r="OLQ7" s="4"/>
      <c r="OLR7" s="4"/>
      <c r="OLU7" s="34"/>
      <c r="OLV7" s="34"/>
      <c r="OLX7" s="34"/>
      <c r="OLY7" s="72"/>
      <c r="OLZ7" s="63"/>
      <c r="OMA7" s="34"/>
      <c r="OMB7" s="64"/>
      <c r="OMC7" s="4"/>
      <c r="OMD7" s="65"/>
      <c r="OME7" s="4"/>
      <c r="OMF7" s="4"/>
      <c r="OMG7" s="4"/>
      <c r="OMJ7" s="34"/>
      <c r="OMK7" s="34"/>
      <c r="OMM7" s="34"/>
      <c r="OMN7" s="72"/>
      <c r="OMO7" s="63"/>
      <c r="OMP7" s="34"/>
      <c r="OMQ7" s="64"/>
      <c r="OMR7" s="4"/>
      <c r="OMS7" s="65"/>
      <c r="OMT7" s="4"/>
      <c r="OMU7" s="4"/>
      <c r="OMV7" s="4"/>
      <c r="OMY7" s="34"/>
      <c r="OMZ7" s="34"/>
      <c r="ONB7" s="34"/>
      <c r="ONC7" s="72"/>
      <c r="OND7" s="63"/>
      <c r="ONE7" s="34"/>
      <c r="ONF7" s="64"/>
      <c r="ONG7" s="4"/>
      <c r="ONH7" s="65"/>
      <c r="ONI7" s="4"/>
      <c r="ONJ7" s="4"/>
      <c r="ONK7" s="4"/>
      <c r="ONN7" s="34"/>
      <c r="ONO7" s="34"/>
      <c r="ONQ7" s="34"/>
      <c r="ONR7" s="72"/>
      <c r="ONS7" s="63"/>
      <c r="ONT7" s="34"/>
      <c r="ONU7" s="64"/>
      <c r="ONV7" s="4"/>
      <c r="ONW7" s="65"/>
      <c r="ONX7" s="4"/>
      <c r="ONY7" s="4"/>
      <c r="ONZ7" s="4"/>
      <c r="OOC7" s="34"/>
      <c r="OOD7" s="34"/>
      <c r="OOF7" s="34"/>
      <c r="OOG7" s="72"/>
      <c r="OOH7" s="63"/>
      <c r="OOI7" s="34"/>
      <c r="OOJ7" s="64"/>
      <c r="OOK7" s="4"/>
      <c r="OOL7" s="65"/>
      <c r="OOM7" s="4"/>
      <c r="OON7" s="4"/>
      <c r="OOO7" s="4"/>
      <c r="OOR7" s="34"/>
      <c r="OOS7" s="34"/>
      <c r="OOU7" s="34"/>
      <c r="OOV7" s="72"/>
      <c r="OOW7" s="63"/>
      <c r="OOX7" s="34"/>
      <c r="OOY7" s="64"/>
      <c r="OOZ7" s="4"/>
      <c r="OPA7" s="65"/>
      <c r="OPB7" s="4"/>
      <c r="OPC7" s="4"/>
      <c r="OPD7" s="4"/>
      <c r="OPG7" s="34"/>
      <c r="OPH7" s="34"/>
      <c r="OPJ7" s="34"/>
      <c r="OPK7" s="72"/>
      <c r="OPL7" s="63"/>
      <c r="OPM7" s="34"/>
      <c r="OPN7" s="64"/>
      <c r="OPO7" s="4"/>
      <c r="OPP7" s="65"/>
      <c r="OPQ7" s="4"/>
      <c r="OPR7" s="4"/>
      <c r="OPS7" s="4"/>
      <c r="OPV7" s="34"/>
      <c r="OPW7" s="34"/>
      <c r="OPY7" s="34"/>
      <c r="OPZ7" s="72"/>
      <c r="OQA7" s="63"/>
      <c r="OQB7" s="34"/>
      <c r="OQC7" s="64"/>
      <c r="OQD7" s="4"/>
      <c r="OQE7" s="65"/>
      <c r="OQF7" s="4"/>
      <c r="OQG7" s="4"/>
      <c r="OQH7" s="4"/>
      <c r="OQK7" s="34"/>
      <c r="OQL7" s="34"/>
      <c r="OQN7" s="34"/>
      <c r="OQO7" s="72"/>
      <c r="OQP7" s="63"/>
      <c r="OQQ7" s="34"/>
      <c r="OQR7" s="64"/>
      <c r="OQS7" s="4"/>
      <c r="OQT7" s="65"/>
      <c r="OQU7" s="4"/>
      <c r="OQV7" s="4"/>
      <c r="OQW7" s="4"/>
      <c r="OQZ7" s="34"/>
      <c r="ORA7" s="34"/>
      <c r="ORC7" s="34"/>
      <c r="ORD7" s="72"/>
      <c r="ORE7" s="63"/>
      <c r="ORF7" s="34"/>
      <c r="ORG7" s="64"/>
      <c r="ORH7" s="4"/>
      <c r="ORI7" s="65"/>
      <c r="ORJ7" s="4"/>
      <c r="ORK7" s="4"/>
      <c r="ORL7" s="4"/>
      <c r="ORO7" s="34"/>
      <c r="ORP7" s="34"/>
      <c r="ORR7" s="34"/>
      <c r="ORS7" s="72"/>
      <c r="ORT7" s="63"/>
      <c r="ORU7" s="34"/>
      <c r="ORV7" s="64"/>
      <c r="ORW7" s="4"/>
      <c r="ORX7" s="65"/>
      <c r="ORY7" s="4"/>
      <c r="ORZ7" s="4"/>
      <c r="OSA7" s="4"/>
      <c r="OSD7" s="34"/>
      <c r="OSE7" s="34"/>
      <c r="OSG7" s="34"/>
      <c r="OSH7" s="72"/>
      <c r="OSI7" s="63"/>
      <c r="OSJ7" s="34"/>
      <c r="OSK7" s="64"/>
      <c r="OSL7" s="4"/>
      <c r="OSM7" s="65"/>
      <c r="OSN7" s="4"/>
      <c r="OSO7" s="4"/>
      <c r="OSP7" s="4"/>
      <c r="OSS7" s="34"/>
      <c r="OST7" s="34"/>
      <c r="OSV7" s="34"/>
      <c r="OSW7" s="72"/>
      <c r="OSX7" s="63"/>
      <c r="OSY7" s="34"/>
      <c r="OSZ7" s="64"/>
      <c r="OTA7" s="4"/>
      <c r="OTB7" s="65"/>
      <c r="OTC7" s="4"/>
      <c r="OTD7" s="4"/>
      <c r="OTE7" s="4"/>
      <c r="OTH7" s="34"/>
      <c r="OTI7" s="34"/>
      <c r="OTK7" s="34"/>
      <c r="OTL7" s="72"/>
      <c r="OTM7" s="63"/>
      <c r="OTN7" s="34"/>
      <c r="OTO7" s="64"/>
      <c r="OTP7" s="4"/>
      <c r="OTQ7" s="65"/>
      <c r="OTR7" s="4"/>
      <c r="OTS7" s="4"/>
      <c r="OTT7" s="4"/>
      <c r="OTW7" s="34"/>
      <c r="OTX7" s="34"/>
      <c r="OTZ7" s="34"/>
      <c r="OUA7" s="72"/>
      <c r="OUB7" s="63"/>
      <c r="OUC7" s="34"/>
      <c r="OUD7" s="64"/>
      <c r="OUE7" s="4"/>
      <c r="OUF7" s="65"/>
      <c r="OUG7" s="4"/>
      <c r="OUH7" s="4"/>
      <c r="OUI7" s="4"/>
      <c r="OUL7" s="34"/>
      <c r="OUM7" s="34"/>
      <c r="OUO7" s="34"/>
      <c r="OUP7" s="72"/>
      <c r="OUQ7" s="63"/>
      <c r="OUR7" s="34"/>
      <c r="OUS7" s="64"/>
      <c r="OUT7" s="4"/>
      <c r="OUU7" s="65"/>
      <c r="OUV7" s="4"/>
      <c r="OUW7" s="4"/>
      <c r="OUX7" s="4"/>
      <c r="OVA7" s="34"/>
      <c r="OVB7" s="34"/>
      <c r="OVD7" s="34"/>
      <c r="OVE7" s="72"/>
      <c r="OVF7" s="63"/>
      <c r="OVG7" s="34"/>
      <c r="OVH7" s="64"/>
      <c r="OVI7" s="4"/>
      <c r="OVJ7" s="65"/>
      <c r="OVK7" s="4"/>
      <c r="OVL7" s="4"/>
      <c r="OVM7" s="4"/>
      <c r="OVP7" s="34"/>
      <c r="OVQ7" s="34"/>
      <c r="OVS7" s="34"/>
      <c r="OVT7" s="72"/>
      <c r="OVU7" s="63"/>
      <c r="OVV7" s="34"/>
      <c r="OVW7" s="64"/>
      <c r="OVX7" s="4"/>
      <c r="OVY7" s="65"/>
      <c r="OVZ7" s="4"/>
      <c r="OWA7" s="4"/>
      <c r="OWB7" s="4"/>
      <c r="OWE7" s="34"/>
      <c r="OWF7" s="34"/>
      <c r="OWH7" s="34"/>
      <c r="OWI7" s="72"/>
      <c r="OWJ7" s="63"/>
      <c r="OWK7" s="34"/>
      <c r="OWL7" s="64"/>
      <c r="OWM7" s="4"/>
      <c r="OWN7" s="65"/>
      <c r="OWO7" s="4"/>
      <c r="OWP7" s="4"/>
      <c r="OWQ7" s="4"/>
      <c r="OWT7" s="34"/>
      <c r="OWU7" s="34"/>
      <c r="OWW7" s="34"/>
      <c r="OWX7" s="72"/>
      <c r="OWY7" s="63"/>
      <c r="OWZ7" s="34"/>
      <c r="OXA7" s="64"/>
      <c r="OXB7" s="4"/>
      <c r="OXC7" s="65"/>
      <c r="OXD7" s="4"/>
      <c r="OXE7" s="4"/>
      <c r="OXF7" s="4"/>
      <c r="OXI7" s="34"/>
      <c r="OXJ7" s="34"/>
      <c r="OXL7" s="34"/>
      <c r="OXM7" s="72"/>
      <c r="OXN7" s="63"/>
      <c r="OXO7" s="34"/>
      <c r="OXP7" s="64"/>
      <c r="OXQ7" s="4"/>
      <c r="OXR7" s="65"/>
      <c r="OXS7" s="4"/>
      <c r="OXT7" s="4"/>
      <c r="OXU7" s="4"/>
      <c r="OXX7" s="34"/>
      <c r="OXY7" s="34"/>
      <c r="OYA7" s="34"/>
      <c r="OYB7" s="72"/>
      <c r="OYC7" s="63"/>
      <c r="OYD7" s="34"/>
      <c r="OYE7" s="64"/>
      <c r="OYF7" s="4"/>
      <c r="OYG7" s="65"/>
      <c r="OYH7" s="4"/>
      <c r="OYI7" s="4"/>
      <c r="OYJ7" s="4"/>
      <c r="OYM7" s="34"/>
      <c r="OYN7" s="34"/>
      <c r="OYP7" s="34"/>
      <c r="OYQ7" s="72"/>
      <c r="OYR7" s="63"/>
      <c r="OYS7" s="34"/>
      <c r="OYT7" s="64"/>
      <c r="OYU7" s="4"/>
      <c r="OYV7" s="65"/>
      <c r="OYW7" s="4"/>
      <c r="OYX7" s="4"/>
      <c r="OYY7" s="4"/>
      <c r="OZB7" s="34"/>
      <c r="OZC7" s="34"/>
      <c r="OZE7" s="34"/>
      <c r="OZF7" s="72"/>
      <c r="OZG7" s="63"/>
      <c r="OZH7" s="34"/>
      <c r="OZI7" s="64"/>
      <c r="OZJ7" s="4"/>
      <c r="OZK7" s="65"/>
      <c r="OZL7" s="4"/>
      <c r="OZM7" s="4"/>
      <c r="OZN7" s="4"/>
      <c r="OZQ7" s="34"/>
      <c r="OZR7" s="34"/>
      <c r="OZT7" s="34"/>
      <c r="OZU7" s="72"/>
      <c r="OZV7" s="63"/>
      <c r="OZW7" s="34"/>
      <c r="OZX7" s="64"/>
      <c r="OZY7" s="4"/>
      <c r="OZZ7" s="65"/>
      <c r="PAA7" s="4"/>
      <c r="PAB7" s="4"/>
      <c r="PAC7" s="4"/>
      <c r="PAF7" s="34"/>
      <c r="PAG7" s="34"/>
      <c r="PAI7" s="34"/>
      <c r="PAJ7" s="72"/>
      <c r="PAK7" s="63"/>
      <c r="PAL7" s="34"/>
      <c r="PAM7" s="64"/>
      <c r="PAN7" s="4"/>
      <c r="PAO7" s="65"/>
      <c r="PAP7" s="4"/>
      <c r="PAQ7" s="4"/>
      <c r="PAR7" s="4"/>
      <c r="PAU7" s="34"/>
      <c r="PAV7" s="34"/>
      <c r="PAX7" s="34"/>
      <c r="PAY7" s="72"/>
      <c r="PAZ7" s="63"/>
      <c r="PBA7" s="34"/>
      <c r="PBB7" s="64"/>
      <c r="PBC7" s="4"/>
      <c r="PBD7" s="65"/>
      <c r="PBE7" s="4"/>
      <c r="PBF7" s="4"/>
      <c r="PBG7" s="4"/>
      <c r="PBJ7" s="34"/>
      <c r="PBK7" s="34"/>
      <c r="PBM7" s="34"/>
      <c r="PBN7" s="72"/>
      <c r="PBO7" s="63"/>
      <c r="PBP7" s="34"/>
      <c r="PBQ7" s="64"/>
      <c r="PBR7" s="4"/>
      <c r="PBS7" s="65"/>
      <c r="PBT7" s="4"/>
      <c r="PBU7" s="4"/>
      <c r="PBV7" s="4"/>
      <c r="PBY7" s="34"/>
      <c r="PBZ7" s="34"/>
      <c r="PCB7" s="34"/>
      <c r="PCC7" s="72"/>
      <c r="PCD7" s="63"/>
      <c r="PCE7" s="34"/>
      <c r="PCF7" s="64"/>
      <c r="PCG7" s="4"/>
      <c r="PCH7" s="65"/>
      <c r="PCI7" s="4"/>
      <c r="PCJ7" s="4"/>
      <c r="PCK7" s="4"/>
      <c r="PCN7" s="34"/>
      <c r="PCO7" s="34"/>
      <c r="PCQ7" s="34"/>
      <c r="PCR7" s="72"/>
      <c r="PCS7" s="63"/>
      <c r="PCT7" s="34"/>
      <c r="PCU7" s="64"/>
      <c r="PCV7" s="4"/>
      <c r="PCW7" s="65"/>
      <c r="PCX7" s="4"/>
      <c r="PCY7" s="4"/>
      <c r="PCZ7" s="4"/>
      <c r="PDC7" s="34"/>
      <c r="PDD7" s="34"/>
      <c r="PDF7" s="34"/>
      <c r="PDG7" s="72"/>
      <c r="PDH7" s="63"/>
      <c r="PDI7" s="34"/>
      <c r="PDJ7" s="64"/>
      <c r="PDK7" s="4"/>
      <c r="PDL7" s="65"/>
      <c r="PDM7" s="4"/>
      <c r="PDN7" s="4"/>
      <c r="PDO7" s="4"/>
      <c r="PDR7" s="34"/>
      <c r="PDS7" s="34"/>
      <c r="PDU7" s="34"/>
      <c r="PDV7" s="72"/>
      <c r="PDW7" s="63"/>
      <c r="PDX7" s="34"/>
      <c r="PDY7" s="64"/>
      <c r="PDZ7" s="4"/>
      <c r="PEA7" s="65"/>
      <c r="PEB7" s="4"/>
      <c r="PEC7" s="4"/>
      <c r="PED7" s="4"/>
      <c r="PEG7" s="34"/>
      <c r="PEH7" s="34"/>
      <c r="PEJ7" s="34"/>
      <c r="PEK7" s="72"/>
      <c r="PEL7" s="63"/>
      <c r="PEM7" s="34"/>
      <c r="PEN7" s="64"/>
      <c r="PEO7" s="4"/>
      <c r="PEP7" s="65"/>
      <c r="PEQ7" s="4"/>
      <c r="PER7" s="4"/>
      <c r="PES7" s="4"/>
      <c r="PEV7" s="34"/>
      <c r="PEW7" s="34"/>
      <c r="PEY7" s="34"/>
      <c r="PEZ7" s="72"/>
      <c r="PFA7" s="63"/>
      <c r="PFB7" s="34"/>
      <c r="PFC7" s="64"/>
      <c r="PFD7" s="4"/>
      <c r="PFE7" s="65"/>
      <c r="PFF7" s="4"/>
      <c r="PFG7" s="4"/>
      <c r="PFH7" s="4"/>
      <c r="PFK7" s="34"/>
      <c r="PFL7" s="34"/>
      <c r="PFN7" s="34"/>
      <c r="PFO7" s="72"/>
      <c r="PFP7" s="63"/>
      <c r="PFQ7" s="34"/>
      <c r="PFR7" s="64"/>
      <c r="PFS7" s="4"/>
      <c r="PFT7" s="65"/>
      <c r="PFU7" s="4"/>
      <c r="PFV7" s="4"/>
      <c r="PFW7" s="4"/>
      <c r="PFZ7" s="34"/>
      <c r="PGA7" s="34"/>
      <c r="PGC7" s="34"/>
      <c r="PGD7" s="72"/>
      <c r="PGE7" s="63"/>
      <c r="PGF7" s="34"/>
      <c r="PGG7" s="64"/>
      <c r="PGH7" s="4"/>
      <c r="PGI7" s="65"/>
      <c r="PGJ7" s="4"/>
      <c r="PGK7" s="4"/>
      <c r="PGL7" s="4"/>
      <c r="PGO7" s="34"/>
      <c r="PGP7" s="34"/>
      <c r="PGR7" s="34"/>
      <c r="PGS7" s="72"/>
      <c r="PGT7" s="63"/>
      <c r="PGU7" s="34"/>
      <c r="PGV7" s="64"/>
      <c r="PGW7" s="4"/>
      <c r="PGX7" s="65"/>
      <c r="PGY7" s="4"/>
      <c r="PGZ7" s="4"/>
      <c r="PHA7" s="4"/>
      <c r="PHD7" s="34"/>
      <c r="PHE7" s="34"/>
      <c r="PHG7" s="34"/>
      <c r="PHH7" s="72"/>
      <c r="PHI7" s="63"/>
      <c r="PHJ7" s="34"/>
      <c r="PHK7" s="64"/>
      <c r="PHL7" s="4"/>
      <c r="PHM7" s="65"/>
      <c r="PHN7" s="4"/>
      <c r="PHO7" s="4"/>
      <c r="PHP7" s="4"/>
      <c r="PHS7" s="34"/>
      <c r="PHT7" s="34"/>
      <c r="PHV7" s="34"/>
      <c r="PHW7" s="72"/>
      <c r="PHX7" s="63"/>
      <c r="PHY7" s="34"/>
      <c r="PHZ7" s="64"/>
      <c r="PIA7" s="4"/>
      <c r="PIB7" s="65"/>
      <c r="PIC7" s="4"/>
      <c r="PID7" s="4"/>
      <c r="PIE7" s="4"/>
      <c r="PIH7" s="34"/>
      <c r="PII7" s="34"/>
      <c r="PIK7" s="34"/>
      <c r="PIL7" s="72"/>
      <c r="PIM7" s="63"/>
      <c r="PIN7" s="34"/>
      <c r="PIO7" s="64"/>
      <c r="PIP7" s="4"/>
      <c r="PIQ7" s="65"/>
      <c r="PIR7" s="4"/>
      <c r="PIS7" s="4"/>
      <c r="PIT7" s="4"/>
      <c r="PIW7" s="34"/>
      <c r="PIX7" s="34"/>
      <c r="PIZ7" s="34"/>
      <c r="PJA7" s="72"/>
      <c r="PJB7" s="63"/>
      <c r="PJC7" s="34"/>
      <c r="PJD7" s="64"/>
      <c r="PJE7" s="4"/>
      <c r="PJF7" s="65"/>
      <c r="PJG7" s="4"/>
      <c r="PJH7" s="4"/>
      <c r="PJI7" s="4"/>
      <c r="PJL7" s="34"/>
      <c r="PJM7" s="34"/>
      <c r="PJO7" s="34"/>
      <c r="PJP7" s="72"/>
      <c r="PJQ7" s="63"/>
      <c r="PJR7" s="34"/>
      <c r="PJS7" s="64"/>
      <c r="PJT7" s="4"/>
      <c r="PJU7" s="65"/>
      <c r="PJV7" s="4"/>
      <c r="PJW7" s="4"/>
      <c r="PJX7" s="4"/>
      <c r="PKA7" s="34"/>
      <c r="PKB7" s="34"/>
      <c r="PKD7" s="34"/>
      <c r="PKE7" s="72"/>
      <c r="PKF7" s="63"/>
      <c r="PKG7" s="34"/>
      <c r="PKH7" s="64"/>
      <c r="PKI7" s="4"/>
      <c r="PKJ7" s="65"/>
      <c r="PKK7" s="4"/>
      <c r="PKL7" s="4"/>
      <c r="PKM7" s="4"/>
      <c r="PKP7" s="34"/>
      <c r="PKQ7" s="34"/>
      <c r="PKS7" s="34"/>
      <c r="PKT7" s="72"/>
      <c r="PKU7" s="63"/>
      <c r="PKV7" s="34"/>
      <c r="PKW7" s="64"/>
      <c r="PKX7" s="4"/>
      <c r="PKY7" s="65"/>
      <c r="PKZ7" s="4"/>
      <c r="PLA7" s="4"/>
      <c r="PLB7" s="4"/>
      <c r="PLE7" s="34"/>
      <c r="PLF7" s="34"/>
      <c r="PLH7" s="34"/>
      <c r="PLI7" s="72"/>
      <c r="PLJ7" s="63"/>
      <c r="PLK7" s="34"/>
      <c r="PLL7" s="64"/>
      <c r="PLM7" s="4"/>
      <c r="PLN7" s="65"/>
      <c r="PLO7" s="4"/>
      <c r="PLP7" s="4"/>
      <c r="PLQ7" s="4"/>
      <c r="PLT7" s="34"/>
      <c r="PLU7" s="34"/>
      <c r="PLW7" s="34"/>
      <c r="PLX7" s="72"/>
      <c r="PLY7" s="63"/>
      <c r="PLZ7" s="34"/>
      <c r="PMA7" s="64"/>
      <c r="PMB7" s="4"/>
      <c r="PMC7" s="65"/>
      <c r="PMD7" s="4"/>
      <c r="PME7" s="4"/>
      <c r="PMF7" s="4"/>
      <c r="PMI7" s="34"/>
      <c r="PMJ7" s="34"/>
      <c r="PML7" s="34"/>
      <c r="PMM7" s="72"/>
      <c r="PMN7" s="63"/>
      <c r="PMO7" s="34"/>
      <c r="PMP7" s="64"/>
      <c r="PMQ7" s="4"/>
      <c r="PMR7" s="65"/>
      <c r="PMS7" s="4"/>
      <c r="PMT7" s="4"/>
      <c r="PMU7" s="4"/>
      <c r="PMX7" s="34"/>
      <c r="PMY7" s="34"/>
      <c r="PNA7" s="34"/>
      <c r="PNB7" s="72"/>
      <c r="PNC7" s="63"/>
      <c r="PND7" s="34"/>
      <c r="PNE7" s="64"/>
      <c r="PNF7" s="4"/>
      <c r="PNG7" s="65"/>
      <c r="PNH7" s="4"/>
      <c r="PNI7" s="4"/>
      <c r="PNJ7" s="4"/>
      <c r="PNM7" s="34"/>
      <c r="PNN7" s="34"/>
      <c r="PNP7" s="34"/>
      <c r="PNQ7" s="72"/>
      <c r="PNR7" s="63"/>
      <c r="PNS7" s="34"/>
      <c r="PNT7" s="64"/>
      <c r="PNU7" s="4"/>
      <c r="PNV7" s="65"/>
      <c r="PNW7" s="4"/>
      <c r="PNX7" s="4"/>
      <c r="PNY7" s="4"/>
      <c r="POB7" s="34"/>
      <c r="POC7" s="34"/>
      <c r="POE7" s="34"/>
      <c r="POF7" s="72"/>
      <c r="POG7" s="63"/>
      <c r="POH7" s="34"/>
      <c r="POI7" s="64"/>
      <c r="POJ7" s="4"/>
      <c r="POK7" s="65"/>
      <c r="POL7" s="4"/>
      <c r="POM7" s="4"/>
      <c r="PON7" s="4"/>
      <c r="POQ7" s="34"/>
      <c r="POR7" s="34"/>
      <c r="POT7" s="34"/>
      <c r="POU7" s="72"/>
      <c r="POV7" s="63"/>
      <c r="POW7" s="34"/>
      <c r="POX7" s="64"/>
      <c r="POY7" s="4"/>
      <c r="POZ7" s="65"/>
      <c r="PPA7" s="4"/>
      <c r="PPB7" s="4"/>
      <c r="PPC7" s="4"/>
      <c r="PPF7" s="34"/>
      <c r="PPG7" s="34"/>
      <c r="PPI7" s="34"/>
      <c r="PPJ7" s="72"/>
      <c r="PPK7" s="63"/>
      <c r="PPL7" s="34"/>
      <c r="PPM7" s="64"/>
      <c r="PPN7" s="4"/>
      <c r="PPO7" s="65"/>
      <c r="PPP7" s="4"/>
      <c r="PPQ7" s="4"/>
      <c r="PPR7" s="4"/>
      <c r="PPU7" s="34"/>
      <c r="PPV7" s="34"/>
      <c r="PPX7" s="34"/>
      <c r="PPY7" s="72"/>
      <c r="PPZ7" s="63"/>
      <c r="PQA7" s="34"/>
      <c r="PQB7" s="64"/>
      <c r="PQC7" s="4"/>
      <c r="PQD7" s="65"/>
      <c r="PQE7" s="4"/>
      <c r="PQF7" s="4"/>
      <c r="PQG7" s="4"/>
      <c r="PQJ7" s="34"/>
      <c r="PQK7" s="34"/>
      <c r="PQM7" s="34"/>
      <c r="PQN7" s="72"/>
      <c r="PQO7" s="63"/>
      <c r="PQP7" s="34"/>
      <c r="PQQ7" s="64"/>
      <c r="PQR7" s="4"/>
      <c r="PQS7" s="65"/>
      <c r="PQT7" s="4"/>
      <c r="PQU7" s="4"/>
      <c r="PQV7" s="4"/>
      <c r="PQY7" s="34"/>
      <c r="PQZ7" s="34"/>
      <c r="PRB7" s="34"/>
      <c r="PRC7" s="72"/>
      <c r="PRD7" s="63"/>
      <c r="PRE7" s="34"/>
      <c r="PRF7" s="64"/>
      <c r="PRG7" s="4"/>
      <c r="PRH7" s="65"/>
      <c r="PRI7" s="4"/>
      <c r="PRJ7" s="4"/>
      <c r="PRK7" s="4"/>
      <c r="PRN7" s="34"/>
      <c r="PRO7" s="34"/>
      <c r="PRQ7" s="34"/>
      <c r="PRR7" s="72"/>
      <c r="PRS7" s="63"/>
      <c r="PRT7" s="34"/>
      <c r="PRU7" s="64"/>
      <c r="PRV7" s="4"/>
      <c r="PRW7" s="65"/>
      <c r="PRX7" s="4"/>
      <c r="PRY7" s="4"/>
      <c r="PRZ7" s="4"/>
      <c r="PSC7" s="34"/>
      <c r="PSD7" s="34"/>
      <c r="PSF7" s="34"/>
      <c r="PSG7" s="72"/>
      <c r="PSH7" s="63"/>
      <c r="PSI7" s="34"/>
      <c r="PSJ7" s="64"/>
      <c r="PSK7" s="4"/>
      <c r="PSL7" s="65"/>
      <c r="PSM7" s="4"/>
      <c r="PSN7" s="4"/>
      <c r="PSO7" s="4"/>
      <c r="PSR7" s="34"/>
      <c r="PSS7" s="34"/>
      <c r="PSU7" s="34"/>
      <c r="PSV7" s="72"/>
      <c r="PSW7" s="63"/>
      <c r="PSX7" s="34"/>
      <c r="PSY7" s="64"/>
      <c r="PSZ7" s="4"/>
      <c r="PTA7" s="65"/>
      <c r="PTB7" s="4"/>
      <c r="PTC7" s="4"/>
      <c r="PTD7" s="4"/>
      <c r="PTG7" s="34"/>
      <c r="PTH7" s="34"/>
      <c r="PTJ7" s="34"/>
      <c r="PTK7" s="72"/>
      <c r="PTL7" s="63"/>
      <c r="PTM7" s="34"/>
      <c r="PTN7" s="64"/>
      <c r="PTO7" s="4"/>
      <c r="PTP7" s="65"/>
      <c r="PTQ7" s="4"/>
      <c r="PTR7" s="4"/>
      <c r="PTS7" s="4"/>
      <c r="PTV7" s="34"/>
      <c r="PTW7" s="34"/>
      <c r="PTY7" s="34"/>
      <c r="PTZ7" s="72"/>
      <c r="PUA7" s="63"/>
      <c r="PUB7" s="34"/>
      <c r="PUC7" s="64"/>
      <c r="PUD7" s="4"/>
      <c r="PUE7" s="65"/>
      <c r="PUF7" s="4"/>
      <c r="PUG7" s="4"/>
      <c r="PUH7" s="4"/>
      <c r="PUK7" s="34"/>
      <c r="PUL7" s="34"/>
      <c r="PUN7" s="34"/>
      <c r="PUO7" s="72"/>
      <c r="PUP7" s="63"/>
      <c r="PUQ7" s="34"/>
      <c r="PUR7" s="64"/>
      <c r="PUS7" s="4"/>
      <c r="PUT7" s="65"/>
      <c r="PUU7" s="4"/>
      <c r="PUV7" s="4"/>
      <c r="PUW7" s="4"/>
      <c r="PUZ7" s="34"/>
      <c r="PVA7" s="34"/>
      <c r="PVC7" s="34"/>
      <c r="PVD7" s="72"/>
      <c r="PVE7" s="63"/>
      <c r="PVF7" s="34"/>
      <c r="PVG7" s="64"/>
      <c r="PVH7" s="4"/>
      <c r="PVI7" s="65"/>
      <c r="PVJ7" s="4"/>
      <c r="PVK7" s="4"/>
      <c r="PVL7" s="4"/>
      <c r="PVO7" s="34"/>
      <c r="PVP7" s="34"/>
      <c r="PVR7" s="34"/>
      <c r="PVS7" s="72"/>
      <c r="PVT7" s="63"/>
      <c r="PVU7" s="34"/>
      <c r="PVV7" s="64"/>
      <c r="PVW7" s="4"/>
      <c r="PVX7" s="65"/>
      <c r="PVY7" s="4"/>
      <c r="PVZ7" s="4"/>
      <c r="PWA7" s="4"/>
      <c r="PWD7" s="34"/>
      <c r="PWE7" s="34"/>
      <c r="PWG7" s="34"/>
      <c r="PWH7" s="72"/>
      <c r="PWI7" s="63"/>
      <c r="PWJ7" s="34"/>
      <c r="PWK7" s="64"/>
      <c r="PWL7" s="4"/>
      <c r="PWM7" s="65"/>
      <c r="PWN7" s="4"/>
      <c r="PWO7" s="4"/>
      <c r="PWP7" s="4"/>
      <c r="PWS7" s="34"/>
      <c r="PWT7" s="34"/>
      <c r="PWV7" s="34"/>
      <c r="PWW7" s="72"/>
      <c r="PWX7" s="63"/>
      <c r="PWY7" s="34"/>
      <c r="PWZ7" s="64"/>
      <c r="PXA7" s="4"/>
      <c r="PXB7" s="65"/>
      <c r="PXC7" s="4"/>
      <c r="PXD7" s="4"/>
      <c r="PXE7" s="4"/>
      <c r="PXH7" s="34"/>
      <c r="PXI7" s="34"/>
      <c r="PXK7" s="34"/>
      <c r="PXL7" s="72"/>
      <c r="PXM7" s="63"/>
      <c r="PXN7" s="34"/>
      <c r="PXO7" s="64"/>
      <c r="PXP7" s="4"/>
      <c r="PXQ7" s="65"/>
      <c r="PXR7" s="4"/>
      <c r="PXS7" s="4"/>
      <c r="PXT7" s="4"/>
      <c r="PXW7" s="34"/>
      <c r="PXX7" s="34"/>
      <c r="PXZ7" s="34"/>
      <c r="PYA7" s="72"/>
      <c r="PYB7" s="63"/>
      <c r="PYC7" s="34"/>
      <c r="PYD7" s="64"/>
      <c r="PYE7" s="4"/>
      <c r="PYF7" s="65"/>
      <c r="PYG7" s="4"/>
      <c r="PYH7" s="4"/>
      <c r="PYI7" s="4"/>
      <c r="PYL7" s="34"/>
      <c r="PYM7" s="34"/>
      <c r="PYO7" s="34"/>
      <c r="PYP7" s="72"/>
      <c r="PYQ7" s="63"/>
      <c r="PYR7" s="34"/>
      <c r="PYS7" s="64"/>
      <c r="PYT7" s="4"/>
      <c r="PYU7" s="65"/>
      <c r="PYV7" s="4"/>
      <c r="PYW7" s="4"/>
      <c r="PYX7" s="4"/>
      <c r="PZA7" s="34"/>
      <c r="PZB7" s="34"/>
      <c r="PZD7" s="34"/>
      <c r="PZE7" s="72"/>
      <c r="PZF7" s="63"/>
      <c r="PZG7" s="34"/>
      <c r="PZH7" s="64"/>
      <c r="PZI7" s="4"/>
      <c r="PZJ7" s="65"/>
      <c r="PZK7" s="4"/>
      <c r="PZL7" s="4"/>
      <c r="PZM7" s="4"/>
      <c r="PZP7" s="34"/>
      <c r="PZQ7" s="34"/>
      <c r="PZS7" s="34"/>
      <c r="PZT7" s="72"/>
      <c r="PZU7" s="63"/>
      <c r="PZV7" s="34"/>
      <c r="PZW7" s="64"/>
      <c r="PZX7" s="4"/>
      <c r="PZY7" s="65"/>
      <c r="PZZ7" s="4"/>
      <c r="QAA7" s="4"/>
      <c r="QAB7" s="4"/>
      <c r="QAE7" s="34"/>
      <c r="QAF7" s="34"/>
      <c r="QAH7" s="34"/>
      <c r="QAI7" s="72"/>
      <c r="QAJ7" s="63"/>
      <c r="QAK7" s="34"/>
      <c r="QAL7" s="64"/>
      <c r="QAM7" s="4"/>
      <c r="QAN7" s="65"/>
      <c r="QAO7" s="4"/>
      <c r="QAP7" s="4"/>
      <c r="QAQ7" s="4"/>
      <c r="QAT7" s="34"/>
      <c r="QAU7" s="34"/>
      <c r="QAW7" s="34"/>
      <c r="QAX7" s="72"/>
      <c r="QAY7" s="63"/>
      <c r="QAZ7" s="34"/>
      <c r="QBA7" s="64"/>
      <c r="QBB7" s="4"/>
      <c r="QBC7" s="65"/>
      <c r="QBD7" s="4"/>
      <c r="QBE7" s="4"/>
      <c r="QBF7" s="4"/>
      <c r="QBI7" s="34"/>
      <c r="QBJ7" s="34"/>
      <c r="QBL7" s="34"/>
      <c r="QBM7" s="72"/>
      <c r="QBN7" s="63"/>
      <c r="QBO7" s="34"/>
      <c r="QBP7" s="64"/>
      <c r="QBQ7" s="4"/>
      <c r="QBR7" s="65"/>
      <c r="QBS7" s="4"/>
      <c r="QBT7" s="4"/>
      <c r="QBU7" s="4"/>
      <c r="QBX7" s="34"/>
      <c r="QBY7" s="34"/>
      <c r="QCA7" s="34"/>
      <c r="QCB7" s="72"/>
      <c r="QCC7" s="63"/>
      <c r="QCD7" s="34"/>
      <c r="QCE7" s="64"/>
      <c r="QCF7" s="4"/>
      <c r="QCG7" s="65"/>
      <c r="QCH7" s="4"/>
      <c r="QCI7" s="4"/>
      <c r="QCJ7" s="4"/>
      <c r="QCM7" s="34"/>
      <c r="QCN7" s="34"/>
      <c r="QCP7" s="34"/>
      <c r="QCQ7" s="72"/>
      <c r="QCR7" s="63"/>
      <c r="QCS7" s="34"/>
      <c r="QCT7" s="64"/>
      <c r="QCU7" s="4"/>
      <c r="QCV7" s="65"/>
      <c r="QCW7" s="4"/>
      <c r="QCX7" s="4"/>
      <c r="QCY7" s="4"/>
      <c r="QDB7" s="34"/>
      <c r="QDC7" s="34"/>
      <c r="QDE7" s="34"/>
      <c r="QDF7" s="72"/>
      <c r="QDG7" s="63"/>
      <c r="QDH7" s="34"/>
      <c r="QDI7" s="64"/>
      <c r="QDJ7" s="4"/>
      <c r="QDK7" s="65"/>
      <c r="QDL7" s="4"/>
      <c r="QDM7" s="4"/>
      <c r="QDN7" s="4"/>
      <c r="QDQ7" s="34"/>
      <c r="QDR7" s="34"/>
      <c r="QDT7" s="34"/>
      <c r="QDU7" s="72"/>
      <c r="QDV7" s="63"/>
      <c r="QDW7" s="34"/>
      <c r="QDX7" s="64"/>
      <c r="QDY7" s="4"/>
      <c r="QDZ7" s="65"/>
      <c r="QEA7" s="4"/>
      <c r="QEB7" s="4"/>
      <c r="QEC7" s="4"/>
      <c r="QEF7" s="34"/>
      <c r="QEG7" s="34"/>
      <c r="QEI7" s="34"/>
      <c r="QEJ7" s="72"/>
      <c r="QEK7" s="63"/>
      <c r="QEL7" s="34"/>
      <c r="QEM7" s="64"/>
      <c r="QEN7" s="4"/>
      <c r="QEO7" s="65"/>
      <c r="QEP7" s="4"/>
      <c r="QEQ7" s="4"/>
      <c r="QER7" s="4"/>
      <c r="QEU7" s="34"/>
      <c r="QEV7" s="34"/>
      <c r="QEX7" s="34"/>
      <c r="QEY7" s="72"/>
      <c r="QEZ7" s="63"/>
      <c r="QFA7" s="34"/>
      <c r="QFB7" s="64"/>
      <c r="QFC7" s="4"/>
      <c r="QFD7" s="65"/>
      <c r="QFE7" s="4"/>
      <c r="QFF7" s="4"/>
      <c r="QFG7" s="4"/>
      <c r="QFJ7" s="34"/>
      <c r="QFK7" s="34"/>
      <c r="QFM7" s="34"/>
      <c r="QFN7" s="72"/>
      <c r="QFO7" s="63"/>
      <c r="QFP7" s="34"/>
      <c r="QFQ7" s="64"/>
      <c r="QFR7" s="4"/>
      <c r="QFS7" s="65"/>
      <c r="QFT7" s="4"/>
      <c r="QFU7" s="4"/>
      <c r="QFV7" s="4"/>
      <c r="QFY7" s="34"/>
      <c r="QFZ7" s="34"/>
      <c r="QGB7" s="34"/>
      <c r="QGC7" s="72"/>
      <c r="QGD7" s="63"/>
      <c r="QGE7" s="34"/>
      <c r="QGF7" s="64"/>
      <c r="QGG7" s="4"/>
      <c r="QGH7" s="65"/>
      <c r="QGI7" s="4"/>
      <c r="QGJ7" s="4"/>
      <c r="QGK7" s="4"/>
      <c r="QGN7" s="34"/>
      <c r="QGO7" s="34"/>
      <c r="QGQ7" s="34"/>
      <c r="QGR7" s="72"/>
      <c r="QGS7" s="63"/>
      <c r="QGT7" s="34"/>
      <c r="QGU7" s="64"/>
      <c r="QGV7" s="4"/>
      <c r="QGW7" s="65"/>
      <c r="QGX7" s="4"/>
      <c r="QGY7" s="4"/>
      <c r="QGZ7" s="4"/>
      <c r="QHC7" s="34"/>
      <c r="QHD7" s="34"/>
      <c r="QHF7" s="34"/>
      <c r="QHG7" s="72"/>
      <c r="QHH7" s="63"/>
      <c r="QHI7" s="34"/>
      <c r="QHJ7" s="64"/>
      <c r="QHK7" s="4"/>
      <c r="QHL7" s="65"/>
      <c r="QHM7" s="4"/>
      <c r="QHN7" s="4"/>
      <c r="QHO7" s="4"/>
      <c r="QHR7" s="34"/>
      <c r="QHS7" s="34"/>
      <c r="QHU7" s="34"/>
      <c r="QHV7" s="72"/>
      <c r="QHW7" s="63"/>
      <c r="QHX7" s="34"/>
      <c r="QHY7" s="64"/>
      <c r="QHZ7" s="4"/>
      <c r="QIA7" s="65"/>
      <c r="QIB7" s="4"/>
      <c r="QIC7" s="4"/>
      <c r="QID7" s="4"/>
      <c r="QIG7" s="34"/>
      <c r="QIH7" s="34"/>
      <c r="QIJ7" s="34"/>
      <c r="QIK7" s="72"/>
      <c r="QIL7" s="63"/>
      <c r="QIM7" s="34"/>
      <c r="QIN7" s="64"/>
      <c r="QIO7" s="4"/>
      <c r="QIP7" s="65"/>
      <c r="QIQ7" s="4"/>
      <c r="QIR7" s="4"/>
      <c r="QIS7" s="4"/>
      <c r="QIV7" s="34"/>
      <c r="QIW7" s="34"/>
      <c r="QIY7" s="34"/>
      <c r="QIZ7" s="72"/>
      <c r="QJA7" s="63"/>
      <c r="QJB7" s="34"/>
      <c r="QJC7" s="64"/>
      <c r="QJD7" s="4"/>
      <c r="QJE7" s="65"/>
      <c r="QJF7" s="4"/>
      <c r="QJG7" s="4"/>
      <c r="QJH7" s="4"/>
      <c r="QJK7" s="34"/>
      <c r="QJL7" s="34"/>
      <c r="QJN7" s="34"/>
      <c r="QJO7" s="72"/>
      <c r="QJP7" s="63"/>
      <c r="QJQ7" s="34"/>
      <c r="QJR7" s="64"/>
      <c r="QJS7" s="4"/>
      <c r="QJT7" s="65"/>
      <c r="QJU7" s="4"/>
      <c r="QJV7" s="4"/>
      <c r="QJW7" s="4"/>
      <c r="QJZ7" s="34"/>
      <c r="QKA7" s="34"/>
      <c r="QKC7" s="34"/>
      <c r="QKD7" s="72"/>
      <c r="QKE7" s="63"/>
      <c r="QKF7" s="34"/>
      <c r="QKG7" s="64"/>
      <c r="QKH7" s="4"/>
      <c r="QKI7" s="65"/>
      <c r="QKJ7" s="4"/>
      <c r="QKK7" s="4"/>
      <c r="QKL7" s="4"/>
      <c r="QKO7" s="34"/>
      <c r="QKP7" s="34"/>
      <c r="QKR7" s="34"/>
      <c r="QKS7" s="72"/>
      <c r="QKT7" s="63"/>
      <c r="QKU7" s="34"/>
      <c r="QKV7" s="64"/>
      <c r="QKW7" s="4"/>
      <c r="QKX7" s="65"/>
      <c r="QKY7" s="4"/>
      <c r="QKZ7" s="4"/>
      <c r="QLA7" s="4"/>
      <c r="QLD7" s="34"/>
      <c r="QLE7" s="34"/>
      <c r="QLG7" s="34"/>
      <c r="QLH7" s="72"/>
      <c r="QLI7" s="63"/>
      <c r="QLJ7" s="34"/>
      <c r="QLK7" s="64"/>
      <c r="QLL7" s="4"/>
      <c r="QLM7" s="65"/>
      <c r="QLN7" s="4"/>
      <c r="QLO7" s="4"/>
      <c r="QLP7" s="4"/>
      <c r="QLS7" s="34"/>
      <c r="QLT7" s="34"/>
      <c r="QLV7" s="34"/>
      <c r="QLW7" s="72"/>
      <c r="QLX7" s="63"/>
      <c r="QLY7" s="34"/>
      <c r="QLZ7" s="64"/>
      <c r="QMA7" s="4"/>
      <c r="QMB7" s="65"/>
      <c r="QMC7" s="4"/>
      <c r="QMD7" s="4"/>
      <c r="QME7" s="4"/>
      <c r="QMH7" s="34"/>
      <c r="QMI7" s="34"/>
      <c r="QMK7" s="34"/>
      <c r="QML7" s="72"/>
      <c r="QMM7" s="63"/>
      <c r="QMN7" s="34"/>
      <c r="QMO7" s="64"/>
      <c r="QMP7" s="4"/>
      <c r="QMQ7" s="65"/>
      <c r="QMR7" s="4"/>
      <c r="QMS7" s="4"/>
      <c r="QMT7" s="4"/>
      <c r="QMW7" s="34"/>
      <c r="QMX7" s="34"/>
      <c r="QMZ7" s="34"/>
      <c r="QNA7" s="72"/>
      <c r="QNB7" s="63"/>
      <c r="QNC7" s="34"/>
      <c r="QND7" s="64"/>
      <c r="QNE7" s="4"/>
      <c r="QNF7" s="65"/>
      <c r="QNG7" s="4"/>
      <c r="QNH7" s="4"/>
      <c r="QNI7" s="4"/>
      <c r="QNL7" s="34"/>
      <c r="QNM7" s="34"/>
      <c r="QNO7" s="34"/>
      <c r="QNP7" s="72"/>
      <c r="QNQ7" s="63"/>
      <c r="QNR7" s="34"/>
      <c r="QNS7" s="64"/>
      <c r="QNT7" s="4"/>
      <c r="QNU7" s="65"/>
      <c r="QNV7" s="4"/>
      <c r="QNW7" s="4"/>
      <c r="QNX7" s="4"/>
      <c r="QOA7" s="34"/>
      <c r="QOB7" s="34"/>
      <c r="QOD7" s="34"/>
      <c r="QOE7" s="72"/>
      <c r="QOF7" s="63"/>
      <c r="QOG7" s="34"/>
      <c r="QOH7" s="64"/>
      <c r="QOI7" s="4"/>
      <c r="QOJ7" s="65"/>
      <c r="QOK7" s="4"/>
      <c r="QOL7" s="4"/>
      <c r="QOM7" s="4"/>
      <c r="QOP7" s="34"/>
      <c r="QOQ7" s="34"/>
      <c r="QOS7" s="34"/>
      <c r="QOT7" s="72"/>
      <c r="QOU7" s="63"/>
      <c r="QOV7" s="34"/>
      <c r="QOW7" s="64"/>
      <c r="QOX7" s="4"/>
      <c r="QOY7" s="65"/>
      <c r="QOZ7" s="4"/>
      <c r="QPA7" s="4"/>
      <c r="QPB7" s="4"/>
      <c r="QPE7" s="34"/>
      <c r="QPF7" s="34"/>
      <c r="QPH7" s="34"/>
      <c r="QPI7" s="72"/>
      <c r="QPJ7" s="63"/>
      <c r="QPK7" s="34"/>
      <c r="QPL7" s="64"/>
      <c r="QPM7" s="4"/>
      <c r="QPN7" s="65"/>
      <c r="QPO7" s="4"/>
      <c r="QPP7" s="4"/>
      <c r="QPQ7" s="4"/>
      <c r="QPT7" s="34"/>
      <c r="QPU7" s="34"/>
      <c r="QPW7" s="34"/>
      <c r="QPX7" s="72"/>
      <c r="QPY7" s="63"/>
      <c r="QPZ7" s="34"/>
      <c r="QQA7" s="64"/>
      <c r="QQB7" s="4"/>
      <c r="QQC7" s="65"/>
      <c r="QQD7" s="4"/>
      <c r="QQE7" s="4"/>
      <c r="QQF7" s="4"/>
      <c r="QQI7" s="34"/>
      <c r="QQJ7" s="34"/>
      <c r="QQL7" s="34"/>
      <c r="QQM7" s="72"/>
      <c r="QQN7" s="63"/>
      <c r="QQO7" s="34"/>
      <c r="QQP7" s="64"/>
      <c r="QQQ7" s="4"/>
      <c r="QQR7" s="65"/>
      <c r="QQS7" s="4"/>
      <c r="QQT7" s="4"/>
      <c r="QQU7" s="4"/>
      <c r="QQX7" s="34"/>
      <c r="QQY7" s="34"/>
      <c r="QRA7" s="34"/>
      <c r="QRB7" s="72"/>
      <c r="QRC7" s="63"/>
      <c r="QRD7" s="34"/>
      <c r="QRE7" s="64"/>
      <c r="QRF7" s="4"/>
      <c r="QRG7" s="65"/>
      <c r="QRH7" s="4"/>
      <c r="QRI7" s="4"/>
      <c r="QRJ7" s="4"/>
      <c r="QRM7" s="34"/>
      <c r="QRN7" s="34"/>
      <c r="QRP7" s="34"/>
      <c r="QRQ7" s="72"/>
      <c r="QRR7" s="63"/>
      <c r="QRS7" s="34"/>
      <c r="QRT7" s="64"/>
      <c r="QRU7" s="4"/>
      <c r="QRV7" s="65"/>
      <c r="QRW7" s="4"/>
      <c r="QRX7" s="4"/>
      <c r="QRY7" s="4"/>
      <c r="QSB7" s="34"/>
      <c r="QSC7" s="34"/>
      <c r="QSE7" s="34"/>
      <c r="QSF7" s="72"/>
      <c r="QSG7" s="63"/>
      <c r="QSH7" s="34"/>
      <c r="QSI7" s="64"/>
      <c r="QSJ7" s="4"/>
      <c r="QSK7" s="65"/>
      <c r="QSL7" s="4"/>
      <c r="QSM7" s="4"/>
      <c r="QSN7" s="4"/>
      <c r="QSQ7" s="34"/>
      <c r="QSR7" s="34"/>
      <c r="QST7" s="34"/>
      <c r="QSU7" s="72"/>
      <c r="QSV7" s="63"/>
      <c r="QSW7" s="34"/>
      <c r="QSX7" s="64"/>
      <c r="QSY7" s="4"/>
      <c r="QSZ7" s="65"/>
      <c r="QTA7" s="4"/>
      <c r="QTB7" s="4"/>
      <c r="QTC7" s="4"/>
      <c r="QTF7" s="34"/>
      <c r="QTG7" s="34"/>
      <c r="QTI7" s="34"/>
      <c r="QTJ7" s="72"/>
      <c r="QTK7" s="63"/>
      <c r="QTL7" s="34"/>
      <c r="QTM7" s="64"/>
      <c r="QTN7" s="4"/>
      <c r="QTO7" s="65"/>
      <c r="QTP7" s="4"/>
      <c r="QTQ7" s="4"/>
      <c r="QTR7" s="4"/>
      <c r="QTU7" s="34"/>
      <c r="QTV7" s="34"/>
      <c r="QTX7" s="34"/>
      <c r="QTY7" s="72"/>
      <c r="QTZ7" s="63"/>
      <c r="QUA7" s="34"/>
      <c r="QUB7" s="64"/>
      <c r="QUC7" s="4"/>
      <c r="QUD7" s="65"/>
      <c r="QUE7" s="4"/>
      <c r="QUF7" s="4"/>
      <c r="QUG7" s="4"/>
      <c r="QUJ7" s="34"/>
      <c r="QUK7" s="34"/>
      <c r="QUM7" s="34"/>
      <c r="QUN7" s="72"/>
      <c r="QUO7" s="63"/>
      <c r="QUP7" s="34"/>
      <c r="QUQ7" s="64"/>
      <c r="QUR7" s="4"/>
      <c r="QUS7" s="65"/>
      <c r="QUT7" s="4"/>
      <c r="QUU7" s="4"/>
      <c r="QUV7" s="4"/>
      <c r="QUY7" s="34"/>
      <c r="QUZ7" s="34"/>
      <c r="QVB7" s="34"/>
      <c r="QVC7" s="72"/>
      <c r="QVD7" s="63"/>
      <c r="QVE7" s="34"/>
      <c r="QVF7" s="64"/>
      <c r="QVG7" s="4"/>
      <c r="QVH7" s="65"/>
      <c r="QVI7" s="4"/>
      <c r="QVJ7" s="4"/>
      <c r="QVK7" s="4"/>
      <c r="QVN7" s="34"/>
      <c r="QVO7" s="34"/>
      <c r="QVQ7" s="34"/>
      <c r="QVR7" s="72"/>
      <c r="QVS7" s="63"/>
      <c r="QVT7" s="34"/>
      <c r="QVU7" s="64"/>
      <c r="QVV7" s="4"/>
      <c r="QVW7" s="65"/>
      <c r="QVX7" s="4"/>
      <c r="QVY7" s="4"/>
      <c r="QVZ7" s="4"/>
      <c r="QWC7" s="34"/>
      <c r="QWD7" s="34"/>
      <c r="QWF7" s="34"/>
      <c r="QWG7" s="72"/>
      <c r="QWH7" s="63"/>
      <c r="QWI7" s="34"/>
      <c r="QWJ7" s="64"/>
      <c r="QWK7" s="4"/>
      <c r="QWL7" s="65"/>
      <c r="QWM7" s="4"/>
      <c r="QWN7" s="4"/>
      <c r="QWO7" s="4"/>
      <c r="QWR7" s="34"/>
      <c r="QWS7" s="34"/>
      <c r="QWU7" s="34"/>
      <c r="QWV7" s="72"/>
      <c r="QWW7" s="63"/>
      <c r="QWX7" s="34"/>
      <c r="QWY7" s="64"/>
      <c r="QWZ7" s="4"/>
      <c r="QXA7" s="65"/>
      <c r="QXB7" s="4"/>
      <c r="QXC7" s="4"/>
      <c r="QXD7" s="4"/>
      <c r="QXG7" s="34"/>
      <c r="QXH7" s="34"/>
      <c r="QXJ7" s="34"/>
      <c r="QXK7" s="72"/>
      <c r="QXL7" s="63"/>
      <c r="QXM7" s="34"/>
      <c r="QXN7" s="64"/>
      <c r="QXO7" s="4"/>
      <c r="QXP7" s="65"/>
      <c r="QXQ7" s="4"/>
      <c r="QXR7" s="4"/>
      <c r="QXS7" s="4"/>
      <c r="QXV7" s="34"/>
      <c r="QXW7" s="34"/>
      <c r="QXY7" s="34"/>
      <c r="QXZ7" s="72"/>
      <c r="QYA7" s="63"/>
      <c r="QYB7" s="34"/>
      <c r="QYC7" s="64"/>
      <c r="QYD7" s="4"/>
      <c r="QYE7" s="65"/>
      <c r="QYF7" s="4"/>
      <c r="QYG7" s="4"/>
      <c r="QYH7" s="4"/>
      <c r="QYK7" s="34"/>
      <c r="QYL7" s="34"/>
      <c r="QYN7" s="34"/>
      <c r="QYO7" s="72"/>
      <c r="QYP7" s="63"/>
      <c r="QYQ7" s="34"/>
      <c r="QYR7" s="64"/>
      <c r="QYS7" s="4"/>
      <c r="QYT7" s="65"/>
      <c r="QYU7" s="4"/>
      <c r="QYV7" s="4"/>
      <c r="QYW7" s="4"/>
      <c r="QYZ7" s="34"/>
      <c r="QZA7" s="34"/>
      <c r="QZC7" s="34"/>
      <c r="QZD7" s="72"/>
      <c r="QZE7" s="63"/>
      <c r="QZF7" s="34"/>
      <c r="QZG7" s="64"/>
      <c r="QZH7" s="4"/>
      <c r="QZI7" s="65"/>
      <c r="QZJ7" s="4"/>
      <c r="QZK7" s="4"/>
      <c r="QZL7" s="4"/>
      <c r="QZO7" s="34"/>
      <c r="QZP7" s="34"/>
      <c r="QZR7" s="34"/>
      <c r="QZS7" s="72"/>
      <c r="QZT7" s="63"/>
      <c r="QZU7" s="34"/>
      <c r="QZV7" s="64"/>
      <c r="QZW7" s="4"/>
      <c r="QZX7" s="65"/>
      <c r="QZY7" s="4"/>
      <c r="QZZ7" s="4"/>
      <c r="RAA7" s="4"/>
      <c r="RAD7" s="34"/>
      <c r="RAE7" s="34"/>
      <c r="RAG7" s="34"/>
      <c r="RAH7" s="72"/>
      <c r="RAI7" s="63"/>
      <c r="RAJ7" s="34"/>
      <c r="RAK7" s="64"/>
      <c r="RAL7" s="4"/>
      <c r="RAM7" s="65"/>
      <c r="RAN7" s="4"/>
      <c r="RAO7" s="4"/>
      <c r="RAP7" s="4"/>
      <c r="RAS7" s="34"/>
      <c r="RAT7" s="34"/>
      <c r="RAV7" s="34"/>
      <c r="RAW7" s="72"/>
      <c r="RAX7" s="63"/>
      <c r="RAY7" s="34"/>
      <c r="RAZ7" s="64"/>
      <c r="RBA7" s="4"/>
      <c r="RBB7" s="65"/>
      <c r="RBC7" s="4"/>
      <c r="RBD7" s="4"/>
      <c r="RBE7" s="4"/>
      <c r="RBH7" s="34"/>
      <c r="RBI7" s="34"/>
      <c r="RBK7" s="34"/>
      <c r="RBL7" s="72"/>
      <c r="RBM7" s="63"/>
      <c r="RBN7" s="34"/>
      <c r="RBO7" s="64"/>
      <c r="RBP7" s="4"/>
      <c r="RBQ7" s="65"/>
      <c r="RBR7" s="4"/>
      <c r="RBS7" s="4"/>
      <c r="RBT7" s="4"/>
      <c r="RBW7" s="34"/>
      <c r="RBX7" s="34"/>
      <c r="RBZ7" s="34"/>
      <c r="RCA7" s="72"/>
      <c r="RCB7" s="63"/>
      <c r="RCC7" s="34"/>
      <c r="RCD7" s="64"/>
      <c r="RCE7" s="4"/>
      <c r="RCF7" s="65"/>
      <c r="RCG7" s="4"/>
      <c r="RCH7" s="4"/>
      <c r="RCI7" s="4"/>
      <c r="RCL7" s="34"/>
      <c r="RCM7" s="34"/>
      <c r="RCO7" s="34"/>
      <c r="RCP7" s="72"/>
      <c r="RCQ7" s="63"/>
      <c r="RCR7" s="34"/>
      <c r="RCS7" s="64"/>
      <c r="RCT7" s="4"/>
      <c r="RCU7" s="65"/>
      <c r="RCV7" s="4"/>
      <c r="RCW7" s="4"/>
      <c r="RCX7" s="4"/>
      <c r="RDA7" s="34"/>
      <c r="RDB7" s="34"/>
      <c r="RDD7" s="34"/>
      <c r="RDE7" s="72"/>
      <c r="RDF7" s="63"/>
      <c r="RDG7" s="34"/>
      <c r="RDH7" s="64"/>
      <c r="RDI7" s="4"/>
      <c r="RDJ7" s="65"/>
      <c r="RDK7" s="4"/>
      <c r="RDL7" s="4"/>
      <c r="RDM7" s="4"/>
      <c r="RDP7" s="34"/>
      <c r="RDQ7" s="34"/>
      <c r="RDS7" s="34"/>
      <c r="RDT7" s="72"/>
      <c r="RDU7" s="63"/>
      <c r="RDV7" s="34"/>
      <c r="RDW7" s="64"/>
      <c r="RDX7" s="4"/>
      <c r="RDY7" s="65"/>
      <c r="RDZ7" s="4"/>
      <c r="REA7" s="4"/>
      <c r="REB7" s="4"/>
      <c r="REE7" s="34"/>
      <c r="REF7" s="34"/>
      <c r="REH7" s="34"/>
      <c r="REI7" s="72"/>
      <c r="REJ7" s="63"/>
      <c r="REK7" s="34"/>
      <c r="REL7" s="64"/>
      <c r="REM7" s="4"/>
      <c r="REN7" s="65"/>
      <c r="REO7" s="4"/>
      <c r="REP7" s="4"/>
      <c r="REQ7" s="4"/>
      <c r="RET7" s="34"/>
      <c r="REU7" s="34"/>
      <c r="REW7" s="34"/>
      <c r="REX7" s="72"/>
      <c r="REY7" s="63"/>
      <c r="REZ7" s="34"/>
      <c r="RFA7" s="64"/>
      <c r="RFB7" s="4"/>
      <c r="RFC7" s="65"/>
      <c r="RFD7" s="4"/>
      <c r="RFE7" s="4"/>
      <c r="RFF7" s="4"/>
      <c r="RFI7" s="34"/>
      <c r="RFJ7" s="34"/>
      <c r="RFL7" s="34"/>
      <c r="RFM7" s="72"/>
      <c r="RFN7" s="63"/>
      <c r="RFO7" s="34"/>
      <c r="RFP7" s="64"/>
      <c r="RFQ7" s="4"/>
      <c r="RFR7" s="65"/>
      <c r="RFS7" s="4"/>
      <c r="RFT7" s="4"/>
      <c r="RFU7" s="4"/>
      <c r="RFX7" s="34"/>
      <c r="RFY7" s="34"/>
      <c r="RGA7" s="34"/>
      <c r="RGB7" s="72"/>
      <c r="RGC7" s="63"/>
      <c r="RGD7" s="34"/>
      <c r="RGE7" s="64"/>
      <c r="RGF7" s="4"/>
      <c r="RGG7" s="65"/>
      <c r="RGH7" s="4"/>
      <c r="RGI7" s="4"/>
      <c r="RGJ7" s="4"/>
      <c r="RGM7" s="34"/>
      <c r="RGN7" s="34"/>
      <c r="RGP7" s="34"/>
      <c r="RGQ7" s="72"/>
      <c r="RGR7" s="63"/>
      <c r="RGS7" s="34"/>
      <c r="RGT7" s="64"/>
      <c r="RGU7" s="4"/>
      <c r="RGV7" s="65"/>
      <c r="RGW7" s="4"/>
      <c r="RGX7" s="4"/>
      <c r="RGY7" s="4"/>
      <c r="RHB7" s="34"/>
      <c r="RHC7" s="34"/>
      <c r="RHE7" s="34"/>
      <c r="RHF7" s="72"/>
      <c r="RHG7" s="63"/>
      <c r="RHH7" s="34"/>
      <c r="RHI7" s="64"/>
      <c r="RHJ7" s="4"/>
      <c r="RHK7" s="65"/>
      <c r="RHL7" s="4"/>
      <c r="RHM7" s="4"/>
      <c r="RHN7" s="4"/>
      <c r="RHQ7" s="34"/>
      <c r="RHR7" s="34"/>
      <c r="RHT7" s="34"/>
      <c r="RHU7" s="72"/>
      <c r="RHV7" s="63"/>
      <c r="RHW7" s="34"/>
      <c r="RHX7" s="64"/>
      <c r="RHY7" s="4"/>
      <c r="RHZ7" s="65"/>
      <c r="RIA7" s="4"/>
      <c r="RIB7" s="4"/>
      <c r="RIC7" s="4"/>
      <c r="RIF7" s="34"/>
      <c r="RIG7" s="34"/>
      <c r="RII7" s="34"/>
      <c r="RIJ7" s="72"/>
      <c r="RIK7" s="63"/>
      <c r="RIL7" s="34"/>
      <c r="RIM7" s="64"/>
      <c r="RIN7" s="4"/>
      <c r="RIO7" s="65"/>
      <c r="RIP7" s="4"/>
      <c r="RIQ7" s="4"/>
      <c r="RIR7" s="4"/>
      <c r="RIU7" s="34"/>
      <c r="RIV7" s="34"/>
      <c r="RIX7" s="34"/>
      <c r="RIY7" s="72"/>
      <c r="RIZ7" s="63"/>
      <c r="RJA7" s="34"/>
      <c r="RJB7" s="64"/>
      <c r="RJC7" s="4"/>
      <c r="RJD7" s="65"/>
      <c r="RJE7" s="4"/>
      <c r="RJF7" s="4"/>
      <c r="RJG7" s="4"/>
      <c r="RJJ7" s="34"/>
      <c r="RJK7" s="34"/>
      <c r="RJM7" s="34"/>
      <c r="RJN7" s="72"/>
      <c r="RJO7" s="63"/>
      <c r="RJP7" s="34"/>
      <c r="RJQ7" s="64"/>
      <c r="RJR7" s="4"/>
      <c r="RJS7" s="65"/>
      <c r="RJT7" s="4"/>
      <c r="RJU7" s="4"/>
      <c r="RJV7" s="4"/>
      <c r="RJY7" s="34"/>
      <c r="RJZ7" s="34"/>
      <c r="RKB7" s="34"/>
      <c r="RKC7" s="72"/>
      <c r="RKD7" s="63"/>
      <c r="RKE7" s="34"/>
      <c r="RKF7" s="64"/>
      <c r="RKG7" s="4"/>
      <c r="RKH7" s="65"/>
      <c r="RKI7" s="4"/>
      <c r="RKJ7" s="4"/>
      <c r="RKK7" s="4"/>
      <c r="RKN7" s="34"/>
      <c r="RKO7" s="34"/>
      <c r="RKQ7" s="34"/>
      <c r="RKR7" s="72"/>
      <c r="RKS7" s="63"/>
      <c r="RKT7" s="34"/>
      <c r="RKU7" s="64"/>
      <c r="RKV7" s="4"/>
      <c r="RKW7" s="65"/>
      <c r="RKX7" s="4"/>
      <c r="RKY7" s="4"/>
      <c r="RKZ7" s="4"/>
      <c r="RLC7" s="34"/>
      <c r="RLD7" s="34"/>
      <c r="RLF7" s="34"/>
      <c r="RLG7" s="72"/>
      <c r="RLH7" s="63"/>
      <c r="RLI7" s="34"/>
      <c r="RLJ7" s="64"/>
      <c r="RLK7" s="4"/>
      <c r="RLL7" s="65"/>
      <c r="RLM7" s="4"/>
      <c r="RLN7" s="4"/>
      <c r="RLO7" s="4"/>
      <c r="RLR7" s="34"/>
      <c r="RLS7" s="34"/>
      <c r="RLU7" s="34"/>
      <c r="RLV7" s="72"/>
      <c r="RLW7" s="63"/>
      <c r="RLX7" s="34"/>
      <c r="RLY7" s="64"/>
      <c r="RLZ7" s="4"/>
      <c r="RMA7" s="65"/>
      <c r="RMB7" s="4"/>
      <c r="RMC7" s="4"/>
      <c r="RMD7" s="4"/>
      <c r="RMG7" s="34"/>
      <c r="RMH7" s="34"/>
      <c r="RMJ7" s="34"/>
      <c r="RMK7" s="72"/>
      <c r="RML7" s="63"/>
      <c r="RMM7" s="34"/>
      <c r="RMN7" s="64"/>
      <c r="RMO7" s="4"/>
      <c r="RMP7" s="65"/>
      <c r="RMQ7" s="4"/>
      <c r="RMR7" s="4"/>
      <c r="RMS7" s="4"/>
      <c r="RMV7" s="34"/>
      <c r="RMW7" s="34"/>
      <c r="RMY7" s="34"/>
      <c r="RMZ7" s="72"/>
      <c r="RNA7" s="63"/>
      <c r="RNB7" s="34"/>
      <c r="RNC7" s="64"/>
      <c r="RND7" s="4"/>
      <c r="RNE7" s="65"/>
      <c r="RNF7" s="4"/>
      <c r="RNG7" s="4"/>
      <c r="RNH7" s="4"/>
      <c r="RNK7" s="34"/>
      <c r="RNL7" s="34"/>
      <c r="RNN7" s="34"/>
      <c r="RNO7" s="72"/>
      <c r="RNP7" s="63"/>
      <c r="RNQ7" s="34"/>
      <c r="RNR7" s="64"/>
      <c r="RNS7" s="4"/>
      <c r="RNT7" s="65"/>
      <c r="RNU7" s="4"/>
      <c r="RNV7" s="4"/>
      <c r="RNW7" s="4"/>
      <c r="RNZ7" s="34"/>
      <c r="ROA7" s="34"/>
      <c r="ROC7" s="34"/>
      <c r="ROD7" s="72"/>
      <c r="ROE7" s="63"/>
      <c r="ROF7" s="34"/>
      <c r="ROG7" s="64"/>
      <c r="ROH7" s="4"/>
      <c r="ROI7" s="65"/>
      <c r="ROJ7" s="4"/>
      <c r="ROK7" s="4"/>
      <c r="ROL7" s="4"/>
      <c r="ROO7" s="34"/>
      <c r="ROP7" s="34"/>
      <c r="ROR7" s="34"/>
      <c r="ROS7" s="72"/>
      <c r="ROT7" s="63"/>
      <c r="ROU7" s="34"/>
      <c r="ROV7" s="64"/>
      <c r="ROW7" s="4"/>
      <c r="ROX7" s="65"/>
      <c r="ROY7" s="4"/>
      <c r="ROZ7" s="4"/>
      <c r="RPA7" s="4"/>
      <c r="RPD7" s="34"/>
      <c r="RPE7" s="34"/>
      <c r="RPG7" s="34"/>
      <c r="RPH7" s="72"/>
      <c r="RPI7" s="63"/>
      <c r="RPJ7" s="34"/>
      <c r="RPK7" s="64"/>
      <c r="RPL7" s="4"/>
      <c r="RPM7" s="65"/>
      <c r="RPN7" s="4"/>
      <c r="RPO7" s="4"/>
      <c r="RPP7" s="4"/>
      <c r="RPS7" s="34"/>
      <c r="RPT7" s="34"/>
      <c r="RPV7" s="34"/>
      <c r="RPW7" s="72"/>
      <c r="RPX7" s="63"/>
      <c r="RPY7" s="34"/>
      <c r="RPZ7" s="64"/>
      <c r="RQA7" s="4"/>
      <c r="RQB7" s="65"/>
      <c r="RQC7" s="4"/>
      <c r="RQD7" s="4"/>
      <c r="RQE7" s="4"/>
      <c r="RQH7" s="34"/>
      <c r="RQI7" s="34"/>
      <c r="RQK7" s="34"/>
      <c r="RQL7" s="72"/>
      <c r="RQM7" s="63"/>
      <c r="RQN7" s="34"/>
      <c r="RQO7" s="64"/>
      <c r="RQP7" s="4"/>
      <c r="RQQ7" s="65"/>
      <c r="RQR7" s="4"/>
      <c r="RQS7" s="4"/>
      <c r="RQT7" s="4"/>
      <c r="RQW7" s="34"/>
      <c r="RQX7" s="34"/>
      <c r="RQZ7" s="34"/>
      <c r="RRA7" s="72"/>
      <c r="RRB7" s="63"/>
      <c r="RRC7" s="34"/>
      <c r="RRD7" s="64"/>
      <c r="RRE7" s="4"/>
      <c r="RRF7" s="65"/>
      <c r="RRG7" s="4"/>
      <c r="RRH7" s="4"/>
      <c r="RRI7" s="4"/>
      <c r="RRL7" s="34"/>
      <c r="RRM7" s="34"/>
      <c r="RRO7" s="34"/>
      <c r="RRP7" s="72"/>
      <c r="RRQ7" s="63"/>
      <c r="RRR7" s="34"/>
      <c r="RRS7" s="64"/>
      <c r="RRT7" s="4"/>
      <c r="RRU7" s="65"/>
      <c r="RRV7" s="4"/>
      <c r="RRW7" s="4"/>
      <c r="RRX7" s="4"/>
      <c r="RSA7" s="34"/>
      <c r="RSB7" s="34"/>
      <c r="RSD7" s="34"/>
      <c r="RSE7" s="72"/>
      <c r="RSF7" s="63"/>
      <c r="RSG7" s="34"/>
      <c r="RSH7" s="64"/>
      <c r="RSI7" s="4"/>
      <c r="RSJ7" s="65"/>
      <c r="RSK7" s="4"/>
      <c r="RSL7" s="4"/>
      <c r="RSM7" s="4"/>
      <c r="RSP7" s="34"/>
      <c r="RSQ7" s="34"/>
      <c r="RSS7" s="34"/>
      <c r="RST7" s="72"/>
      <c r="RSU7" s="63"/>
      <c r="RSV7" s="34"/>
      <c r="RSW7" s="64"/>
      <c r="RSX7" s="4"/>
      <c r="RSY7" s="65"/>
      <c r="RSZ7" s="4"/>
      <c r="RTA7" s="4"/>
      <c r="RTB7" s="4"/>
      <c r="RTE7" s="34"/>
      <c r="RTF7" s="34"/>
      <c r="RTH7" s="34"/>
      <c r="RTI7" s="72"/>
      <c r="RTJ7" s="63"/>
      <c r="RTK7" s="34"/>
      <c r="RTL7" s="64"/>
      <c r="RTM7" s="4"/>
      <c r="RTN7" s="65"/>
      <c r="RTO7" s="4"/>
      <c r="RTP7" s="4"/>
      <c r="RTQ7" s="4"/>
      <c r="RTT7" s="34"/>
      <c r="RTU7" s="34"/>
      <c r="RTW7" s="34"/>
      <c r="RTX7" s="72"/>
      <c r="RTY7" s="63"/>
      <c r="RTZ7" s="34"/>
      <c r="RUA7" s="64"/>
      <c r="RUB7" s="4"/>
      <c r="RUC7" s="65"/>
      <c r="RUD7" s="4"/>
      <c r="RUE7" s="4"/>
      <c r="RUF7" s="4"/>
      <c r="RUI7" s="34"/>
      <c r="RUJ7" s="34"/>
      <c r="RUL7" s="34"/>
      <c r="RUM7" s="72"/>
      <c r="RUN7" s="63"/>
      <c r="RUO7" s="34"/>
      <c r="RUP7" s="64"/>
      <c r="RUQ7" s="4"/>
      <c r="RUR7" s="65"/>
      <c r="RUS7" s="4"/>
      <c r="RUT7" s="4"/>
      <c r="RUU7" s="4"/>
      <c r="RUX7" s="34"/>
      <c r="RUY7" s="34"/>
      <c r="RVA7" s="34"/>
      <c r="RVB7" s="72"/>
      <c r="RVC7" s="63"/>
      <c r="RVD7" s="34"/>
      <c r="RVE7" s="64"/>
      <c r="RVF7" s="4"/>
      <c r="RVG7" s="65"/>
      <c r="RVH7" s="4"/>
      <c r="RVI7" s="4"/>
      <c r="RVJ7" s="4"/>
      <c r="RVM7" s="34"/>
      <c r="RVN7" s="34"/>
      <c r="RVP7" s="34"/>
      <c r="RVQ7" s="72"/>
      <c r="RVR7" s="63"/>
      <c r="RVS7" s="34"/>
      <c r="RVT7" s="64"/>
      <c r="RVU7" s="4"/>
      <c r="RVV7" s="65"/>
      <c r="RVW7" s="4"/>
      <c r="RVX7" s="4"/>
      <c r="RVY7" s="4"/>
      <c r="RWB7" s="34"/>
      <c r="RWC7" s="34"/>
      <c r="RWE7" s="34"/>
      <c r="RWF7" s="72"/>
      <c r="RWG7" s="63"/>
      <c r="RWH7" s="34"/>
      <c r="RWI7" s="64"/>
      <c r="RWJ7" s="4"/>
      <c r="RWK7" s="65"/>
      <c r="RWL7" s="4"/>
      <c r="RWM7" s="4"/>
      <c r="RWN7" s="4"/>
      <c r="RWQ7" s="34"/>
      <c r="RWR7" s="34"/>
      <c r="RWT7" s="34"/>
      <c r="RWU7" s="72"/>
      <c r="RWV7" s="63"/>
      <c r="RWW7" s="34"/>
      <c r="RWX7" s="64"/>
      <c r="RWY7" s="4"/>
      <c r="RWZ7" s="65"/>
      <c r="RXA7" s="4"/>
      <c r="RXB7" s="4"/>
      <c r="RXC7" s="4"/>
      <c r="RXF7" s="34"/>
      <c r="RXG7" s="34"/>
      <c r="RXI7" s="34"/>
      <c r="RXJ7" s="72"/>
      <c r="RXK7" s="63"/>
      <c r="RXL7" s="34"/>
      <c r="RXM7" s="64"/>
      <c r="RXN7" s="4"/>
      <c r="RXO7" s="65"/>
      <c r="RXP7" s="4"/>
      <c r="RXQ7" s="4"/>
      <c r="RXR7" s="4"/>
      <c r="RXU7" s="34"/>
      <c r="RXV7" s="34"/>
      <c r="RXX7" s="34"/>
      <c r="RXY7" s="72"/>
      <c r="RXZ7" s="63"/>
      <c r="RYA7" s="34"/>
      <c r="RYB7" s="64"/>
      <c r="RYC7" s="4"/>
      <c r="RYD7" s="65"/>
      <c r="RYE7" s="4"/>
      <c r="RYF7" s="4"/>
      <c r="RYG7" s="4"/>
      <c r="RYJ7" s="34"/>
      <c r="RYK7" s="34"/>
      <c r="RYM7" s="34"/>
      <c r="RYN7" s="72"/>
      <c r="RYO7" s="63"/>
      <c r="RYP7" s="34"/>
      <c r="RYQ7" s="64"/>
      <c r="RYR7" s="4"/>
      <c r="RYS7" s="65"/>
      <c r="RYT7" s="4"/>
      <c r="RYU7" s="4"/>
      <c r="RYV7" s="4"/>
      <c r="RYY7" s="34"/>
      <c r="RYZ7" s="34"/>
      <c r="RZB7" s="34"/>
      <c r="RZC7" s="72"/>
      <c r="RZD7" s="63"/>
      <c r="RZE7" s="34"/>
      <c r="RZF7" s="64"/>
      <c r="RZG7" s="4"/>
      <c r="RZH7" s="65"/>
      <c r="RZI7" s="4"/>
      <c r="RZJ7" s="4"/>
      <c r="RZK7" s="4"/>
      <c r="RZN7" s="34"/>
      <c r="RZO7" s="34"/>
      <c r="RZQ7" s="34"/>
      <c r="RZR7" s="72"/>
      <c r="RZS7" s="63"/>
      <c r="RZT7" s="34"/>
      <c r="RZU7" s="64"/>
      <c r="RZV7" s="4"/>
      <c r="RZW7" s="65"/>
      <c r="RZX7" s="4"/>
      <c r="RZY7" s="4"/>
      <c r="RZZ7" s="4"/>
      <c r="SAC7" s="34"/>
      <c r="SAD7" s="34"/>
      <c r="SAF7" s="34"/>
      <c r="SAG7" s="72"/>
      <c r="SAH7" s="63"/>
      <c r="SAI7" s="34"/>
      <c r="SAJ7" s="64"/>
      <c r="SAK7" s="4"/>
      <c r="SAL7" s="65"/>
      <c r="SAM7" s="4"/>
      <c r="SAN7" s="4"/>
      <c r="SAO7" s="4"/>
      <c r="SAR7" s="34"/>
      <c r="SAS7" s="34"/>
      <c r="SAU7" s="34"/>
      <c r="SAV7" s="72"/>
      <c r="SAW7" s="63"/>
      <c r="SAX7" s="34"/>
      <c r="SAY7" s="64"/>
      <c r="SAZ7" s="4"/>
      <c r="SBA7" s="65"/>
      <c r="SBB7" s="4"/>
      <c r="SBC7" s="4"/>
      <c r="SBD7" s="4"/>
      <c r="SBG7" s="34"/>
      <c r="SBH7" s="34"/>
      <c r="SBJ7" s="34"/>
      <c r="SBK7" s="72"/>
      <c r="SBL7" s="63"/>
      <c r="SBM7" s="34"/>
      <c r="SBN7" s="64"/>
      <c r="SBO7" s="4"/>
      <c r="SBP7" s="65"/>
      <c r="SBQ7" s="4"/>
      <c r="SBR7" s="4"/>
      <c r="SBS7" s="4"/>
      <c r="SBV7" s="34"/>
      <c r="SBW7" s="34"/>
      <c r="SBY7" s="34"/>
      <c r="SBZ7" s="72"/>
      <c r="SCA7" s="63"/>
      <c r="SCB7" s="34"/>
      <c r="SCC7" s="64"/>
      <c r="SCD7" s="4"/>
      <c r="SCE7" s="65"/>
      <c r="SCF7" s="4"/>
      <c r="SCG7" s="4"/>
      <c r="SCH7" s="4"/>
      <c r="SCK7" s="34"/>
      <c r="SCL7" s="34"/>
      <c r="SCN7" s="34"/>
      <c r="SCO7" s="72"/>
      <c r="SCP7" s="63"/>
      <c r="SCQ7" s="34"/>
      <c r="SCR7" s="64"/>
      <c r="SCS7" s="4"/>
      <c r="SCT7" s="65"/>
      <c r="SCU7" s="4"/>
      <c r="SCV7" s="4"/>
      <c r="SCW7" s="4"/>
      <c r="SCZ7" s="34"/>
      <c r="SDA7" s="34"/>
      <c r="SDC7" s="34"/>
      <c r="SDD7" s="72"/>
      <c r="SDE7" s="63"/>
      <c r="SDF7" s="34"/>
      <c r="SDG7" s="64"/>
      <c r="SDH7" s="4"/>
      <c r="SDI7" s="65"/>
      <c r="SDJ7" s="4"/>
      <c r="SDK7" s="4"/>
      <c r="SDL7" s="4"/>
      <c r="SDO7" s="34"/>
      <c r="SDP7" s="34"/>
      <c r="SDR7" s="34"/>
      <c r="SDS7" s="72"/>
      <c r="SDT7" s="63"/>
      <c r="SDU7" s="34"/>
      <c r="SDV7" s="64"/>
      <c r="SDW7" s="4"/>
      <c r="SDX7" s="65"/>
      <c r="SDY7" s="4"/>
      <c r="SDZ7" s="4"/>
      <c r="SEA7" s="4"/>
      <c r="SED7" s="34"/>
      <c r="SEE7" s="34"/>
      <c r="SEG7" s="34"/>
      <c r="SEH7" s="72"/>
      <c r="SEI7" s="63"/>
      <c r="SEJ7" s="34"/>
      <c r="SEK7" s="64"/>
      <c r="SEL7" s="4"/>
      <c r="SEM7" s="65"/>
      <c r="SEN7" s="4"/>
      <c r="SEO7" s="4"/>
      <c r="SEP7" s="4"/>
      <c r="SES7" s="34"/>
      <c r="SET7" s="34"/>
      <c r="SEV7" s="34"/>
      <c r="SEW7" s="72"/>
      <c r="SEX7" s="63"/>
      <c r="SEY7" s="34"/>
      <c r="SEZ7" s="64"/>
      <c r="SFA7" s="4"/>
      <c r="SFB7" s="65"/>
      <c r="SFC7" s="4"/>
      <c r="SFD7" s="4"/>
      <c r="SFE7" s="4"/>
      <c r="SFH7" s="34"/>
      <c r="SFI7" s="34"/>
      <c r="SFK7" s="34"/>
      <c r="SFL7" s="72"/>
      <c r="SFM7" s="63"/>
      <c r="SFN7" s="34"/>
      <c r="SFO7" s="64"/>
      <c r="SFP7" s="4"/>
      <c r="SFQ7" s="65"/>
      <c r="SFR7" s="4"/>
      <c r="SFS7" s="4"/>
      <c r="SFT7" s="4"/>
      <c r="SFW7" s="34"/>
      <c r="SFX7" s="34"/>
      <c r="SFZ7" s="34"/>
      <c r="SGA7" s="72"/>
      <c r="SGB7" s="63"/>
      <c r="SGC7" s="34"/>
      <c r="SGD7" s="64"/>
      <c r="SGE7" s="4"/>
      <c r="SGF7" s="65"/>
      <c r="SGG7" s="4"/>
      <c r="SGH7" s="4"/>
      <c r="SGI7" s="4"/>
      <c r="SGL7" s="34"/>
      <c r="SGM7" s="34"/>
      <c r="SGO7" s="34"/>
      <c r="SGP7" s="72"/>
      <c r="SGQ7" s="63"/>
      <c r="SGR7" s="34"/>
      <c r="SGS7" s="64"/>
      <c r="SGT7" s="4"/>
      <c r="SGU7" s="65"/>
      <c r="SGV7" s="4"/>
      <c r="SGW7" s="4"/>
      <c r="SGX7" s="4"/>
      <c r="SHA7" s="34"/>
      <c r="SHB7" s="34"/>
      <c r="SHD7" s="34"/>
      <c r="SHE7" s="72"/>
      <c r="SHF7" s="63"/>
      <c r="SHG7" s="34"/>
      <c r="SHH7" s="64"/>
      <c r="SHI7" s="4"/>
      <c r="SHJ7" s="65"/>
      <c r="SHK7" s="4"/>
      <c r="SHL7" s="4"/>
      <c r="SHM7" s="4"/>
      <c r="SHP7" s="34"/>
      <c r="SHQ7" s="34"/>
      <c r="SHS7" s="34"/>
      <c r="SHT7" s="72"/>
      <c r="SHU7" s="63"/>
      <c r="SHV7" s="34"/>
      <c r="SHW7" s="64"/>
      <c r="SHX7" s="4"/>
      <c r="SHY7" s="65"/>
      <c r="SHZ7" s="4"/>
      <c r="SIA7" s="4"/>
      <c r="SIB7" s="4"/>
      <c r="SIE7" s="34"/>
      <c r="SIF7" s="34"/>
      <c r="SIH7" s="34"/>
      <c r="SII7" s="72"/>
      <c r="SIJ7" s="63"/>
      <c r="SIK7" s="34"/>
      <c r="SIL7" s="64"/>
      <c r="SIM7" s="4"/>
      <c r="SIN7" s="65"/>
      <c r="SIO7" s="4"/>
      <c r="SIP7" s="4"/>
      <c r="SIQ7" s="4"/>
      <c r="SIT7" s="34"/>
      <c r="SIU7" s="34"/>
      <c r="SIW7" s="34"/>
      <c r="SIX7" s="72"/>
      <c r="SIY7" s="63"/>
      <c r="SIZ7" s="34"/>
      <c r="SJA7" s="64"/>
      <c r="SJB7" s="4"/>
      <c r="SJC7" s="65"/>
      <c r="SJD7" s="4"/>
      <c r="SJE7" s="4"/>
      <c r="SJF7" s="4"/>
      <c r="SJI7" s="34"/>
      <c r="SJJ7" s="34"/>
      <c r="SJL7" s="34"/>
      <c r="SJM7" s="72"/>
      <c r="SJN7" s="63"/>
      <c r="SJO7" s="34"/>
      <c r="SJP7" s="64"/>
      <c r="SJQ7" s="4"/>
      <c r="SJR7" s="65"/>
      <c r="SJS7" s="4"/>
      <c r="SJT7" s="4"/>
      <c r="SJU7" s="4"/>
      <c r="SJX7" s="34"/>
      <c r="SJY7" s="34"/>
      <c r="SKA7" s="34"/>
      <c r="SKB7" s="72"/>
      <c r="SKC7" s="63"/>
      <c r="SKD7" s="34"/>
      <c r="SKE7" s="64"/>
      <c r="SKF7" s="4"/>
      <c r="SKG7" s="65"/>
      <c r="SKH7" s="4"/>
      <c r="SKI7" s="4"/>
      <c r="SKJ7" s="4"/>
      <c r="SKM7" s="34"/>
      <c r="SKN7" s="34"/>
      <c r="SKP7" s="34"/>
      <c r="SKQ7" s="72"/>
      <c r="SKR7" s="63"/>
      <c r="SKS7" s="34"/>
      <c r="SKT7" s="64"/>
      <c r="SKU7" s="4"/>
      <c r="SKV7" s="65"/>
      <c r="SKW7" s="4"/>
      <c r="SKX7" s="4"/>
      <c r="SKY7" s="4"/>
      <c r="SLB7" s="34"/>
      <c r="SLC7" s="34"/>
      <c r="SLE7" s="34"/>
      <c r="SLF7" s="72"/>
      <c r="SLG7" s="63"/>
      <c r="SLH7" s="34"/>
      <c r="SLI7" s="64"/>
      <c r="SLJ7" s="4"/>
      <c r="SLK7" s="65"/>
      <c r="SLL7" s="4"/>
      <c r="SLM7" s="4"/>
      <c r="SLN7" s="4"/>
      <c r="SLQ7" s="34"/>
      <c r="SLR7" s="34"/>
      <c r="SLT7" s="34"/>
      <c r="SLU7" s="72"/>
      <c r="SLV7" s="63"/>
      <c r="SLW7" s="34"/>
      <c r="SLX7" s="64"/>
      <c r="SLY7" s="4"/>
      <c r="SLZ7" s="65"/>
      <c r="SMA7" s="4"/>
      <c r="SMB7" s="4"/>
      <c r="SMC7" s="4"/>
      <c r="SMF7" s="34"/>
      <c r="SMG7" s="34"/>
      <c r="SMI7" s="34"/>
      <c r="SMJ7" s="72"/>
      <c r="SMK7" s="63"/>
      <c r="SML7" s="34"/>
      <c r="SMM7" s="64"/>
      <c r="SMN7" s="4"/>
      <c r="SMO7" s="65"/>
      <c r="SMP7" s="4"/>
      <c r="SMQ7" s="4"/>
      <c r="SMR7" s="4"/>
      <c r="SMU7" s="34"/>
      <c r="SMV7" s="34"/>
      <c r="SMX7" s="34"/>
      <c r="SMY7" s="72"/>
      <c r="SMZ7" s="63"/>
      <c r="SNA7" s="34"/>
      <c r="SNB7" s="64"/>
      <c r="SNC7" s="4"/>
      <c r="SND7" s="65"/>
      <c r="SNE7" s="4"/>
      <c r="SNF7" s="4"/>
      <c r="SNG7" s="4"/>
      <c r="SNJ7" s="34"/>
      <c r="SNK7" s="34"/>
      <c r="SNM7" s="34"/>
      <c r="SNN7" s="72"/>
      <c r="SNO7" s="63"/>
      <c r="SNP7" s="34"/>
      <c r="SNQ7" s="64"/>
      <c r="SNR7" s="4"/>
      <c r="SNS7" s="65"/>
      <c r="SNT7" s="4"/>
      <c r="SNU7" s="4"/>
      <c r="SNV7" s="4"/>
      <c r="SNY7" s="34"/>
      <c r="SNZ7" s="34"/>
      <c r="SOB7" s="34"/>
      <c r="SOC7" s="72"/>
      <c r="SOD7" s="63"/>
      <c r="SOE7" s="34"/>
      <c r="SOF7" s="64"/>
      <c r="SOG7" s="4"/>
      <c r="SOH7" s="65"/>
      <c r="SOI7" s="4"/>
      <c r="SOJ7" s="4"/>
      <c r="SOK7" s="4"/>
      <c r="SON7" s="34"/>
      <c r="SOO7" s="34"/>
      <c r="SOQ7" s="34"/>
      <c r="SOR7" s="72"/>
      <c r="SOS7" s="63"/>
      <c r="SOT7" s="34"/>
      <c r="SOU7" s="64"/>
      <c r="SOV7" s="4"/>
      <c r="SOW7" s="65"/>
      <c r="SOX7" s="4"/>
      <c r="SOY7" s="4"/>
      <c r="SOZ7" s="4"/>
      <c r="SPC7" s="34"/>
      <c r="SPD7" s="34"/>
      <c r="SPF7" s="34"/>
      <c r="SPG7" s="72"/>
      <c r="SPH7" s="63"/>
      <c r="SPI7" s="34"/>
      <c r="SPJ7" s="64"/>
      <c r="SPK7" s="4"/>
      <c r="SPL7" s="65"/>
      <c r="SPM7" s="4"/>
      <c r="SPN7" s="4"/>
      <c r="SPO7" s="4"/>
      <c r="SPR7" s="34"/>
      <c r="SPS7" s="34"/>
      <c r="SPU7" s="34"/>
      <c r="SPV7" s="72"/>
      <c r="SPW7" s="63"/>
      <c r="SPX7" s="34"/>
      <c r="SPY7" s="64"/>
      <c r="SPZ7" s="4"/>
      <c r="SQA7" s="65"/>
      <c r="SQB7" s="4"/>
      <c r="SQC7" s="4"/>
      <c r="SQD7" s="4"/>
      <c r="SQG7" s="34"/>
      <c r="SQH7" s="34"/>
      <c r="SQJ7" s="34"/>
      <c r="SQK7" s="72"/>
      <c r="SQL7" s="63"/>
      <c r="SQM7" s="34"/>
      <c r="SQN7" s="64"/>
      <c r="SQO7" s="4"/>
      <c r="SQP7" s="65"/>
      <c r="SQQ7" s="4"/>
      <c r="SQR7" s="4"/>
      <c r="SQS7" s="4"/>
      <c r="SQV7" s="34"/>
      <c r="SQW7" s="34"/>
      <c r="SQY7" s="34"/>
      <c r="SQZ7" s="72"/>
      <c r="SRA7" s="63"/>
      <c r="SRB7" s="34"/>
      <c r="SRC7" s="64"/>
      <c r="SRD7" s="4"/>
      <c r="SRE7" s="65"/>
      <c r="SRF7" s="4"/>
      <c r="SRG7" s="4"/>
      <c r="SRH7" s="4"/>
      <c r="SRK7" s="34"/>
      <c r="SRL7" s="34"/>
      <c r="SRN7" s="34"/>
      <c r="SRO7" s="72"/>
      <c r="SRP7" s="63"/>
      <c r="SRQ7" s="34"/>
      <c r="SRR7" s="64"/>
      <c r="SRS7" s="4"/>
      <c r="SRT7" s="65"/>
      <c r="SRU7" s="4"/>
      <c r="SRV7" s="4"/>
      <c r="SRW7" s="4"/>
      <c r="SRZ7" s="34"/>
      <c r="SSA7" s="34"/>
      <c r="SSC7" s="34"/>
      <c r="SSD7" s="72"/>
      <c r="SSE7" s="63"/>
      <c r="SSF7" s="34"/>
      <c r="SSG7" s="64"/>
      <c r="SSH7" s="4"/>
      <c r="SSI7" s="65"/>
      <c r="SSJ7" s="4"/>
      <c r="SSK7" s="4"/>
      <c r="SSL7" s="4"/>
      <c r="SSO7" s="34"/>
      <c r="SSP7" s="34"/>
      <c r="SSR7" s="34"/>
      <c r="SSS7" s="72"/>
      <c r="SST7" s="63"/>
      <c r="SSU7" s="34"/>
      <c r="SSV7" s="64"/>
      <c r="SSW7" s="4"/>
      <c r="SSX7" s="65"/>
      <c r="SSY7" s="4"/>
      <c r="SSZ7" s="4"/>
      <c r="STA7" s="4"/>
      <c r="STD7" s="34"/>
      <c r="STE7" s="34"/>
      <c r="STG7" s="34"/>
      <c r="STH7" s="72"/>
      <c r="STI7" s="63"/>
      <c r="STJ7" s="34"/>
      <c r="STK7" s="64"/>
      <c r="STL7" s="4"/>
      <c r="STM7" s="65"/>
      <c r="STN7" s="4"/>
      <c r="STO7" s="4"/>
      <c r="STP7" s="4"/>
      <c r="STS7" s="34"/>
      <c r="STT7" s="34"/>
      <c r="STV7" s="34"/>
      <c r="STW7" s="72"/>
      <c r="STX7" s="63"/>
      <c r="STY7" s="34"/>
      <c r="STZ7" s="64"/>
      <c r="SUA7" s="4"/>
      <c r="SUB7" s="65"/>
      <c r="SUC7" s="4"/>
      <c r="SUD7" s="4"/>
      <c r="SUE7" s="4"/>
      <c r="SUH7" s="34"/>
      <c r="SUI7" s="34"/>
      <c r="SUK7" s="34"/>
      <c r="SUL7" s="72"/>
      <c r="SUM7" s="63"/>
      <c r="SUN7" s="34"/>
      <c r="SUO7" s="64"/>
      <c r="SUP7" s="4"/>
      <c r="SUQ7" s="65"/>
      <c r="SUR7" s="4"/>
      <c r="SUS7" s="4"/>
      <c r="SUT7" s="4"/>
      <c r="SUW7" s="34"/>
      <c r="SUX7" s="34"/>
      <c r="SUZ7" s="34"/>
      <c r="SVA7" s="72"/>
      <c r="SVB7" s="63"/>
      <c r="SVC7" s="34"/>
      <c r="SVD7" s="64"/>
      <c r="SVE7" s="4"/>
      <c r="SVF7" s="65"/>
      <c r="SVG7" s="4"/>
      <c r="SVH7" s="4"/>
      <c r="SVI7" s="4"/>
      <c r="SVL7" s="34"/>
      <c r="SVM7" s="34"/>
      <c r="SVO7" s="34"/>
      <c r="SVP7" s="72"/>
      <c r="SVQ7" s="63"/>
      <c r="SVR7" s="34"/>
      <c r="SVS7" s="64"/>
      <c r="SVT7" s="4"/>
      <c r="SVU7" s="65"/>
      <c r="SVV7" s="4"/>
      <c r="SVW7" s="4"/>
      <c r="SVX7" s="4"/>
      <c r="SWA7" s="34"/>
      <c r="SWB7" s="34"/>
      <c r="SWD7" s="34"/>
      <c r="SWE7" s="72"/>
      <c r="SWF7" s="63"/>
      <c r="SWG7" s="34"/>
      <c r="SWH7" s="64"/>
      <c r="SWI7" s="4"/>
      <c r="SWJ7" s="65"/>
      <c r="SWK7" s="4"/>
      <c r="SWL7" s="4"/>
      <c r="SWM7" s="4"/>
      <c r="SWP7" s="34"/>
      <c r="SWQ7" s="34"/>
      <c r="SWS7" s="34"/>
      <c r="SWT7" s="72"/>
      <c r="SWU7" s="63"/>
      <c r="SWV7" s="34"/>
      <c r="SWW7" s="64"/>
      <c r="SWX7" s="4"/>
      <c r="SWY7" s="65"/>
      <c r="SWZ7" s="4"/>
      <c r="SXA7" s="4"/>
      <c r="SXB7" s="4"/>
      <c r="SXE7" s="34"/>
      <c r="SXF7" s="34"/>
      <c r="SXH7" s="34"/>
      <c r="SXI7" s="72"/>
      <c r="SXJ7" s="63"/>
      <c r="SXK7" s="34"/>
      <c r="SXL7" s="64"/>
      <c r="SXM7" s="4"/>
      <c r="SXN7" s="65"/>
      <c r="SXO7" s="4"/>
      <c r="SXP7" s="4"/>
      <c r="SXQ7" s="4"/>
      <c r="SXT7" s="34"/>
      <c r="SXU7" s="34"/>
      <c r="SXW7" s="34"/>
      <c r="SXX7" s="72"/>
      <c r="SXY7" s="63"/>
      <c r="SXZ7" s="34"/>
      <c r="SYA7" s="64"/>
      <c r="SYB7" s="4"/>
      <c r="SYC7" s="65"/>
      <c r="SYD7" s="4"/>
      <c r="SYE7" s="4"/>
      <c r="SYF7" s="4"/>
      <c r="SYI7" s="34"/>
      <c r="SYJ7" s="34"/>
      <c r="SYL7" s="34"/>
      <c r="SYM7" s="72"/>
      <c r="SYN7" s="63"/>
      <c r="SYO7" s="34"/>
      <c r="SYP7" s="64"/>
      <c r="SYQ7" s="4"/>
      <c r="SYR7" s="65"/>
      <c r="SYS7" s="4"/>
      <c r="SYT7" s="4"/>
      <c r="SYU7" s="4"/>
      <c r="SYX7" s="34"/>
      <c r="SYY7" s="34"/>
      <c r="SZA7" s="34"/>
      <c r="SZB7" s="72"/>
      <c r="SZC7" s="63"/>
      <c r="SZD7" s="34"/>
      <c r="SZE7" s="64"/>
      <c r="SZF7" s="4"/>
      <c r="SZG7" s="65"/>
      <c r="SZH7" s="4"/>
      <c r="SZI7" s="4"/>
      <c r="SZJ7" s="4"/>
      <c r="SZM7" s="34"/>
      <c r="SZN7" s="34"/>
      <c r="SZP7" s="34"/>
      <c r="SZQ7" s="72"/>
      <c r="SZR7" s="63"/>
      <c r="SZS7" s="34"/>
      <c r="SZT7" s="64"/>
      <c r="SZU7" s="4"/>
      <c r="SZV7" s="65"/>
      <c r="SZW7" s="4"/>
      <c r="SZX7" s="4"/>
      <c r="SZY7" s="4"/>
      <c r="TAB7" s="34"/>
      <c r="TAC7" s="34"/>
      <c r="TAE7" s="34"/>
      <c r="TAF7" s="72"/>
      <c r="TAG7" s="63"/>
      <c r="TAH7" s="34"/>
      <c r="TAI7" s="64"/>
      <c r="TAJ7" s="4"/>
      <c r="TAK7" s="65"/>
      <c r="TAL7" s="4"/>
      <c r="TAM7" s="4"/>
      <c r="TAN7" s="4"/>
      <c r="TAQ7" s="34"/>
      <c r="TAR7" s="34"/>
      <c r="TAT7" s="34"/>
      <c r="TAU7" s="72"/>
      <c r="TAV7" s="63"/>
      <c r="TAW7" s="34"/>
      <c r="TAX7" s="64"/>
      <c r="TAY7" s="4"/>
      <c r="TAZ7" s="65"/>
      <c r="TBA7" s="4"/>
      <c r="TBB7" s="4"/>
      <c r="TBC7" s="4"/>
      <c r="TBF7" s="34"/>
      <c r="TBG7" s="34"/>
      <c r="TBI7" s="34"/>
      <c r="TBJ7" s="72"/>
      <c r="TBK7" s="63"/>
      <c r="TBL7" s="34"/>
      <c r="TBM7" s="64"/>
      <c r="TBN7" s="4"/>
      <c r="TBO7" s="65"/>
      <c r="TBP7" s="4"/>
      <c r="TBQ7" s="4"/>
      <c r="TBR7" s="4"/>
      <c r="TBU7" s="34"/>
      <c r="TBV7" s="34"/>
      <c r="TBX7" s="34"/>
      <c r="TBY7" s="72"/>
      <c r="TBZ7" s="63"/>
      <c r="TCA7" s="34"/>
      <c r="TCB7" s="64"/>
      <c r="TCC7" s="4"/>
      <c r="TCD7" s="65"/>
      <c r="TCE7" s="4"/>
      <c r="TCF7" s="4"/>
      <c r="TCG7" s="4"/>
      <c r="TCJ7" s="34"/>
      <c r="TCK7" s="34"/>
      <c r="TCM7" s="34"/>
      <c r="TCN7" s="72"/>
      <c r="TCO7" s="63"/>
      <c r="TCP7" s="34"/>
      <c r="TCQ7" s="64"/>
      <c r="TCR7" s="4"/>
      <c r="TCS7" s="65"/>
      <c r="TCT7" s="4"/>
      <c r="TCU7" s="4"/>
      <c r="TCV7" s="4"/>
      <c r="TCY7" s="34"/>
      <c r="TCZ7" s="34"/>
      <c r="TDB7" s="34"/>
      <c r="TDC7" s="72"/>
      <c r="TDD7" s="63"/>
      <c r="TDE7" s="34"/>
      <c r="TDF7" s="64"/>
      <c r="TDG7" s="4"/>
      <c r="TDH7" s="65"/>
      <c r="TDI7" s="4"/>
      <c r="TDJ7" s="4"/>
      <c r="TDK7" s="4"/>
      <c r="TDN7" s="34"/>
      <c r="TDO7" s="34"/>
      <c r="TDQ7" s="34"/>
      <c r="TDR7" s="72"/>
      <c r="TDS7" s="63"/>
      <c r="TDT7" s="34"/>
      <c r="TDU7" s="64"/>
      <c r="TDV7" s="4"/>
      <c r="TDW7" s="65"/>
      <c r="TDX7" s="4"/>
      <c r="TDY7" s="4"/>
      <c r="TDZ7" s="4"/>
      <c r="TEC7" s="34"/>
      <c r="TED7" s="34"/>
      <c r="TEF7" s="34"/>
      <c r="TEG7" s="72"/>
      <c r="TEH7" s="63"/>
      <c r="TEI7" s="34"/>
      <c r="TEJ7" s="64"/>
      <c r="TEK7" s="4"/>
      <c r="TEL7" s="65"/>
      <c r="TEM7" s="4"/>
      <c r="TEN7" s="4"/>
      <c r="TEO7" s="4"/>
      <c r="TER7" s="34"/>
      <c r="TES7" s="34"/>
      <c r="TEU7" s="34"/>
      <c r="TEV7" s="72"/>
      <c r="TEW7" s="63"/>
      <c r="TEX7" s="34"/>
      <c r="TEY7" s="64"/>
      <c r="TEZ7" s="4"/>
      <c r="TFA7" s="65"/>
      <c r="TFB7" s="4"/>
      <c r="TFC7" s="4"/>
      <c r="TFD7" s="4"/>
      <c r="TFG7" s="34"/>
      <c r="TFH7" s="34"/>
      <c r="TFJ7" s="34"/>
      <c r="TFK7" s="72"/>
      <c r="TFL7" s="63"/>
      <c r="TFM7" s="34"/>
      <c r="TFN7" s="64"/>
      <c r="TFO7" s="4"/>
      <c r="TFP7" s="65"/>
      <c r="TFQ7" s="4"/>
      <c r="TFR7" s="4"/>
      <c r="TFS7" s="4"/>
      <c r="TFV7" s="34"/>
      <c r="TFW7" s="34"/>
      <c r="TFY7" s="34"/>
      <c r="TFZ7" s="72"/>
      <c r="TGA7" s="63"/>
      <c r="TGB7" s="34"/>
      <c r="TGC7" s="64"/>
      <c r="TGD7" s="4"/>
      <c r="TGE7" s="65"/>
      <c r="TGF7" s="4"/>
      <c r="TGG7" s="4"/>
      <c r="TGH7" s="4"/>
      <c r="TGK7" s="34"/>
      <c r="TGL7" s="34"/>
      <c r="TGN7" s="34"/>
      <c r="TGO7" s="72"/>
      <c r="TGP7" s="63"/>
      <c r="TGQ7" s="34"/>
      <c r="TGR7" s="64"/>
      <c r="TGS7" s="4"/>
      <c r="TGT7" s="65"/>
      <c r="TGU7" s="4"/>
      <c r="TGV7" s="4"/>
      <c r="TGW7" s="4"/>
      <c r="TGZ7" s="34"/>
      <c r="THA7" s="34"/>
      <c r="THC7" s="34"/>
      <c r="THD7" s="72"/>
      <c r="THE7" s="63"/>
      <c r="THF7" s="34"/>
      <c r="THG7" s="64"/>
      <c r="THH7" s="4"/>
      <c r="THI7" s="65"/>
      <c r="THJ7" s="4"/>
      <c r="THK7" s="4"/>
      <c r="THL7" s="4"/>
      <c r="THO7" s="34"/>
      <c r="THP7" s="34"/>
      <c r="THR7" s="34"/>
      <c r="THS7" s="72"/>
      <c r="THT7" s="63"/>
      <c r="THU7" s="34"/>
      <c r="THV7" s="64"/>
      <c r="THW7" s="4"/>
      <c r="THX7" s="65"/>
      <c r="THY7" s="4"/>
      <c r="THZ7" s="4"/>
      <c r="TIA7" s="4"/>
      <c r="TID7" s="34"/>
      <c r="TIE7" s="34"/>
      <c r="TIG7" s="34"/>
      <c r="TIH7" s="72"/>
      <c r="TII7" s="63"/>
      <c r="TIJ7" s="34"/>
      <c r="TIK7" s="64"/>
      <c r="TIL7" s="4"/>
      <c r="TIM7" s="65"/>
      <c r="TIN7" s="4"/>
      <c r="TIO7" s="4"/>
      <c r="TIP7" s="4"/>
      <c r="TIS7" s="34"/>
      <c r="TIT7" s="34"/>
      <c r="TIV7" s="34"/>
      <c r="TIW7" s="72"/>
      <c r="TIX7" s="63"/>
      <c r="TIY7" s="34"/>
      <c r="TIZ7" s="64"/>
      <c r="TJA7" s="4"/>
      <c r="TJB7" s="65"/>
      <c r="TJC7" s="4"/>
      <c r="TJD7" s="4"/>
      <c r="TJE7" s="4"/>
      <c r="TJH7" s="34"/>
      <c r="TJI7" s="34"/>
      <c r="TJK7" s="34"/>
      <c r="TJL7" s="72"/>
      <c r="TJM7" s="63"/>
      <c r="TJN7" s="34"/>
      <c r="TJO7" s="64"/>
      <c r="TJP7" s="4"/>
      <c r="TJQ7" s="65"/>
      <c r="TJR7" s="4"/>
      <c r="TJS7" s="4"/>
      <c r="TJT7" s="4"/>
      <c r="TJW7" s="34"/>
      <c r="TJX7" s="34"/>
      <c r="TJZ7" s="34"/>
      <c r="TKA7" s="72"/>
      <c r="TKB7" s="63"/>
      <c r="TKC7" s="34"/>
      <c r="TKD7" s="64"/>
      <c r="TKE7" s="4"/>
      <c r="TKF7" s="65"/>
      <c r="TKG7" s="4"/>
      <c r="TKH7" s="4"/>
      <c r="TKI7" s="4"/>
      <c r="TKL7" s="34"/>
      <c r="TKM7" s="34"/>
      <c r="TKO7" s="34"/>
      <c r="TKP7" s="72"/>
      <c r="TKQ7" s="63"/>
      <c r="TKR7" s="34"/>
      <c r="TKS7" s="64"/>
      <c r="TKT7" s="4"/>
      <c r="TKU7" s="65"/>
      <c r="TKV7" s="4"/>
      <c r="TKW7" s="4"/>
      <c r="TKX7" s="4"/>
      <c r="TLA7" s="34"/>
      <c r="TLB7" s="34"/>
      <c r="TLD7" s="34"/>
      <c r="TLE7" s="72"/>
      <c r="TLF7" s="63"/>
      <c r="TLG7" s="34"/>
      <c r="TLH7" s="64"/>
      <c r="TLI7" s="4"/>
      <c r="TLJ7" s="65"/>
      <c r="TLK7" s="4"/>
      <c r="TLL7" s="4"/>
      <c r="TLM7" s="4"/>
      <c r="TLP7" s="34"/>
      <c r="TLQ7" s="34"/>
      <c r="TLS7" s="34"/>
      <c r="TLT7" s="72"/>
      <c r="TLU7" s="63"/>
      <c r="TLV7" s="34"/>
      <c r="TLW7" s="64"/>
      <c r="TLX7" s="4"/>
      <c r="TLY7" s="65"/>
      <c r="TLZ7" s="4"/>
      <c r="TMA7" s="4"/>
      <c r="TMB7" s="4"/>
      <c r="TME7" s="34"/>
      <c r="TMF7" s="34"/>
      <c r="TMH7" s="34"/>
      <c r="TMI7" s="72"/>
      <c r="TMJ7" s="63"/>
      <c r="TMK7" s="34"/>
      <c r="TML7" s="64"/>
      <c r="TMM7" s="4"/>
      <c r="TMN7" s="65"/>
      <c r="TMO7" s="4"/>
      <c r="TMP7" s="4"/>
      <c r="TMQ7" s="4"/>
      <c r="TMT7" s="34"/>
      <c r="TMU7" s="34"/>
      <c r="TMW7" s="34"/>
      <c r="TMX7" s="72"/>
      <c r="TMY7" s="63"/>
      <c r="TMZ7" s="34"/>
      <c r="TNA7" s="64"/>
      <c r="TNB7" s="4"/>
      <c r="TNC7" s="65"/>
      <c r="TND7" s="4"/>
      <c r="TNE7" s="4"/>
      <c r="TNF7" s="4"/>
      <c r="TNI7" s="34"/>
      <c r="TNJ7" s="34"/>
      <c r="TNL7" s="34"/>
      <c r="TNM7" s="72"/>
      <c r="TNN7" s="63"/>
      <c r="TNO7" s="34"/>
      <c r="TNP7" s="64"/>
      <c r="TNQ7" s="4"/>
      <c r="TNR7" s="65"/>
      <c r="TNS7" s="4"/>
      <c r="TNT7" s="4"/>
      <c r="TNU7" s="4"/>
      <c r="TNX7" s="34"/>
      <c r="TNY7" s="34"/>
      <c r="TOA7" s="34"/>
      <c r="TOB7" s="72"/>
      <c r="TOC7" s="63"/>
      <c r="TOD7" s="34"/>
      <c r="TOE7" s="64"/>
      <c r="TOF7" s="4"/>
      <c r="TOG7" s="65"/>
      <c r="TOH7" s="4"/>
      <c r="TOI7" s="4"/>
      <c r="TOJ7" s="4"/>
      <c r="TOM7" s="34"/>
      <c r="TON7" s="34"/>
      <c r="TOP7" s="34"/>
      <c r="TOQ7" s="72"/>
      <c r="TOR7" s="63"/>
      <c r="TOS7" s="34"/>
      <c r="TOT7" s="64"/>
      <c r="TOU7" s="4"/>
      <c r="TOV7" s="65"/>
      <c r="TOW7" s="4"/>
      <c r="TOX7" s="4"/>
      <c r="TOY7" s="4"/>
      <c r="TPB7" s="34"/>
      <c r="TPC7" s="34"/>
      <c r="TPE7" s="34"/>
      <c r="TPF7" s="72"/>
      <c r="TPG7" s="63"/>
      <c r="TPH7" s="34"/>
      <c r="TPI7" s="64"/>
      <c r="TPJ7" s="4"/>
      <c r="TPK7" s="65"/>
      <c r="TPL7" s="4"/>
      <c r="TPM7" s="4"/>
      <c r="TPN7" s="4"/>
      <c r="TPQ7" s="34"/>
      <c r="TPR7" s="34"/>
      <c r="TPT7" s="34"/>
      <c r="TPU7" s="72"/>
      <c r="TPV7" s="63"/>
      <c r="TPW7" s="34"/>
      <c r="TPX7" s="64"/>
      <c r="TPY7" s="4"/>
      <c r="TPZ7" s="65"/>
      <c r="TQA7" s="4"/>
      <c r="TQB7" s="4"/>
      <c r="TQC7" s="4"/>
      <c r="TQF7" s="34"/>
      <c r="TQG7" s="34"/>
      <c r="TQI7" s="34"/>
      <c r="TQJ7" s="72"/>
      <c r="TQK7" s="63"/>
      <c r="TQL7" s="34"/>
      <c r="TQM7" s="64"/>
      <c r="TQN7" s="4"/>
      <c r="TQO7" s="65"/>
      <c r="TQP7" s="4"/>
      <c r="TQQ7" s="4"/>
      <c r="TQR7" s="4"/>
      <c r="TQU7" s="34"/>
      <c r="TQV7" s="34"/>
      <c r="TQX7" s="34"/>
      <c r="TQY7" s="72"/>
      <c r="TQZ7" s="63"/>
      <c r="TRA7" s="34"/>
      <c r="TRB7" s="64"/>
      <c r="TRC7" s="4"/>
      <c r="TRD7" s="65"/>
      <c r="TRE7" s="4"/>
      <c r="TRF7" s="4"/>
      <c r="TRG7" s="4"/>
      <c r="TRJ7" s="34"/>
      <c r="TRK7" s="34"/>
      <c r="TRM7" s="34"/>
      <c r="TRN7" s="72"/>
      <c r="TRO7" s="63"/>
      <c r="TRP7" s="34"/>
      <c r="TRQ7" s="64"/>
      <c r="TRR7" s="4"/>
      <c r="TRS7" s="65"/>
      <c r="TRT7" s="4"/>
      <c r="TRU7" s="4"/>
      <c r="TRV7" s="4"/>
      <c r="TRY7" s="34"/>
      <c r="TRZ7" s="34"/>
      <c r="TSB7" s="34"/>
      <c r="TSC7" s="72"/>
      <c r="TSD7" s="63"/>
      <c r="TSE7" s="34"/>
      <c r="TSF7" s="64"/>
      <c r="TSG7" s="4"/>
      <c r="TSH7" s="65"/>
      <c r="TSI7" s="4"/>
      <c r="TSJ7" s="4"/>
      <c r="TSK7" s="4"/>
      <c r="TSN7" s="34"/>
      <c r="TSO7" s="34"/>
      <c r="TSQ7" s="34"/>
      <c r="TSR7" s="72"/>
      <c r="TSS7" s="63"/>
      <c r="TST7" s="34"/>
      <c r="TSU7" s="64"/>
      <c r="TSV7" s="4"/>
      <c r="TSW7" s="65"/>
      <c r="TSX7" s="4"/>
      <c r="TSY7" s="4"/>
      <c r="TSZ7" s="4"/>
      <c r="TTC7" s="34"/>
      <c r="TTD7" s="34"/>
      <c r="TTF7" s="34"/>
      <c r="TTG7" s="72"/>
      <c r="TTH7" s="63"/>
      <c r="TTI7" s="34"/>
      <c r="TTJ7" s="64"/>
      <c r="TTK7" s="4"/>
      <c r="TTL7" s="65"/>
      <c r="TTM7" s="4"/>
      <c r="TTN7" s="4"/>
      <c r="TTO7" s="4"/>
      <c r="TTR7" s="34"/>
      <c r="TTS7" s="34"/>
      <c r="TTU7" s="34"/>
      <c r="TTV7" s="72"/>
      <c r="TTW7" s="63"/>
      <c r="TTX7" s="34"/>
      <c r="TTY7" s="64"/>
      <c r="TTZ7" s="4"/>
      <c r="TUA7" s="65"/>
      <c r="TUB7" s="4"/>
      <c r="TUC7" s="4"/>
      <c r="TUD7" s="4"/>
      <c r="TUG7" s="34"/>
      <c r="TUH7" s="34"/>
      <c r="TUJ7" s="34"/>
      <c r="TUK7" s="72"/>
      <c r="TUL7" s="63"/>
      <c r="TUM7" s="34"/>
      <c r="TUN7" s="64"/>
      <c r="TUO7" s="4"/>
      <c r="TUP7" s="65"/>
      <c r="TUQ7" s="4"/>
      <c r="TUR7" s="4"/>
      <c r="TUS7" s="4"/>
      <c r="TUV7" s="34"/>
      <c r="TUW7" s="34"/>
      <c r="TUY7" s="34"/>
      <c r="TUZ7" s="72"/>
      <c r="TVA7" s="63"/>
      <c r="TVB7" s="34"/>
      <c r="TVC7" s="64"/>
      <c r="TVD7" s="4"/>
      <c r="TVE7" s="65"/>
      <c r="TVF7" s="4"/>
      <c r="TVG7" s="4"/>
      <c r="TVH7" s="4"/>
      <c r="TVK7" s="34"/>
      <c r="TVL7" s="34"/>
      <c r="TVN7" s="34"/>
      <c r="TVO7" s="72"/>
      <c r="TVP7" s="63"/>
      <c r="TVQ7" s="34"/>
      <c r="TVR7" s="64"/>
      <c r="TVS7" s="4"/>
      <c r="TVT7" s="65"/>
      <c r="TVU7" s="4"/>
      <c r="TVV7" s="4"/>
      <c r="TVW7" s="4"/>
      <c r="TVZ7" s="34"/>
      <c r="TWA7" s="34"/>
      <c r="TWC7" s="34"/>
      <c r="TWD7" s="72"/>
      <c r="TWE7" s="63"/>
      <c r="TWF7" s="34"/>
      <c r="TWG7" s="64"/>
      <c r="TWH7" s="4"/>
      <c r="TWI7" s="65"/>
      <c r="TWJ7" s="4"/>
      <c r="TWK7" s="4"/>
      <c r="TWL7" s="4"/>
      <c r="TWO7" s="34"/>
      <c r="TWP7" s="34"/>
      <c r="TWR7" s="34"/>
      <c r="TWS7" s="72"/>
      <c r="TWT7" s="63"/>
      <c r="TWU7" s="34"/>
      <c r="TWV7" s="64"/>
      <c r="TWW7" s="4"/>
      <c r="TWX7" s="65"/>
      <c r="TWY7" s="4"/>
      <c r="TWZ7" s="4"/>
      <c r="TXA7" s="4"/>
      <c r="TXD7" s="34"/>
      <c r="TXE7" s="34"/>
      <c r="TXG7" s="34"/>
      <c r="TXH7" s="72"/>
      <c r="TXI7" s="63"/>
      <c r="TXJ7" s="34"/>
      <c r="TXK7" s="64"/>
      <c r="TXL7" s="4"/>
      <c r="TXM7" s="65"/>
      <c r="TXN7" s="4"/>
      <c r="TXO7" s="4"/>
      <c r="TXP7" s="4"/>
      <c r="TXS7" s="34"/>
      <c r="TXT7" s="34"/>
      <c r="TXV7" s="34"/>
      <c r="TXW7" s="72"/>
      <c r="TXX7" s="63"/>
      <c r="TXY7" s="34"/>
      <c r="TXZ7" s="64"/>
      <c r="TYA7" s="4"/>
      <c r="TYB7" s="65"/>
      <c r="TYC7" s="4"/>
      <c r="TYD7" s="4"/>
      <c r="TYE7" s="4"/>
      <c r="TYH7" s="34"/>
      <c r="TYI7" s="34"/>
      <c r="TYK7" s="34"/>
      <c r="TYL7" s="72"/>
      <c r="TYM7" s="63"/>
      <c r="TYN7" s="34"/>
      <c r="TYO7" s="64"/>
      <c r="TYP7" s="4"/>
      <c r="TYQ7" s="65"/>
      <c r="TYR7" s="4"/>
      <c r="TYS7" s="4"/>
      <c r="TYT7" s="4"/>
      <c r="TYW7" s="34"/>
      <c r="TYX7" s="34"/>
      <c r="TYZ7" s="34"/>
      <c r="TZA7" s="72"/>
      <c r="TZB7" s="63"/>
      <c r="TZC7" s="34"/>
      <c r="TZD7" s="64"/>
      <c r="TZE7" s="4"/>
      <c r="TZF7" s="65"/>
      <c r="TZG7" s="4"/>
      <c r="TZH7" s="4"/>
      <c r="TZI7" s="4"/>
      <c r="TZL7" s="34"/>
      <c r="TZM7" s="34"/>
      <c r="TZO7" s="34"/>
      <c r="TZP7" s="72"/>
      <c r="TZQ7" s="63"/>
      <c r="TZR7" s="34"/>
      <c r="TZS7" s="64"/>
      <c r="TZT7" s="4"/>
      <c r="TZU7" s="65"/>
      <c r="TZV7" s="4"/>
      <c r="TZW7" s="4"/>
      <c r="TZX7" s="4"/>
      <c r="UAA7" s="34"/>
      <c r="UAB7" s="34"/>
      <c r="UAD7" s="34"/>
      <c r="UAE7" s="72"/>
      <c r="UAF7" s="63"/>
      <c r="UAG7" s="34"/>
      <c r="UAH7" s="64"/>
      <c r="UAI7" s="4"/>
      <c r="UAJ7" s="65"/>
      <c r="UAK7" s="4"/>
      <c r="UAL7" s="4"/>
      <c r="UAM7" s="4"/>
      <c r="UAP7" s="34"/>
      <c r="UAQ7" s="34"/>
      <c r="UAS7" s="34"/>
      <c r="UAT7" s="72"/>
      <c r="UAU7" s="63"/>
      <c r="UAV7" s="34"/>
      <c r="UAW7" s="64"/>
      <c r="UAX7" s="4"/>
      <c r="UAY7" s="65"/>
      <c r="UAZ7" s="4"/>
      <c r="UBA7" s="4"/>
      <c r="UBB7" s="4"/>
      <c r="UBE7" s="34"/>
      <c r="UBF7" s="34"/>
      <c r="UBH7" s="34"/>
      <c r="UBI7" s="72"/>
      <c r="UBJ7" s="63"/>
      <c r="UBK7" s="34"/>
      <c r="UBL7" s="64"/>
      <c r="UBM7" s="4"/>
      <c r="UBN7" s="65"/>
      <c r="UBO7" s="4"/>
      <c r="UBP7" s="4"/>
      <c r="UBQ7" s="4"/>
      <c r="UBT7" s="34"/>
      <c r="UBU7" s="34"/>
      <c r="UBW7" s="34"/>
      <c r="UBX7" s="72"/>
      <c r="UBY7" s="63"/>
      <c r="UBZ7" s="34"/>
      <c r="UCA7" s="64"/>
      <c r="UCB7" s="4"/>
      <c r="UCC7" s="65"/>
      <c r="UCD7" s="4"/>
      <c r="UCE7" s="4"/>
      <c r="UCF7" s="4"/>
      <c r="UCI7" s="34"/>
      <c r="UCJ7" s="34"/>
      <c r="UCL7" s="34"/>
      <c r="UCM7" s="72"/>
      <c r="UCN7" s="63"/>
      <c r="UCO7" s="34"/>
      <c r="UCP7" s="64"/>
      <c r="UCQ7" s="4"/>
      <c r="UCR7" s="65"/>
      <c r="UCS7" s="4"/>
      <c r="UCT7" s="4"/>
      <c r="UCU7" s="4"/>
      <c r="UCX7" s="34"/>
      <c r="UCY7" s="34"/>
      <c r="UDA7" s="34"/>
      <c r="UDB7" s="72"/>
      <c r="UDC7" s="63"/>
      <c r="UDD7" s="34"/>
      <c r="UDE7" s="64"/>
      <c r="UDF7" s="4"/>
      <c r="UDG7" s="65"/>
      <c r="UDH7" s="4"/>
      <c r="UDI7" s="4"/>
      <c r="UDJ7" s="4"/>
      <c r="UDM7" s="34"/>
      <c r="UDN7" s="34"/>
      <c r="UDP7" s="34"/>
      <c r="UDQ7" s="72"/>
      <c r="UDR7" s="63"/>
      <c r="UDS7" s="34"/>
      <c r="UDT7" s="64"/>
      <c r="UDU7" s="4"/>
      <c r="UDV7" s="65"/>
      <c r="UDW7" s="4"/>
      <c r="UDX7" s="4"/>
      <c r="UDY7" s="4"/>
      <c r="UEB7" s="34"/>
      <c r="UEC7" s="34"/>
      <c r="UEE7" s="34"/>
      <c r="UEF7" s="72"/>
      <c r="UEG7" s="63"/>
      <c r="UEH7" s="34"/>
      <c r="UEI7" s="64"/>
      <c r="UEJ7" s="4"/>
      <c r="UEK7" s="65"/>
      <c r="UEL7" s="4"/>
      <c r="UEM7" s="4"/>
      <c r="UEN7" s="4"/>
      <c r="UEQ7" s="34"/>
      <c r="UER7" s="34"/>
      <c r="UET7" s="34"/>
      <c r="UEU7" s="72"/>
      <c r="UEV7" s="63"/>
      <c r="UEW7" s="34"/>
      <c r="UEX7" s="64"/>
      <c r="UEY7" s="4"/>
      <c r="UEZ7" s="65"/>
      <c r="UFA7" s="4"/>
      <c r="UFB7" s="4"/>
      <c r="UFC7" s="4"/>
      <c r="UFF7" s="34"/>
      <c r="UFG7" s="34"/>
      <c r="UFI7" s="34"/>
      <c r="UFJ7" s="72"/>
      <c r="UFK7" s="63"/>
      <c r="UFL7" s="34"/>
      <c r="UFM7" s="64"/>
      <c r="UFN7" s="4"/>
      <c r="UFO7" s="65"/>
      <c r="UFP7" s="4"/>
      <c r="UFQ7" s="4"/>
      <c r="UFR7" s="4"/>
      <c r="UFU7" s="34"/>
      <c r="UFV7" s="34"/>
      <c r="UFX7" s="34"/>
      <c r="UFY7" s="72"/>
      <c r="UFZ7" s="63"/>
      <c r="UGA7" s="34"/>
      <c r="UGB7" s="64"/>
      <c r="UGC7" s="4"/>
      <c r="UGD7" s="65"/>
      <c r="UGE7" s="4"/>
      <c r="UGF7" s="4"/>
      <c r="UGG7" s="4"/>
      <c r="UGJ7" s="34"/>
      <c r="UGK7" s="34"/>
      <c r="UGM7" s="34"/>
      <c r="UGN7" s="72"/>
      <c r="UGO7" s="63"/>
      <c r="UGP7" s="34"/>
      <c r="UGQ7" s="64"/>
      <c r="UGR7" s="4"/>
      <c r="UGS7" s="65"/>
      <c r="UGT7" s="4"/>
      <c r="UGU7" s="4"/>
      <c r="UGV7" s="4"/>
      <c r="UGY7" s="34"/>
      <c r="UGZ7" s="34"/>
      <c r="UHB7" s="34"/>
      <c r="UHC7" s="72"/>
      <c r="UHD7" s="63"/>
      <c r="UHE7" s="34"/>
      <c r="UHF7" s="64"/>
      <c r="UHG7" s="4"/>
      <c r="UHH7" s="65"/>
      <c r="UHI7" s="4"/>
      <c r="UHJ7" s="4"/>
      <c r="UHK7" s="4"/>
      <c r="UHN7" s="34"/>
      <c r="UHO7" s="34"/>
      <c r="UHQ7" s="34"/>
      <c r="UHR7" s="72"/>
      <c r="UHS7" s="63"/>
      <c r="UHT7" s="34"/>
      <c r="UHU7" s="64"/>
      <c r="UHV7" s="4"/>
      <c r="UHW7" s="65"/>
      <c r="UHX7" s="4"/>
      <c r="UHY7" s="4"/>
      <c r="UHZ7" s="4"/>
      <c r="UIC7" s="34"/>
      <c r="UID7" s="34"/>
      <c r="UIF7" s="34"/>
      <c r="UIG7" s="72"/>
      <c r="UIH7" s="63"/>
      <c r="UII7" s="34"/>
      <c r="UIJ7" s="64"/>
      <c r="UIK7" s="4"/>
      <c r="UIL7" s="65"/>
      <c r="UIM7" s="4"/>
      <c r="UIN7" s="4"/>
      <c r="UIO7" s="4"/>
      <c r="UIR7" s="34"/>
      <c r="UIS7" s="34"/>
      <c r="UIU7" s="34"/>
      <c r="UIV7" s="72"/>
      <c r="UIW7" s="63"/>
      <c r="UIX7" s="34"/>
      <c r="UIY7" s="64"/>
      <c r="UIZ7" s="4"/>
      <c r="UJA7" s="65"/>
      <c r="UJB7" s="4"/>
      <c r="UJC7" s="4"/>
      <c r="UJD7" s="4"/>
      <c r="UJG7" s="34"/>
      <c r="UJH7" s="34"/>
      <c r="UJJ7" s="34"/>
      <c r="UJK7" s="72"/>
      <c r="UJL7" s="63"/>
      <c r="UJM7" s="34"/>
      <c r="UJN7" s="64"/>
      <c r="UJO7" s="4"/>
      <c r="UJP7" s="65"/>
      <c r="UJQ7" s="4"/>
      <c r="UJR7" s="4"/>
      <c r="UJS7" s="4"/>
      <c r="UJV7" s="34"/>
      <c r="UJW7" s="34"/>
      <c r="UJY7" s="34"/>
      <c r="UJZ7" s="72"/>
      <c r="UKA7" s="63"/>
      <c r="UKB7" s="34"/>
      <c r="UKC7" s="64"/>
      <c r="UKD7" s="4"/>
      <c r="UKE7" s="65"/>
      <c r="UKF7" s="4"/>
      <c r="UKG7" s="4"/>
      <c r="UKH7" s="4"/>
      <c r="UKK7" s="34"/>
      <c r="UKL7" s="34"/>
      <c r="UKN7" s="34"/>
      <c r="UKO7" s="72"/>
      <c r="UKP7" s="63"/>
      <c r="UKQ7" s="34"/>
      <c r="UKR7" s="64"/>
      <c r="UKS7" s="4"/>
      <c r="UKT7" s="65"/>
      <c r="UKU7" s="4"/>
      <c r="UKV7" s="4"/>
      <c r="UKW7" s="4"/>
      <c r="UKZ7" s="34"/>
      <c r="ULA7" s="34"/>
      <c r="ULC7" s="34"/>
      <c r="ULD7" s="72"/>
      <c r="ULE7" s="63"/>
      <c r="ULF7" s="34"/>
      <c r="ULG7" s="64"/>
      <c r="ULH7" s="4"/>
      <c r="ULI7" s="65"/>
      <c r="ULJ7" s="4"/>
      <c r="ULK7" s="4"/>
      <c r="ULL7" s="4"/>
      <c r="ULO7" s="34"/>
      <c r="ULP7" s="34"/>
      <c r="ULR7" s="34"/>
      <c r="ULS7" s="72"/>
      <c r="ULT7" s="63"/>
      <c r="ULU7" s="34"/>
      <c r="ULV7" s="64"/>
      <c r="ULW7" s="4"/>
      <c r="ULX7" s="65"/>
      <c r="ULY7" s="4"/>
      <c r="ULZ7" s="4"/>
      <c r="UMA7" s="4"/>
      <c r="UMD7" s="34"/>
      <c r="UME7" s="34"/>
      <c r="UMG7" s="34"/>
      <c r="UMH7" s="72"/>
      <c r="UMI7" s="63"/>
      <c r="UMJ7" s="34"/>
      <c r="UMK7" s="64"/>
      <c r="UML7" s="4"/>
      <c r="UMM7" s="65"/>
      <c r="UMN7" s="4"/>
      <c r="UMO7" s="4"/>
      <c r="UMP7" s="4"/>
      <c r="UMS7" s="34"/>
      <c r="UMT7" s="34"/>
      <c r="UMV7" s="34"/>
      <c r="UMW7" s="72"/>
      <c r="UMX7" s="63"/>
      <c r="UMY7" s="34"/>
      <c r="UMZ7" s="64"/>
      <c r="UNA7" s="4"/>
      <c r="UNB7" s="65"/>
      <c r="UNC7" s="4"/>
      <c r="UND7" s="4"/>
      <c r="UNE7" s="4"/>
      <c r="UNH7" s="34"/>
      <c r="UNI7" s="34"/>
      <c r="UNK7" s="34"/>
      <c r="UNL7" s="72"/>
      <c r="UNM7" s="63"/>
      <c r="UNN7" s="34"/>
      <c r="UNO7" s="64"/>
      <c r="UNP7" s="4"/>
      <c r="UNQ7" s="65"/>
      <c r="UNR7" s="4"/>
      <c r="UNS7" s="4"/>
      <c r="UNT7" s="4"/>
      <c r="UNW7" s="34"/>
      <c r="UNX7" s="34"/>
      <c r="UNZ7" s="34"/>
      <c r="UOA7" s="72"/>
      <c r="UOB7" s="63"/>
      <c r="UOC7" s="34"/>
      <c r="UOD7" s="64"/>
      <c r="UOE7" s="4"/>
      <c r="UOF7" s="65"/>
      <c r="UOG7" s="4"/>
      <c r="UOH7" s="4"/>
      <c r="UOI7" s="4"/>
      <c r="UOL7" s="34"/>
      <c r="UOM7" s="34"/>
      <c r="UOO7" s="34"/>
      <c r="UOP7" s="72"/>
      <c r="UOQ7" s="63"/>
      <c r="UOR7" s="34"/>
      <c r="UOS7" s="64"/>
      <c r="UOT7" s="4"/>
      <c r="UOU7" s="65"/>
      <c r="UOV7" s="4"/>
      <c r="UOW7" s="4"/>
      <c r="UOX7" s="4"/>
      <c r="UPA7" s="34"/>
      <c r="UPB7" s="34"/>
      <c r="UPD7" s="34"/>
      <c r="UPE7" s="72"/>
      <c r="UPF7" s="63"/>
      <c r="UPG7" s="34"/>
      <c r="UPH7" s="64"/>
      <c r="UPI7" s="4"/>
      <c r="UPJ7" s="65"/>
      <c r="UPK7" s="4"/>
      <c r="UPL7" s="4"/>
      <c r="UPM7" s="4"/>
      <c r="UPP7" s="34"/>
      <c r="UPQ7" s="34"/>
      <c r="UPS7" s="34"/>
      <c r="UPT7" s="72"/>
      <c r="UPU7" s="63"/>
      <c r="UPV7" s="34"/>
      <c r="UPW7" s="64"/>
      <c r="UPX7" s="4"/>
      <c r="UPY7" s="65"/>
      <c r="UPZ7" s="4"/>
      <c r="UQA7" s="4"/>
      <c r="UQB7" s="4"/>
      <c r="UQE7" s="34"/>
      <c r="UQF7" s="34"/>
      <c r="UQH7" s="34"/>
      <c r="UQI7" s="72"/>
      <c r="UQJ7" s="63"/>
      <c r="UQK7" s="34"/>
      <c r="UQL7" s="64"/>
      <c r="UQM7" s="4"/>
      <c r="UQN7" s="65"/>
      <c r="UQO7" s="4"/>
      <c r="UQP7" s="4"/>
      <c r="UQQ7" s="4"/>
      <c r="UQT7" s="34"/>
      <c r="UQU7" s="34"/>
      <c r="UQW7" s="34"/>
      <c r="UQX7" s="72"/>
      <c r="UQY7" s="63"/>
      <c r="UQZ7" s="34"/>
      <c r="URA7" s="64"/>
      <c r="URB7" s="4"/>
      <c r="URC7" s="65"/>
      <c r="URD7" s="4"/>
      <c r="URE7" s="4"/>
      <c r="URF7" s="4"/>
      <c r="URI7" s="34"/>
      <c r="URJ7" s="34"/>
      <c r="URL7" s="34"/>
      <c r="URM7" s="72"/>
      <c r="URN7" s="63"/>
      <c r="URO7" s="34"/>
      <c r="URP7" s="64"/>
      <c r="URQ7" s="4"/>
      <c r="URR7" s="65"/>
      <c r="URS7" s="4"/>
      <c r="URT7" s="4"/>
      <c r="URU7" s="4"/>
      <c r="URX7" s="34"/>
      <c r="URY7" s="34"/>
      <c r="USA7" s="34"/>
      <c r="USB7" s="72"/>
      <c r="USC7" s="63"/>
      <c r="USD7" s="34"/>
      <c r="USE7" s="64"/>
      <c r="USF7" s="4"/>
      <c r="USG7" s="65"/>
      <c r="USH7" s="4"/>
      <c r="USI7" s="4"/>
      <c r="USJ7" s="4"/>
      <c r="USM7" s="34"/>
      <c r="USN7" s="34"/>
      <c r="USP7" s="34"/>
      <c r="USQ7" s="72"/>
      <c r="USR7" s="63"/>
      <c r="USS7" s="34"/>
      <c r="UST7" s="64"/>
      <c r="USU7" s="4"/>
      <c r="USV7" s="65"/>
      <c r="USW7" s="4"/>
      <c r="USX7" s="4"/>
      <c r="USY7" s="4"/>
      <c r="UTB7" s="34"/>
      <c r="UTC7" s="34"/>
      <c r="UTE7" s="34"/>
      <c r="UTF7" s="72"/>
      <c r="UTG7" s="63"/>
      <c r="UTH7" s="34"/>
      <c r="UTI7" s="64"/>
      <c r="UTJ7" s="4"/>
      <c r="UTK7" s="65"/>
      <c r="UTL7" s="4"/>
      <c r="UTM7" s="4"/>
      <c r="UTN7" s="4"/>
      <c r="UTQ7" s="34"/>
      <c r="UTR7" s="34"/>
      <c r="UTT7" s="34"/>
      <c r="UTU7" s="72"/>
      <c r="UTV7" s="63"/>
      <c r="UTW7" s="34"/>
      <c r="UTX7" s="64"/>
      <c r="UTY7" s="4"/>
      <c r="UTZ7" s="65"/>
      <c r="UUA7" s="4"/>
      <c r="UUB7" s="4"/>
      <c r="UUC7" s="4"/>
      <c r="UUF7" s="34"/>
      <c r="UUG7" s="34"/>
      <c r="UUI7" s="34"/>
      <c r="UUJ7" s="72"/>
      <c r="UUK7" s="63"/>
      <c r="UUL7" s="34"/>
      <c r="UUM7" s="64"/>
      <c r="UUN7" s="4"/>
      <c r="UUO7" s="65"/>
      <c r="UUP7" s="4"/>
      <c r="UUQ7" s="4"/>
      <c r="UUR7" s="4"/>
      <c r="UUU7" s="34"/>
      <c r="UUV7" s="34"/>
      <c r="UUX7" s="34"/>
      <c r="UUY7" s="72"/>
      <c r="UUZ7" s="63"/>
      <c r="UVA7" s="34"/>
      <c r="UVB7" s="64"/>
      <c r="UVC7" s="4"/>
      <c r="UVD7" s="65"/>
      <c r="UVE7" s="4"/>
      <c r="UVF7" s="4"/>
      <c r="UVG7" s="4"/>
      <c r="UVJ7" s="34"/>
      <c r="UVK7" s="34"/>
      <c r="UVM7" s="34"/>
      <c r="UVN7" s="72"/>
      <c r="UVO7" s="63"/>
      <c r="UVP7" s="34"/>
      <c r="UVQ7" s="64"/>
      <c r="UVR7" s="4"/>
      <c r="UVS7" s="65"/>
      <c r="UVT7" s="4"/>
      <c r="UVU7" s="4"/>
      <c r="UVV7" s="4"/>
      <c r="UVY7" s="34"/>
      <c r="UVZ7" s="34"/>
      <c r="UWB7" s="34"/>
      <c r="UWC7" s="72"/>
      <c r="UWD7" s="63"/>
      <c r="UWE7" s="34"/>
      <c r="UWF7" s="64"/>
      <c r="UWG7" s="4"/>
      <c r="UWH7" s="65"/>
      <c r="UWI7" s="4"/>
      <c r="UWJ7" s="4"/>
      <c r="UWK7" s="4"/>
      <c r="UWN7" s="34"/>
      <c r="UWO7" s="34"/>
      <c r="UWQ7" s="34"/>
      <c r="UWR7" s="72"/>
      <c r="UWS7" s="63"/>
      <c r="UWT7" s="34"/>
      <c r="UWU7" s="64"/>
      <c r="UWV7" s="4"/>
      <c r="UWW7" s="65"/>
      <c r="UWX7" s="4"/>
      <c r="UWY7" s="4"/>
      <c r="UWZ7" s="4"/>
      <c r="UXC7" s="34"/>
      <c r="UXD7" s="34"/>
      <c r="UXF7" s="34"/>
      <c r="UXG7" s="72"/>
      <c r="UXH7" s="63"/>
      <c r="UXI7" s="34"/>
      <c r="UXJ7" s="64"/>
      <c r="UXK7" s="4"/>
      <c r="UXL7" s="65"/>
      <c r="UXM7" s="4"/>
      <c r="UXN7" s="4"/>
      <c r="UXO7" s="4"/>
      <c r="UXR7" s="34"/>
      <c r="UXS7" s="34"/>
      <c r="UXU7" s="34"/>
      <c r="UXV7" s="72"/>
      <c r="UXW7" s="63"/>
      <c r="UXX7" s="34"/>
      <c r="UXY7" s="64"/>
      <c r="UXZ7" s="4"/>
      <c r="UYA7" s="65"/>
      <c r="UYB7" s="4"/>
      <c r="UYC7" s="4"/>
      <c r="UYD7" s="4"/>
      <c r="UYG7" s="34"/>
      <c r="UYH7" s="34"/>
      <c r="UYJ7" s="34"/>
      <c r="UYK7" s="72"/>
      <c r="UYL7" s="63"/>
      <c r="UYM7" s="34"/>
      <c r="UYN7" s="64"/>
      <c r="UYO7" s="4"/>
      <c r="UYP7" s="65"/>
      <c r="UYQ7" s="4"/>
      <c r="UYR7" s="4"/>
      <c r="UYS7" s="4"/>
      <c r="UYV7" s="34"/>
      <c r="UYW7" s="34"/>
      <c r="UYY7" s="34"/>
      <c r="UYZ7" s="72"/>
      <c r="UZA7" s="63"/>
      <c r="UZB7" s="34"/>
      <c r="UZC7" s="64"/>
      <c r="UZD7" s="4"/>
      <c r="UZE7" s="65"/>
      <c r="UZF7" s="4"/>
      <c r="UZG7" s="4"/>
      <c r="UZH7" s="4"/>
      <c r="UZK7" s="34"/>
      <c r="UZL7" s="34"/>
      <c r="UZN7" s="34"/>
      <c r="UZO7" s="72"/>
      <c r="UZP7" s="63"/>
      <c r="UZQ7" s="34"/>
      <c r="UZR7" s="64"/>
      <c r="UZS7" s="4"/>
      <c r="UZT7" s="65"/>
      <c r="UZU7" s="4"/>
      <c r="UZV7" s="4"/>
      <c r="UZW7" s="4"/>
      <c r="UZZ7" s="34"/>
      <c r="VAA7" s="34"/>
      <c r="VAC7" s="34"/>
      <c r="VAD7" s="72"/>
      <c r="VAE7" s="63"/>
      <c r="VAF7" s="34"/>
      <c r="VAG7" s="64"/>
      <c r="VAH7" s="4"/>
      <c r="VAI7" s="65"/>
      <c r="VAJ7" s="4"/>
      <c r="VAK7" s="4"/>
      <c r="VAL7" s="4"/>
      <c r="VAO7" s="34"/>
      <c r="VAP7" s="34"/>
      <c r="VAR7" s="34"/>
      <c r="VAS7" s="72"/>
      <c r="VAT7" s="63"/>
      <c r="VAU7" s="34"/>
      <c r="VAV7" s="64"/>
      <c r="VAW7" s="4"/>
      <c r="VAX7" s="65"/>
      <c r="VAY7" s="4"/>
      <c r="VAZ7" s="4"/>
      <c r="VBA7" s="4"/>
      <c r="VBD7" s="34"/>
      <c r="VBE7" s="34"/>
      <c r="VBG7" s="34"/>
      <c r="VBH7" s="72"/>
      <c r="VBI7" s="63"/>
      <c r="VBJ7" s="34"/>
      <c r="VBK7" s="64"/>
      <c r="VBL7" s="4"/>
      <c r="VBM7" s="65"/>
      <c r="VBN7" s="4"/>
      <c r="VBO7" s="4"/>
      <c r="VBP7" s="4"/>
      <c r="VBS7" s="34"/>
      <c r="VBT7" s="34"/>
      <c r="VBV7" s="34"/>
      <c r="VBW7" s="72"/>
      <c r="VBX7" s="63"/>
      <c r="VBY7" s="34"/>
      <c r="VBZ7" s="64"/>
      <c r="VCA7" s="4"/>
      <c r="VCB7" s="65"/>
      <c r="VCC7" s="4"/>
      <c r="VCD7" s="4"/>
      <c r="VCE7" s="4"/>
      <c r="VCH7" s="34"/>
      <c r="VCI7" s="34"/>
      <c r="VCK7" s="34"/>
      <c r="VCL7" s="72"/>
      <c r="VCM7" s="63"/>
      <c r="VCN7" s="34"/>
      <c r="VCO7" s="64"/>
      <c r="VCP7" s="4"/>
      <c r="VCQ7" s="65"/>
      <c r="VCR7" s="4"/>
      <c r="VCS7" s="4"/>
      <c r="VCT7" s="4"/>
      <c r="VCW7" s="34"/>
      <c r="VCX7" s="34"/>
      <c r="VCZ7" s="34"/>
      <c r="VDA7" s="72"/>
      <c r="VDB7" s="63"/>
      <c r="VDC7" s="34"/>
      <c r="VDD7" s="64"/>
      <c r="VDE7" s="4"/>
      <c r="VDF7" s="65"/>
      <c r="VDG7" s="4"/>
      <c r="VDH7" s="4"/>
      <c r="VDI7" s="4"/>
      <c r="VDL7" s="34"/>
      <c r="VDM7" s="34"/>
      <c r="VDO7" s="34"/>
      <c r="VDP7" s="72"/>
      <c r="VDQ7" s="63"/>
      <c r="VDR7" s="34"/>
      <c r="VDS7" s="64"/>
      <c r="VDT7" s="4"/>
      <c r="VDU7" s="65"/>
      <c r="VDV7" s="4"/>
      <c r="VDW7" s="4"/>
      <c r="VDX7" s="4"/>
      <c r="VEA7" s="34"/>
      <c r="VEB7" s="34"/>
      <c r="VED7" s="34"/>
      <c r="VEE7" s="72"/>
      <c r="VEF7" s="63"/>
      <c r="VEG7" s="34"/>
      <c r="VEH7" s="64"/>
      <c r="VEI7" s="4"/>
      <c r="VEJ7" s="65"/>
      <c r="VEK7" s="4"/>
      <c r="VEL7" s="4"/>
      <c r="VEM7" s="4"/>
      <c r="VEP7" s="34"/>
      <c r="VEQ7" s="34"/>
      <c r="VES7" s="34"/>
      <c r="VET7" s="72"/>
      <c r="VEU7" s="63"/>
      <c r="VEV7" s="34"/>
      <c r="VEW7" s="64"/>
      <c r="VEX7" s="4"/>
      <c r="VEY7" s="65"/>
      <c r="VEZ7" s="4"/>
      <c r="VFA7" s="4"/>
      <c r="VFB7" s="4"/>
      <c r="VFE7" s="34"/>
      <c r="VFF7" s="34"/>
      <c r="VFH7" s="34"/>
      <c r="VFI7" s="72"/>
      <c r="VFJ7" s="63"/>
      <c r="VFK7" s="34"/>
      <c r="VFL7" s="64"/>
      <c r="VFM7" s="4"/>
      <c r="VFN7" s="65"/>
      <c r="VFO7" s="4"/>
      <c r="VFP7" s="4"/>
      <c r="VFQ7" s="4"/>
      <c r="VFT7" s="34"/>
      <c r="VFU7" s="34"/>
      <c r="VFW7" s="34"/>
      <c r="VFX7" s="72"/>
      <c r="VFY7" s="63"/>
      <c r="VFZ7" s="34"/>
      <c r="VGA7" s="64"/>
      <c r="VGB7" s="4"/>
      <c r="VGC7" s="65"/>
      <c r="VGD7" s="4"/>
      <c r="VGE7" s="4"/>
      <c r="VGF7" s="4"/>
      <c r="VGI7" s="34"/>
      <c r="VGJ7" s="34"/>
      <c r="VGL7" s="34"/>
      <c r="VGM7" s="72"/>
      <c r="VGN7" s="63"/>
      <c r="VGO7" s="34"/>
      <c r="VGP7" s="64"/>
      <c r="VGQ7" s="4"/>
      <c r="VGR7" s="65"/>
      <c r="VGS7" s="4"/>
      <c r="VGT7" s="4"/>
      <c r="VGU7" s="4"/>
      <c r="VGX7" s="34"/>
      <c r="VGY7" s="34"/>
      <c r="VHA7" s="34"/>
      <c r="VHB7" s="72"/>
      <c r="VHC7" s="63"/>
      <c r="VHD7" s="34"/>
      <c r="VHE7" s="64"/>
      <c r="VHF7" s="4"/>
      <c r="VHG7" s="65"/>
      <c r="VHH7" s="4"/>
      <c r="VHI7" s="4"/>
      <c r="VHJ7" s="4"/>
      <c r="VHM7" s="34"/>
      <c r="VHN7" s="34"/>
      <c r="VHP7" s="34"/>
      <c r="VHQ7" s="72"/>
      <c r="VHR7" s="63"/>
      <c r="VHS7" s="34"/>
      <c r="VHT7" s="64"/>
      <c r="VHU7" s="4"/>
      <c r="VHV7" s="65"/>
      <c r="VHW7" s="4"/>
      <c r="VHX7" s="4"/>
      <c r="VHY7" s="4"/>
      <c r="VIB7" s="34"/>
      <c r="VIC7" s="34"/>
      <c r="VIE7" s="34"/>
      <c r="VIF7" s="72"/>
      <c r="VIG7" s="63"/>
      <c r="VIH7" s="34"/>
      <c r="VII7" s="64"/>
      <c r="VIJ7" s="4"/>
      <c r="VIK7" s="65"/>
      <c r="VIL7" s="4"/>
      <c r="VIM7" s="4"/>
      <c r="VIN7" s="4"/>
      <c r="VIQ7" s="34"/>
      <c r="VIR7" s="34"/>
      <c r="VIT7" s="34"/>
      <c r="VIU7" s="72"/>
      <c r="VIV7" s="63"/>
      <c r="VIW7" s="34"/>
      <c r="VIX7" s="64"/>
      <c r="VIY7" s="4"/>
      <c r="VIZ7" s="65"/>
      <c r="VJA7" s="4"/>
      <c r="VJB7" s="4"/>
      <c r="VJC7" s="4"/>
      <c r="VJF7" s="34"/>
      <c r="VJG7" s="34"/>
      <c r="VJI7" s="34"/>
      <c r="VJJ7" s="72"/>
      <c r="VJK7" s="63"/>
      <c r="VJL7" s="34"/>
      <c r="VJM7" s="64"/>
      <c r="VJN7" s="4"/>
      <c r="VJO7" s="65"/>
      <c r="VJP7" s="4"/>
      <c r="VJQ7" s="4"/>
      <c r="VJR7" s="4"/>
      <c r="VJU7" s="34"/>
      <c r="VJV7" s="34"/>
      <c r="VJX7" s="34"/>
      <c r="VJY7" s="72"/>
      <c r="VJZ7" s="63"/>
      <c r="VKA7" s="34"/>
      <c r="VKB7" s="64"/>
      <c r="VKC7" s="4"/>
      <c r="VKD7" s="65"/>
      <c r="VKE7" s="4"/>
      <c r="VKF7" s="4"/>
      <c r="VKG7" s="4"/>
      <c r="VKJ7" s="34"/>
      <c r="VKK7" s="34"/>
      <c r="VKM7" s="34"/>
      <c r="VKN7" s="72"/>
      <c r="VKO7" s="63"/>
      <c r="VKP7" s="34"/>
      <c r="VKQ7" s="64"/>
      <c r="VKR7" s="4"/>
      <c r="VKS7" s="65"/>
      <c r="VKT7" s="4"/>
      <c r="VKU7" s="4"/>
      <c r="VKV7" s="4"/>
      <c r="VKY7" s="34"/>
      <c r="VKZ7" s="34"/>
      <c r="VLB7" s="34"/>
      <c r="VLC7" s="72"/>
      <c r="VLD7" s="63"/>
      <c r="VLE7" s="34"/>
      <c r="VLF7" s="64"/>
      <c r="VLG7" s="4"/>
      <c r="VLH7" s="65"/>
      <c r="VLI7" s="4"/>
      <c r="VLJ7" s="4"/>
      <c r="VLK7" s="4"/>
      <c r="VLN7" s="34"/>
      <c r="VLO7" s="34"/>
      <c r="VLQ7" s="34"/>
      <c r="VLR7" s="72"/>
      <c r="VLS7" s="63"/>
      <c r="VLT7" s="34"/>
      <c r="VLU7" s="64"/>
      <c r="VLV7" s="4"/>
      <c r="VLW7" s="65"/>
      <c r="VLX7" s="4"/>
      <c r="VLY7" s="4"/>
      <c r="VLZ7" s="4"/>
      <c r="VMC7" s="34"/>
      <c r="VMD7" s="34"/>
      <c r="VMF7" s="34"/>
      <c r="VMG7" s="72"/>
      <c r="VMH7" s="63"/>
      <c r="VMI7" s="34"/>
      <c r="VMJ7" s="64"/>
      <c r="VMK7" s="4"/>
      <c r="VML7" s="65"/>
      <c r="VMM7" s="4"/>
      <c r="VMN7" s="4"/>
      <c r="VMO7" s="4"/>
      <c r="VMR7" s="34"/>
      <c r="VMS7" s="34"/>
      <c r="VMU7" s="34"/>
      <c r="VMV7" s="72"/>
      <c r="VMW7" s="63"/>
      <c r="VMX7" s="34"/>
      <c r="VMY7" s="64"/>
      <c r="VMZ7" s="4"/>
      <c r="VNA7" s="65"/>
      <c r="VNB7" s="4"/>
      <c r="VNC7" s="4"/>
      <c r="VND7" s="4"/>
      <c r="VNG7" s="34"/>
      <c r="VNH7" s="34"/>
      <c r="VNJ7" s="34"/>
      <c r="VNK7" s="72"/>
      <c r="VNL7" s="63"/>
      <c r="VNM7" s="34"/>
      <c r="VNN7" s="64"/>
      <c r="VNO7" s="4"/>
      <c r="VNP7" s="65"/>
      <c r="VNQ7" s="4"/>
      <c r="VNR7" s="4"/>
      <c r="VNS7" s="4"/>
      <c r="VNV7" s="34"/>
      <c r="VNW7" s="34"/>
      <c r="VNY7" s="34"/>
      <c r="VNZ7" s="72"/>
      <c r="VOA7" s="63"/>
      <c r="VOB7" s="34"/>
      <c r="VOC7" s="64"/>
      <c r="VOD7" s="4"/>
      <c r="VOE7" s="65"/>
      <c r="VOF7" s="4"/>
      <c r="VOG7" s="4"/>
      <c r="VOH7" s="4"/>
      <c r="VOK7" s="34"/>
      <c r="VOL7" s="34"/>
      <c r="VON7" s="34"/>
      <c r="VOO7" s="72"/>
      <c r="VOP7" s="63"/>
      <c r="VOQ7" s="34"/>
      <c r="VOR7" s="64"/>
      <c r="VOS7" s="4"/>
      <c r="VOT7" s="65"/>
      <c r="VOU7" s="4"/>
      <c r="VOV7" s="4"/>
      <c r="VOW7" s="4"/>
      <c r="VOZ7" s="34"/>
      <c r="VPA7" s="34"/>
      <c r="VPC7" s="34"/>
      <c r="VPD7" s="72"/>
      <c r="VPE7" s="63"/>
      <c r="VPF7" s="34"/>
      <c r="VPG7" s="64"/>
      <c r="VPH7" s="4"/>
      <c r="VPI7" s="65"/>
      <c r="VPJ7" s="4"/>
      <c r="VPK7" s="4"/>
      <c r="VPL7" s="4"/>
      <c r="VPO7" s="34"/>
      <c r="VPP7" s="34"/>
      <c r="VPR7" s="34"/>
      <c r="VPS7" s="72"/>
      <c r="VPT7" s="63"/>
      <c r="VPU7" s="34"/>
      <c r="VPV7" s="64"/>
      <c r="VPW7" s="4"/>
      <c r="VPX7" s="65"/>
      <c r="VPY7" s="4"/>
      <c r="VPZ7" s="4"/>
      <c r="VQA7" s="4"/>
      <c r="VQD7" s="34"/>
      <c r="VQE7" s="34"/>
      <c r="VQG7" s="34"/>
      <c r="VQH7" s="72"/>
      <c r="VQI7" s="63"/>
      <c r="VQJ7" s="34"/>
      <c r="VQK7" s="64"/>
      <c r="VQL7" s="4"/>
      <c r="VQM7" s="65"/>
      <c r="VQN7" s="4"/>
      <c r="VQO7" s="4"/>
      <c r="VQP7" s="4"/>
      <c r="VQS7" s="34"/>
      <c r="VQT7" s="34"/>
      <c r="VQV7" s="34"/>
      <c r="VQW7" s="72"/>
      <c r="VQX7" s="63"/>
      <c r="VQY7" s="34"/>
      <c r="VQZ7" s="64"/>
      <c r="VRA7" s="4"/>
      <c r="VRB7" s="65"/>
      <c r="VRC7" s="4"/>
      <c r="VRD7" s="4"/>
      <c r="VRE7" s="4"/>
      <c r="VRH7" s="34"/>
      <c r="VRI7" s="34"/>
      <c r="VRK7" s="34"/>
      <c r="VRL7" s="72"/>
      <c r="VRM7" s="63"/>
      <c r="VRN7" s="34"/>
      <c r="VRO7" s="64"/>
      <c r="VRP7" s="4"/>
      <c r="VRQ7" s="65"/>
      <c r="VRR7" s="4"/>
      <c r="VRS7" s="4"/>
      <c r="VRT7" s="4"/>
      <c r="VRW7" s="34"/>
      <c r="VRX7" s="34"/>
      <c r="VRZ7" s="34"/>
      <c r="VSA7" s="72"/>
      <c r="VSB7" s="63"/>
      <c r="VSC7" s="34"/>
      <c r="VSD7" s="64"/>
      <c r="VSE7" s="4"/>
      <c r="VSF7" s="65"/>
      <c r="VSG7" s="4"/>
      <c r="VSH7" s="4"/>
      <c r="VSI7" s="4"/>
      <c r="VSL7" s="34"/>
      <c r="VSM7" s="34"/>
      <c r="VSO7" s="34"/>
      <c r="VSP7" s="72"/>
      <c r="VSQ7" s="63"/>
      <c r="VSR7" s="34"/>
      <c r="VSS7" s="64"/>
      <c r="VST7" s="4"/>
      <c r="VSU7" s="65"/>
      <c r="VSV7" s="4"/>
      <c r="VSW7" s="4"/>
      <c r="VSX7" s="4"/>
      <c r="VTA7" s="34"/>
      <c r="VTB7" s="34"/>
      <c r="VTD7" s="34"/>
      <c r="VTE7" s="72"/>
      <c r="VTF7" s="63"/>
      <c r="VTG7" s="34"/>
      <c r="VTH7" s="64"/>
      <c r="VTI7" s="4"/>
      <c r="VTJ7" s="65"/>
      <c r="VTK7" s="4"/>
      <c r="VTL7" s="4"/>
      <c r="VTM7" s="4"/>
      <c r="VTP7" s="34"/>
      <c r="VTQ7" s="34"/>
      <c r="VTS7" s="34"/>
      <c r="VTT7" s="72"/>
      <c r="VTU7" s="63"/>
      <c r="VTV7" s="34"/>
      <c r="VTW7" s="64"/>
      <c r="VTX7" s="4"/>
      <c r="VTY7" s="65"/>
      <c r="VTZ7" s="4"/>
      <c r="VUA7" s="4"/>
      <c r="VUB7" s="4"/>
      <c r="VUE7" s="34"/>
      <c r="VUF7" s="34"/>
      <c r="VUH7" s="34"/>
      <c r="VUI7" s="72"/>
      <c r="VUJ7" s="63"/>
      <c r="VUK7" s="34"/>
      <c r="VUL7" s="64"/>
      <c r="VUM7" s="4"/>
      <c r="VUN7" s="65"/>
      <c r="VUO7" s="4"/>
      <c r="VUP7" s="4"/>
      <c r="VUQ7" s="4"/>
      <c r="VUT7" s="34"/>
      <c r="VUU7" s="34"/>
      <c r="VUW7" s="34"/>
      <c r="VUX7" s="72"/>
      <c r="VUY7" s="63"/>
      <c r="VUZ7" s="34"/>
      <c r="VVA7" s="64"/>
      <c r="VVB7" s="4"/>
      <c r="VVC7" s="65"/>
      <c r="VVD7" s="4"/>
      <c r="VVE7" s="4"/>
      <c r="VVF7" s="4"/>
      <c r="VVI7" s="34"/>
      <c r="VVJ7" s="34"/>
      <c r="VVL7" s="34"/>
      <c r="VVM7" s="72"/>
      <c r="VVN7" s="63"/>
      <c r="VVO7" s="34"/>
      <c r="VVP7" s="64"/>
      <c r="VVQ7" s="4"/>
      <c r="VVR7" s="65"/>
      <c r="VVS7" s="4"/>
      <c r="VVT7" s="4"/>
      <c r="VVU7" s="4"/>
      <c r="VVX7" s="34"/>
      <c r="VVY7" s="34"/>
      <c r="VWA7" s="34"/>
      <c r="VWB7" s="72"/>
      <c r="VWC7" s="63"/>
      <c r="VWD7" s="34"/>
      <c r="VWE7" s="64"/>
      <c r="VWF7" s="4"/>
      <c r="VWG7" s="65"/>
      <c r="VWH7" s="4"/>
      <c r="VWI7" s="4"/>
      <c r="VWJ7" s="4"/>
      <c r="VWM7" s="34"/>
      <c r="VWN7" s="34"/>
      <c r="VWP7" s="34"/>
      <c r="VWQ7" s="72"/>
      <c r="VWR7" s="63"/>
      <c r="VWS7" s="34"/>
      <c r="VWT7" s="64"/>
      <c r="VWU7" s="4"/>
      <c r="VWV7" s="65"/>
      <c r="VWW7" s="4"/>
      <c r="VWX7" s="4"/>
      <c r="VWY7" s="4"/>
      <c r="VXB7" s="34"/>
      <c r="VXC7" s="34"/>
      <c r="VXE7" s="34"/>
      <c r="VXF7" s="72"/>
      <c r="VXG7" s="63"/>
      <c r="VXH7" s="34"/>
      <c r="VXI7" s="64"/>
      <c r="VXJ7" s="4"/>
      <c r="VXK7" s="65"/>
      <c r="VXL7" s="4"/>
      <c r="VXM7" s="4"/>
      <c r="VXN7" s="4"/>
      <c r="VXQ7" s="34"/>
      <c r="VXR7" s="34"/>
      <c r="VXT7" s="34"/>
      <c r="VXU7" s="72"/>
      <c r="VXV7" s="63"/>
      <c r="VXW7" s="34"/>
      <c r="VXX7" s="64"/>
      <c r="VXY7" s="4"/>
      <c r="VXZ7" s="65"/>
      <c r="VYA7" s="4"/>
      <c r="VYB7" s="4"/>
      <c r="VYC7" s="4"/>
      <c r="VYF7" s="34"/>
      <c r="VYG7" s="34"/>
      <c r="VYI7" s="34"/>
      <c r="VYJ7" s="72"/>
      <c r="VYK7" s="63"/>
      <c r="VYL7" s="34"/>
      <c r="VYM7" s="64"/>
      <c r="VYN7" s="4"/>
      <c r="VYO7" s="65"/>
      <c r="VYP7" s="4"/>
      <c r="VYQ7" s="4"/>
      <c r="VYR7" s="4"/>
      <c r="VYU7" s="34"/>
      <c r="VYV7" s="34"/>
      <c r="VYX7" s="34"/>
      <c r="VYY7" s="72"/>
      <c r="VYZ7" s="63"/>
      <c r="VZA7" s="34"/>
      <c r="VZB7" s="64"/>
      <c r="VZC7" s="4"/>
      <c r="VZD7" s="65"/>
      <c r="VZE7" s="4"/>
      <c r="VZF7" s="4"/>
      <c r="VZG7" s="4"/>
      <c r="VZJ7" s="34"/>
      <c r="VZK7" s="34"/>
      <c r="VZM7" s="34"/>
      <c r="VZN7" s="72"/>
      <c r="VZO7" s="63"/>
      <c r="VZP7" s="34"/>
      <c r="VZQ7" s="64"/>
      <c r="VZR7" s="4"/>
      <c r="VZS7" s="65"/>
      <c r="VZT7" s="4"/>
      <c r="VZU7" s="4"/>
      <c r="VZV7" s="4"/>
      <c r="VZY7" s="34"/>
      <c r="VZZ7" s="34"/>
      <c r="WAB7" s="34"/>
      <c r="WAC7" s="72"/>
      <c r="WAD7" s="63"/>
      <c r="WAE7" s="34"/>
      <c r="WAF7" s="64"/>
      <c r="WAG7" s="4"/>
      <c r="WAH7" s="65"/>
      <c r="WAI7" s="4"/>
      <c r="WAJ7" s="4"/>
      <c r="WAK7" s="4"/>
      <c r="WAN7" s="34"/>
      <c r="WAO7" s="34"/>
      <c r="WAQ7" s="34"/>
      <c r="WAR7" s="72"/>
      <c r="WAS7" s="63"/>
      <c r="WAT7" s="34"/>
      <c r="WAU7" s="64"/>
      <c r="WAV7" s="4"/>
      <c r="WAW7" s="65"/>
      <c r="WAX7" s="4"/>
      <c r="WAY7" s="4"/>
      <c r="WAZ7" s="4"/>
      <c r="WBC7" s="34"/>
      <c r="WBD7" s="34"/>
      <c r="WBF7" s="34"/>
      <c r="WBG7" s="72"/>
      <c r="WBH7" s="63"/>
      <c r="WBI7" s="34"/>
      <c r="WBJ7" s="64"/>
      <c r="WBK7" s="4"/>
      <c r="WBL7" s="65"/>
      <c r="WBM7" s="4"/>
      <c r="WBN7" s="4"/>
      <c r="WBO7" s="4"/>
      <c r="WBR7" s="34"/>
      <c r="WBS7" s="34"/>
      <c r="WBU7" s="34"/>
      <c r="WBV7" s="72"/>
      <c r="WBW7" s="63"/>
      <c r="WBX7" s="34"/>
      <c r="WBY7" s="64"/>
      <c r="WBZ7" s="4"/>
      <c r="WCA7" s="65"/>
      <c r="WCB7" s="4"/>
      <c r="WCC7" s="4"/>
      <c r="WCD7" s="4"/>
      <c r="WCG7" s="34"/>
      <c r="WCH7" s="34"/>
      <c r="WCJ7" s="34"/>
      <c r="WCK7" s="72"/>
      <c r="WCL7" s="63"/>
      <c r="WCM7" s="34"/>
      <c r="WCN7" s="64"/>
      <c r="WCO7" s="4"/>
      <c r="WCP7" s="65"/>
      <c r="WCQ7" s="4"/>
      <c r="WCR7" s="4"/>
      <c r="WCS7" s="4"/>
      <c r="WCV7" s="34"/>
      <c r="WCW7" s="34"/>
      <c r="WCY7" s="34"/>
      <c r="WCZ7" s="72"/>
      <c r="WDA7" s="63"/>
      <c r="WDB7" s="34"/>
      <c r="WDC7" s="64"/>
      <c r="WDD7" s="4"/>
      <c r="WDE7" s="65"/>
      <c r="WDF7" s="4"/>
      <c r="WDG7" s="4"/>
      <c r="WDH7" s="4"/>
      <c r="WDK7" s="34"/>
      <c r="WDL7" s="34"/>
      <c r="WDN7" s="34"/>
      <c r="WDO7" s="72"/>
      <c r="WDP7" s="63"/>
      <c r="WDQ7" s="34"/>
      <c r="WDR7" s="64"/>
      <c r="WDS7" s="4"/>
      <c r="WDT7" s="65"/>
      <c r="WDU7" s="4"/>
      <c r="WDV7" s="4"/>
      <c r="WDW7" s="4"/>
      <c r="WDZ7" s="34"/>
      <c r="WEA7" s="34"/>
      <c r="WEC7" s="34"/>
      <c r="WED7" s="72"/>
      <c r="WEE7" s="63"/>
      <c r="WEF7" s="34"/>
      <c r="WEG7" s="64"/>
      <c r="WEH7" s="4"/>
      <c r="WEI7" s="65"/>
      <c r="WEJ7" s="4"/>
      <c r="WEK7" s="4"/>
      <c r="WEL7" s="4"/>
      <c r="WEO7" s="34"/>
      <c r="WEP7" s="34"/>
      <c r="WER7" s="34"/>
      <c r="WES7" s="72"/>
      <c r="WET7" s="63"/>
      <c r="WEU7" s="34"/>
      <c r="WEV7" s="64"/>
      <c r="WEW7" s="4"/>
      <c r="WEX7" s="65"/>
      <c r="WEY7" s="4"/>
      <c r="WEZ7" s="4"/>
      <c r="WFA7" s="4"/>
      <c r="WFD7" s="34"/>
      <c r="WFE7" s="34"/>
      <c r="WFG7" s="34"/>
      <c r="WFH7" s="72"/>
      <c r="WFI7" s="63"/>
      <c r="WFJ7" s="34"/>
      <c r="WFK7" s="64"/>
      <c r="WFL7" s="4"/>
      <c r="WFM7" s="65"/>
      <c r="WFN7" s="4"/>
      <c r="WFO7" s="4"/>
      <c r="WFP7" s="4"/>
      <c r="WFS7" s="34"/>
      <c r="WFT7" s="34"/>
      <c r="WFV7" s="34"/>
      <c r="WFW7" s="72"/>
      <c r="WFX7" s="63"/>
      <c r="WFY7" s="34"/>
      <c r="WFZ7" s="64"/>
      <c r="WGA7" s="4"/>
      <c r="WGB7" s="65"/>
      <c r="WGC7" s="4"/>
      <c r="WGD7" s="4"/>
      <c r="WGE7" s="4"/>
      <c r="WGH7" s="34"/>
      <c r="WGI7" s="34"/>
      <c r="WGK7" s="34"/>
      <c r="WGL7" s="72"/>
      <c r="WGM7" s="63"/>
      <c r="WGN7" s="34"/>
      <c r="WGO7" s="64"/>
      <c r="WGP7" s="4"/>
      <c r="WGQ7" s="65"/>
      <c r="WGR7" s="4"/>
      <c r="WGS7" s="4"/>
      <c r="WGT7" s="4"/>
      <c r="WGW7" s="34"/>
      <c r="WGX7" s="34"/>
      <c r="WGZ7" s="34"/>
      <c r="WHA7" s="72"/>
      <c r="WHB7" s="63"/>
      <c r="WHC7" s="34"/>
      <c r="WHD7" s="64"/>
      <c r="WHE7" s="4"/>
      <c r="WHF7" s="65"/>
      <c r="WHG7" s="4"/>
      <c r="WHH7" s="4"/>
      <c r="WHI7" s="4"/>
      <c r="WHL7" s="34"/>
      <c r="WHM7" s="34"/>
      <c r="WHO7" s="34"/>
      <c r="WHP7" s="72"/>
      <c r="WHQ7" s="63"/>
      <c r="WHR7" s="34"/>
      <c r="WHS7" s="64"/>
      <c r="WHT7" s="4"/>
      <c r="WHU7" s="65"/>
      <c r="WHV7" s="4"/>
      <c r="WHW7" s="4"/>
      <c r="WHX7" s="4"/>
      <c r="WIA7" s="34"/>
      <c r="WIB7" s="34"/>
      <c r="WID7" s="34"/>
      <c r="WIE7" s="72"/>
      <c r="WIF7" s="63"/>
      <c r="WIG7" s="34"/>
      <c r="WIH7" s="64"/>
      <c r="WII7" s="4"/>
      <c r="WIJ7" s="65"/>
      <c r="WIK7" s="4"/>
      <c r="WIL7" s="4"/>
      <c r="WIM7" s="4"/>
      <c r="WIP7" s="34"/>
      <c r="WIQ7" s="34"/>
      <c r="WIS7" s="34"/>
      <c r="WIT7" s="72"/>
      <c r="WIU7" s="63"/>
      <c r="WIV7" s="34"/>
      <c r="WIW7" s="64"/>
      <c r="WIX7" s="4"/>
      <c r="WIY7" s="65"/>
      <c r="WIZ7" s="4"/>
      <c r="WJA7" s="4"/>
      <c r="WJB7" s="4"/>
      <c r="WJE7" s="34"/>
      <c r="WJF7" s="34"/>
      <c r="WJH7" s="34"/>
      <c r="WJI7" s="72"/>
      <c r="WJJ7" s="63"/>
      <c r="WJK7" s="34"/>
      <c r="WJL7" s="64"/>
      <c r="WJM7" s="4"/>
      <c r="WJN7" s="65"/>
      <c r="WJO7" s="4"/>
      <c r="WJP7" s="4"/>
      <c r="WJQ7" s="4"/>
      <c r="WJT7" s="34"/>
      <c r="WJU7" s="34"/>
      <c r="WJW7" s="34"/>
      <c r="WJX7" s="72"/>
      <c r="WJY7" s="63"/>
      <c r="WJZ7" s="34"/>
      <c r="WKA7" s="64"/>
      <c r="WKB7" s="4"/>
      <c r="WKC7" s="65"/>
      <c r="WKD7" s="4"/>
      <c r="WKE7" s="4"/>
      <c r="WKF7" s="4"/>
      <c r="WKI7" s="34"/>
      <c r="WKJ7" s="34"/>
      <c r="WKL7" s="34"/>
      <c r="WKM7" s="72"/>
      <c r="WKN7" s="63"/>
      <c r="WKO7" s="34"/>
      <c r="WKP7" s="64"/>
      <c r="WKQ7" s="4"/>
      <c r="WKR7" s="65"/>
      <c r="WKS7" s="4"/>
      <c r="WKT7" s="4"/>
      <c r="WKU7" s="4"/>
      <c r="WKX7" s="34"/>
      <c r="WKY7" s="34"/>
      <c r="WLA7" s="34"/>
      <c r="WLB7" s="72"/>
      <c r="WLC7" s="63"/>
      <c r="WLD7" s="34"/>
      <c r="WLE7" s="64"/>
      <c r="WLF7" s="4"/>
      <c r="WLG7" s="65"/>
      <c r="WLH7" s="4"/>
      <c r="WLI7" s="4"/>
      <c r="WLJ7" s="4"/>
      <c r="WLM7" s="34"/>
      <c r="WLN7" s="34"/>
      <c r="WLP7" s="34"/>
      <c r="WLQ7" s="72"/>
      <c r="WLR7" s="63"/>
      <c r="WLS7" s="34"/>
      <c r="WLT7" s="64"/>
      <c r="WLU7" s="4"/>
      <c r="WLV7" s="65"/>
      <c r="WLW7" s="4"/>
      <c r="WLX7" s="4"/>
      <c r="WLY7" s="4"/>
      <c r="WMB7" s="34"/>
      <c r="WMC7" s="34"/>
      <c r="WME7" s="34"/>
      <c r="WMF7" s="72"/>
      <c r="WMG7" s="63"/>
      <c r="WMH7" s="34"/>
      <c r="WMI7" s="64"/>
      <c r="WMJ7" s="4"/>
      <c r="WMK7" s="65"/>
      <c r="WML7" s="4"/>
      <c r="WMM7" s="4"/>
      <c r="WMN7" s="4"/>
      <c r="WMQ7" s="34"/>
      <c r="WMR7" s="34"/>
      <c r="WMT7" s="34"/>
      <c r="WMU7" s="72"/>
      <c r="WMV7" s="63"/>
      <c r="WMW7" s="34"/>
      <c r="WMX7" s="64"/>
      <c r="WMY7" s="4"/>
      <c r="WMZ7" s="65"/>
      <c r="WNA7" s="4"/>
      <c r="WNB7" s="4"/>
      <c r="WNC7" s="4"/>
      <c r="WNF7" s="34"/>
      <c r="WNG7" s="34"/>
      <c r="WNI7" s="34"/>
      <c r="WNJ7" s="72"/>
      <c r="WNK7" s="63"/>
      <c r="WNL7" s="34"/>
      <c r="WNM7" s="64"/>
      <c r="WNN7" s="4"/>
      <c r="WNO7" s="65"/>
      <c r="WNP7" s="4"/>
      <c r="WNQ7" s="4"/>
      <c r="WNR7" s="4"/>
      <c r="WNU7" s="34"/>
      <c r="WNV7" s="34"/>
      <c r="WNX7" s="34"/>
      <c r="WNY7" s="72"/>
      <c r="WNZ7" s="63"/>
      <c r="WOA7" s="34"/>
      <c r="WOB7" s="64"/>
      <c r="WOC7" s="4"/>
      <c r="WOD7" s="65"/>
      <c r="WOE7" s="4"/>
      <c r="WOF7" s="4"/>
      <c r="WOG7" s="4"/>
      <c r="WOJ7" s="34"/>
      <c r="WOK7" s="34"/>
      <c r="WOM7" s="34"/>
      <c r="WON7" s="72"/>
      <c r="WOO7" s="63"/>
      <c r="WOP7" s="34"/>
      <c r="WOQ7" s="64"/>
      <c r="WOR7" s="4"/>
      <c r="WOS7" s="65"/>
      <c r="WOT7" s="4"/>
      <c r="WOU7" s="4"/>
      <c r="WOV7" s="4"/>
      <c r="WOY7" s="34"/>
      <c r="WOZ7" s="34"/>
      <c r="WPB7" s="34"/>
      <c r="WPC7" s="72"/>
      <c r="WPD7" s="63"/>
      <c r="WPE7" s="34"/>
      <c r="WPF7" s="64"/>
      <c r="WPG7" s="4"/>
      <c r="WPH7" s="65"/>
      <c r="WPI7" s="4"/>
      <c r="WPJ7" s="4"/>
      <c r="WPK7" s="4"/>
      <c r="WPN7" s="34"/>
      <c r="WPO7" s="34"/>
      <c r="WPQ7" s="34"/>
      <c r="WPR7" s="72"/>
      <c r="WPS7" s="63"/>
      <c r="WPT7" s="34"/>
      <c r="WPU7" s="64"/>
      <c r="WPV7" s="4"/>
      <c r="WPW7" s="65"/>
      <c r="WPX7" s="4"/>
      <c r="WPY7" s="4"/>
      <c r="WPZ7" s="4"/>
      <c r="WQC7" s="34"/>
      <c r="WQD7" s="34"/>
      <c r="WQF7" s="34"/>
      <c r="WQG7" s="72"/>
      <c r="WQH7" s="63"/>
      <c r="WQI7" s="34"/>
      <c r="WQJ7" s="64"/>
      <c r="WQK7" s="4"/>
      <c r="WQL7" s="65"/>
      <c r="WQM7" s="4"/>
      <c r="WQN7" s="4"/>
      <c r="WQO7" s="4"/>
      <c r="WQR7" s="34"/>
      <c r="WQS7" s="34"/>
      <c r="WQU7" s="34"/>
      <c r="WQV7" s="72"/>
      <c r="WQW7" s="63"/>
      <c r="WQX7" s="34"/>
      <c r="WQY7" s="64"/>
      <c r="WQZ7" s="4"/>
      <c r="WRA7" s="65"/>
      <c r="WRB7" s="4"/>
      <c r="WRC7" s="4"/>
      <c r="WRD7" s="4"/>
      <c r="WRG7" s="34"/>
      <c r="WRH7" s="34"/>
      <c r="WRJ7" s="34"/>
      <c r="WRK7" s="72"/>
      <c r="WRL7" s="63"/>
      <c r="WRM7" s="34"/>
      <c r="WRN7" s="64"/>
      <c r="WRO7" s="4"/>
      <c r="WRP7" s="65"/>
      <c r="WRQ7" s="4"/>
      <c r="WRR7" s="4"/>
      <c r="WRS7" s="4"/>
      <c r="WRV7" s="34"/>
      <c r="WRW7" s="34"/>
      <c r="WRY7" s="34"/>
      <c r="WRZ7" s="72"/>
      <c r="WSA7" s="63"/>
      <c r="WSB7" s="34"/>
      <c r="WSC7" s="64"/>
      <c r="WSD7" s="4"/>
      <c r="WSE7" s="65"/>
      <c r="WSF7" s="4"/>
      <c r="WSG7" s="4"/>
      <c r="WSH7" s="4"/>
      <c r="WSK7" s="34"/>
      <c r="WSL7" s="34"/>
      <c r="WSN7" s="34"/>
      <c r="WSO7" s="72"/>
      <c r="WSP7" s="63"/>
      <c r="WSQ7" s="34"/>
      <c r="WSR7" s="64"/>
      <c r="WSS7" s="4"/>
      <c r="WST7" s="65"/>
      <c r="WSU7" s="4"/>
      <c r="WSV7" s="4"/>
      <c r="WSW7" s="4"/>
      <c r="WSZ7" s="34"/>
      <c r="WTA7" s="34"/>
      <c r="WTC7" s="34"/>
      <c r="WTD7" s="72"/>
      <c r="WTE7" s="63"/>
      <c r="WTF7" s="34"/>
      <c r="WTG7" s="64"/>
      <c r="WTH7" s="4"/>
      <c r="WTI7" s="65"/>
      <c r="WTJ7" s="4"/>
      <c r="WTK7" s="4"/>
      <c r="WTL7" s="4"/>
      <c r="WTO7" s="34"/>
      <c r="WTP7" s="34"/>
      <c r="WTR7" s="34"/>
      <c r="WTS7" s="72"/>
      <c r="WTT7" s="63"/>
      <c r="WTU7" s="34"/>
      <c r="WTV7" s="64"/>
      <c r="WTW7" s="4"/>
      <c r="WTX7" s="65"/>
      <c r="WTY7" s="4"/>
      <c r="WTZ7" s="4"/>
      <c r="WUA7" s="4"/>
      <c r="WUD7" s="34"/>
      <c r="WUE7" s="34"/>
      <c r="WUG7" s="34"/>
      <c r="WUH7" s="72"/>
      <c r="WUI7" s="63"/>
      <c r="WUJ7" s="34"/>
      <c r="WUK7" s="64"/>
      <c r="WUL7" s="4"/>
      <c r="WUM7" s="65"/>
      <c r="WUN7" s="4"/>
      <c r="WUO7" s="4"/>
      <c r="WUP7" s="4"/>
      <c r="WUS7" s="34"/>
      <c r="WUT7" s="34"/>
      <c r="WUV7" s="34"/>
      <c r="WUW7" s="72"/>
      <c r="WUX7" s="63"/>
      <c r="WUY7" s="34"/>
      <c r="WUZ7" s="64"/>
      <c r="WVA7" s="4"/>
      <c r="WVB7" s="65"/>
      <c r="WVC7" s="4"/>
      <c r="WVD7" s="4"/>
      <c r="WVE7" s="4"/>
      <c r="WVH7" s="34"/>
      <c r="WVI7" s="34"/>
      <c r="WVK7" s="34"/>
      <c r="WVL7" s="72"/>
      <c r="WVM7" s="63"/>
      <c r="WVN7" s="34"/>
      <c r="WVO7" s="64"/>
      <c r="WVP7" s="4"/>
      <c r="WVQ7" s="65"/>
      <c r="WVR7" s="4"/>
      <c r="WVS7" s="4"/>
      <c r="WVT7" s="4"/>
      <c r="WVW7" s="34"/>
      <c r="WVX7" s="34"/>
      <c r="WVZ7" s="34"/>
      <c r="WWA7" s="72"/>
      <c r="WWB7" s="63"/>
      <c r="WWC7" s="34"/>
      <c r="WWD7" s="64"/>
      <c r="WWE7" s="4"/>
      <c r="WWF7" s="65"/>
      <c r="WWG7" s="4"/>
      <c r="WWH7" s="4"/>
      <c r="WWI7" s="4"/>
      <c r="WWL7" s="34"/>
      <c r="WWM7" s="34"/>
      <c r="WWO7" s="34"/>
      <c r="WWP7" s="72"/>
      <c r="WWQ7" s="63"/>
      <c r="WWR7" s="34"/>
      <c r="WWS7" s="64"/>
      <c r="WWT7" s="4"/>
      <c r="WWU7" s="65"/>
      <c r="WWV7" s="4"/>
      <c r="WWW7" s="4"/>
      <c r="WWX7" s="4"/>
      <c r="WXA7" s="34"/>
      <c r="WXB7" s="34"/>
      <c r="WXD7" s="34"/>
      <c r="WXE7" s="72"/>
      <c r="WXF7" s="63"/>
      <c r="WXG7" s="34"/>
      <c r="WXH7" s="64"/>
      <c r="WXI7" s="4"/>
      <c r="WXJ7" s="65"/>
      <c r="WXK7" s="4"/>
      <c r="WXL7" s="4"/>
      <c r="WXM7" s="4"/>
      <c r="WXP7" s="34"/>
      <c r="WXQ7" s="34"/>
      <c r="WXS7" s="34"/>
      <c r="WXT7" s="72"/>
      <c r="WXU7" s="63"/>
      <c r="WXV7" s="34"/>
      <c r="WXW7" s="64"/>
      <c r="WXX7" s="4"/>
      <c r="WXY7" s="65"/>
      <c r="WXZ7" s="4"/>
      <c r="WYA7" s="4"/>
      <c r="WYB7" s="4"/>
      <c r="WYE7" s="34"/>
      <c r="WYF7" s="34"/>
      <c r="WYH7" s="34"/>
      <c r="WYI7" s="72"/>
      <c r="WYJ7" s="63"/>
      <c r="WYK7" s="34"/>
      <c r="WYL7" s="64"/>
      <c r="WYM7" s="4"/>
      <c r="WYN7" s="65"/>
      <c r="WYO7" s="4"/>
      <c r="WYP7" s="4"/>
      <c r="WYQ7" s="4"/>
      <c r="WYT7" s="34"/>
      <c r="WYU7" s="34"/>
      <c r="WYW7" s="34"/>
      <c r="WYX7" s="72"/>
      <c r="WYY7" s="63"/>
      <c r="WYZ7" s="34"/>
      <c r="WZA7" s="64"/>
      <c r="WZB7" s="4"/>
      <c r="WZC7" s="65"/>
      <c r="WZD7" s="4"/>
      <c r="WZE7" s="4"/>
      <c r="WZF7" s="4"/>
      <c r="WZI7" s="34"/>
      <c r="WZJ7" s="34"/>
      <c r="WZL7" s="34"/>
      <c r="WZM7" s="72"/>
      <c r="WZN7" s="63"/>
      <c r="WZO7" s="34"/>
      <c r="WZP7" s="64"/>
      <c r="WZQ7" s="4"/>
      <c r="WZR7" s="65"/>
      <c r="WZS7" s="4"/>
      <c r="WZT7" s="4"/>
      <c r="WZU7" s="4"/>
      <c r="WZX7" s="34"/>
      <c r="WZY7" s="34"/>
      <c r="XAA7" s="34"/>
      <c r="XAB7" s="72"/>
      <c r="XAC7" s="63"/>
      <c r="XAD7" s="34"/>
      <c r="XAE7" s="64"/>
      <c r="XAF7" s="4"/>
      <c r="XAG7" s="65"/>
      <c r="XAH7" s="4"/>
      <c r="XAI7" s="4"/>
      <c r="XAJ7" s="4"/>
      <c r="XAM7" s="34"/>
      <c r="XAN7" s="34"/>
      <c r="XAP7" s="34"/>
      <c r="XAQ7" s="72"/>
      <c r="XAR7" s="63"/>
      <c r="XAS7" s="34"/>
      <c r="XAT7" s="64"/>
      <c r="XAU7" s="4"/>
      <c r="XAV7" s="65"/>
      <c r="XAW7" s="4"/>
      <c r="XAX7" s="4"/>
      <c r="XAY7" s="4"/>
      <c r="XBB7" s="34"/>
      <c r="XBC7" s="34"/>
      <c r="XBE7" s="34"/>
      <c r="XBF7" s="72"/>
      <c r="XBG7" s="63"/>
      <c r="XBH7" s="34"/>
      <c r="XBI7" s="64"/>
      <c r="XBJ7" s="4"/>
      <c r="XBK7" s="65"/>
      <c r="XBL7" s="4"/>
      <c r="XBM7" s="4"/>
      <c r="XBN7" s="4"/>
      <c r="XBQ7" s="34"/>
      <c r="XBR7" s="34"/>
      <c r="XBT7" s="34"/>
      <c r="XBU7" s="72"/>
      <c r="XBV7" s="63"/>
      <c r="XBW7" s="34"/>
      <c r="XBX7" s="64"/>
      <c r="XBY7" s="4"/>
      <c r="XBZ7" s="65"/>
      <c r="XCA7" s="4"/>
      <c r="XCB7" s="4"/>
      <c r="XCC7" s="4"/>
      <c r="XCF7" s="34"/>
      <c r="XCG7" s="34"/>
      <c r="XCI7" s="34"/>
      <c r="XCJ7" s="72"/>
      <c r="XCK7" s="63"/>
      <c r="XCL7" s="34"/>
      <c r="XCM7" s="64"/>
      <c r="XCN7" s="4"/>
      <c r="XCO7" s="65"/>
      <c r="XCP7" s="4"/>
      <c r="XCQ7" s="4"/>
      <c r="XCR7" s="4"/>
      <c r="XCU7" s="34"/>
      <c r="XCV7" s="34"/>
      <c r="XCX7" s="34"/>
      <c r="XCY7" s="72"/>
      <c r="XCZ7" s="63"/>
      <c r="XDA7" s="34"/>
      <c r="XDB7" s="64"/>
      <c r="XDC7" s="4"/>
      <c r="XDD7" s="65"/>
      <c r="XDE7" s="4"/>
      <c r="XDF7" s="4"/>
      <c r="XDG7" s="4"/>
      <c r="XDJ7" s="34"/>
      <c r="XDK7" s="34"/>
      <c r="XDM7" s="34"/>
      <c r="XDN7" s="72"/>
      <c r="XDO7" s="63"/>
      <c r="XDP7" s="34"/>
      <c r="XDQ7" s="64"/>
      <c r="XDR7" s="4"/>
      <c r="XDS7" s="65"/>
      <c r="XDT7" s="4"/>
      <c r="XDU7" s="4"/>
      <c r="XDV7" s="4"/>
      <c r="XDY7" s="34"/>
      <c r="XDZ7" s="34"/>
      <c r="XEB7" s="34"/>
      <c r="XEC7" s="72"/>
      <c r="XED7" s="63"/>
      <c r="XEE7" s="34"/>
      <c r="XEF7" s="64"/>
      <c r="XEG7" s="4"/>
      <c r="XEH7" s="65"/>
      <c r="XEI7" s="4"/>
      <c r="XEJ7" s="4"/>
      <c r="XEK7" s="4"/>
      <c r="XEN7" s="34"/>
      <c r="XEO7" s="34"/>
      <c r="XEQ7" s="34"/>
      <c r="XER7" s="72"/>
      <c r="XES7" s="63"/>
      <c r="XET7" s="34"/>
      <c r="XEU7" s="64"/>
      <c r="XEV7" s="4"/>
      <c r="XEW7" s="65"/>
      <c r="XEX7" s="4"/>
      <c r="XEY7" s="4"/>
      <c r="XEZ7" s="4"/>
      <c r="XFC7" s="34"/>
      <c r="XFD7" s="34"/>
    </row>
    <row r="8" spans="1:1024 1026:4095 4098:5119 5121:8190 8193:15360 15363:16384" x14ac:dyDescent="0.3">
      <c r="A8">
        <v>0</v>
      </c>
      <c r="B8">
        <v>0</v>
      </c>
      <c r="C8" s="34">
        <v>0.34128910331000051</v>
      </c>
      <c r="D8" s="34">
        <v>0.38708358673024368</v>
      </c>
      <c r="E8">
        <v>6</v>
      </c>
      <c r="F8" s="63">
        <v>1.9300000000000001E-3</v>
      </c>
      <c r="G8" s="90">
        <v>1.0949103310000501E-2</v>
      </c>
      <c r="H8" s="34">
        <v>-5.0820484591374403E-3</v>
      </c>
      <c r="I8" s="34">
        <v>0.6227544910179641</v>
      </c>
      <c r="J8" s="64">
        <v>0.62790697674418605</v>
      </c>
      <c r="K8" s="4">
        <v>0.63529411764705879</v>
      </c>
      <c r="L8" s="65">
        <v>0.63157894736842102</v>
      </c>
      <c r="M8" s="4">
        <v>0.61728395061728392</v>
      </c>
      <c r="N8" s="4">
        <v>0.6097560975609756</v>
      </c>
      <c r="O8" s="4">
        <v>0.61349693251533743</v>
      </c>
      <c r="R8" s="34"/>
      <c r="S8" s="34"/>
      <c r="U8" s="34"/>
      <c r="V8" s="72"/>
      <c r="W8" s="63"/>
      <c r="X8" s="34"/>
      <c r="Y8" s="64"/>
      <c r="Z8" s="4"/>
      <c r="AA8" s="65"/>
      <c r="AB8" s="4"/>
      <c r="AC8" s="4"/>
      <c r="AD8" s="4"/>
      <c r="AG8" s="34"/>
      <c r="AH8" s="34"/>
      <c r="AJ8" s="34"/>
      <c r="AK8" s="72"/>
      <c r="AL8" s="63"/>
      <c r="AM8" s="34"/>
      <c r="AN8" s="64"/>
      <c r="AO8" s="4"/>
      <c r="AP8" s="65"/>
      <c r="AQ8" s="4"/>
      <c r="AR8" s="4"/>
      <c r="AS8" s="4"/>
      <c r="AV8" s="34"/>
      <c r="AW8" s="34"/>
      <c r="AY8" s="34"/>
      <c r="AZ8" s="72"/>
      <c r="BA8" s="63"/>
      <c r="BB8" s="34"/>
      <c r="BC8" s="64"/>
      <c r="BD8" s="4"/>
      <c r="BE8" s="65"/>
      <c r="BF8" s="4"/>
      <c r="BG8" s="4"/>
      <c r="BH8" s="4"/>
      <c r="BK8" s="34"/>
      <c r="BL8" s="34"/>
      <c r="BN8" s="34"/>
      <c r="BO8" s="72"/>
      <c r="BP8" s="63"/>
      <c r="BQ8" s="34"/>
      <c r="BR8" s="64"/>
      <c r="BS8" s="4"/>
      <c r="BT8" s="65"/>
      <c r="BU8" s="4"/>
      <c r="BV8" s="4"/>
      <c r="BW8" s="4"/>
      <c r="BZ8" s="34"/>
      <c r="CA8" s="34"/>
      <c r="CC8" s="34"/>
      <c r="CD8" s="72"/>
      <c r="CE8" s="63"/>
      <c r="CF8" s="34"/>
      <c r="CG8" s="64"/>
      <c r="CH8" s="4"/>
      <c r="CI8" s="65"/>
      <c r="CJ8" s="4"/>
      <c r="CK8" s="4"/>
      <c r="CL8" s="4"/>
      <c r="CO8" s="34"/>
      <c r="CP8" s="34"/>
      <c r="CR8" s="34"/>
      <c r="CS8" s="72"/>
      <c r="CT8" s="63"/>
      <c r="CU8" s="34"/>
      <c r="CV8" s="64"/>
      <c r="CW8" s="4"/>
      <c r="CX8" s="65"/>
      <c r="CY8" s="4"/>
      <c r="CZ8" s="4"/>
      <c r="DA8" s="4"/>
      <c r="DD8" s="34"/>
      <c r="DE8" s="34"/>
      <c r="DG8" s="34"/>
      <c r="DH8" s="72"/>
      <c r="DI8" s="63"/>
      <c r="DJ8" s="34"/>
      <c r="DK8" s="64"/>
      <c r="DL8" s="4"/>
      <c r="DM8" s="65"/>
      <c r="DN8" s="4"/>
      <c r="DO8" s="4"/>
      <c r="DP8" s="4"/>
      <c r="DS8" s="34"/>
      <c r="DT8" s="34"/>
      <c r="DV8" s="34"/>
      <c r="DW8" s="72"/>
      <c r="DX8" s="63"/>
      <c r="DY8" s="34"/>
      <c r="DZ8" s="64"/>
      <c r="EA8" s="4"/>
      <c r="EB8" s="65"/>
      <c r="EC8" s="4"/>
      <c r="ED8" s="4"/>
      <c r="EE8" s="4"/>
      <c r="EH8" s="34"/>
      <c r="EI8" s="34"/>
      <c r="EK8" s="34"/>
      <c r="EL8" s="72"/>
      <c r="EM8" s="63"/>
      <c r="EN8" s="34"/>
      <c r="EO8" s="64"/>
      <c r="EP8" s="4"/>
      <c r="EQ8" s="65"/>
      <c r="ER8" s="4"/>
      <c r="ES8" s="4"/>
      <c r="ET8" s="4"/>
      <c r="EW8" s="34"/>
      <c r="EX8" s="34"/>
      <c r="EZ8" s="34"/>
      <c r="FA8" s="72"/>
      <c r="FB8" s="63"/>
      <c r="FC8" s="34"/>
      <c r="FD8" s="64"/>
      <c r="FE8" s="4"/>
      <c r="FF8" s="65"/>
      <c r="FG8" s="4"/>
      <c r="FH8" s="4"/>
      <c r="FI8" s="4"/>
      <c r="FL8" s="34"/>
      <c r="FM8" s="34"/>
      <c r="FO8" s="34"/>
      <c r="FP8" s="72"/>
      <c r="FQ8" s="63"/>
      <c r="FR8" s="34"/>
      <c r="FS8" s="64"/>
      <c r="FT8" s="4"/>
      <c r="FU8" s="65"/>
      <c r="FV8" s="4"/>
      <c r="FW8" s="4"/>
      <c r="FX8" s="4"/>
      <c r="GA8" s="34"/>
      <c r="GB8" s="34"/>
      <c r="GD8" s="34"/>
      <c r="GE8" s="72"/>
      <c r="GF8" s="63"/>
      <c r="GG8" s="34"/>
      <c r="GH8" s="64"/>
      <c r="GI8" s="4"/>
      <c r="GJ8" s="65"/>
      <c r="GK8" s="4"/>
      <c r="GL8" s="4"/>
      <c r="GM8" s="4"/>
      <c r="GP8" s="34"/>
      <c r="GQ8" s="34"/>
      <c r="GS8" s="34"/>
      <c r="GT8" s="72"/>
      <c r="GU8" s="63"/>
      <c r="GV8" s="34"/>
      <c r="GW8" s="64"/>
      <c r="GX8" s="4"/>
      <c r="GY8" s="65"/>
      <c r="GZ8" s="4"/>
      <c r="HA8" s="4"/>
      <c r="HB8" s="4"/>
      <c r="HE8" s="34"/>
      <c r="HF8" s="34"/>
      <c r="HH8" s="34"/>
      <c r="HI8" s="72"/>
      <c r="HJ8" s="63"/>
      <c r="HK8" s="34"/>
      <c r="HL8" s="64"/>
      <c r="HM8" s="4"/>
      <c r="HN8" s="65"/>
      <c r="HO8" s="4"/>
      <c r="HP8" s="4"/>
      <c r="HQ8" s="4"/>
      <c r="HT8" s="34"/>
      <c r="HU8" s="34"/>
      <c r="HW8" s="34"/>
      <c r="HX8" s="72"/>
      <c r="HY8" s="63"/>
      <c r="HZ8" s="34"/>
      <c r="IA8" s="64"/>
      <c r="IB8" s="4"/>
      <c r="IC8" s="65"/>
      <c r="ID8" s="4"/>
      <c r="IE8" s="4"/>
      <c r="IF8" s="4"/>
      <c r="II8" s="34"/>
      <c r="IJ8" s="34"/>
      <c r="IL8" s="34"/>
      <c r="IM8" s="72"/>
      <c r="IN8" s="63"/>
      <c r="IO8" s="34"/>
      <c r="IP8" s="64"/>
      <c r="IQ8" s="4"/>
      <c r="IR8" s="65"/>
      <c r="IS8" s="4"/>
      <c r="IT8" s="4"/>
      <c r="IU8" s="4"/>
      <c r="IX8" s="34"/>
      <c r="IY8" s="34"/>
      <c r="JA8" s="34"/>
      <c r="JB8" s="72"/>
      <c r="JC8" s="63"/>
      <c r="JD8" s="34"/>
      <c r="JE8" s="64"/>
      <c r="JF8" s="4"/>
      <c r="JG8" s="65"/>
      <c r="JH8" s="4"/>
      <c r="JI8" s="4"/>
      <c r="JJ8" s="4"/>
      <c r="JM8" s="34"/>
      <c r="JN8" s="34"/>
      <c r="JP8" s="34"/>
      <c r="JQ8" s="72"/>
      <c r="JR8" s="63"/>
      <c r="JS8" s="34"/>
      <c r="JT8" s="64"/>
      <c r="JU8" s="4"/>
      <c r="JV8" s="65"/>
      <c r="JW8" s="4"/>
      <c r="JX8" s="4"/>
      <c r="JY8" s="4"/>
      <c r="KB8" s="34"/>
      <c r="KC8" s="34"/>
      <c r="KE8" s="34"/>
      <c r="KF8" s="72"/>
      <c r="KG8" s="63"/>
      <c r="KH8" s="34"/>
      <c r="KI8" s="64"/>
      <c r="KJ8" s="4"/>
      <c r="KK8" s="65"/>
      <c r="KL8" s="4"/>
      <c r="KM8" s="4"/>
      <c r="KN8" s="4"/>
      <c r="KQ8" s="34"/>
      <c r="KR8" s="34"/>
      <c r="KT8" s="34"/>
      <c r="KU8" s="72"/>
      <c r="KV8" s="63"/>
      <c r="KW8" s="34"/>
      <c r="KX8" s="64"/>
      <c r="KY8" s="4"/>
      <c r="KZ8" s="65"/>
      <c r="LA8" s="4"/>
      <c r="LB8" s="4"/>
      <c r="LC8" s="4"/>
      <c r="LF8" s="34"/>
      <c r="LG8" s="34"/>
      <c r="LI8" s="34"/>
      <c r="LJ8" s="72"/>
      <c r="LK8" s="63"/>
      <c r="LL8" s="34"/>
      <c r="LM8" s="64"/>
      <c r="LN8" s="4"/>
      <c r="LO8" s="65"/>
      <c r="LP8" s="4"/>
      <c r="LQ8" s="4"/>
      <c r="LR8" s="4"/>
      <c r="LU8" s="34"/>
      <c r="LV8" s="34"/>
      <c r="LX8" s="34"/>
      <c r="LY8" s="72"/>
      <c r="LZ8" s="63"/>
      <c r="MA8" s="34"/>
      <c r="MB8" s="64"/>
      <c r="MC8" s="4"/>
      <c r="MD8" s="65"/>
      <c r="ME8" s="4"/>
      <c r="MF8" s="4"/>
      <c r="MG8" s="4"/>
      <c r="MJ8" s="34"/>
      <c r="MK8" s="34"/>
      <c r="MM8" s="34"/>
      <c r="MN8" s="72"/>
      <c r="MO8" s="63"/>
      <c r="MP8" s="34"/>
      <c r="MQ8" s="64"/>
      <c r="MR8" s="4"/>
      <c r="MS8" s="65"/>
      <c r="MT8" s="4"/>
      <c r="MU8" s="4"/>
      <c r="MV8" s="4"/>
      <c r="MY8" s="34"/>
      <c r="MZ8" s="34"/>
      <c r="NB8" s="34"/>
      <c r="NC8" s="72"/>
      <c r="ND8" s="63"/>
      <c r="NE8" s="34"/>
      <c r="NF8" s="64"/>
      <c r="NG8" s="4"/>
      <c r="NH8" s="65"/>
      <c r="NI8" s="4"/>
      <c r="NJ8" s="4"/>
      <c r="NK8" s="4"/>
      <c r="NN8" s="34"/>
      <c r="NO8" s="34"/>
      <c r="NQ8" s="34"/>
      <c r="NR8" s="72"/>
      <c r="NS8" s="63"/>
      <c r="NT8" s="34"/>
      <c r="NU8" s="64"/>
      <c r="NV8" s="4"/>
      <c r="NW8" s="65"/>
      <c r="NX8" s="4"/>
      <c r="NY8" s="4"/>
      <c r="NZ8" s="4"/>
      <c r="OC8" s="34"/>
      <c r="OD8" s="34"/>
      <c r="OF8" s="34"/>
      <c r="OG8" s="72"/>
      <c r="OH8" s="63"/>
      <c r="OI8" s="34"/>
      <c r="OJ8" s="64"/>
      <c r="OK8" s="4"/>
      <c r="OL8" s="65"/>
      <c r="OM8" s="4"/>
      <c r="ON8" s="4"/>
      <c r="OO8" s="4"/>
      <c r="OR8" s="34"/>
      <c r="OS8" s="34"/>
      <c r="OU8" s="34"/>
      <c r="OV8" s="72"/>
      <c r="OW8" s="63"/>
      <c r="OX8" s="34"/>
      <c r="OY8" s="64"/>
      <c r="OZ8" s="4"/>
      <c r="PA8" s="65"/>
      <c r="PB8" s="4"/>
      <c r="PC8" s="4"/>
      <c r="PD8" s="4"/>
      <c r="PG8" s="34"/>
      <c r="PH8" s="34"/>
      <c r="PJ8" s="34"/>
      <c r="PK8" s="72"/>
      <c r="PL8" s="63"/>
      <c r="PM8" s="34"/>
      <c r="PN8" s="64"/>
      <c r="PO8" s="4"/>
      <c r="PP8" s="65"/>
      <c r="PQ8" s="4"/>
      <c r="PR8" s="4"/>
      <c r="PS8" s="4"/>
      <c r="PV8" s="34"/>
      <c r="PW8" s="34"/>
      <c r="PY8" s="34"/>
      <c r="PZ8" s="72"/>
      <c r="QA8" s="63"/>
      <c r="QB8" s="34"/>
      <c r="QC8" s="64"/>
      <c r="QD8" s="4"/>
      <c r="QE8" s="65"/>
      <c r="QF8" s="4"/>
      <c r="QG8" s="4"/>
      <c r="QH8" s="4"/>
      <c r="QK8" s="34"/>
      <c r="QL8" s="34"/>
      <c r="QN8" s="34"/>
      <c r="QO8" s="72"/>
      <c r="QP8" s="63"/>
      <c r="QQ8" s="34"/>
      <c r="QR8" s="64"/>
      <c r="QS8" s="4"/>
      <c r="QT8" s="65"/>
      <c r="QU8" s="4"/>
      <c r="QV8" s="4"/>
      <c r="QW8" s="4"/>
      <c r="QZ8" s="34"/>
      <c r="RA8" s="34"/>
      <c r="RC8" s="34"/>
      <c r="RD8" s="72"/>
      <c r="RE8" s="63"/>
      <c r="RF8" s="34"/>
      <c r="RG8" s="64"/>
      <c r="RH8" s="4"/>
      <c r="RI8" s="65"/>
      <c r="RJ8" s="4"/>
      <c r="RK8" s="4"/>
      <c r="RL8" s="4"/>
      <c r="RO8" s="34"/>
      <c r="RP8" s="34"/>
      <c r="RR8" s="34"/>
      <c r="RS8" s="72"/>
      <c r="RT8" s="63"/>
      <c r="RU8" s="34"/>
      <c r="RV8" s="64"/>
      <c r="RW8" s="4"/>
      <c r="RX8" s="65"/>
      <c r="RY8" s="4"/>
      <c r="RZ8" s="4"/>
      <c r="SA8" s="4"/>
      <c r="SD8" s="34"/>
      <c r="SE8" s="34"/>
      <c r="SG8" s="34"/>
      <c r="SH8" s="72"/>
      <c r="SI8" s="63"/>
      <c r="SJ8" s="34"/>
      <c r="SK8" s="64"/>
      <c r="SL8" s="4"/>
      <c r="SM8" s="65"/>
      <c r="SN8" s="4"/>
      <c r="SO8" s="4"/>
      <c r="SP8" s="4"/>
      <c r="SS8" s="34"/>
      <c r="ST8" s="34"/>
      <c r="SV8" s="34"/>
      <c r="SW8" s="72"/>
      <c r="SX8" s="63"/>
      <c r="SY8" s="34"/>
      <c r="SZ8" s="64"/>
      <c r="TA8" s="4"/>
      <c r="TB8" s="65"/>
      <c r="TC8" s="4"/>
      <c r="TD8" s="4"/>
      <c r="TE8" s="4"/>
      <c r="TH8" s="34"/>
      <c r="TI8" s="34"/>
      <c r="TK8" s="34"/>
      <c r="TL8" s="72"/>
      <c r="TM8" s="63"/>
      <c r="TN8" s="34"/>
      <c r="TO8" s="64"/>
      <c r="TP8" s="4"/>
      <c r="TQ8" s="65"/>
      <c r="TR8" s="4"/>
      <c r="TS8" s="4"/>
      <c r="TT8" s="4"/>
      <c r="TW8" s="34"/>
      <c r="TX8" s="34"/>
      <c r="TZ8" s="34"/>
      <c r="UA8" s="72"/>
      <c r="UB8" s="63"/>
      <c r="UC8" s="34"/>
      <c r="UD8" s="64"/>
      <c r="UE8" s="4"/>
      <c r="UF8" s="65"/>
      <c r="UG8" s="4"/>
      <c r="UH8" s="4"/>
      <c r="UI8" s="4"/>
      <c r="UL8" s="34"/>
      <c r="UM8" s="34"/>
      <c r="UO8" s="34"/>
      <c r="UP8" s="72"/>
      <c r="UQ8" s="63"/>
      <c r="UR8" s="34"/>
      <c r="US8" s="64"/>
      <c r="UT8" s="4"/>
      <c r="UU8" s="65"/>
      <c r="UV8" s="4"/>
      <c r="UW8" s="4"/>
      <c r="UX8" s="4"/>
      <c r="VA8" s="34"/>
      <c r="VB8" s="34"/>
      <c r="VD8" s="34"/>
      <c r="VE8" s="72"/>
      <c r="VF8" s="63"/>
      <c r="VG8" s="34"/>
      <c r="VH8" s="64"/>
      <c r="VI8" s="4"/>
      <c r="VJ8" s="65"/>
      <c r="VK8" s="4"/>
      <c r="VL8" s="4"/>
      <c r="VM8" s="4"/>
      <c r="VP8" s="34"/>
      <c r="VQ8" s="34"/>
      <c r="VS8" s="34"/>
      <c r="VT8" s="72"/>
      <c r="VU8" s="63"/>
      <c r="VV8" s="34"/>
      <c r="VW8" s="64"/>
      <c r="VX8" s="4"/>
      <c r="VY8" s="65"/>
      <c r="VZ8" s="4"/>
      <c r="WA8" s="4"/>
      <c r="WB8" s="4"/>
      <c r="WE8" s="34"/>
      <c r="WF8" s="34"/>
      <c r="WH8" s="34"/>
      <c r="WI8" s="72"/>
      <c r="WJ8" s="63"/>
      <c r="WK8" s="34"/>
      <c r="WL8" s="64"/>
      <c r="WM8" s="4"/>
      <c r="WN8" s="65"/>
      <c r="WO8" s="4"/>
      <c r="WP8" s="4"/>
      <c r="WQ8" s="4"/>
      <c r="WT8" s="34"/>
      <c r="WU8" s="34"/>
      <c r="WW8" s="34"/>
      <c r="WX8" s="72"/>
      <c r="WY8" s="63"/>
      <c r="WZ8" s="34"/>
      <c r="XA8" s="64"/>
      <c r="XB8" s="4"/>
      <c r="XC8" s="65"/>
      <c r="XD8" s="4"/>
      <c r="XE8" s="4"/>
      <c r="XF8" s="4"/>
      <c r="XI8" s="34"/>
      <c r="XJ8" s="34"/>
      <c r="XL8" s="34"/>
      <c r="XM8" s="72"/>
      <c r="XN8" s="63"/>
      <c r="XO8" s="34"/>
      <c r="XP8" s="64"/>
      <c r="XQ8" s="4"/>
      <c r="XR8" s="65"/>
      <c r="XS8" s="4"/>
      <c r="XT8" s="4"/>
      <c r="XU8" s="4"/>
      <c r="XX8" s="34"/>
      <c r="XY8" s="34"/>
      <c r="YA8" s="34"/>
      <c r="YB8" s="72"/>
      <c r="YC8" s="63"/>
      <c r="YD8" s="34"/>
      <c r="YE8" s="64"/>
      <c r="YF8" s="4"/>
      <c r="YG8" s="65"/>
      <c r="YH8" s="4"/>
      <c r="YI8" s="4"/>
      <c r="YJ8" s="4"/>
      <c r="YM8" s="34"/>
      <c r="YN8" s="34"/>
      <c r="YP8" s="34"/>
      <c r="YQ8" s="72"/>
      <c r="YR8" s="63"/>
      <c r="YS8" s="34"/>
      <c r="YT8" s="64"/>
      <c r="YU8" s="4"/>
      <c r="YV8" s="65"/>
      <c r="YW8" s="4"/>
      <c r="YX8" s="4"/>
      <c r="YY8" s="4"/>
      <c r="ZB8" s="34"/>
      <c r="ZC8" s="34"/>
      <c r="ZE8" s="34"/>
      <c r="ZF8" s="72"/>
      <c r="ZG8" s="63"/>
      <c r="ZH8" s="34"/>
      <c r="ZI8" s="64"/>
      <c r="ZJ8" s="4"/>
      <c r="ZK8" s="65"/>
      <c r="ZL8" s="4"/>
      <c r="ZM8" s="4"/>
      <c r="ZN8" s="4"/>
      <c r="ZQ8" s="34"/>
      <c r="ZR8" s="34"/>
      <c r="ZT8" s="34"/>
      <c r="ZU8" s="72"/>
      <c r="ZV8" s="63"/>
      <c r="ZW8" s="34"/>
      <c r="ZX8" s="64"/>
      <c r="ZY8" s="4"/>
      <c r="ZZ8" s="65"/>
      <c r="AAA8" s="4"/>
      <c r="AAB8" s="4"/>
      <c r="AAC8" s="4"/>
      <c r="AAF8" s="34"/>
      <c r="AAG8" s="34"/>
      <c r="AAI8" s="34"/>
      <c r="AAJ8" s="72"/>
      <c r="AAK8" s="63"/>
      <c r="AAL8" s="34"/>
      <c r="AAM8" s="64"/>
      <c r="AAN8" s="4"/>
      <c r="AAO8" s="65"/>
      <c r="AAP8" s="4"/>
      <c r="AAQ8" s="4"/>
      <c r="AAR8" s="4"/>
      <c r="AAU8" s="34"/>
      <c r="AAV8" s="34"/>
      <c r="AAX8" s="34"/>
      <c r="AAY8" s="72"/>
      <c r="AAZ8" s="63"/>
      <c r="ABA8" s="34"/>
      <c r="ABB8" s="64"/>
      <c r="ABC8" s="4"/>
      <c r="ABD8" s="65"/>
      <c r="ABE8" s="4"/>
      <c r="ABF8" s="4"/>
      <c r="ABG8" s="4"/>
      <c r="ABJ8" s="34"/>
      <c r="ABK8" s="34"/>
      <c r="ABM8" s="34"/>
      <c r="ABN8" s="72"/>
      <c r="ABO8" s="63"/>
      <c r="ABP8" s="34"/>
      <c r="ABQ8" s="64"/>
      <c r="ABR8" s="4"/>
      <c r="ABS8" s="65"/>
      <c r="ABT8" s="4"/>
      <c r="ABU8" s="4"/>
      <c r="ABV8" s="4"/>
      <c r="ABY8" s="34"/>
      <c r="ABZ8" s="34"/>
      <c r="ACB8" s="34"/>
      <c r="ACC8" s="72"/>
      <c r="ACD8" s="63"/>
      <c r="ACE8" s="34"/>
      <c r="ACF8" s="64"/>
      <c r="ACG8" s="4"/>
      <c r="ACH8" s="65"/>
      <c r="ACI8" s="4"/>
      <c r="ACJ8" s="4"/>
      <c r="ACK8" s="4"/>
      <c r="ACN8" s="34"/>
      <c r="ACO8" s="34"/>
      <c r="ACQ8" s="34"/>
      <c r="ACR8" s="72"/>
      <c r="ACS8" s="63"/>
      <c r="ACT8" s="34"/>
      <c r="ACU8" s="64"/>
      <c r="ACV8" s="4"/>
      <c r="ACW8" s="65"/>
      <c r="ACX8" s="4"/>
      <c r="ACY8" s="4"/>
      <c r="ACZ8" s="4"/>
      <c r="ADC8" s="34"/>
      <c r="ADD8" s="34"/>
      <c r="ADF8" s="34"/>
      <c r="ADG8" s="72"/>
      <c r="ADH8" s="63"/>
      <c r="ADI8" s="34"/>
      <c r="ADJ8" s="64"/>
      <c r="ADK8" s="4"/>
      <c r="ADL8" s="65"/>
      <c r="ADM8" s="4"/>
      <c r="ADN8" s="4"/>
      <c r="ADO8" s="4"/>
      <c r="ADR8" s="34"/>
      <c r="ADS8" s="34"/>
      <c r="ADU8" s="34"/>
      <c r="ADV8" s="72"/>
      <c r="ADW8" s="63"/>
      <c r="ADX8" s="34"/>
      <c r="ADY8" s="64"/>
      <c r="ADZ8" s="4"/>
      <c r="AEA8" s="65"/>
      <c r="AEB8" s="4"/>
      <c r="AEC8" s="4"/>
      <c r="AED8" s="4"/>
      <c r="AEG8" s="34"/>
      <c r="AEH8" s="34"/>
      <c r="AEJ8" s="34"/>
      <c r="AEK8" s="72"/>
      <c r="AEL8" s="63"/>
      <c r="AEM8" s="34"/>
      <c r="AEN8" s="64"/>
      <c r="AEO8" s="4"/>
      <c r="AEP8" s="65"/>
      <c r="AEQ8" s="4"/>
      <c r="AER8" s="4"/>
      <c r="AES8" s="4"/>
      <c r="AEV8" s="34"/>
      <c r="AEW8" s="34"/>
      <c r="AEY8" s="34"/>
      <c r="AEZ8" s="72"/>
      <c r="AFA8" s="63"/>
      <c r="AFB8" s="34"/>
      <c r="AFC8" s="64"/>
      <c r="AFD8" s="4"/>
      <c r="AFE8" s="65"/>
      <c r="AFF8" s="4"/>
      <c r="AFG8" s="4"/>
      <c r="AFH8" s="4"/>
      <c r="AFK8" s="34"/>
      <c r="AFL8" s="34"/>
      <c r="AFN8" s="34"/>
      <c r="AFO8" s="72"/>
      <c r="AFP8" s="63"/>
      <c r="AFQ8" s="34"/>
      <c r="AFR8" s="64"/>
      <c r="AFS8" s="4"/>
      <c r="AFT8" s="65"/>
      <c r="AFU8" s="4"/>
      <c r="AFV8" s="4"/>
      <c r="AFW8" s="4"/>
      <c r="AFZ8" s="34"/>
      <c r="AGA8" s="34"/>
      <c r="AGC8" s="34"/>
      <c r="AGD8" s="72"/>
      <c r="AGE8" s="63"/>
      <c r="AGF8" s="34"/>
      <c r="AGG8" s="64"/>
      <c r="AGH8" s="4"/>
      <c r="AGI8" s="65"/>
      <c r="AGJ8" s="4"/>
      <c r="AGK8" s="4"/>
      <c r="AGL8" s="4"/>
      <c r="AGO8" s="34"/>
      <c r="AGP8" s="34"/>
      <c r="AGR8" s="34"/>
      <c r="AGS8" s="72"/>
      <c r="AGT8" s="63"/>
      <c r="AGU8" s="34"/>
      <c r="AGV8" s="64"/>
      <c r="AGW8" s="4"/>
      <c r="AGX8" s="65"/>
      <c r="AGY8" s="4"/>
      <c r="AGZ8" s="4"/>
      <c r="AHA8" s="4"/>
      <c r="AHD8" s="34"/>
      <c r="AHE8" s="34"/>
      <c r="AHG8" s="34"/>
      <c r="AHH8" s="72"/>
      <c r="AHI8" s="63"/>
      <c r="AHJ8" s="34"/>
      <c r="AHK8" s="64"/>
      <c r="AHL8" s="4"/>
      <c r="AHM8" s="65"/>
      <c r="AHN8" s="4"/>
      <c r="AHO8" s="4"/>
      <c r="AHP8" s="4"/>
      <c r="AHS8" s="34"/>
      <c r="AHT8" s="34"/>
      <c r="AHV8" s="34"/>
      <c r="AHW8" s="72"/>
      <c r="AHX8" s="63"/>
      <c r="AHY8" s="34"/>
      <c r="AHZ8" s="64"/>
      <c r="AIA8" s="4"/>
      <c r="AIB8" s="65"/>
      <c r="AIC8" s="4"/>
      <c r="AID8" s="4"/>
      <c r="AIE8" s="4"/>
      <c r="AIH8" s="34"/>
      <c r="AII8" s="34"/>
      <c r="AIK8" s="34"/>
      <c r="AIL8" s="72"/>
      <c r="AIM8" s="63"/>
      <c r="AIN8" s="34"/>
      <c r="AIO8" s="64"/>
      <c r="AIP8" s="4"/>
      <c r="AIQ8" s="65"/>
      <c r="AIR8" s="4"/>
      <c r="AIS8" s="4"/>
      <c r="AIT8" s="4"/>
      <c r="AIW8" s="34"/>
      <c r="AIX8" s="34"/>
      <c r="AIZ8" s="34"/>
      <c r="AJA8" s="72"/>
      <c r="AJB8" s="63"/>
      <c r="AJC8" s="34"/>
      <c r="AJD8" s="64"/>
      <c r="AJE8" s="4"/>
      <c r="AJF8" s="65"/>
      <c r="AJG8" s="4"/>
      <c r="AJH8" s="4"/>
      <c r="AJI8" s="4"/>
      <c r="AJL8" s="34"/>
      <c r="AJM8" s="34"/>
      <c r="AJO8" s="34"/>
      <c r="AJP8" s="72"/>
      <c r="AJQ8" s="63"/>
      <c r="AJR8" s="34"/>
      <c r="AJS8" s="64"/>
      <c r="AJT8" s="4"/>
      <c r="AJU8" s="65"/>
      <c r="AJV8" s="4"/>
      <c r="AJW8" s="4"/>
      <c r="AJX8" s="4"/>
      <c r="AKA8" s="34"/>
      <c r="AKB8" s="34"/>
      <c r="AKD8" s="34"/>
      <c r="AKE8" s="72"/>
      <c r="AKF8" s="63"/>
      <c r="AKG8" s="34"/>
      <c r="AKH8" s="64"/>
      <c r="AKI8" s="4"/>
      <c r="AKJ8" s="65"/>
      <c r="AKK8" s="4"/>
      <c r="AKL8" s="4"/>
      <c r="AKM8" s="4"/>
      <c r="AKP8" s="34"/>
      <c r="AKQ8" s="34"/>
      <c r="AKS8" s="34"/>
      <c r="AKT8" s="72"/>
      <c r="AKU8" s="63"/>
      <c r="AKV8" s="34"/>
      <c r="AKW8" s="64"/>
      <c r="AKX8" s="4"/>
      <c r="AKY8" s="65"/>
      <c r="AKZ8" s="4"/>
      <c r="ALA8" s="4"/>
      <c r="ALB8" s="4"/>
      <c r="ALE8" s="34"/>
      <c r="ALF8" s="34"/>
      <c r="ALH8" s="34"/>
      <c r="ALI8" s="72"/>
      <c r="ALJ8" s="63"/>
      <c r="ALK8" s="34"/>
      <c r="ALL8" s="64"/>
      <c r="ALM8" s="4"/>
      <c r="ALN8" s="65"/>
      <c r="ALO8" s="4"/>
      <c r="ALP8" s="4"/>
      <c r="ALQ8" s="4"/>
      <c r="ALT8" s="34"/>
      <c r="ALU8" s="34"/>
      <c r="ALW8" s="34"/>
      <c r="ALX8" s="72"/>
      <c r="ALY8" s="63"/>
      <c r="ALZ8" s="34"/>
      <c r="AMA8" s="64"/>
      <c r="AMB8" s="4"/>
      <c r="AMC8" s="65"/>
      <c r="AMD8" s="4"/>
      <c r="AME8" s="4"/>
      <c r="AMF8" s="4"/>
      <c r="AMI8" s="34"/>
      <c r="AMJ8" s="34"/>
      <c r="AML8" s="34"/>
      <c r="AMM8" s="72"/>
      <c r="AMN8" s="63"/>
      <c r="AMO8" s="34"/>
      <c r="AMP8" s="64"/>
      <c r="AMQ8" s="4"/>
      <c r="AMR8" s="65"/>
      <c r="AMS8" s="4"/>
      <c r="AMT8" s="4"/>
      <c r="AMU8" s="4"/>
      <c r="AMX8" s="34"/>
      <c r="AMY8" s="34"/>
      <c r="ANA8" s="34"/>
      <c r="ANB8" s="72"/>
      <c r="ANC8" s="63"/>
      <c r="AND8" s="34"/>
      <c r="ANE8" s="64"/>
      <c r="ANF8" s="4"/>
      <c r="ANG8" s="65"/>
      <c r="ANH8" s="4"/>
      <c r="ANI8" s="4"/>
      <c r="ANJ8" s="4"/>
      <c r="ANM8" s="34"/>
      <c r="ANN8" s="34"/>
      <c r="ANP8" s="34"/>
      <c r="ANQ8" s="72"/>
      <c r="ANR8" s="63"/>
      <c r="ANS8" s="34"/>
      <c r="ANT8" s="64"/>
      <c r="ANU8" s="4"/>
      <c r="ANV8" s="65"/>
      <c r="ANW8" s="4"/>
      <c r="ANX8" s="4"/>
      <c r="ANY8" s="4"/>
      <c r="AOB8" s="34"/>
      <c r="AOC8" s="34"/>
      <c r="AOE8" s="34"/>
      <c r="AOF8" s="72"/>
      <c r="AOG8" s="63"/>
      <c r="AOH8" s="34"/>
      <c r="AOI8" s="64"/>
      <c r="AOJ8" s="4"/>
      <c r="AOK8" s="65"/>
      <c r="AOL8" s="4"/>
      <c r="AOM8" s="4"/>
      <c r="AON8" s="4"/>
      <c r="AOQ8" s="34"/>
      <c r="AOR8" s="34"/>
      <c r="AOT8" s="34"/>
      <c r="AOU8" s="72"/>
      <c r="AOV8" s="63"/>
      <c r="AOW8" s="34"/>
      <c r="AOX8" s="64"/>
      <c r="AOY8" s="4"/>
      <c r="AOZ8" s="65"/>
      <c r="APA8" s="4"/>
      <c r="APB8" s="4"/>
      <c r="APC8" s="4"/>
      <c r="APF8" s="34"/>
      <c r="APG8" s="34"/>
      <c r="API8" s="34"/>
      <c r="APJ8" s="72"/>
      <c r="APK8" s="63"/>
      <c r="APL8" s="34"/>
      <c r="APM8" s="64"/>
      <c r="APN8" s="4"/>
      <c r="APO8" s="65"/>
      <c r="APP8" s="4"/>
      <c r="APQ8" s="4"/>
      <c r="APR8" s="4"/>
      <c r="APU8" s="34"/>
      <c r="APV8" s="34"/>
      <c r="APX8" s="34"/>
      <c r="APY8" s="72"/>
      <c r="APZ8" s="63"/>
      <c r="AQA8" s="34"/>
      <c r="AQB8" s="64"/>
      <c r="AQC8" s="4"/>
      <c r="AQD8" s="65"/>
      <c r="AQE8" s="4"/>
      <c r="AQF8" s="4"/>
      <c r="AQG8" s="4"/>
      <c r="AQJ8" s="34"/>
      <c r="AQK8" s="34"/>
      <c r="AQM8" s="34"/>
      <c r="AQN8" s="72"/>
      <c r="AQO8" s="63"/>
      <c r="AQP8" s="34"/>
      <c r="AQQ8" s="64"/>
      <c r="AQR8" s="4"/>
      <c r="AQS8" s="65"/>
      <c r="AQT8" s="4"/>
      <c r="AQU8" s="4"/>
      <c r="AQV8" s="4"/>
      <c r="AQY8" s="34"/>
      <c r="AQZ8" s="34"/>
      <c r="ARB8" s="34"/>
      <c r="ARC8" s="72"/>
      <c r="ARD8" s="63"/>
      <c r="ARE8" s="34"/>
      <c r="ARF8" s="64"/>
      <c r="ARG8" s="4"/>
      <c r="ARH8" s="65"/>
      <c r="ARI8" s="4"/>
      <c r="ARJ8" s="4"/>
      <c r="ARK8" s="4"/>
      <c r="ARN8" s="34"/>
      <c r="ARO8" s="34"/>
      <c r="ARQ8" s="34"/>
      <c r="ARR8" s="72"/>
      <c r="ARS8" s="63"/>
      <c r="ART8" s="34"/>
      <c r="ARU8" s="64"/>
      <c r="ARV8" s="4"/>
      <c r="ARW8" s="65"/>
      <c r="ARX8" s="4"/>
      <c r="ARY8" s="4"/>
      <c r="ARZ8" s="4"/>
      <c r="ASC8" s="34"/>
      <c r="ASD8" s="34"/>
      <c r="ASF8" s="34"/>
      <c r="ASG8" s="72"/>
      <c r="ASH8" s="63"/>
      <c r="ASI8" s="34"/>
      <c r="ASJ8" s="64"/>
      <c r="ASK8" s="4"/>
      <c r="ASL8" s="65"/>
      <c r="ASM8" s="4"/>
      <c r="ASN8" s="4"/>
      <c r="ASO8" s="4"/>
      <c r="ASR8" s="34"/>
      <c r="ASS8" s="34"/>
      <c r="ASU8" s="34"/>
      <c r="ASV8" s="72"/>
      <c r="ASW8" s="63"/>
      <c r="ASX8" s="34"/>
      <c r="ASY8" s="64"/>
      <c r="ASZ8" s="4"/>
      <c r="ATA8" s="65"/>
      <c r="ATB8" s="4"/>
      <c r="ATC8" s="4"/>
      <c r="ATD8" s="4"/>
      <c r="ATG8" s="34"/>
      <c r="ATH8" s="34"/>
      <c r="ATJ8" s="34"/>
      <c r="ATK8" s="72"/>
      <c r="ATL8" s="63"/>
      <c r="ATM8" s="34"/>
      <c r="ATN8" s="64"/>
      <c r="ATO8" s="4"/>
      <c r="ATP8" s="65"/>
      <c r="ATQ8" s="4"/>
      <c r="ATR8" s="4"/>
      <c r="ATS8" s="4"/>
      <c r="ATV8" s="34"/>
      <c r="ATW8" s="34"/>
      <c r="ATY8" s="34"/>
      <c r="ATZ8" s="72"/>
      <c r="AUA8" s="63"/>
      <c r="AUB8" s="34"/>
      <c r="AUC8" s="64"/>
      <c r="AUD8" s="4"/>
      <c r="AUE8" s="65"/>
      <c r="AUF8" s="4"/>
      <c r="AUG8" s="4"/>
      <c r="AUH8" s="4"/>
      <c r="AUK8" s="34"/>
      <c r="AUL8" s="34"/>
      <c r="AUN8" s="34"/>
      <c r="AUO8" s="72"/>
      <c r="AUP8" s="63"/>
      <c r="AUQ8" s="34"/>
      <c r="AUR8" s="64"/>
      <c r="AUS8" s="4"/>
      <c r="AUT8" s="65"/>
      <c r="AUU8" s="4"/>
      <c r="AUV8" s="4"/>
      <c r="AUW8" s="4"/>
      <c r="AUZ8" s="34"/>
      <c r="AVA8" s="34"/>
      <c r="AVC8" s="34"/>
      <c r="AVD8" s="72"/>
      <c r="AVE8" s="63"/>
      <c r="AVF8" s="34"/>
      <c r="AVG8" s="64"/>
      <c r="AVH8" s="4"/>
      <c r="AVI8" s="65"/>
      <c r="AVJ8" s="4"/>
      <c r="AVK8" s="4"/>
      <c r="AVL8" s="4"/>
      <c r="AVO8" s="34"/>
      <c r="AVP8" s="34"/>
      <c r="AVR8" s="34"/>
      <c r="AVS8" s="72"/>
      <c r="AVT8" s="63"/>
      <c r="AVU8" s="34"/>
      <c r="AVV8" s="64"/>
      <c r="AVW8" s="4"/>
      <c r="AVX8" s="65"/>
      <c r="AVY8" s="4"/>
      <c r="AVZ8" s="4"/>
      <c r="AWA8" s="4"/>
      <c r="AWD8" s="34"/>
      <c r="AWE8" s="34"/>
      <c r="AWG8" s="34"/>
      <c r="AWH8" s="72"/>
      <c r="AWI8" s="63"/>
      <c r="AWJ8" s="34"/>
      <c r="AWK8" s="64"/>
      <c r="AWL8" s="4"/>
      <c r="AWM8" s="65"/>
      <c r="AWN8" s="4"/>
      <c r="AWO8" s="4"/>
      <c r="AWP8" s="4"/>
      <c r="AWS8" s="34"/>
      <c r="AWT8" s="34"/>
      <c r="AWV8" s="34"/>
      <c r="AWW8" s="72"/>
      <c r="AWX8" s="63"/>
      <c r="AWY8" s="34"/>
      <c r="AWZ8" s="64"/>
      <c r="AXA8" s="4"/>
      <c r="AXB8" s="65"/>
      <c r="AXC8" s="4"/>
      <c r="AXD8" s="4"/>
      <c r="AXE8" s="4"/>
      <c r="AXH8" s="34"/>
      <c r="AXI8" s="34"/>
      <c r="AXK8" s="34"/>
      <c r="AXL8" s="72"/>
      <c r="AXM8" s="63"/>
      <c r="AXN8" s="34"/>
      <c r="AXO8" s="64"/>
      <c r="AXP8" s="4"/>
      <c r="AXQ8" s="65"/>
      <c r="AXR8" s="4"/>
      <c r="AXS8" s="4"/>
      <c r="AXT8" s="4"/>
      <c r="AXW8" s="34"/>
      <c r="AXX8" s="34"/>
      <c r="AXZ8" s="34"/>
      <c r="AYA8" s="72"/>
      <c r="AYB8" s="63"/>
      <c r="AYC8" s="34"/>
      <c r="AYD8" s="64"/>
      <c r="AYE8" s="4"/>
      <c r="AYF8" s="65"/>
      <c r="AYG8" s="4"/>
      <c r="AYH8" s="4"/>
      <c r="AYI8" s="4"/>
      <c r="AYL8" s="34"/>
      <c r="AYM8" s="34"/>
      <c r="AYO8" s="34"/>
      <c r="AYP8" s="72"/>
      <c r="AYQ8" s="63"/>
      <c r="AYR8" s="34"/>
      <c r="AYS8" s="64"/>
      <c r="AYT8" s="4"/>
      <c r="AYU8" s="65"/>
      <c r="AYV8" s="4"/>
      <c r="AYW8" s="4"/>
      <c r="AYX8" s="4"/>
      <c r="AZA8" s="34"/>
      <c r="AZB8" s="34"/>
      <c r="AZD8" s="34"/>
      <c r="AZE8" s="72"/>
      <c r="AZF8" s="63"/>
      <c r="AZG8" s="34"/>
      <c r="AZH8" s="64"/>
      <c r="AZI8" s="4"/>
      <c r="AZJ8" s="65"/>
      <c r="AZK8" s="4"/>
      <c r="AZL8" s="4"/>
      <c r="AZM8" s="4"/>
      <c r="AZP8" s="34"/>
      <c r="AZQ8" s="34"/>
      <c r="AZS8" s="34"/>
      <c r="AZT8" s="72"/>
      <c r="AZU8" s="63"/>
      <c r="AZV8" s="34"/>
      <c r="AZW8" s="64"/>
      <c r="AZX8" s="4"/>
      <c r="AZY8" s="65"/>
      <c r="AZZ8" s="4"/>
      <c r="BAA8" s="4"/>
      <c r="BAB8" s="4"/>
      <c r="BAE8" s="34"/>
      <c r="BAF8" s="34"/>
      <c r="BAH8" s="34"/>
      <c r="BAI8" s="72"/>
      <c r="BAJ8" s="63"/>
      <c r="BAK8" s="34"/>
      <c r="BAL8" s="64"/>
      <c r="BAM8" s="4"/>
      <c r="BAN8" s="65"/>
      <c r="BAO8" s="4"/>
      <c r="BAP8" s="4"/>
      <c r="BAQ8" s="4"/>
      <c r="BAT8" s="34"/>
      <c r="BAU8" s="34"/>
      <c r="BAW8" s="34"/>
      <c r="BAX8" s="72"/>
      <c r="BAY8" s="63"/>
      <c r="BAZ8" s="34"/>
      <c r="BBA8" s="64"/>
      <c r="BBB8" s="4"/>
      <c r="BBC8" s="65"/>
      <c r="BBD8" s="4"/>
      <c r="BBE8" s="4"/>
      <c r="BBF8" s="4"/>
      <c r="BBI8" s="34"/>
      <c r="BBJ8" s="34"/>
      <c r="BBL8" s="34"/>
      <c r="BBM8" s="72"/>
      <c r="BBN8" s="63"/>
      <c r="BBO8" s="34"/>
      <c r="BBP8" s="64"/>
      <c r="BBQ8" s="4"/>
      <c r="BBR8" s="65"/>
      <c r="BBS8" s="4"/>
      <c r="BBT8" s="4"/>
      <c r="BBU8" s="4"/>
      <c r="BBX8" s="34"/>
      <c r="BBY8" s="34"/>
      <c r="BCA8" s="34"/>
      <c r="BCB8" s="72"/>
      <c r="BCC8" s="63"/>
      <c r="BCD8" s="34"/>
      <c r="BCE8" s="64"/>
      <c r="BCF8" s="4"/>
      <c r="BCG8" s="65"/>
      <c r="BCH8" s="4"/>
      <c r="BCI8" s="4"/>
      <c r="BCJ8" s="4"/>
      <c r="BCM8" s="34"/>
      <c r="BCN8" s="34"/>
      <c r="BCP8" s="34"/>
      <c r="BCQ8" s="72"/>
      <c r="BCR8" s="63"/>
      <c r="BCS8" s="34"/>
      <c r="BCT8" s="64"/>
      <c r="BCU8" s="4"/>
      <c r="BCV8" s="65"/>
      <c r="BCW8" s="4"/>
      <c r="BCX8" s="4"/>
      <c r="BCY8" s="4"/>
      <c r="BDB8" s="34"/>
      <c r="BDC8" s="34"/>
      <c r="BDE8" s="34"/>
      <c r="BDF8" s="72"/>
      <c r="BDG8" s="63"/>
      <c r="BDH8" s="34"/>
      <c r="BDI8" s="64"/>
      <c r="BDJ8" s="4"/>
      <c r="BDK8" s="65"/>
      <c r="BDL8" s="4"/>
      <c r="BDM8" s="4"/>
      <c r="BDN8" s="4"/>
      <c r="BDQ8" s="34"/>
      <c r="BDR8" s="34"/>
      <c r="BDT8" s="34"/>
      <c r="BDU8" s="72"/>
      <c r="BDV8" s="63"/>
      <c r="BDW8" s="34"/>
      <c r="BDX8" s="64"/>
      <c r="BDY8" s="4"/>
      <c r="BDZ8" s="65"/>
      <c r="BEA8" s="4"/>
      <c r="BEB8" s="4"/>
      <c r="BEC8" s="4"/>
      <c r="BEF8" s="34"/>
      <c r="BEG8" s="34"/>
      <c r="BEI8" s="34"/>
      <c r="BEJ8" s="72"/>
      <c r="BEK8" s="63"/>
      <c r="BEL8" s="34"/>
      <c r="BEM8" s="64"/>
      <c r="BEN8" s="4"/>
      <c r="BEO8" s="65"/>
      <c r="BEP8" s="4"/>
      <c r="BEQ8" s="4"/>
      <c r="BER8" s="4"/>
      <c r="BEU8" s="34"/>
      <c r="BEV8" s="34"/>
      <c r="BEX8" s="34"/>
      <c r="BEY8" s="72"/>
      <c r="BEZ8" s="63"/>
      <c r="BFA8" s="34"/>
      <c r="BFB8" s="64"/>
      <c r="BFC8" s="4"/>
      <c r="BFD8" s="65"/>
      <c r="BFE8" s="4"/>
      <c r="BFF8" s="4"/>
      <c r="BFG8" s="4"/>
      <c r="BFJ8" s="34"/>
      <c r="BFK8" s="34"/>
      <c r="BFM8" s="34"/>
      <c r="BFN8" s="72"/>
      <c r="BFO8" s="63"/>
      <c r="BFP8" s="34"/>
      <c r="BFQ8" s="64"/>
      <c r="BFR8" s="4"/>
      <c r="BFS8" s="65"/>
      <c r="BFT8" s="4"/>
      <c r="BFU8" s="4"/>
      <c r="BFV8" s="4"/>
      <c r="BFY8" s="34"/>
      <c r="BFZ8" s="34"/>
      <c r="BGB8" s="34"/>
      <c r="BGC8" s="72"/>
      <c r="BGD8" s="63"/>
      <c r="BGE8" s="34"/>
      <c r="BGF8" s="64"/>
      <c r="BGG8" s="4"/>
      <c r="BGH8" s="65"/>
      <c r="BGI8" s="4"/>
      <c r="BGJ8" s="4"/>
      <c r="BGK8" s="4"/>
      <c r="BGN8" s="34"/>
      <c r="BGO8" s="34"/>
      <c r="BGQ8" s="34"/>
      <c r="BGR8" s="72"/>
      <c r="BGS8" s="63"/>
      <c r="BGT8" s="34"/>
      <c r="BGU8" s="64"/>
      <c r="BGV8" s="4"/>
      <c r="BGW8" s="65"/>
      <c r="BGX8" s="4"/>
      <c r="BGY8" s="4"/>
      <c r="BGZ8" s="4"/>
      <c r="BHC8" s="34"/>
      <c r="BHD8" s="34"/>
      <c r="BHF8" s="34"/>
      <c r="BHG8" s="72"/>
      <c r="BHH8" s="63"/>
      <c r="BHI8" s="34"/>
      <c r="BHJ8" s="64"/>
      <c r="BHK8" s="4"/>
      <c r="BHL8" s="65"/>
      <c r="BHM8" s="4"/>
      <c r="BHN8" s="4"/>
      <c r="BHO8" s="4"/>
      <c r="BHR8" s="34"/>
      <c r="BHS8" s="34"/>
      <c r="BHU8" s="34"/>
      <c r="BHV8" s="72"/>
      <c r="BHW8" s="63"/>
      <c r="BHX8" s="34"/>
      <c r="BHY8" s="64"/>
      <c r="BHZ8" s="4"/>
      <c r="BIA8" s="65"/>
      <c r="BIB8" s="4"/>
      <c r="BIC8" s="4"/>
      <c r="BID8" s="4"/>
      <c r="BIG8" s="34"/>
      <c r="BIH8" s="34"/>
      <c r="BIJ8" s="34"/>
      <c r="BIK8" s="72"/>
      <c r="BIL8" s="63"/>
      <c r="BIM8" s="34"/>
      <c r="BIN8" s="64"/>
      <c r="BIO8" s="4"/>
      <c r="BIP8" s="65"/>
      <c r="BIQ8" s="4"/>
      <c r="BIR8" s="4"/>
      <c r="BIS8" s="4"/>
      <c r="BIV8" s="34"/>
      <c r="BIW8" s="34"/>
      <c r="BIY8" s="34"/>
      <c r="BIZ8" s="72"/>
      <c r="BJA8" s="63"/>
      <c r="BJB8" s="34"/>
      <c r="BJC8" s="64"/>
      <c r="BJD8" s="4"/>
      <c r="BJE8" s="65"/>
      <c r="BJF8" s="4"/>
      <c r="BJG8" s="4"/>
      <c r="BJH8" s="4"/>
      <c r="BJK8" s="34"/>
      <c r="BJL8" s="34"/>
      <c r="BJN8" s="34"/>
      <c r="BJO8" s="72"/>
      <c r="BJP8" s="63"/>
      <c r="BJQ8" s="34"/>
      <c r="BJR8" s="64"/>
      <c r="BJS8" s="4"/>
      <c r="BJT8" s="65"/>
      <c r="BJU8" s="4"/>
      <c r="BJV8" s="4"/>
      <c r="BJW8" s="4"/>
      <c r="BJZ8" s="34"/>
      <c r="BKA8" s="34"/>
      <c r="BKC8" s="34"/>
      <c r="BKD8" s="72"/>
      <c r="BKE8" s="63"/>
      <c r="BKF8" s="34"/>
      <c r="BKG8" s="64"/>
      <c r="BKH8" s="4"/>
      <c r="BKI8" s="65"/>
      <c r="BKJ8" s="4"/>
      <c r="BKK8" s="4"/>
      <c r="BKL8" s="4"/>
      <c r="BKO8" s="34"/>
      <c r="BKP8" s="34"/>
      <c r="BKR8" s="34"/>
      <c r="BKS8" s="72"/>
      <c r="BKT8" s="63"/>
      <c r="BKU8" s="34"/>
      <c r="BKV8" s="64"/>
      <c r="BKW8" s="4"/>
      <c r="BKX8" s="65"/>
      <c r="BKY8" s="4"/>
      <c r="BKZ8" s="4"/>
      <c r="BLA8" s="4"/>
      <c r="BLD8" s="34"/>
      <c r="BLE8" s="34"/>
      <c r="BLG8" s="34"/>
      <c r="BLH8" s="72"/>
      <c r="BLI8" s="63"/>
      <c r="BLJ8" s="34"/>
      <c r="BLK8" s="64"/>
      <c r="BLL8" s="4"/>
      <c r="BLM8" s="65"/>
      <c r="BLN8" s="4"/>
      <c r="BLO8" s="4"/>
      <c r="BLP8" s="4"/>
      <c r="BLS8" s="34"/>
      <c r="BLT8" s="34"/>
      <c r="BLV8" s="34"/>
      <c r="BLW8" s="72"/>
      <c r="BLX8" s="63"/>
      <c r="BLY8" s="34"/>
      <c r="BLZ8" s="64"/>
      <c r="BMA8" s="4"/>
      <c r="BMB8" s="65"/>
      <c r="BMC8" s="4"/>
      <c r="BMD8" s="4"/>
      <c r="BME8" s="4"/>
      <c r="BMH8" s="34"/>
      <c r="BMI8" s="34"/>
      <c r="BMK8" s="34"/>
      <c r="BML8" s="72"/>
      <c r="BMM8" s="63"/>
      <c r="BMN8" s="34"/>
      <c r="BMO8" s="64"/>
      <c r="BMP8" s="4"/>
      <c r="BMQ8" s="65"/>
      <c r="BMR8" s="4"/>
      <c r="BMS8" s="4"/>
      <c r="BMT8" s="4"/>
      <c r="BMW8" s="34"/>
      <c r="BMX8" s="34"/>
      <c r="BMZ8" s="34"/>
      <c r="BNA8" s="72"/>
      <c r="BNB8" s="63"/>
      <c r="BNC8" s="34"/>
      <c r="BND8" s="64"/>
      <c r="BNE8" s="4"/>
      <c r="BNF8" s="65"/>
      <c r="BNG8" s="4"/>
      <c r="BNH8" s="4"/>
      <c r="BNI8" s="4"/>
      <c r="BNL8" s="34"/>
      <c r="BNM8" s="34"/>
      <c r="BNO8" s="34"/>
      <c r="BNP8" s="72"/>
      <c r="BNQ8" s="63"/>
      <c r="BNR8" s="34"/>
      <c r="BNS8" s="64"/>
      <c r="BNT8" s="4"/>
      <c r="BNU8" s="65"/>
      <c r="BNV8" s="4"/>
      <c r="BNW8" s="4"/>
      <c r="BNX8" s="4"/>
      <c r="BOA8" s="34"/>
      <c r="BOB8" s="34"/>
      <c r="BOD8" s="34"/>
      <c r="BOE8" s="72"/>
      <c r="BOF8" s="63"/>
      <c r="BOG8" s="34"/>
      <c r="BOH8" s="64"/>
      <c r="BOI8" s="4"/>
      <c r="BOJ8" s="65"/>
      <c r="BOK8" s="4"/>
      <c r="BOL8" s="4"/>
      <c r="BOM8" s="4"/>
      <c r="BOP8" s="34"/>
      <c r="BOQ8" s="34"/>
      <c r="BOS8" s="34"/>
      <c r="BOT8" s="72"/>
      <c r="BOU8" s="63"/>
      <c r="BOV8" s="34"/>
      <c r="BOW8" s="64"/>
      <c r="BOX8" s="4"/>
      <c r="BOY8" s="65"/>
      <c r="BOZ8" s="4"/>
      <c r="BPA8" s="4"/>
      <c r="BPB8" s="4"/>
      <c r="BPE8" s="34"/>
      <c r="BPF8" s="34"/>
      <c r="BPH8" s="34"/>
      <c r="BPI8" s="72"/>
      <c r="BPJ8" s="63"/>
      <c r="BPK8" s="34"/>
      <c r="BPL8" s="64"/>
      <c r="BPM8" s="4"/>
      <c r="BPN8" s="65"/>
      <c r="BPO8" s="4"/>
      <c r="BPP8" s="4"/>
      <c r="BPQ8" s="4"/>
      <c r="BPT8" s="34"/>
      <c r="BPU8" s="34"/>
      <c r="BPW8" s="34"/>
      <c r="BPX8" s="72"/>
      <c r="BPY8" s="63"/>
      <c r="BPZ8" s="34"/>
      <c r="BQA8" s="64"/>
      <c r="BQB8" s="4"/>
      <c r="BQC8" s="65"/>
      <c r="BQD8" s="4"/>
      <c r="BQE8" s="4"/>
      <c r="BQF8" s="4"/>
      <c r="BQI8" s="34"/>
      <c r="BQJ8" s="34"/>
      <c r="BQL8" s="34"/>
      <c r="BQM8" s="72"/>
      <c r="BQN8" s="63"/>
      <c r="BQO8" s="34"/>
      <c r="BQP8" s="64"/>
      <c r="BQQ8" s="4"/>
      <c r="BQR8" s="65"/>
      <c r="BQS8" s="4"/>
      <c r="BQT8" s="4"/>
      <c r="BQU8" s="4"/>
      <c r="BQX8" s="34"/>
      <c r="BQY8" s="34"/>
      <c r="BRA8" s="34"/>
      <c r="BRB8" s="72"/>
      <c r="BRC8" s="63"/>
      <c r="BRD8" s="34"/>
      <c r="BRE8" s="64"/>
      <c r="BRF8" s="4"/>
      <c r="BRG8" s="65"/>
      <c r="BRH8" s="4"/>
      <c r="BRI8" s="4"/>
      <c r="BRJ8" s="4"/>
      <c r="BRM8" s="34"/>
      <c r="BRN8" s="34"/>
      <c r="BRP8" s="34"/>
      <c r="BRQ8" s="72"/>
      <c r="BRR8" s="63"/>
      <c r="BRS8" s="34"/>
      <c r="BRT8" s="64"/>
      <c r="BRU8" s="4"/>
      <c r="BRV8" s="65"/>
      <c r="BRW8" s="4"/>
      <c r="BRX8" s="4"/>
      <c r="BRY8" s="4"/>
      <c r="BSB8" s="34"/>
      <c r="BSC8" s="34"/>
      <c r="BSE8" s="34"/>
      <c r="BSF8" s="72"/>
      <c r="BSG8" s="63"/>
      <c r="BSH8" s="34"/>
      <c r="BSI8" s="64"/>
      <c r="BSJ8" s="4"/>
      <c r="BSK8" s="65"/>
      <c r="BSL8" s="4"/>
      <c r="BSM8" s="4"/>
      <c r="BSN8" s="4"/>
      <c r="BSQ8" s="34"/>
      <c r="BSR8" s="34"/>
      <c r="BST8" s="34"/>
      <c r="BSU8" s="72"/>
      <c r="BSV8" s="63"/>
      <c r="BSW8" s="34"/>
      <c r="BSX8" s="64"/>
      <c r="BSY8" s="4"/>
      <c r="BSZ8" s="65"/>
      <c r="BTA8" s="4"/>
      <c r="BTB8" s="4"/>
      <c r="BTC8" s="4"/>
      <c r="BTF8" s="34"/>
      <c r="BTG8" s="34"/>
      <c r="BTI8" s="34"/>
      <c r="BTJ8" s="72"/>
      <c r="BTK8" s="63"/>
      <c r="BTL8" s="34"/>
      <c r="BTM8" s="64"/>
      <c r="BTN8" s="4"/>
      <c r="BTO8" s="65"/>
      <c r="BTP8" s="4"/>
      <c r="BTQ8" s="4"/>
      <c r="BTR8" s="4"/>
      <c r="BTU8" s="34"/>
      <c r="BTV8" s="34"/>
      <c r="BTX8" s="34"/>
      <c r="BTY8" s="72"/>
      <c r="BTZ8" s="63"/>
      <c r="BUA8" s="34"/>
      <c r="BUB8" s="64"/>
      <c r="BUC8" s="4"/>
      <c r="BUD8" s="65"/>
      <c r="BUE8" s="4"/>
      <c r="BUF8" s="4"/>
      <c r="BUG8" s="4"/>
      <c r="BUJ8" s="34"/>
      <c r="BUK8" s="34"/>
      <c r="BUM8" s="34"/>
      <c r="BUN8" s="72"/>
      <c r="BUO8" s="63"/>
      <c r="BUP8" s="34"/>
      <c r="BUQ8" s="64"/>
      <c r="BUR8" s="4"/>
      <c r="BUS8" s="65"/>
      <c r="BUT8" s="4"/>
      <c r="BUU8" s="4"/>
      <c r="BUV8" s="4"/>
      <c r="BUY8" s="34"/>
      <c r="BUZ8" s="34"/>
      <c r="BVB8" s="34"/>
      <c r="BVC8" s="72"/>
      <c r="BVD8" s="63"/>
      <c r="BVE8" s="34"/>
      <c r="BVF8" s="64"/>
      <c r="BVG8" s="4"/>
      <c r="BVH8" s="65"/>
      <c r="BVI8" s="4"/>
      <c r="BVJ8" s="4"/>
      <c r="BVK8" s="4"/>
      <c r="BVN8" s="34"/>
      <c r="BVO8" s="34"/>
      <c r="BVQ8" s="34"/>
      <c r="BVR8" s="72"/>
      <c r="BVS8" s="63"/>
      <c r="BVT8" s="34"/>
      <c r="BVU8" s="64"/>
      <c r="BVV8" s="4"/>
      <c r="BVW8" s="65"/>
      <c r="BVX8" s="4"/>
      <c r="BVY8" s="4"/>
      <c r="BVZ8" s="4"/>
      <c r="BWC8" s="34"/>
      <c r="BWD8" s="34"/>
      <c r="BWF8" s="34"/>
      <c r="BWG8" s="72"/>
      <c r="BWH8" s="63"/>
      <c r="BWI8" s="34"/>
      <c r="BWJ8" s="64"/>
      <c r="BWK8" s="4"/>
      <c r="BWL8" s="65"/>
      <c r="BWM8" s="4"/>
      <c r="BWN8" s="4"/>
      <c r="BWO8" s="4"/>
      <c r="BWR8" s="34"/>
      <c r="BWS8" s="34"/>
      <c r="BWU8" s="34"/>
      <c r="BWV8" s="72"/>
      <c r="BWW8" s="63"/>
      <c r="BWX8" s="34"/>
      <c r="BWY8" s="64"/>
      <c r="BWZ8" s="4"/>
      <c r="BXA8" s="65"/>
      <c r="BXB8" s="4"/>
      <c r="BXC8" s="4"/>
      <c r="BXD8" s="4"/>
      <c r="BXG8" s="34"/>
      <c r="BXH8" s="34"/>
      <c r="BXJ8" s="34"/>
      <c r="BXK8" s="72"/>
      <c r="BXL8" s="63"/>
      <c r="BXM8" s="34"/>
      <c r="BXN8" s="64"/>
      <c r="BXO8" s="4"/>
      <c r="BXP8" s="65"/>
      <c r="BXQ8" s="4"/>
      <c r="BXR8" s="4"/>
      <c r="BXS8" s="4"/>
      <c r="BXV8" s="34"/>
      <c r="BXW8" s="34"/>
      <c r="BXY8" s="34"/>
      <c r="BXZ8" s="72"/>
      <c r="BYA8" s="63"/>
      <c r="BYB8" s="34"/>
      <c r="BYC8" s="64"/>
      <c r="BYD8" s="4"/>
      <c r="BYE8" s="65"/>
      <c r="BYF8" s="4"/>
      <c r="BYG8" s="4"/>
      <c r="BYH8" s="4"/>
      <c r="BYK8" s="34"/>
      <c r="BYL8" s="34"/>
      <c r="BYN8" s="34"/>
      <c r="BYO8" s="72"/>
      <c r="BYP8" s="63"/>
      <c r="BYQ8" s="34"/>
      <c r="BYR8" s="64"/>
      <c r="BYS8" s="4"/>
      <c r="BYT8" s="65"/>
      <c r="BYU8" s="4"/>
      <c r="BYV8" s="4"/>
      <c r="BYW8" s="4"/>
      <c r="BYZ8" s="34"/>
      <c r="BZA8" s="34"/>
      <c r="BZC8" s="34"/>
      <c r="BZD8" s="72"/>
      <c r="BZE8" s="63"/>
      <c r="BZF8" s="34"/>
      <c r="BZG8" s="64"/>
      <c r="BZH8" s="4"/>
      <c r="BZI8" s="65"/>
      <c r="BZJ8" s="4"/>
      <c r="BZK8" s="4"/>
      <c r="BZL8" s="4"/>
      <c r="BZO8" s="34"/>
      <c r="BZP8" s="34"/>
      <c r="BZR8" s="34"/>
      <c r="BZS8" s="72"/>
      <c r="BZT8" s="63"/>
      <c r="BZU8" s="34"/>
      <c r="BZV8" s="64"/>
      <c r="BZW8" s="4"/>
      <c r="BZX8" s="65"/>
      <c r="BZY8" s="4"/>
      <c r="BZZ8" s="4"/>
      <c r="CAA8" s="4"/>
      <c r="CAD8" s="34"/>
      <c r="CAE8" s="34"/>
      <c r="CAG8" s="34"/>
      <c r="CAH8" s="72"/>
      <c r="CAI8" s="63"/>
      <c r="CAJ8" s="34"/>
      <c r="CAK8" s="64"/>
      <c r="CAL8" s="4"/>
      <c r="CAM8" s="65"/>
      <c r="CAN8" s="4"/>
      <c r="CAO8" s="4"/>
      <c r="CAP8" s="4"/>
      <c r="CAS8" s="34"/>
      <c r="CAT8" s="34"/>
      <c r="CAV8" s="34"/>
      <c r="CAW8" s="72"/>
      <c r="CAX8" s="63"/>
      <c r="CAY8" s="34"/>
      <c r="CAZ8" s="64"/>
      <c r="CBA8" s="4"/>
      <c r="CBB8" s="65"/>
      <c r="CBC8" s="4"/>
      <c r="CBD8" s="4"/>
      <c r="CBE8" s="4"/>
      <c r="CBH8" s="34"/>
      <c r="CBI8" s="34"/>
      <c r="CBK8" s="34"/>
      <c r="CBL8" s="72"/>
      <c r="CBM8" s="63"/>
      <c r="CBN8" s="34"/>
      <c r="CBO8" s="64"/>
      <c r="CBP8" s="4"/>
      <c r="CBQ8" s="65"/>
      <c r="CBR8" s="4"/>
      <c r="CBS8" s="4"/>
      <c r="CBT8" s="4"/>
      <c r="CBW8" s="34"/>
      <c r="CBX8" s="34"/>
      <c r="CBZ8" s="34"/>
      <c r="CCA8" s="72"/>
      <c r="CCB8" s="63"/>
      <c r="CCC8" s="34"/>
      <c r="CCD8" s="64"/>
      <c r="CCE8" s="4"/>
      <c r="CCF8" s="65"/>
      <c r="CCG8" s="4"/>
      <c r="CCH8" s="4"/>
      <c r="CCI8" s="4"/>
      <c r="CCL8" s="34"/>
      <c r="CCM8" s="34"/>
      <c r="CCO8" s="34"/>
      <c r="CCP8" s="72"/>
      <c r="CCQ8" s="63"/>
      <c r="CCR8" s="34"/>
      <c r="CCS8" s="64"/>
      <c r="CCT8" s="4"/>
      <c r="CCU8" s="65"/>
      <c r="CCV8" s="4"/>
      <c r="CCW8" s="4"/>
      <c r="CCX8" s="4"/>
      <c r="CDA8" s="34"/>
      <c r="CDB8" s="34"/>
      <c r="CDD8" s="34"/>
      <c r="CDE8" s="72"/>
      <c r="CDF8" s="63"/>
      <c r="CDG8" s="34"/>
      <c r="CDH8" s="64"/>
      <c r="CDI8" s="4"/>
      <c r="CDJ8" s="65"/>
      <c r="CDK8" s="4"/>
      <c r="CDL8" s="4"/>
      <c r="CDM8" s="4"/>
      <c r="CDP8" s="34"/>
      <c r="CDQ8" s="34"/>
      <c r="CDS8" s="34"/>
      <c r="CDT8" s="72"/>
      <c r="CDU8" s="63"/>
      <c r="CDV8" s="34"/>
      <c r="CDW8" s="64"/>
      <c r="CDX8" s="4"/>
      <c r="CDY8" s="65"/>
      <c r="CDZ8" s="4"/>
      <c r="CEA8" s="4"/>
      <c r="CEB8" s="4"/>
      <c r="CEE8" s="34"/>
      <c r="CEF8" s="34"/>
      <c r="CEH8" s="34"/>
      <c r="CEI8" s="72"/>
      <c r="CEJ8" s="63"/>
      <c r="CEK8" s="34"/>
      <c r="CEL8" s="64"/>
      <c r="CEM8" s="4"/>
      <c r="CEN8" s="65"/>
      <c r="CEO8" s="4"/>
      <c r="CEP8" s="4"/>
      <c r="CEQ8" s="4"/>
      <c r="CET8" s="34"/>
      <c r="CEU8" s="34"/>
      <c r="CEW8" s="34"/>
      <c r="CEX8" s="72"/>
      <c r="CEY8" s="63"/>
      <c r="CEZ8" s="34"/>
      <c r="CFA8" s="64"/>
      <c r="CFB8" s="4"/>
      <c r="CFC8" s="65"/>
      <c r="CFD8" s="4"/>
      <c r="CFE8" s="4"/>
      <c r="CFF8" s="4"/>
      <c r="CFI8" s="34"/>
      <c r="CFJ8" s="34"/>
      <c r="CFL8" s="34"/>
      <c r="CFM8" s="72"/>
      <c r="CFN8" s="63"/>
      <c r="CFO8" s="34"/>
      <c r="CFP8" s="64"/>
      <c r="CFQ8" s="4"/>
      <c r="CFR8" s="65"/>
      <c r="CFS8" s="4"/>
      <c r="CFT8" s="4"/>
      <c r="CFU8" s="4"/>
      <c r="CFX8" s="34"/>
      <c r="CFY8" s="34"/>
      <c r="CGA8" s="34"/>
      <c r="CGB8" s="72"/>
      <c r="CGC8" s="63"/>
      <c r="CGD8" s="34"/>
      <c r="CGE8" s="64"/>
      <c r="CGF8" s="4"/>
      <c r="CGG8" s="65"/>
      <c r="CGH8" s="4"/>
      <c r="CGI8" s="4"/>
      <c r="CGJ8" s="4"/>
      <c r="CGM8" s="34"/>
      <c r="CGN8" s="34"/>
      <c r="CGP8" s="34"/>
      <c r="CGQ8" s="72"/>
      <c r="CGR8" s="63"/>
      <c r="CGS8" s="34"/>
      <c r="CGT8" s="64"/>
      <c r="CGU8" s="4"/>
      <c r="CGV8" s="65"/>
      <c r="CGW8" s="4"/>
      <c r="CGX8" s="4"/>
      <c r="CGY8" s="4"/>
      <c r="CHB8" s="34"/>
      <c r="CHC8" s="34"/>
      <c r="CHE8" s="34"/>
      <c r="CHF8" s="72"/>
      <c r="CHG8" s="63"/>
      <c r="CHH8" s="34"/>
      <c r="CHI8" s="64"/>
      <c r="CHJ8" s="4"/>
      <c r="CHK8" s="65"/>
      <c r="CHL8" s="4"/>
      <c r="CHM8" s="4"/>
      <c r="CHN8" s="4"/>
      <c r="CHQ8" s="34"/>
      <c r="CHR8" s="34"/>
      <c r="CHT8" s="34"/>
      <c r="CHU8" s="72"/>
      <c r="CHV8" s="63"/>
      <c r="CHW8" s="34"/>
      <c r="CHX8" s="64"/>
      <c r="CHY8" s="4"/>
      <c r="CHZ8" s="65"/>
      <c r="CIA8" s="4"/>
      <c r="CIB8" s="4"/>
      <c r="CIC8" s="4"/>
      <c r="CIF8" s="34"/>
      <c r="CIG8" s="34"/>
      <c r="CII8" s="34"/>
      <c r="CIJ8" s="72"/>
      <c r="CIK8" s="63"/>
      <c r="CIL8" s="34"/>
      <c r="CIM8" s="64"/>
      <c r="CIN8" s="4"/>
      <c r="CIO8" s="65"/>
      <c r="CIP8" s="4"/>
      <c r="CIQ8" s="4"/>
      <c r="CIR8" s="4"/>
      <c r="CIU8" s="34"/>
      <c r="CIV8" s="34"/>
      <c r="CIX8" s="34"/>
      <c r="CIY8" s="72"/>
      <c r="CIZ8" s="63"/>
      <c r="CJA8" s="34"/>
      <c r="CJB8" s="64"/>
      <c r="CJC8" s="4"/>
      <c r="CJD8" s="65"/>
      <c r="CJE8" s="4"/>
      <c r="CJF8" s="4"/>
      <c r="CJG8" s="4"/>
      <c r="CJJ8" s="34"/>
      <c r="CJK8" s="34"/>
      <c r="CJM8" s="34"/>
      <c r="CJN8" s="72"/>
      <c r="CJO8" s="63"/>
      <c r="CJP8" s="34"/>
      <c r="CJQ8" s="64"/>
      <c r="CJR8" s="4"/>
      <c r="CJS8" s="65"/>
      <c r="CJT8" s="4"/>
      <c r="CJU8" s="4"/>
      <c r="CJV8" s="4"/>
      <c r="CJY8" s="34"/>
      <c r="CJZ8" s="34"/>
      <c r="CKB8" s="34"/>
      <c r="CKC8" s="72"/>
      <c r="CKD8" s="63"/>
      <c r="CKE8" s="34"/>
      <c r="CKF8" s="64"/>
      <c r="CKG8" s="4"/>
      <c r="CKH8" s="65"/>
      <c r="CKI8" s="4"/>
      <c r="CKJ8" s="4"/>
      <c r="CKK8" s="4"/>
      <c r="CKN8" s="34"/>
      <c r="CKO8" s="34"/>
      <c r="CKQ8" s="34"/>
      <c r="CKR8" s="72"/>
      <c r="CKS8" s="63"/>
      <c r="CKT8" s="34"/>
      <c r="CKU8" s="64"/>
      <c r="CKV8" s="4"/>
      <c r="CKW8" s="65"/>
      <c r="CKX8" s="4"/>
      <c r="CKY8" s="4"/>
      <c r="CKZ8" s="4"/>
      <c r="CLC8" s="34"/>
      <c r="CLD8" s="34"/>
      <c r="CLF8" s="34"/>
      <c r="CLG8" s="72"/>
      <c r="CLH8" s="63"/>
      <c r="CLI8" s="34"/>
      <c r="CLJ8" s="64"/>
      <c r="CLK8" s="4"/>
      <c r="CLL8" s="65"/>
      <c r="CLM8" s="4"/>
      <c r="CLN8" s="4"/>
      <c r="CLO8" s="4"/>
      <c r="CLR8" s="34"/>
      <c r="CLS8" s="34"/>
      <c r="CLU8" s="34"/>
      <c r="CLV8" s="72"/>
      <c r="CLW8" s="63"/>
      <c r="CLX8" s="34"/>
      <c r="CLY8" s="64"/>
      <c r="CLZ8" s="4"/>
      <c r="CMA8" s="65"/>
      <c r="CMB8" s="4"/>
      <c r="CMC8" s="4"/>
      <c r="CMD8" s="4"/>
      <c r="CMG8" s="34"/>
      <c r="CMH8" s="34"/>
      <c r="CMJ8" s="34"/>
      <c r="CMK8" s="72"/>
      <c r="CML8" s="63"/>
      <c r="CMM8" s="34"/>
      <c r="CMN8" s="64"/>
      <c r="CMO8" s="4"/>
      <c r="CMP8" s="65"/>
      <c r="CMQ8" s="4"/>
      <c r="CMR8" s="4"/>
      <c r="CMS8" s="4"/>
      <c r="CMV8" s="34"/>
      <c r="CMW8" s="34"/>
      <c r="CMY8" s="34"/>
      <c r="CMZ8" s="72"/>
      <c r="CNA8" s="63"/>
      <c r="CNB8" s="34"/>
      <c r="CNC8" s="64"/>
      <c r="CND8" s="4"/>
      <c r="CNE8" s="65"/>
      <c r="CNF8" s="4"/>
      <c r="CNG8" s="4"/>
      <c r="CNH8" s="4"/>
      <c r="CNK8" s="34"/>
      <c r="CNL8" s="34"/>
      <c r="CNN8" s="34"/>
      <c r="CNO8" s="72"/>
      <c r="CNP8" s="63"/>
      <c r="CNQ8" s="34"/>
      <c r="CNR8" s="64"/>
      <c r="CNS8" s="4"/>
      <c r="CNT8" s="65"/>
      <c r="CNU8" s="4"/>
      <c r="CNV8" s="4"/>
      <c r="CNW8" s="4"/>
      <c r="CNZ8" s="34"/>
      <c r="COA8" s="34"/>
      <c r="COC8" s="34"/>
      <c r="COD8" s="72"/>
      <c r="COE8" s="63"/>
      <c r="COF8" s="34"/>
      <c r="COG8" s="64"/>
      <c r="COH8" s="4"/>
      <c r="COI8" s="65"/>
      <c r="COJ8" s="4"/>
      <c r="COK8" s="4"/>
      <c r="COL8" s="4"/>
      <c r="COO8" s="34"/>
      <c r="COP8" s="34"/>
      <c r="COR8" s="34"/>
      <c r="COS8" s="72"/>
      <c r="COT8" s="63"/>
      <c r="COU8" s="34"/>
      <c r="COV8" s="64"/>
      <c r="COW8" s="4"/>
      <c r="COX8" s="65"/>
      <c r="COY8" s="4"/>
      <c r="COZ8" s="4"/>
      <c r="CPA8" s="4"/>
      <c r="CPD8" s="34"/>
      <c r="CPE8" s="34"/>
      <c r="CPG8" s="34"/>
      <c r="CPH8" s="72"/>
      <c r="CPI8" s="63"/>
      <c r="CPJ8" s="34"/>
      <c r="CPK8" s="64"/>
      <c r="CPL8" s="4"/>
      <c r="CPM8" s="65"/>
      <c r="CPN8" s="4"/>
      <c r="CPO8" s="4"/>
      <c r="CPP8" s="4"/>
      <c r="CPS8" s="34"/>
      <c r="CPT8" s="34"/>
      <c r="CPV8" s="34"/>
      <c r="CPW8" s="72"/>
      <c r="CPX8" s="63"/>
      <c r="CPY8" s="34"/>
      <c r="CPZ8" s="64"/>
      <c r="CQA8" s="4"/>
      <c r="CQB8" s="65"/>
      <c r="CQC8" s="4"/>
      <c r="CQD8" s="4"/>
      <c r="CQE8" s="4"/>
      <c r="CQH8" s="34"/>
      <c r="CQI8" s="34"/>
      <c r="CQK8" s="34"/>
      <c r="CQL8" s="72"/>
      <c r="CQM8" s="63"/>
      <c r="CQN8" s="34"/>
      <c r="CQO8" s="64"/>
      <c r="CQP8" s="4"/>
      <c r="CQQ8" s="65"/>
      <c r="CQR8" s="4"/>
      <c r="CQS8" s="4"/>
      <c r="CQT8" s="4"/>
      <c r="CQW8" s="34"/>
      <c r="CQX8" s="34"/>
      <c r="CQZ8" s="34"/>
      <c r="CRA8" s="72"/>
      <c r="CRB8" s="63"/>
      <c r="CRC8" s="34"/>
      <c r="CRD8" s="64"/>
      <c r="CRE8" s="4"/>
      <c r="CRF8" s="65"/>
      <c r="CRG8" s="4"/>
      <c r="CRH8" s="4"/>
      <c r="CRI8" s="4"/>
      <c r="CRL8" s="34"/>
      <c r="CRM8" s="34"/>
      <c r="CRO8" s="34"/>
      <c r="CRP8" s="72"/>
      <c r="CRQ8" s="63"/>
      <c r="CRR8" s="34"/>
      <c r="CRS8" s="64"/>
      <c r="CRT8" s="4"/>
      <c r="CRU8" s="65"/>
      <c r="CRV8" s="4"/>
      <c r="CRW8" s="4"/>
      <c r="CRX8" s="4"/>
      <c r="CSA8" s="34"/>
      <c r="CSB8" s="34"/>
      <c r="CSD8" s="34"/>
      <c r="CSE8" s="72"/>
      <c r="CSF8" s="63"/>
      <c r="CSG8" s="34"/>
      <c r="CSH8" s="64"/>
      <c r="CSI8" s="4"/>
      <c r="CSJ8" s="65"/>
      <c r="CSK8" s="4"/>
      <c r="CSL8" s="4"/>
      <c r="CSM8" s="4"/>
      <c r="CSP8" s="34"/>
      <c r="CSQ8" s="34"/>
      <c r="CSS8" s="34"/>
      <c r="CST8" s="72"/>
      <c r="CSU8" s="63"/>
      <c r="CSV8" s="34"/>
      <c r="CSW8" s="64"/>
      <c r="CSX8" s="4"/>
      <c r="CSY8" s="65"/>
      <c r="CSZ8" s="4"/>
      <c r="CTA8" s="4"/>
      <c r="CTB8" s="4"/>
      <c r="CTE8" s="34"/>
      <c r="CTF8" s="34"/>
      <c r="CTH8" s="34"/>
      <c r="CTI8" s="72"/>
      <c r="CTJ8" s="63"/>
      <c r="CTK8" s="34"/>
      <c r="CTL8" s="64"/>
      <c r="CTM8" s="4"/>
      <c r="CTN8" s="65"/>
      <c r="CTO8" s="4"/>
      <c r="CTP8" s="4"/>
      <c r="CTQ8" s="4"/>
      <c r="CTT8" s="34"/>
      <c r="CTU8" s="34"/>
      <c r="CTW8" s="34"/>
      <c r="CTX8" s="72"/>
      <c r="CTY8" s="63"/>
      <c r="CTZ8" s="34"/>
      <c r="CUA8" s="64"/>
      <c r="CUB8" s="4"/>
      <c r="CUC8" s="65"/>
      <c r="CUD8" s="4"/>
      <c r="CUE8" s="4"/>
      <c r="CUF8" s="4"/>
      <c r="CUI8" s="34"/>
      <c r="CUJ8" s="34"/>
      <c r="CUL8" s="34"/>
      <c r="CUM8" s="72"/>
      <c r="CUN8" s="63"/>
      <c r="CUO8" s="34"/>
      <c r="CUP8" s="64"/>
      <c r="CUQ8" s="4"/>
      <c r="CUR8" s="65"/>
      <c r="CUS8" s="4"/>
      <c r="CUT8" s="4"/>
      <c r="CUU8" s="4"/>
      <c r="CUX8" s="34"/>
      <c r="CUY8" s="34"/>
      <c r="CVA8" s="34"/>
      <c r="CVB8" s="72"/>
      <c r="CVC8" s="63"/>
      <c r="CVD8" s="34"/>
      <c r="CVE8" s="64"/>
      <c r="CVF8" s="4"/>
      <c r="CVG8" s="65"/>
      <c r="CVH8" s="4"/>
      <c r="CVI8" s="4"/>
      <c r="CVJ8" s="4"/>
      <c r="CVM8" s="34"/>
      <c r="CVN8" s="34"/>
      <c r="CVP8" s="34"/>
      <c r="CVQ8" s="72"/>
      <c r="CVR8" s="63"/>
      <c r="CVS8" s="34"/>
      <c r="CVT8" s="64"/>
      <c r="CVU8" s="4"/>
      <c r="CVV8" s="65"/>
      <c r="CVW8" s="4"/>
      <c r="CVX8" s="4"/>
      <c r="CVY8" s="4"/>
      <c r="CWB8" s="34"/>
      <c r="CWC8" s="34"/>
      <c r="CWE8" s="34"/>
      <c r="CWF8" s="72"/>
      <c r="CWG8" s="63"/>
      <c r="CWH8" s="34"/>
      <c r="CWI8" s="64"/>
      <c r="CWJ8" s="4"/>
      <c r="CWK8" s="65"/>
      <c r="CWL8" s="4"/>
      <c r="CWM8" s="4"/>
      <c r="CWN8" s="4"/>
      <c r="CWQ8" s="34"/>
      <c r="CWR8" s="34"/>
      <c r="CWT8" s="34"/>
      <c r="CWU8" s="72"/>
      <c r="CWV8" s="63"/>
      <c r="CWW8" s="34"/>
      <c r="CWX8" s="64"/>
      <c r="CWY8" s="4"/>
      <c r="CWZ8" s="65"/>
      <c r="CXA8" s="4"/>
      <c r="CXB8" s="4"/>
      <c r="CXC8" s="4"/>
      <c r="CXF8" s="34"/>
      <c r="CXG8" s="34"/>
      <c r="CXI8" s="34"/>
      <c r="CXJ8" s="72"/>
      <c r="CXK8" s="63"/>
      <c r="CXL8" s="34"/>
      <c r="CXM8" s="64"/>
      <c r="CXN8" s="4"/>
      <c r="CXO8" s="65"/>
      <c r="CXP8" s="4"/>
      <c r="CXQ8" s="4"/>
      <c r="CXR8" s="4"/>
      <c r="CXU8" s="34"/>
      <c r="CXV8" s="34"/>
      <c r="CXX8" s="34"/>
      <c r="CXY8" s="72"/>
      <c r="CXZ8" s="63"/>
      <c r="CYA8" s="34"/>
      <c r="CYB8" s="64"/>
      <c r="CYC8" s="4"/>
      <c r="CYD8" s="65"/>
      <c r="CYE8" s="4"/>
      <c r="CYF8" s="4"/>
      <c r="CYG8" s="4"/>
      <c r="CYJ8" s="34"/>
      <c r="CYK8" s="34"/>
      <c r="CYM8" s="34"/>
      <c r="CYN8" s="72"/>
      <c r="CYO8" s="63"/>
      <c r="CYP8" s="34"/>
      <c r="CYQ8" s="64"/>
      <c r="CYR8" s="4"/>
      <c r="CYS8" s="65"/>
      <c r="CYT8" s="4"/>
      <c r="CYU8" s="4"/>
      <c r="CYV8" s="4"/>
      <c r="CYY8" s="34"/>
      <c r="CYZ8" s="34"/>
      <c r="CZB8" s="34"/>
      <c r="CZC8" s="72"/>
      <c r="CZD8" s="63"/>
      <c r="CZE8" s="34"/>
      <c r="CZF8" s="64"/>
      <c r="CZG8" s="4"/>
      <c r="CZH8" s="65"/>
      <c r="CZI8" s="4"/>
      <c r="CZJ8" s="4"/>
      <c r="CZK8" s="4"/>
      <c r="CZN8" s="34"/>
      <c r="CZO8" s="34"/>
      <c r="CZQ8" s="34"/>
      <c r="CZR8" s="72"/>
      <c r="CZS8" s="63"/>
      <c r="CZT8" s="34"/>
      <c r="CZU8" s="64"/>
      <c r="CZV8" s="4"/>
      <c r="CZW8" s="65"/>
      <c r="CZX8" s="4"/>
      <c r="CZY8" s="4"/>
      <c r="CZZ8" s="4"/>
      <c r="DAC8" s="34"/>
      <c r="DAD8" s="34"/>
      <c r="DAF8" s="34"/>
      <c r="DAG8" s="72"/>
      <c r="DAH8" s="63"/>
      <c r="DAI8" s="34"/>
      <c r="DAJ8" s="64"/>
      <c r="DAK8" s="4"/>
      <c r="DAL8" s="65"/>
      <c r="DAM8" s="4"/>
      <c r="DAN8" s="4"/>
      <c r="DAO8" s="4"/>
      <c r="DAR8" s="34"/>
      <c r="DAS8" s="34"/>
      <c r="DAU8" s="34"/>
      <c r="DAV8" s="72"/>
      <c r="DAW8" s="63"/>
      <c r="DAX8" s="34"/>
      <c r="DAY8" s="64"/>
      <c r="DAZ8" s="4"/>
      <c r="DBA8" s="65"/>
      <c r="DBB8" s="4"/>
      <c r="DBC8" s="4"/>
      <c r="DBD8" s="4"/>
      <c r="DBG8" s="34"/>
      <c r="DBH8" s="34"/>
      <c r="DBJ8" s="34"/>
      <c r="DBK8" s="72"/>
      <c r="DBL8" s="63"/>
      <c r="DBM8" s="34"/>
      <c r="DBN8" s="64"/>
      <c r="DBO8" s="4"/>
      <c r="DBP8" s="65"/>
      <c r="DBQ8" s="4"/>
      <c r="DBR8" s="4"/>
      <c r="DBS8" s="4"/>
      <c r="DBV8" s="34"/>
      <c r="DBW8" s="34"/>
      <c r="DBY8" s="34"/>
      <c r="DBZ8" s="72"/>
      <c r="DCA8" s="63"/>
      <c r="DCB8" s="34"/>
      <c r="DCC8" s="64"/>
      <c r="DCD8" s="4"/>
      <c r="DCE8" s="65"/>
      <c r="DCF8" s="4"/>
      <c r="DCG8" s="4"/>
      <c r="DCH8" s="4"/>
      <c r="DCK8" s="34"/>
      <c r="DCL8" s="34"/>
      <c r="DCN8" s="34"/>
      <c r="DCO8" s="72"/>
      <c r="DCP8" s="63"/>
      <c r="DCQ8" s="34"/>
      <c r="DCR8" s="64"/>
      <c r="DCS8" s="4"/>
      <c r="DCT8" s="65"/>
      <c r="DCU8" s="4"/>
      <c r="DCV8" s="4"/>
      <c r="DCW8" s="4"/>
      <c r="DCZ8" s="34"/>
      <c r="DDA8" s="34"/>
      <c r="DDC8" s="34"/>
      <c r="DDD8" s="72"/>
      <c r="DDE8" s="63"/>
      <c r="DDF8" s="34"/>
      <c r="DDG8" s="64"/>
      <c r="DDH8" s="4"/>
      <c r="DDI8" s="65"/>
      <c r="DDJ8" s="4"/>
      <c r="DDK8" s="4"/>
      <c r="DDL8" s="4"/>
      <c r="DDO8" s="34"/>
      <c r="DDP8" s="34"/>
      <c r="DDR8" s="34"/>
      <c r="DDS8" s="72"/>
      <c r="DDT8" s="63"/>
      <c r="DDU8" s="34"/>
      <c r="DDV8" s="64"/>
      <c r="DDW8" s="4"/>
      <c r="DDX8" s="65"/>
      <c r="DDY8" s="4"/>
      <c r="DDZ8" s="4"/>
      <c r="DEA8" s="4"/>
      <c r="DED8" s="34"/>
      <c r="DEE8" s="34"/>
      <c r="DEG8" s="34"/>
      <c r="DEH8" s="72"/>
      <c r="DEI8" s="63"/>
      <c r="DEJ8" s="34"/>
      <c r="DEK8" s="64"/>
      <c r="DEL8" s="4"/>
      <c r="DEM8" s="65"/>
      <c r="DEN8" s="4"/>
      <c r="DEO8" s="4"/>
      <c r="DEP8" s="4"/>
      <c r="DES8" s="34"/>
      <c r="DET8" s="34"/>
      <c r="DEV8" s="34"/>
      <c r="DEW8" s="72"/>
      <c r="DEX8" s="63"/>
      <c r="DEY8" s="34"/>
      <c r="DEZ8" s="64"/>
      <c r="DFA8" s="4"/>
      <c r="DFB8" s="65"/>
      <c r="DFC8" s="4"/>
      <c r="DFD8" s="4"/>
      <c r="DFE8" s="4"/>
      <c r="DFH8" s="34"/>
      <c r="DFI8" s="34"/>
      <c r="DFK8" s="34"/>
      <c r="DFL8" s="72"/>
      <c r="DFM8" s="63"/>
      <c r="DFN8" s="34"/>
      <c r="DFO8" s="64"/>
      <c r="DFP8" s="4"/>
      <c r="DFQ8" s="65"/>
      <c r="DFR8" s="4"/>
      <c r="DFS8" s="4"/>
      <c r="DFT8" s="4"/>
      <c r="DFW8" s="34"/>
      <c r="DFX8" s="34"/>
      <c r="DFZ8" s="34"/>
      <c r="DGA8" s="72"/>
      <c r="DGB8" s="63"/>
      <c r="DGC8" s="34"/>
      <c r="DGD8" s="64"/>
      <c r="DGE8" s="4"/>
      <c r="DGF8" s="65"/>
      <c r="DGG8" s="4"/>
      <c r="DGH8" s="4"/>
      <c r="DGI8" s="4"/>
      <c r="DGL8" s="34"/>
      <c r="DGM8" s="34"/>
      <c r="DGO8" s="34"/>
      <c r="DGP8" s="72"/>
      <c r="DGQ8" s="63"/>
      <c r="DGR8" s="34"/>
      <c r="DGS8" s="64"/>
      <c r="DGT8" s="4"/>
      <c r="DGU8" s="65"/>
      <c r="DGV8" s="4"/>
      <c r="DGW8" s="4"/>
      <c r="DGX8" s="4"/>
      <c r="DHA8" s="34"/>
      <c r="DHB8" s="34"/>
      <c r="DHD8" s="34"/>
      <c r="DHE8" s="72"/>
      <c r="DHF8" s="63"/>
      <c r="DHG8" s="34"/>
      <c r="DHH8" s="64"/>
      <c r="DHI8" s="4"/>
      <c r="DHJ8" s="65"/>
      <c r="DHK8" s="4"/>
      <c r="DHL8" s="4"/>
      <c r="DHM8" s="4"/>
      <c r="DHP8" s="34"/>
      <c r="DHQ8" s="34"/>
      <c r="DHS8" s="34"/>
      <c r="DHT8" s="72"/>
      <c r="DHU8" s="63"/>
      <c r="DHV8" s="34"/>
      <c r="DHW8" s="64"/>
      <c r="DHX8" s="4"/>
      <c r="DHY8" s="65"/>
      <c r="DHZ8" s="4"/>
      <c r="DIA8" s="4"/>
      <c r="DIB8" s="4"/>
      <c r="DIE8" s="34"/>
      <c r="DIF8" s="34"/>
      <c r="DIH8" s="34"/>
      <c r="DII8" s="72"/>
      <c r="DIJ8" s="63"/>
      <c r="DIK8" s="34"/>
      <c r="DIL8" s="64"/>
      <c r="DIM8" s="4"/>
      <c r="DIN8" s="65"/>
      <c r="DIO8" s="4"/>
      <c r="DIP8" s="4"/>
      <c r="DIQ8" s="4"/>
      <c r="DIT8" s="34"/>
      <c r="DIU8" s="34"/>
      <c r="DIW8" s="34"/>
      <c r="DIX8" s="72"/>
      <c r="DIY8" s="63"/>
      <c r="DIZ8" s="34"/>
      <c r="DJA8" s="64"/>
      <c r="DJB8" s="4"/>
      <c r="DJC8" s="65"/>
      <c r="DJD8" s="4"/>
      <c r="DJE8" s="4"/>
      <c r="DJF8" s="4"/>
      <c r="DJI8" s="34"/>
      <c r="DJJ8" s="34"/>
      <c r="DJL8" s="34"/>
      <c r="DJM8" s="72"/>
      <c r="DJN8" s="63"/>
      <c r="DJO8" s="34"/>
      <c r="DJP8" s="64"/>
      <c r="DJQ8" s="4"/>
      <c r="DJR8" s="65"/>
      <c r="DJS8" s="4"/>
      <c r="DJT8" s="4"/>
      <c r="DJU8" s="4"/>
      <c r="DJX8" s="34"/>
      <c r="DJY8" s="34"/>
      <c r="DKA8" s="34"/>
      <c r="DKB8" s="72"/>
      <c r="DKC8" s="63"/>
      <c r="DKD8" s="34"/>
      <c r="DKE8" s="64"/>
      <c r="DKF8" s="4"/>
      <c r="DKG8" s="65"/>
      <c r="DKH8" s="4"/>
      <c r="DKI8" s="4"/>
      <c r="DKJ8" s="4"/>
      <c r="DKM8" s="34"/>
      <c r="DKN8" s="34"/>
      <c r="DKP8" s="34"/>
      <c r="DKQ8" s="72"/>
      <c r="DKR8" s="63"/>
      <c r="DKS8" s="34"/>
      <c r="DKT8" s="64"/>
      <c r="DKU8" s="4"/>
      <c r="DKV8" s="65"/>
      <c r="DKW8" s="4"/>
      <c r="DKX8" s="4"/>
      <c r="DKY8" s="4"/>
      <c r="DLB8" s="34"/>
      <c r="DLC8" s="34"/>
      <c r="DLE8" s="34"/>
      <c r="DLF8" s="72"/>
      <c r="DLG8" s="63"/>
      <c r="DLH8" s="34"/>
      <c r="DLI8" s="64"/>
      <c r="DLJ8" s="4"/>
      <c r="DLK8" s="65"/>
      <c r="DLL8" s="4"/>
      <c r="DLM8" s="4"/>
      <c r="DLN8" s="4"/>
      <c r="DLQ8" s="34"/>
      <c r="DLR8" s="34"/>
      <c r="DLT8" s="34"/>
      <c r="DLU8" s="72"/>
      <c r="DLV8" s="63"/>
      <c r="DLW8" s="34"/>
      <c r="DLX8" s="64"/>
      <c r="DLY8" s="4"/>
      <c r="DLZ8" s="65"/>
      <c r="DMA8" s="4"/>
      <c r="DMB8" s="4"/>
      <c r="DMC8" s="4"/>
      <c r="DMF8" s="34"/>
      <c r="DMG8" s="34"/>
      <c r="DMI8" s="34"/>
      <c r="DMJ8" s="72"/>
      <c r="DMK8" s="63"/>
      <c r="DML8" s="34"/>
      <c r="DMM8" s="64"/>
      <c r="DMN8" s="4"/>
      <c r="DMO8" s="65"/>
      <c r="DMP8" s="4"/>
      <c r="DMQ8" s="4"/>
      <c r="DMR8" s="4"/>
      <c r="DMU8" s="34"/>
      <c r="DMV8" s="34"/>
      <c r="DMX8" s="34"/>
      <c r="DMY8" s="72"/>
      <c r="DMZ8" s="63"/>
      <c r="DNA8" s="34"/>
      <c r="DNB8" s="64"/>
      <c r="DNC8" s="4"/>
      <c r="DND8" s="65"/>
      <c r="DNE8" s="4"/>
      <c r="DNF8" s="4"/>
      <c r="DNG8" s="4"/>
      <c r="DNJ8" s="34"/>
      <c r="DNK8" s="34"/>
      <c r="DNM8" s="34"/>
      <c r="DNN8" s="72"/>
      <c r="DNO8" s="63"/>
      <c r="DNP8" s="34"/>
      <c r="DNQ8" s="64"/>
      <c r="DNR8" s="4"/>
      <c r="DNS8" s="65"/>
      <c r="DNT8" s="4"/>
      <c r="DNU8" s="4"/>
      <c r="DNV8" s="4"/>
      <c r="DNY8" s="34"/>
      <c r="DNZ8" s="34"/>
      <c r="DOB8" s="34"/>
      <c r="DOC8" s="72"/>
      <c r="DOD8" s="63"/>
      <c r="DOE8" s="34"/>
      <c r="DOF8" s="64"/>
      <c r="DOG8" s="4"/>
      <c r="DOH8" s="65"/>
      <c r="DOI8" s="4"/>
      <c r="DOJ8" s="4"/>
      <c r="DOK8" s="4"/>
      <c r="DON8" s="34"/>
      <c r="DOO8" s="34"/>
      <c r="DOQ8" s="34"/>
      <c r="DOR8" s="72"/>
      <c r="DOS8" s="63"/>
      <c r="DOT8" s="34"/>
      <c r="DOU8" s="64"/>
      <c r="DOV8" s="4"/>
      <c r="DOW8" s="65"/>
      <c r="DOX8" s="4"/>
      <c r="DOY8" s="4"/>
      <c r="DOZ8" s="4"/>
      <c r="DPC8" s="34"/>
      <c r="DPD8" s="34"/>
      <c r="DPF8" s="34"/>
      <c r="DPG8" s="72"/>
      <c r="DPH8" s="63"/>
      <c r="DPI8" s="34"/>
      <c r="DPJ8" s="64"/>
      <c r="DPK8" s="4"/>
      <c r="DPL8" s="65"/>
      <c r="DPM8" s="4"/>
      <c r="DPN8" s="4"/>
      <c r="DPO8" s="4"/>
      <c r="DPR8" s="34"/>
      <c r="DPS8" s="34"/>
      <c r="DPU8" s="34"/>
      <c r="DPV8" s="72"/>
      <c r="DPW8" s="63"/>
      <c r="DPX8" s="34"/>
      <c r="DPY8" s="64"/>
      <c r="DPZ8" s="4"/>
      <c r="DQA8" s="65"/>
      <c r="DQB8" s="4"/>
      <c r="DQC8" s="4"/>
      <c r="DQD8" s="4"/>
      <c r="DQG8" s="34"/>
      <c r="DQH8" s="34"/>
      <c r="DQJ8" s="34"/>
      <c r="DQK8" s="72"/>
      <c r="DQL8" s="63"/>
      <c r="DQM8" s="34"/>
      <c r="DQN8" s="64"/>
      <c r="DQO8" s="4"/>
      <c r="DQP8" s="65"/>
      <c r="DQQ8" s="4"/>
      <c r="DQR8" s="4"/>
      <c r="DQS8" s="4"/>
      <c r="DQV8" s="34"/>
      <c r="DQW8" s="34"/>
      <c r="DQY8" s="34"/>
      <c r="DQZ8" s="72"/>
      <c r="DRA8" s="63"/>
      <c r="DRB8" s="34"/>
      <c r="DRC8" s="64"/>
      <c r="DRD8" s="4"/>
      <c r="DRE8" s="65"/>
      <c r="DRF8" s="4"/>
      <c r="DRG8" s="4"/>
      <c r="DRH8" s="4"/>
      <c r="DRK8" s="34"/>
      <c r="DRL8" s="34"/>
      <c r="DRN8" s="34"/>
      <c r="DRO8" s="72"/>
      <c r="DRP8" s="63"/>
      <c r="DRQ8" s="34"/>
      <c r="DRR8" s="64"/>
      <c r="DRS8" s="4"/>
      <c r="DRT8" s="65"/>
      <c r="DRU8" s="4"/>
      <c r="DRV8" s="4"/>
      <c r="DRW8" s="4"/>
      <c r="DRZ8" s="34"/>
      <c r="DSA8" s="34"/>
      <c r="DSC8" s="34"/>
      <c r="DSD8" s="72"/>
      <c r="DSE8" s="63"/>
      <c r="DSF8" s="34"/>
      <c r="DSG8" s="64"/>
      <c r="DSH8" s="4"/>
      <c r="DSI8" s="65"/>
      <c r="DSJ8" s="4"/>
      <c r="DSK8" s="4"/>
      <c r="DSL8" s="4"/>
      <c r="DSO8" s="34"/>
      <c r="DSP8" s="34"/>
      <c r="DSR8" s="34"/>
      <c r="DSS8" s="72"/>
      <c r="DST8" s="63"/>
      <c r="DSU8" s="34"/>
      <c r="DSV8" s="64"/>
      <c r="DSW8" s="4"/>
      <c r="DSX8" s="65"/>
      <c r="DSY8" s="4"/>
      <c r="DSZ8" s="4"/>
      <c r="DTA8" s="4"/>
      <c r="DTD8" s="34"/>
      <c r="DTE8" s="34"/>
      <c r="DTG8" s="34"/>
      <c r="DTH8" s="72"/>
      <c r="DTI8" s="63"/>
      <c r="DTJ8" s="34"/>
      <c r="DTK8" s="64"/>
      <c r="DTL8" s="4"/>
      <c r="DTM8" s="65"/>
      <c r="DTN8" s="4"/>
      <c r="DTO8" s="4"/>
      <c r="DTP8" s="4"/>
      <c r="DTS8" s="34"/>
      <c r="DTT8" s="34"/>
      <c r="DTV8" s="34"/>
      <c r="DTW8" s="72"/>
      <c r="DTX8" s="63"/>
      <c r="DTY8" s="34"/>
      <c r="DTZ8" s="64"/>
      <c r="DUA8" s="4"/>
      <c r="DUB8" s="65"/>
      <c r="DUC8" s="4"/>
      <c r="DUD8" s="4"/>
      <c r="DUE8" s="4"/>
      <c r="DUH8" s="34"/>
      <c r="DUI8" s="34"/>
      <c r="DUK8" s="34"/>
      <c r="DUL8" s="72"/>
      <c r="DUM8" s="63"/>
      <c r="DUN8" s="34"/>
      <c r="DUO8" s="64"/>
      <c r="DUP8" s="4"/>
      <c r="DUQ8" s="65"/>
      <c r="DUR8" s="4"/>
      <c r="DUS8" s="4"/>
      <c r="DUT8" s="4"/>
      <c r="DUW8" s="34"/>
      <c r="DUX8" s="34"/>
      <c r="DUZ8" s="34"/>
      <c r="DVA8" s="72"/>
      <c r="DVB8" s="63"/>
      <c r="DVC8" s="34"/>
      <c r="DVD8" s="64"/>
      <c r="DVE8" s="4"/>
      <c r="DVF8" s="65"/>
      <c r="DVG8" s="4"/>
      <c r="DVH8" s="4"/>
      <c r="DVI8" s="4"/>
      <c r="DVL8" s="34"/>
      <c r="DVM8" s="34"/>
      <c r="DVO8" s="34"/>
      <c r="DVP8" s="72"/>
      <c r="DVQ8" s="63"/>
      <c r="DVR8" s="34"/>
      <c r="DVS8" s="64"/>
      <c r="DVT8" s="4"/>
      <c r="DVU8" s="65"/>
      <c r="DVV8" s="4"/>
      <c r="DVW8" s="4"/>
      <c r="DVX8" s="4"/>
      <c r="DWA8" s="34"/>
      <c r="DWB8" s="34"/>
      <c r="DWD8" s="34"/>
      <c r="DWE8" s="72"/>
      <c r="DWF8" s="63"/>
      <c r="DWG8" s="34"/>
      <c r="DWH8" s="64"/>
      <c r="DWI8" s="4"/>
      <c r="DWJ8" s="65"/>
      <c r="DWK8" s="4"/>
      <c r="DWL8" s="4"/>
      <c r="DWM8" s="4"/>
      <c r="DWP8" s="34"/>
      <c r="DWQ8" s="34"/>
      <c r="DWS8" s="34"/>
      <c r="DWT8" s="72"/>
      <c r="DWU8" s="63"/>
      <c r="DWV8" s="34"/>
      <c r="DWW8" s="64"/>
      <c r="DWX8" s="4"/>
      <c r="DWY8" s="65"/>
      <c r="DWZ8" s="4"/>
      <c r="DXA8" s="4"/>
      <c r="DXB8" s="4"/>
      <c r="DXE8" s="34"/>
      <c r="DXF8" s="34"/>
      <c r="DXH8" s="34"/>
      <c r="DXI8" s="72"/>
      <c r="DXJ8" s="63"/>
      <c r="DXK8" s="34"/>
      <c r="DXL8" s="64"/>
      <c r="DXM8" s="4"/>
      <c r="DXN8" s="65"/>
      <c r="DXO8" s="4"/>
      <c r="DXP8" s="4"/>
      <c r="DXQ8" s="4"/>
      <c r="DXT8" s="34"/>
      <c r="DXU8" s="34"/>
      <c r="DXW8" s="34"/>
      <c r="DXX8" s="72"/>
      <c r="DXY8" s="63"/>
      <c r="DXZ8" s="34"/>
      <c r="DYA8" s="64"/>
      <c r="DYB8" s="4"/>
      <c r="DYC8" s="65"/>
      <c r="DYD8" s="4"/>
      <c r="DYE8" s="4"/>
      <c r="DYF8" s="4"/>
      <c r="DYI8" s="34"/>
      <c r="DYJ8" s="34"/>
      <c r="DYL8" s="34"/>
      <c r="DYM8" s="72"/>
      <c r="DYN8" s="63"/>
      <c r="DYO8" s="34"/>
      <c r="DYP8" s="64"/>
      <c r="DYQ8" s="4"/>
      <c r="DYR8" s="65"/>
      <c r="DYS8" s="4"/>
      <c r="DYT8" s="4"/>
      <c r="DYU8" s="4"/>
      <c r="DYX8" s="34"/>
      <c r="DYY8" s="34"/>
      <c r="DZA8" s="34"/>
      <c r="DZB8" s="72"/>
      <c r="DZC8" s="63"/>
      <c r="DZD8" s="34"/>
      <c r="DZE8" s="64"/>
      <c r="DZF8" s="4"/>
      <c r="DZG8" s="65"/>
      <c r="DZH8" s="4"/>
      <c r="DZI8" s="4"/>
      <c r="DZJ8" s="4"/>
      <c r="DZM8" s="34"/>
      <c r="DZN8" s="34"/>
      <c r="DZP8" s="34"/>
      <c r="DZQ8" s="72"/>
      <c r="DZR8" s="63"/>
      <c r="DZS8" s="34"/>
      <c r="DZT8" s="64"/>
      <c r="DZU8" s="4"/>
      <c r="DZV8" s="65"/>
      <c r="DZW8" s="4"/>
      <c r="DZX8" s="4"/>
      <c r="DZY8" s="4"/>
      <c r="EAB8" s="34"/>
      <c r="EAC8" s="34"/>
      <c r="EAE8" s="34"/>
      <c r="EAF8" s="72"/>
      <c r="EAG8" s="63"/>
      <c r="EAH8" s="34"/>
      <c r="EAI8" s="64"/>
      <c r="EAJ8" s="4"/>
      <c r="EAK8" s="65"/>
      <c r="EAL8" s="4"/>
      <c r="EAM8" s="4"/>
      <c r="EAN8" s="4"/>
      <c r="EAQ8" s="34"/>
      <c r="EAR8" s="34"/>
      <c r="EAT8" s="34"/>
      <c r="EAU8" s="72"/>
      <c r="EAV8" s="63"/>
      <c r="EAW8" s="34"/>
      <c r="EAX8" s="64"/>
      <c r="EAY8" s="4"/>
      <c r="EAZ8" s="65"/>
      <c r="EBA8" s="4"/>
      <c r="EBB8" s="4"/>
      <c r="EBC8" s="4"/>
      <c r="EBF8" s="34"/>
      <c r="EBG8" s="34"/>
      <c r="EBI8" s="34"/>
      <c r="EBJ8" s="72"/>
      <c r="EBK8" s="63"/>
      <c r="EBL8" s="34"/>
      <c r="EBM8" s="64"/>
      <c r="EBN8" s="4"/>
      <c r="EBO8" s="65"/>
      <c r="EBP8" s="4"/>
      <c r="EBQ8" s="4"/>
      <c r="EBR8" s="4"/>
      <c r="EBU8" s="34"/>
      <c r="EBV8" s="34"/>
      <c r="EBX8" s="34"/>
      <c r="EBY8" s="72"/>
      <c r="EBZ8" s="63"/>
      <c r="ECA8" s="34"/>
      <c r="ECB8" s="64"/>
      <c r="ECC8" s="4"/>
      <c r="ECD8" s="65"/>
      <c r="ECE8" s="4"/>
      <c r="ECF8" s="4"/>
      <c r="ECG8" s="4"/>
      <c r="ECJ8" s="34"/>
      <c r="ECK8" s="34"/>
      <c r="ECM8" s="34"/>
      <c r="ECN8" s="72"/>
      <c r="ECO8" s="63"/>
      <c r="ECP8" s="34"/>
      <c r="ECQ8" s="64"/>
      <c r="ECR8" s="4"/>
      <c r="ECS8" s="65"/>
      <c r="ECT8" s="4"/>
      <c r="ECU8" s="4"/>
      <c r="ECV8" s="4"/>
      <c r="ECY8" s="34"/>
      <c r="ECZ8" s="34"/>
      <c r="EDB8" s="34"/>
      <c r="EDC8" s="72"/>
      <c r="EDD8" s="63"/>
      <c r="EDE8" s="34"/>
      <c r="EDF8" s="64"/>
      <c r="EDG8" s="4"/>
      <c r="EDH8" s="65"/>
      <c r="EDI8" s="4"/>
      <c r="EDJ8" s="4"/>
      <c r="EDK8" s="4"/>
      <c r="EDN8" s="34"/>
      <c r="EDO8" s="34"/>
      <c r="EDQ8" s="34"/>
      <c r="EDR8" s="72"/>
      <c r="EDS8" s="63"/>
      <c r="EDT8" s="34"/>
      <c r="EDU8" s="64"/>
      <c r="EDV8" s="4"/>
      <c r="EDW8" s="65"/>
      <c r="EDX8" s="4"/>
      <c r="EDY8" s="4"/>
      <c r="EDZ8" s="4"/>
      <c r="EEC8" s="34"/>
      <c r="EED8" s="34"/>
      <c r="EEF8" s="34"/>
      <c r="EEG8" s="72"/>
      <c r="EEH8" s="63"/>
      <c r="EEI8" s="34"/>
      <c r="EEJ8" s="64"/>
      <c r="EEK8" s="4"/>
      <c r="EEL8" s="65"/>
      <c r="EEM8" s="4"/>
      <c r="EEN8" s="4"/>
      <c r="EEO8" s="4"/>
      <c r="EER8" s="34"/>
      <c r="EES8" s="34"/>
      <c r="EEU8" s="34"/>
      <c r="EEV8" s="72"/>
      <c r="EEW8" s="63"/>
      <c r="EEX8" s="34"/>
      <c r="EEY8" s="64"/>
      <c r="EEZ8" s="4"/>
      <c r="EFA8" s="65"/>
      <c r="EFB8" s="4"/>
      <c r="EFC8" s="4"/>
      <c r="EFD8" s="4"/>
      <c r="EFG8" s="34"/>
      <c r="EFH8" s="34"/>
      <c r="EFJ8" s="34"/>
      <c r="EFK8" s="72"/>
      <c r="EFL8" s="63"/>
      <c r="EFM8" s="34"/>
      <c r="EFN8" s="64"/>
      <c r="EFO8" s="4"/>
      <c r="EFP8" s="65"/>
      <c r="EFQ8" s="4"/>
      <c r="EFR8" s="4"/>
      <c r="EFS8" s="4"/>
      <c r="EFV8" s="34"/>
      <c r="EFW8" s="34"/>
      <c r="EFY8" s="34"/>
      <c r="EFZ8" s="72"/>
      <c r="EGA8" s="63"/>
      <c r="EGB8" s="34"/>
      <c r="EGC8" s="64"/>
      <c r="EGD8" s="4"/>
      <c r="EGE8" s="65"/>
      <c r="EGF8" s="4"/>
      <c r="EGG8" s="4"/>
      <c r="EGH8" s="4"/>
      <c r="EGK8" s="34"/>
      <c r="EGL8" s="34"/>
      <c r="EGN8" s="34"/>
      <c r="EGO8" s="72"/>
      <c r="EGP8" s="63"/>
      <c r="EGQ8" s="34"/>
      <c r="EGR8" s="64"/>
      <c r="EGS8" s="4"/>
      <c r="EGT8" s="65"/>
      <c r="EGU8" s="4"/>
      <c r="EGV8" s="4"/>
      <c r="EGW8" s="4"/>
      <c r="EGZ8" s="34"/>
      <c r="EHA8" s="34"/>
      <c r="EHC8" s="34"/>
      <c r="EHD8" s="72"/>
      <c r="EHE8" s="63"/>
      <c r="EHF8" s="34"/>
      <c r="EHG8" s="64"/>
      <c r="EHH8" s="4"/>
      <c r="EHI8" s="65"/>
      <c r="EHJ8" s="4"/>
      <c r="EHK8" s="4"/>
      <c r="EHL8" s="4"/>
      <c r="EHO8" s="34"/>
      <c r="EHP8" s="34"/>
      <c r="EHR8" s="34"/>
      <c r="EHS8" s="72"/>
      <c r="EHT8" s="63"/>
      <c r="EHU8" s="34"/>
      <c r="EHV8" s="64"/>
      <c r="EHW8" s="4"/>
      <c r="EHX8" s="65"/>
      <c r="EHY8" s="4"/>
      <c r="EHZ8" s="4"/>
      <c r="EIA8" s="4"/>
      <c r="EID8" s="34"/>
      <c r="EIE8" s="34"/>
      <c r="EIG8" s="34"/>
      <c r="EIH8" s="72"/>
      <c r="EII8" s="63"/>
      <c r="EIJ8" s="34"/>
      <c r="EIK8" s="64"/>
      <c r="EIL8" s="4"/>
      <c r="EIM8" s="65"/>
      <c r="EIN8" s="4"/>
      <c r="EIO8" s="4"/>
      <c r="EIP8" s="4"/>
      <c r="EIS8" s="34"/>
      <c r="EIT8" s="34"/>
      <c r="EIV8" s="34"/>
      <c r="EIW8" s="72"/>
      <c r="EIX8" s="63"/>
      <c r="EIY8" s="34"/>
      <c r="EIZ8" s="64"/>
      <c r="EJA8" s="4"/>
      <c r="EJB8" s="65"/>
      <c r="EJC8" s="4"/>
      <c r="EJD8" s="4"/>
      <c r="EJE8" s="4"/>
      <c r="EJH8" s="34"/>
      <c r="EJI8" s="34"/>
      <c r="EJK8" s="34"/>
      <c r="EJL8" s="72"/>
      <c r="EJM8" s="63"/>
      <c r="EJN8" s="34"/>
      <c r="EJO8" s="64"/>
      <c r="EJP8" s="4"/>
      <c r="EJQ8" s="65"/>
      <c r="EJR8" s="4"/>
      <c r="EJS8" s="4"/>
      <c r="EJT8" s="4"/>
      <c r="EJW8" s="34"/>
      <c r="EJX8" s="34"/>
      <c r="EJZ8" s="34"/>
      <c r="EKA8" s="72"/>
      <c r="EKB8" s="63"/>
      <c r="EKC8" s="34"/>
      <c r="EKD8" s="64"/>
      <c r="EKE8" s="4"/>
      <c r="EKF8" s="65"/>
      <c r="EKG8" s="4"/>
      <c r="EKH8" s="4"/>
      <c r="EKI8" s="4"/>
      <c r="EKL8" s="34"/>
      <c r="EKM8" s="34"/>
      <c r="EKO8" s="34"/>
      <c r="EKP8" s="72"/>
      <c r="EKQ8" s="63"/>
      <c r="EKR8" s="34"/>
      <c r="EKS8" s="64"/>
      <c r="EKT8" s="4"/>
      <c r="EKU8" s="65"/>
      <c r="EKV8" s="4"/>
      <c r="EKW8" s="4"/>
      <c r="EKX8" s="4"/>
      <c r="ELA8" s="34"/>
      <c r="ELB8" s="34"/>
      <c r="ELD8" s="34"/>
      <c r="ELE8" s="72"/>
      <c r="ELF8" s="63"/>
      <c r="ELG8" s="34"/>
      <c r="ELH8" s="64"/>
      <c r="ELI8" s="4"/>
      <c r="ELJ8" s="65"/>
      <c r="ELK8" s="4"/>
      <c r="ELL8" s="4"/>
      <c r="ELM8" s="4"/>
      <c r="ELP8" s="34"/>
      <c r="ELQ8" s="34"/>
      <c r="ELS8" s="34"/>
      <c r="ELT8" s="72"/>
      <c r="ELU8" s="63"/>
      <c r="ELV8" s="34"/>
      <c r="ELW8" s="64"/>
      <c r="ELX8" s="4"/>
      <c r="ELY8" s="65"/>
      <c r="ELZ8" s="4"/>
      <c r="EMA8" s="4"/>
      <c r="EMB8" s="4"/>
      <c r="EME8" s="34"/>
      <c r="EMF8" s="34"/>
      <c r="EMH8" s="34"/>
      <c r="EMI8" s="72"/>
      <c r="EMJ8" s="63"/>
      <c r="EMK8" s="34"/>
      <c r="EML8" s="64"/>
      <c r="EMM8" s="4"/>
      <c r="EMN8" s="65"/>
      <c r="EMO8" s="4"/>
      <c r="EMP8" s="4"/>
      <c r="EMQ8" s="4"/>
      <c r="EMT8" s="34"/>
      <c r="EMU8" s="34"/>
      <c r="EMW8" s="34"/>
      <c r="EMX8" s="72"/>
      <c r="EMY8" s="63"/>
      <c r="EMZ8" s="34"/>
      <c r="ENA8" s="64"/>
      <c r="ENB8" s="4"/>
      <c r="ENC8" s="65"/>
      <c r="END8" s="4"/>
      <c r="ENE8" s="4"/>
      <c r="ENF8" s="4"/>
      <c r="ENI8" s="34"/>
      <c r="ENJ8" s="34"/>
      <c r="ENL8" s="34"/>
      <c r="ENM8" s="72"/>
      <c r="ENN8" s="63"/>
      <c r="ENO8" s="34"/>
      <c r="ENP8" s="64"/>
      <c r="ENQ8" s="4"/>
      <c r="ENR8" s="65"/>
      <c r="ENS8" s="4"/>
      <c r="ENT8" s="4"/>
      <c r="ENU8" s="4"/>
      <c r="ENX8" s="34"/>
      <c r="ENY8" s="34"/>
      <c r="EOA8" s="34"/>
      <c r="EOB8" s="72"/>
      <c r="EOC8" s="63"/>
      <c r="EOD8" s="34"/>
      <c r="EOE8" s="64"/>
      <c r="EOF8" s="4"/>
      <c r="EOG8" s="65"/>
      <c r="EOH8" s="4"/>
      <c r="EOI8" s="4"/>
      <c r="EOJ8" s="4"/>
      <c r="EOM8" s="34"/>
      <c r="EON8" s="34"/>
      <c r="EOP8" s="34"/>
      <c r="EOQ8" s="72"/>
      <c r="EOR8" s="63"/>
      <c r="EOS8" s="34"/>
      <c r="EOT8" s="64"/>
      <c r="EOU8" s="4"/>
      <c r="EOV8" s="65"/>
      <c r="EOW8" s="4"/>
      <c r="EOX8" s="4"/>
      <c r="EOY8" s="4"/>
      <c r="EPB8" s="34"/>
      <c r="EPC8" s="34"/>
      <c r="EPE8" s="34"/>
      <c r="EPF8" s="72"/>
      <c r="EPG8" s="63"/>
      <c r="EPH8" s="34"/>
      <c r="EPI8" s="64"/>
      <c r="EPJ8" s="4"/>
      <c r="EPK8" s="65"/>
      <c r="EPL8" s="4"/>
      <c r="EPM8" s="4"/>
      <c r="EPN8" s="4"/>
      <c r="EPQ8" s="34"/>
      <c r="EPR8" s="34"/>
      <c r="EPT8" s="34"/>
      <c r="EPU8" s="72"/>
      <c r="EPV8" s="63"/>
      <c r="EPW8" s="34"/>
      <c r="EPX8" s="64"/>
      <c r="EPY8" s="4"/>
      <c r="EPZ8" s="65"/>
      <c r="EQA8" s="4"/>
      <c r="EQB8" s="4"/>
      <c r="EQC8" s="4"/>
      <c r="EQF8" s="34"/>
      <c r="EQG8" s="34"/>
      <c r="EQI8" s="34"/>
      <c r="EQJ8" s="72"/>
      <c r="EQK8" s="63"/>
      <c r="EQL8" s="34"/>
      <c r="EQM8" s="64"/>
      <c r="EQN8" s="4"/>
      <c r="EQO8" s="65"/>
      <c r="EQP8" s="4"/>
      <c r="EQQ8" s="4"/>
      <c r="EQR8" s="4"/>
      <c r="EQU8" s="34"/>
      <c r="EQV8" s="34"/>
      <c r="EQX8" s="34"/>
      <c r="EQY8" s="72"/>
      <c r="EQZ8" s="63"/>
      <c r="ERA8" s="34"/>
      <c r="ERB8" s="64"/>
      <c r="ERC8" s="4"/>
      <c r="ERD8" s="65"/>
      <c r="ERE8" s="4"/>
      <c r="ERF8" s="4"/>
      <c r="ERG8" s="4"/>
      <c r="ERJ8" s="34"/>
      <c r="ERK8" s="34"/>
      <c r="ERM8" s="34"/>
      <c r="ERN8" s="72"/>
      <c r="ERO8" s="63"/>
      <c r="ERP8" s="34"/>
      <c r="ERQ8" s="64"/>
      <c r="ERR8" s="4"/>
      <c r="ERS8" s="65"/>
      <c r="ERT8" s="4"/>
      <c r="ERU8" s="4"/>
      <c r="ERV8" s="4"/>
      <c r="ERY8" s="34"/>
      <c r="ERZ8" s="34"/>
      <c r="ESB8" s="34"/>
      <c r="ESC8" s="72"/>
      <c r="ESD8" s="63"/>
      <c r="ESE8" s="34"/>
      <c r="ESF8" s="64"/>
      <c r="ESG8" s="4"/>
      <c r="ESH8" s="65"/>
      <c r="ESI8" s="4"/>
      <c r="ESJ8" s="4"/>
      <c r="ESK8" s="4"/>
      <c r="ESN8" s="34"/>
      <c r="ESO8" s="34"/>
      <c r="ESQ8" s="34"/>
      <c r="ESR8" s="72"/>
      <c r="ESS8" s="63"/>
      <c r="EST8" s="34"/>
      <c r="ESU8" s="64"/>
      <c r="ESV8" s="4"/>
      <c r="ESW8" s="65"/>
      <c r="ESX8" s="4"/>
      <c r="ESY8" s="4"/>
      <c r="ESZ8" s="4"/>
      <c r="ETC8" s="34"/>
      <c r="ETD8" s="34"/>
      <c r="ETF8" s="34"/>
      <c r="ETG8" s="72"/>
      <c r="ETH8" s="63"/>
      <c r="ETI8" s="34"/>
      <c r="ETJ8" s="64"/>
      <c r="ETK8" s="4"/>
      <c r="ETL8" s="65"/>
      <c r="ETM8" s="4"/>
      <c r="ETN8" s="4"/>
      <c r="ETO8" s="4"/>
      <c r="ETR8" s="34"/>
      <c r="ETS8" s="34"/>
      <c r="ETU8" s="34"/>
      <c r="ETV8" s="72"/>
      <c r="ETW8" s="63"/>
      <c r="ETX8" s="34"/>
      <c r="ETY8" s="64"/>
      <c r="ETZ8" s="4"/>
      <c r="EUA8" s="65"/>
      <c r="EUB8" s="4"/>
      <c r="EUC8" s="4"/>
      <c r="EUD8" s="4"/>
      <c r="EUG8" s="34"/>
      <c r="EUH8" s="34"/>
      <c r="EUJ8" s="34"/>
      <c r="EUK8" s="72"/>
      <c r="EUL8" s="63"/>
      <c r="EUM8" s="34"/>
      <c r="EUN8" s="64"/>
      <c r="EUO8" s="4"/>
      <c r="EUP8" s="65"/>
      <c r="EUQ8" s="4"/>
      <c r="EUR8" s="4"/>
      <c r="EUS8" s="4"/>
      <c r="EUV8" s="34"/>
      <c r="EUW8" s="34"/>
      <c r="EUY8" s="34"/>
      <c r="EUZ8" s="72"/>
      <c r="EVA8" s="63"/>
      <c r="EVB8" s="34"/>
      <c r="EVC8" s="64"/>
      <c r="EVD8" s="4"/>
      <c r="EVE8" s="65"/>
      <c r="EVF8" s="4"/>
      <c r="EVG8" s="4"/>
      <c r="EVH8" s="4"/>
      <c r="EVK8" s="34"/>
      <c r="EVL8" s="34"/>
      <c r="EVN8" s="34"/>
      <c r="EVO8" s="72"/>
      <c r="EVP8" s="63"/>
      <c r="EVQ8" s="34"/>
      <c r="EVR8" s="64"/>
      <c r="EVS8" s="4"/>
      <c r="EVT8" s="65"/>
      <c r="EVU8" s="4"/>
      <c r="EVV8" s="4"/>
      <c r="EVW8" s="4"/>
      <c r="EVZ8" s="34"/>
      <c r="EWA8" s="34"/>
      <c r="EWC8" s="34"/>
      <c r="EWD8" s="72"/>
      <c r="EWE8" s="63"/>
      <c r="EWF8" s="34"/>
      <c r="EWG8" s="64"/>
      <c r="EWH8" s="4"/>
      <c r="EWI8" s="65"/>
      <c r="EWJ8" s="4"/>
      <c r="EWK8" s="4"/>
      <c r="EWL8" s="4"/>
      <c r="EWO8" s="34"/>
      <c r="EWP8" s="34"/>
      <c r="EWR8" s="34"/>
      <c r="EWS8" s="72"/>
      <c r="EWT8" s="63"/>
      <c r="EWU8" s="34"/>
      <c r="EWV8" s="64"/>
      <c r="EWW8" s="4"/>
      <c r="EWX8" s="65"/>
      <c r="EWY8" s="4"/>
      <c r="EWZ8" s="4"/>
      <c r="EXA8" s="4"/>
      <c r="EXD8" s="34"/>
      <c r="EXE8" s="34"/>
      <c r="EXG8" s="34"/>
      <c r="EXH8" s="72"/>
      <c r="EXI8" s="63"/>
      <c r="EXJ8" s="34"/>
      <c r="EXK8" s="64"/>
      <c r="EXL8" s="4"/>
      <c r="EXM8" s="65"/>
      <c r="EXN8" s="4"/>
      <c r="EXO8" s="4"/>
      <c r="EXP8" s="4"/>
      <c r="EXS8" s="34"/>
      <c r="EXT8" s="34"/>
      <c r="EXV8" s="34"/>
      <c r="EXW8" s="72"/>
      <c r="EXX8" s="63"/>
      <c r="EXY8" s="34"/>
      <c r="EXZ8" s="64"/>
      <c r="EYA8" s="4"/>
      <c r="EYB8" s="65"/>
      <c r="EYC8" s="4"/>
      <c r="EYD8" s="4"/>
      <c r="EYE8" s="4"/>
      <c r="EYH8" s="34"/>
      <c r="EYI8" s="34"/>
      <c r="EYK8" s="34"/>
      <c r="EYL8" s="72"/>
      <c r="EYM8" s="63"/>
      <c r="EYN8" s="34"/>
      <c r="EYO8" s="64"/>
      <c r="EYP8" s="4"/>
      <c r="EYQ8" s="65"/>
      <c r="EYR8" s="4"/>
      <c r="EYS8" s="4"/>
      <c r="EYT8" s="4"/>
      <c r="EYW8" s="34"/>
      <c r="EYX8" s="34"/>
      <c r="EYZ8" s="34"/>
      <c r="EZA8" s="72"/>
      <c r="EZB8" s="63"/>
      <c r="EZC8" s="34"/>
      <c r="EZD8" s="64"/>
      <c r="EZE8" s="4"/>
      <c r="EZF8" s="65"/>
      <c r="EZG8" s="4"/>
      <c r="EZH8" s="4"/>
      <c r="EZI8" s="4"/>
      <c r="EZL8" s="34"/>
      <c r="EZM8" s="34"/>
      <c r="EZO8" s="34"/>
      <c r="EZP8" s="72"/>
      <c r="EZQ8" s="63"/>
      <c r="EZR8" s="34"/>
      <c r="EZS8" s="64"/>
      <c r="EZT8" s="4"/>
      <c r="EZU8" s="65"/>
      <c r="EZV8" s="4"/>
      <c r="EZW8" s="4"/>
      <c r="EZX8" s="4"/>
      <c r="FAA8" s="34"/>
      <c r="FAB8" s="34"/>
      <c r="FAD8" s="34"/>
      <c r="FAE8" s="72"/>
      <c r="FAF8" s="63"/>
      <c r="FAG8" s="34"/>
      <c r="FAH8" s="64"/>
      <c r="FAI8" s="4"/>
      <c r="FAJ8" s="65"/>
      <c r="FAK8" s="4"/>
      <c r="FAL8" s="4"/>
      <c r="FAM8" s="4"/>
      <c r="FAP8" s="34"/>
      <c r="FAQ8" s="34"/>
      <c r="FAS8" s="34"/>
      <c r="FAT8" s="72"/>
      <c r="FAU8" s="63"/>
      <c r="FAV8" s="34"/>
      <c r="FAW8" s="64"/>
      <c r="FAX8" s="4"/>
      <c r="FAY8" s="65"/>
      <c r="FAZ8" s="4"/>
      <c r="FBA8" s="4"/>
      <c r="FBB8" s="4"/>
      <c r="FBE8" s="34"/>
      <c r="FBF8" s="34"/>
      <c r="FBH8" s="34"/>
      <c r="FBI8" s="72"/>
      <c r="FBJ8" s="63"/>
      <c r="FBK8" s="34"/>
      <c r="FBL8" s="64"/>
      <c r="FBM8" s="4"/>
      <c r="FBN8" s="65"/>
      <c r="FBO8" s="4"/>
      <c r="FBP8" s="4"/>
      <c r="FBQ8" s="4"/>
      <c r="FBT8" s="34"/>
      <c r="FBU8" s="34"/>
      <c r="FBW8" s="34"/>
      <c r="FBX8" s="72"/>
      <c r="FBY8" s="63"/>
      <c r="FBZ8" s="34"/>
      <c r="FCA8" s="64"/>
      <c r="FCB8" s="4"/>
      <c r="FCC8" s="65"/>
      <c r="FCD8" s="4"/>
      <c r="FCE8" s="4"/>
      <c r="FCF8" s="4"/>
      <c r="FCI8" s="34"/>
      <c r="FCJ8" s="34"/>
      <c r="FCL8" s="34"/>
      <c r="FCM8" s="72"/>
      <c r="FCN8" s="63"/>
      <c r="FCO8" s="34"/>
      <c r="FCP8" s="64"/>
      <c r="FCQ8" s="4"/>
      <c r="FCR8" s="65"/>
      <c r="FCS8" s="4"/>
      <c r="FCT8" s="4"/>
      <c r="FCU8" s="4"/>
      <c r="FCX8" s="34"/>
      <c r="FCY8" s="34"/>
      <c r="FDA8" s="34"/>
      <c r="FDB8" s="72"/>
      <c r="FDC8" s="63"/>
      <c r="FDD8" s="34"/>
      <c r="FDE8" s="64"/>
      <c r="FDF8" s="4"/>
      <c r="FDG8" s="65"/>
      <c r="FDH8" s="4"/>
      <c r="FDI8" s="4"/>
      <c r="FDJ8" s="4"/>
      <c r="FDM8" s="34"/>
      <c r="FDN8" s="34"/>
      <c r="FDP8" s="34"/>
      <c r="FDQ8" s="72"/>
      <c r="FDR8" s="63"/>
      <c r="FDS8" s="34"/>
      <c r="FDT8" s="64"/>
      <c r="FDU8" s="4"/>
      <c r="FDV8" s="65"/>
      <c r="FDW8" s="4"/>
      <c r="FDX8" s="4"/>
      <c r="FDY8" s="4"/>
      <c r="FEB8" s="34"/>
      <c r="FEC8" s="34"/>
      <c r="FEE8" s="34"/>
      <c r="FEF8" s="72"/>
      <c r="FEG8" s="63"/>
      <c r="FEH8" s="34"/>
      <c r="FEI8" s="64"/>
      <c r="FEJ8" s="4"/>
      <c r="FEK8" s="65"/>
      <c r="FEL8" s="4"/>
      <c r="FEM8" s="4"/>
      <c r="FEN8" s="4"/>
      <c r="FEQ8" s="34"/>
      <c r="FER8" s="34"/>
      <c r="FET8" s="34"/>
      <c r="FEU8" s="72"/>
      <c r="FEV8" s="63"/>
      <c r="FEW8" s="34"/>
      <c r="FEX8" s="64"/>
      <c r="FEY8" s="4"/>
      <c r="FEZ8" s="65"/>
      <c r="FFA8" s="4"/>
      <c r="FFB8" s="4"/>
      <c r="FFC8" s="4"/>
      <c r="FFF8" s="34"/>
      <c r="FFG8" s="34"/>
      <c r="FFI8" s="34"/>
      <c r="FFJ8" s="72"/>
      <c r="FFK8" s="63"/>
      <c r="FFL8" s="34"/>
      <c r="FFM8" s="64"/>
      <c r="FFN8" s="4"/>
      <c r="FFO8" s="65"/>
      <c r="FFP8" s="4"/>
      <c r="FFQ8" s="4"/>
      <c r="FFR8" s="4"/>
      <c r="FFU8" s="34"/>
      <c r="FFV8" s="34"/>
      <c r="FFX8" s="34"/>
      <c r="FFY8" s="72"/>
      <c r="FFZ8" s="63"/>
      <c r="FGA8" s="34"/>
      <c r="FGB8" s="64"/>
      <c r="FGC8" s="4"/>
      <c r="FGD8" s="65"/>
      <c r="FGE8" s="4"/>
      <c r="FGF8" s="4"/>
      <c r="FGG8" s="4"/>
      <c r="FGJ8" s="34"/>
      <c r="FGK8" s="34"/>
      <c r="FGM8" s="34"/>
      <c r="FGN8" s="72"/>
      <c r="FGO8" s="63"/>
      <c r="FGP8" s="34"/>
      <c r="FGQ8" s="64"/>
      <c r="FGR8" s="4"/>
      <c r="FGS8" s="65"/>
      <c r="FGT8" s="4"/>
      <c r="FGU8" s="4"/>
      <c r="FGV8" s="4"/>
      <c r="FGY8" s="34"/>
      <c r="FGZ8" s="34"/>
      <c r="FHB8" s="34"/>
      <c r="FHC8" s="72"/>
      <c r="FHD8" s="63"/>
      <c r="FHE8" s="34"/>
      <c r="FHF8" s="64"/>
      <c r="FHG8" s="4"/>
      <c r="FHH8" s="65"/>
      <c r="FHI8" s="4"/>
      <c r="FHJ8" s="4"/>
      <c r="FHK8" s="4"/>
      <c r="FHN8" s="34"/>
      <c r="FHO8" s="34"/>
      <c r="FHQ8" s="34"/>
      <c r="FHR8" s="72"/>
      <c r="FHS8" s="63"/>
      <c r="FHT8" s="34"/>
      <c r="FHU8" s="64"/>
      <c r="FHV8" s="4"/>
      <c r="FHW8" s="65"/>
      <c r="FHX8" s="4"/>
      <c r="FHY8" s="4"/>
      <c r="FHZ8" s="4"/>
      <c r="FIC8" s="34"/>
      <c r="FID8" s="34"/>
      <c r="FIF8" s="34"/>
      <c r="FIG8" s="72"/>
      <c r="FIH8" s="63"/>
      <c r="FII8" s="34"/>
      <c r="FIJ8" s="64"/>
      <c r="FIK8" s="4"/>
      <c r="FIL8" s="65"/>
      <c r="FIM8" s="4"/>
      <c r="FIN8" s="4"/>
      <c r="FIO8" s="4"/>
      <c r="FIR8" s="34"/>
      <c r="FIS8" s="34"/>
      <c r="FIU8" s="34"/>
      <c r="FIV8" s="72"/>
      <c r="FIW8" s="63"/>
      <c r="FIX8" s="34"/>
      <c r="FIY8" s="64"/>
      <c r="FIZ8" s="4"/>
      <c r="FJA8" s="65"/>
      <c r="FJB8" s="4"/>
      <c r="FJC8" s="4"/>
      <c r="FJD8" s="4"/>
      <c r="FJG8" s="34"/>
      <c r="FJH8" s="34"/>
      <c r="FJJ8" s="34"/>
      <c r="FJK8" s="72"/>
      <c r="FJL8" s="63"/>
      <c r="FJM8" s="34"/>
      <c r="FJN8" s="64"/>
      <c r="FJO8" s="4"/>
      <c r="FJP8" s="65"/>
      <c r="FJQ8" s="4"/>
      <c r="FJR8" s="4"/>
      <c r="FJS8" s="4"/>
      <c r="FJV8" s="34"/>
      <c r="FJW8" s="34"/>
      <c r="FJY8" s="34"/>
      <c r="FJZ8" s="72"/>
      <c r="FKA8" s="63"/>
      <c r="FKB8" s="34"/>
      <c r="FKC8" s="64"/>
      <c r="FKD8" s="4"/>
      <c r="FKE8" s="65"/>
      <c r="FKF8" s="4"/>
      <c r="FKG8" s="4"/>
      <c r="FKH8" s="4"/>
      <c r="FKK8" s="34"/>
      <c r="FKL8" s="34"/>
      <c r="FKN8" s="34"/>
      <c r="FKO8" s="72"/>
      <c r="FKP8" s="63"/>
      <c r="FKQ8" s="34"/>
      <c r="FKR8" s="64"/>
      <c r="FKS8" s="4"/>
      <c r="FKT8" s="65"/>
      <c r="FKU8" s="4"/>
      <c r="FKV8" s="4"/>
      <c r="FKW8" s="4"/>
      <c r="FKZ8" s="34"/>
      <c r="FLA8" s="34"/>
      <c r="FLC8" s="34"/>
      <c r="FLD8" s="72"/>
      <c r="FLE8" s="63"/>
      <c r="FLF8" s="34"/>
      <c r="FLG8" s="64"/>
      <c r="FLH8" s="4"/>
      <c r="FLI8" s="65"/>
      <c r="FLJ8" s="4"/>
      <c r="FLK8" s="4"/>
      <c r="FLL8" s="4"/>
      <c r="FLO8" s="34"/>
      <c r="FLP8" s="34"/>
      <c r="FLR8" s="34"/>
      <c r="FLS8" s="72"/>
      <c r="FLT8" s="63"/>
      <c r="FLU8" s="34"/>
      <c r="FLV8" s="64"/>
      <c r="FLW8" s="4"/>
      <c r="FLX8" s="65"/>
      <c r="FLY8" s="4"/>
      <c r="FLZ8" s="4"/>
      <c r="FMA8" s="4"/>
      <c r="FMD8" s="34"/>
      <c r="FME8" s="34"/>
      <c r="FMG8" s="34"/>
      <c r="FMH8" s="72"/>
      <c r="FMI8" s="63"/>
      <c r="FMJ8" s="34"/>
      <c r="FMK8" s="64"/>
      <c r="FML8" s="4"/>
      <c r="FMM8" s="65"/>
      <c r="FMN8" s="4"/>
      <c r="FMO8" s="4"/>
      <c r="FMP8" s="4"/>
      <c r="FMS8" s="34"/>
      <c r="FMT8" s="34"/>
      <c r="FMV8" s="34"/>
      <c r="FMW8" s="72"/>
      <c r="FMX8" s="63"/>
      <c r="FMY8" s="34"/>
      <c r="FMZ8" s="64"/>
      <c r="FNA8" s="4"/>
      <c r="FNB8" s="65"/>
      <c r="FNC8" s="4"/>
      <c r="FND8" s="4"/>
      <c r="FNE8" s="4"/>
      <c r="FNH8" s="34"/>
      <c r="FNI8" s="34"/>
      <c r="FNK8" s="34"/>
      <c r="FNL8" s="72"/>
      <c r="FNM8" s="63"/>
      <c r="FNN8" s="34"/>
      <c r="FNO8" s="64"/>
      <c r="FNP8" s="4"/>
      <c r="FNQ8" s="65"/>
      <c r="FNR8" s="4"/>
      <c r="FNS8" s="4"/>
      <c r="FNT8" s="4"/>
      <c r="FNW8" s="34"/>
      <c r="FNX8" s="34"/>
      <c r="FNZ8" s="34"/>
      <c r="FOA8" s="72"/>
      <c r="FOB8" s="63"/>
      <c r="FOC8" s="34"/>
      <c r="FOD8" s="64"/>
      <c r="FOE8" s="4"/>
      <c r="FOF8" s="65"/>
      <c r="FOG8" s="4"/>
      <c r="FOH8" s="4"/>
      <c r="FOI8" s="4"/>
      <c r="FOL8" s="34"/>
      <c r="FOM8" s="34"/>
      <c r="FOO8" s="34"/>
      <c r="FOP8" s="72"/>
      <c r="FOQ8" s="63"/>
      <c r="FOR8" s="34"/>
      <c r="FOS8" s="64"/>
      <c r="FOT8" s="4"/>
      <c r="FOU8" s="65"/>
      <c r="FOV8" s="4"/>
      <c r="FOW8" s="4"/>
      <c r="FOX8" s="4"/>
      <c r="FPA8" s="34"/>
      <c r="FPB8" s="34"/>
      <c r="FPD8" s="34"/>
      <c r="FPE8" s="72"/>
      <c r="FPF8" s="63"/>
      <c r="FPG8" s="34"/>
      <c r="FPH8" s="64"/>
      <c r="FPI8" s="4"/>
      <c r="FPJ8" s="65"/>
      <c r="FPK8" s="4"/>
      <c r="FPL8" s="4"/>
      <c r="FPM8" s="4"/>
      <c r="FPP8" s="34"/>
      <c r="FPQ8" s="34"/>
      <c r="FPS8" s="34"/>
      <c r="FPT8" s="72"/>
      <c r="FPU8" s="63"/>
      <c r="FPV8" s="34"/>
      <c r="FPW8" s="64"/>
      <c r="FPX8" s="4"/>
      <c r="FPY8" s="65"/>
      <c r="FPZ8" s="4"/>
      <c r="FQA8" s="4"/>
      <c r="FQB8" s="4"/>
      <c r="FQE8" s="34"/>
      <c r="FQF8" s="34"/>
      <c r="FQH8" s="34"/>
      <c r="FQI8" s="72"/>
      <c r="FQJ8" s="63"/>
      <c r="FQK8" s="34"/>
      <c r="FQL8" s="64"/>
      <c r="FQM8" s="4"/>
      <c r="FQN8" s="65"/>
      <c r="FQO8" s="4"/>
      <c r="FQP8" s="4"/>
      <c r="FQQ8" s="4"/>
      <c r="FQT8" s="34"/>
      <c r="FQU8" s="34"/>
      <c r="FQW8" s="34"/>
      <c r="FQX8" s="72"/>
      <c r="FQY8" s="63"/>
      <c r="FQZ8" s="34"/>
      <c r="FRA8" s="64"/>
      <c r="FRB8" s="4"/>
      <c r="FRC8" s="65"/>
      <c r="FRD8" s="4"/>
      <c r="FRE8" s="4"/>
      <c r="FRF8" s="4"/>
      <c r="FRI8" s="34"/>
      <c r="FRJ8" s="34"/>
      <c r="FRL8" s="34"/>
      <c r="FRM8" s="72"/>
      <c r="FRN8" s="63"/>
      <c r="FRO8" s="34"/>
      <c r="FRP8" s="64"/>
      <c r="FRQ8" s="4"/>
      <c r="FRR8" s="65"/>
      <c r="FRS8" s="4"/>
      <c r="FRT8" s="4"/>
      <c r="FRU8" s="4"/>
      <c r="FRX8" s="34"/>
      <c r="FRY8" s="34"/>
      <c r="FSA8" s="34"/>
      <c r="FSB8" s="72"/>
      <c r="FSC8" s="63"/>
      <c r="FSD8" s="34"/>
      <c r="FSE8" s="64"/>
      <c r="FSF8" s="4"/>
      <c r="FSG8" s="65"/>
      <c r="FSH8" s="4"/>
      <c r="FSI8" s="4"/>
      <c r="FSJ8" s="4"/>
      <c r="FSM8" s="34"/>
      <c r="FSN8" s="34"/>
      <c r="FSP8" s="34"/>
      <c r="FSQ8" s="72"/>
      <c r="FSR8" s="63"/>
      <c r="FSS8" s="34"/>
      <c r="FST8" s="64"/>
      <c r="FSU8" s="4"/>
      <c r="FSV8" s="65"/>
      <c r="FSW8" s="4"/>
      <c r="FSX8" s="4"/>
      <c r="FSY8" s="4"/>
      <c r="FTB8" s="34"/>
      <c r="FTC8" s="34"/>
      <c r="FTE8" s="34"/>
      <c r="FTF8" s="72"/>
      <c r="FTG8" s="63"/>
      <c r="FTH8" s="34"/>
      <c r="FTI8" s="64"/>
      <c r="FTJ8" s="4"/>
      <c r="FTK8" s="65"/>
      <c r="FTL8" s="4"/>
      <c r="FTM8" s="4"/>
      <c r="FTN8" s="4"/>
      <c r="FTQ8" s="34"/>
      <c r="FTR8" s="34"/>
      <c r="FTT8" s="34"/>
      <c r="FTU8" s="72"/>
      <c r="FTV8" s="63"/>
      <c r="FTW8" s="34"/>
      <c r="FTX8" s="64"/>
      <c r="FTY8" s="4"/>
      <c r="FTZ8" s="65"/>
      <c r="FUA8" s="4"/>
      <c r="FUB8" s="4"/>
      <c r="FUC8" s="4"/>
      <c r="FUF8" s="34"/>
      <c r="FUG8" s="34"/>
      <c r="FUI8" s="34"/>
      <c r="FUJ8" s="72"/>
      <c r="FUK8" s="63"/>
      <c r="FUL8" s="34"/>
      <c r="FUM8" s="64"/>
      <c r="FUN8" s="4"/>
      <c r="FUO8" s="65"/>
      <c r="FUP8" s="4"/>
      <c r="FUQ8" s="4"/>
      <c r="FUR8" s="4"/>
      <c r="FUU8" s="34"/>
      <c r="FUV8" s="34"/>
      <c r="FUX8" s="34"/>
      <c r="FUY8" s="72"/>
      <c r="FUZ8" s="63"/>
      <c r="FVA8" s="34"/>
      <c r="FVB8" s="64"/>
      <c r="FVC8" s="4"/>
      <c r="FVD8" s="65"/>
      <c r="FVE8" s="4"/>
      <c r="FVF8" s="4"/>
      <c r="FVG8" s="4"/>
      <c r="FVJ8" s="34"/>
      <c r="FVK8" s="34"/>
      <c r="FVM8" s="34"/>
      <c r="FVN8" s="72"/>
      <c r="FVO8" s="63"/>
      <c r="FVP8" s="34"/>
      <c r="FVQ8" s="64"/>
      <c r="FVR8" s="4"/>
      <c r="FVS8" s="65"/>
      <c r="FVT8" s="4"/>
      <c r="FVU8" s="4"/>
      <c r="FVV8" s="4"/>
      <c r="FVY8" s="34"/>
      <c r="FVZ8" s="34"/>
      <c r="FWB8" s="34"/>
      <c r="FWC8" s="72"/>
      <c r="FWD8" s="63"/>
      <c r="FWE8" s="34"/>
      <c r="FWF8" s="64"/>
      <c r="FWG8" s="4"/>
      <c r="FWH8" s="65"/>
      <c r="FWI8" s="4"/>
      <c r="FWJ8" s="4"/>
      <c r="FWK8" s="4"/>
      <c r="FWN8" s="34"/>
      <c r="FWO8" s="34"/>
      <c r="FWQ8" s="34"/>
      <c r="FWR8" s="72"/>
      <c r="FWS8" s="63"/>
      <c r="FWT8" s="34"/>
      <c r="FWU8" s="64"/>
      <c r="FWV8" s="4"/>
      <c r="FWW8" s="65"/>
      <c r="FWX8" s="4"/>
      <c r="FWY8" s="4"/>
      <c r="FWZ8" s="4"/>
      <c r="FXC8" s="34"/>
      <c r="FXD8" s="34"/>
      <c r="FXF8" s="34"/>
      <c r="FXG8" s="72"/>
      <c r="FXH8" s="63"/>
      <c r="FXI8" s="34"/>
      <c r="FXJ8" s="64"/>
      <c r="FXK8" s="4"/>
      <c r="FXL8" s="65"/>
      <c r="FXM8" s="4"/>
      <c r="FXN8" s="4"/>
      <c r="FXO8" s="4"/>
      <c r="FXR8" s="34"/>
      <c r="FXS8" s="34"/>
      <c r="FXU8" s="34"/>
      <c r="FXV8" s="72"/>
      <c r="FXW8" s="63"/>
      <c r="FXX8" s="34"/>
      <c r="FXY8" s="64"/>
      <c r="FXZ8" s="4"/>
      <c r="FYA8" s="65"/>
      <c r="FYB8" s="4"/>
      <c r="FYC8" s="4"/>
      <c r="FYD8" s="4"/>
      <c r="FYG8" s="34"/>
      <c r="FYH8" s="34"/>
      <c r="FYJ8" s="34"/>
      <c r="FYK8" s="72"/>
      <c r="FYL8" s="63"/>
      <c r="FYM8" s="34"/>
      <c r="FYN8" s="64"/>
      <c r="FYO8" s="4"/>
      <c r="FYP8" s="65"/>
      <c r="FYQ8" s="4"/>
      <c r="FYR8" s="4"/>
      <c r="FYS8" s="4"/>
      <c r="FYV8" s="34"/>
      <c r="FYW8" s="34"/>
      <c r="FYY8" s="34"/>
      <c r="FYZ8" s="72"/>
      <c r="FZA8" s="63"/>
      <c r="FZB8" s="34"/>
      <c r="FZC8" s="64"/>
      <c r="FZD8" s="4"/>
      <c r="FZE8" s="65"/>
      <c r="FZF8" s="4"/>
      <c r="FZG8" s="4"/>
      <c r="FZH8" s="4"/>
      <c r="FZK8" s="34"/>
      <c r="FZL8" s="34"/>
      <c r="FZN8" s="34"/>
      <c r="FZO8" s="72"/>
      <c r="FZP8" s="63"/>
      <c r="FZQ8" s="34"/>
      <c r="FZR8" s="64"/>
      <c r="FZS8" s="4"/>
      <c r="FZT8" s="65"/>
      <c r="FZU8" s="4"/>
      <c r="FZV8" s="4"/>
      <c r="FZW8" s="4"/>
      <c r="FZZ8" s="34"/>
      <c r="GAA8" s="34"/>
      <c r="GAC8" s="34"/>
      <c r="GAD8" s="72"/>
      <c r="GAE8" s="63"/>
      <c r="GAF8" s="34"/>
      <c r="GAG8" s="64"/>
      <c r="GAH8" s="4"/>
      <c r="GAI8" s="65"/>
      <c r="GAJ8" s="4"/>
      <c r="GAK8" s="4"/>
      <c r="GAL8" s="4"/>
      <c r="GAO8" s="34"/>
      <c r="GAP8" s="34"/>
      <c r="GAR8" s="34"/>
      <c r="GAS8" s="72"/>
      <c r="GAT8" s="63"/>
      <c r="GAU8" s="34"/>
      <c r="GAV8" s="64"/>
      <c r="GAW8" s="4"/>
      <c r="GAX8" s="65"/>
      <c r="GAY8" s="4"/>
      <c r="GAZ8" s="4"/>
      <c r="GBA8" s="4"/>
      <c r="GBD8" s="34"/>
      <c r="GBE8" s="34"/>
      <c r="GBG8" s="34"/>
      <c r="GBH8" s="72"/>
      <c r="GBI8" s="63"/>
      <c r="GBJ8" s="34"/>
      <c r="GBK8" s="64"/>
      <c r="GBL8" s="4"/>
      <c r="GBM8" s="65"/>
      <c r="GBN8" s="4"/>
      <c r="GBO8" s="4"/>
      <c r="GBP8" s="4"/>
      <c r="GBS8" s="34"/>
      <c r="GBT8" s="34"/>
      <c r="GBV8" s="34"/>
      <c r="GBW8" s="72"/>
      <c r="GBX8" s="63"/>
      <c r="GBY8" s="34"/>
      <c r="GBZ8" s="64"/>
      <c r="GCA8" s="4"/>
      <c r="GCB8" s="65"/>
      <c r="GCC8" s="4"/>
      <c r="GCD8" s="4"/>
      <c r="GCE8" s="4"/>
      <c r="GCH8" s="34"/>
      <c r="GCI8" s="34"/>
      <c r="GCK8" s="34"/>
      <c r="GCL8" s="72"/>
      <c r="GCM8" s="63"/>
      <c r="GCN8" s="34"/>
      <c r="GCO8" s="64"/>
      <c r="GCP8" s="4"/>
      <c r="GCQ8" s="65"/>
      <c r="GCR8" s="4"/>
      <c r="GCS8" s="4"/>
      <c r="GCT8" s="4"/>
      <c r="GCW8" s="34"/>
      <c r="GCX8" s="34"/>
      <c r="GCZ8" s="34"/>
      <c r="GDA8" s="72"/>
      <c r="GDB8" s="63"/>
      <c r="GDC8" s="34"/>
      <c r="GDD8" s="64"/>
      <c r="GDE8" s="4"/>
      <c r="GDF8" s="65"/>
      <c r="GDG8" s="4"/>
      <c r="GDH8" s="4"/>
      <c r="GDI8" s="4"/>
      <c r="GDL8" s="34"/>
      <c r="GDM8" s="34"/>
      <c r="GDO8" s="34"/>
      <c r="GDP8" s="72"/>
      <c r="GDQ8" s="63"/>
      <c r="GDR8" s="34"/>
      <c r="GDS8" s="64"/>
      <c r="GDT8" s="4"/>
      <c r="GDU8" s="65"/>
      <c r="GDV8" s="4"/>
      <c r="GDW8" s="4"/>
      <c r="GDX8" s="4"/>
      <c r="GEA8" s="34"/>
      <c r="GEB8" s="34"/>
      <c r="GED8" s="34"/>
      <c r="GEE8" s="72"/>
      <c r="GEF8" s="63"/>
      <c r="GEG8" s="34"/>
      <c r="GEH8" s="64"/>
      <c r="GEI8" s="4"/>
      <c r="GEJ8" s="65"/>
      <c r="GEK8" s="4"/>
      <c r="GEL8" s="4"/>
      <c r="GEM8" s="4"/>
      <c r="GEP8" s="34"/>
      <c r="GEQ8" s="34"/>
      <c r="GES8" s="34"/>
      <c r="GET8" s="72"/>
      <c r="GEU8" s="63"/>
      <c r="GEV8" s="34"/>
      <c r="GEW8" s="64"/>
      <c r="GEX8" s="4"/>
      <c r="GEY8" s="65"/>
      <c r="GEZ8" s="4"/>
      <c r="GFA8" s="4"/>
      <c r="GFB8" s="4"/>
      <c r="GFE8" s="34"/>
      <c r="GFF8" s="34"/>
      <c r="GFH8" s="34"/>
      <c r="GFI8" s="72"/>
      <c r="GFJ8" s="63"/>
      <c r="GFK8" s="34"/>
      <c r="GFL8" s="64"/>
      <c r="GFM8" s="4"/>
      <c r="GFN8" s="65"/>
      <c r="GFO8" s="4"/>
      <c r="GFP8" s="4"/>
      <c r="GFQ8" s="4"/>
      <c r="GFT8" s="34"/>
      <c r="GFU8" s="34"/>
      <c r="GFW8" s="34"/>
      <c r="GFX8" s="72"/>
      <c r="GFY8" s="63"/>
      <c r="GFZ8" s="34"/>
      <c r="GGA8" s="64"/>
      <c r="GGB8" s="4"/>
      <c r="GGC8" s="65"/>
      <c r="GGD8" s="4"/>
      <c r="GGE8" s="4"/>
      <c r="GGF8" s="4"/>
      <c r="GGI8" s="34"/>
      <c r="GGJ8" s="34"/>
      <c r="GGL8" s="34"/>
      <c r="GGM8" s="72"/>
      <c r="GGN8" s="63"/>
      <c r="GGO8" s="34"/>
      <c r="GGP8" s="64"/>
      <c r="GGQ8" s="4"/>
      <c r="GGR8" s="65"/>
      <c r="GGS8" s="4"/>
      <c r="GGT8" s="4"/>
      <c r="GGU8" s="4"/>
      <c r="GGX8" s="34"/>
      <c r="GGY8" s="34"/>
      <c r="GHA8" s="34"/>
      <c r="GHB8" s="72"/>
      <c r="GHC8" s="63"/>
      <c r="GHD8" s="34"/>
      <c r="GHE8" s="64"/>
      <c r="GHF8" s="4"/>
      <c r="GHG8" s="65"/>
      <c r="GHH8" s="4"/>
      <c r="GHI8" s="4"/>
      <c r="GHJ8" s="4"/>
      <c r="GHM8" s="34"/>
      <c r="GHN8" s="34"/>
      <c r="GHP8" s="34"/>
      <c r="GHQ8" s="72"/>
      <c r="GHR8" s="63"/>
      <c r="GHS8" s="34"/>
      <c r="GHT8" s="64"/>
      <c r="GHU8" s="4"/>
      <c r="GHV8" s="65"/>
      <c r="GHW8" s="4"/>
      <c r="GHX8" s="4"/>
      <c r="GHY8" s="4"/>
      <c r="GIB8" s="34"/>
      <c r="GIC8" s="34"/>
      <c r="GIE8" s="34"/>
      <c r="GIF8" s="72"/>
      <c r="GIG8" s="63"/>
      <c r="GIH8" s="34"/>
      <c r="GII8" s="64"/>
      <c r="GIJ8" s="4"/>
      <c r="GIK8" s="65"/>
      <c r="GIL8" s="4"/>
      <c r="GIM8" s="4"/>
      <c r="GIN8" s="4"/>
      <c r="GIQ8" s="34"/>
      <c r="GIR8" s="34"/>
      <c r="GIT8" s="34"/>
      <c r="GIU8" s="72"/>
      <c r="GIV8" s="63"/>
      <c r="GIW8" s="34"/>
      <c r="GIX8" s="64"/>
      <c r="GIY8" s="4"/>
      <c r="GIZ8" s="65"/>
      <c r="GJA8" s="4"/>
      <c r="GJB8" s="4"/>
      <c r="GJC8" s="4"/>
      <c r="GJF8" s="34"/>
      <c r="GJG8" s="34"/>
      <c r="GJI8" s="34"/>
      <c r="GJJ8" s="72"/>
      <c r="GJK8" s="63"/>
      <c r="GJL8" s="34"/>
      <c r="GJM8" s="64"/>
      <c r="GJN8" s="4"/>
      <c r="GJO8" s="65"/>
      <c r="GJP8" s="4"/>
      <c r="GJQ8" s="4"/>
      <c r="GJR8" s="4"/>
      <c r="GJU8" s="34"/>
      <c r="GJV8" s="34"/>
      <c r="GJX8" s="34"/>
      <c r="GJY8" s="72"/>
      <c r="GJZ8" s="63"/>
      <c r="GKA8" s="34"/>
      <c r="GKB8" s="64"/>
      <c r="GKC8" s="4"/>
      <c r="GKD8" s="65"/>
      <c r="GKE8" s="4"/>
      <c r="GKF8" s="4"/>
      <c r="GKG8" s="4"/>
      <c r="GKJ8" s="34"/>
      <c r="GKK8" s="34"/>
      <c r="GKM8" s="34"/>
      <c r="GKN8" s="72"/>
      <c r="GKO8" s="63"/>
      <c r="GKP8" s="34"/>
      <c r="GKQ8" s="64"/>
      <c r="GKR8" s="4"/>
      <c r="GKS8" s="65"/>
      <c r="GKT8" s="4"/>
      <c r="GKU8" s="4"/>
      <c r="GKV8" s="4"/>
      <c r="GKY8" s="34"/>
      <c r="GKZ8" s="34"/>
      <c r="GLB8" s="34"/>
      <c r="GLC8" s="72"/>
      <c r="GLD8" s="63"/>
      <c r="GLE8" s="34"/>
      <c r="GLF8" s="64"/>
      <c r="GLG8" s="4"/>
      <c r="GLH8" s="65"/>
      <c r="GLI8" s="4"/>
      <c r="GLJ8" s="4"/>
      <c r="GLK8" s="4"/>
      <c r="GLN8" s="34"/>
      <c r="GLO8" s="34"/>
      <c r="GLQ8" s="34"/>
      <c r="GLR8" s="72"/>
      <c r="GLS8" s="63"/>
      <c r="GLT8" s="34"/>
      <c r="GLU8" s="64"/>
      <c r="GLV8" s="4"/>
      <c r="GLW8" s="65"/>
      <c r="GLX8" s="4"/>
      <c r="GLY8" s="4"/>
      <c r="GLZ8" s="4"/>
      <c r="GMC8" s="34"/>
      <c r="GMD8" s="34"/>
      <c r="GMF8" s="34"/>
      <c r="GMG8" s="72"/>
      <c r="GMH8" s="63"/>
      <c r="GMI8" s="34"/>
      <c r="GMJ8" s="64"/>
      <c r="GMK8" s="4"/>
      <c r="GML8" s="65"/>
      <c r="GMM8" s="4"/>
      <c r="GMN8" s="4"/>
      <c r="GMO8" s="4"/>
      <c r="GMR8" s="34"/>
      <c r="GMS8" s="34"/>
      <c r="GMU8" s="34"/>
      <c r="GMV8" s="72"/>
      <c r="GMW8" s="63"/>
      <c r="GMX8" s="34"/>
      <c r="GMY8" s="64"/>
      <c r="GMZ8" s="4"/>
      <c r="GNA8" s="65"/>
      <c r="GNB8" s="4"/>
      <c r="GNC8" s="4"/>
      <c r="GND8" s="4"/>
      <c r="GNG8" s="34"/>
      <c r="GNH8" s="34"/>
      <c r="GNJ8" s="34"/>
      <c r="GNK8" s="72"/>
      <c r="GNL8" s="63"/>
      <c r="GNM8" s="34"/>
      <c r="GNN8" s="64"/>
      <c r="GNO8" s="4"/>
      <c r="GNP8" s="65"/>
      <c r="GNQ8" s="4"/>
      <c r="GNR8" s="4"/>
      <c r="GNS8" s="4"/>
      <c r="GNV8" s="34"/>
      <c r="GNW8" s="34"/>
      <c r="GNY8" s="34"/>
      <c r="GNZ8" s="72"/>
      <c r="GOA8" s="63"/>
      <c r="GOB8" s="34"/>
      <c r="GOC8" s="64"/>
      <c r="GOD8" s="4"/>
      <c r="GOE8" s="65"/>
      <c r="GOF8" s="4"/>
      <c r="GOG8" s="4"/>
      <c r="GOH8" s="4"/>
      <c r="GOK8" s="34"/>
      <c r="GOL8" s="34"/>
      <c r="GON8" s="34"/>
      <c r="GOO8" s="72"/>
      <c r="GOP8" s="63"/>
      <c r="GOQ8" s="34"/>
      <c r="GOR8" s="64"/>
      <c r="GOS8" s="4"/>
      <c r="GOT8" s="65"/>
      <c r="GOU8" s="4"/>
      <c r="GOV8" s="4"/>
      <c r="GOW8" s="4"/>
      <c r="GOZ8" s="34"/>
      <c r="GPA8" s="34"/>
      <c r="GPC8" s="34"/>
      <c r="GPD8" s="72"/>
      <c r="GPE8" s="63"/>
      <c r="GPF8" s="34"/>
      <c r="GPG8" s="64"/>
      <c r="GPH8" s="4"/>
      <c r="GPI8" s="65"/>
      <c r="GPJ8" s="4"/>
      <c r="GPK8" s="4"/>
      <c r="GPL8" s="4"/>
      <c r="GPO8" s="34"/>
      <c r="GPP8" s="34"/>
      <c r="GPR8" s="34"/>
      <c r="GPS8" s="72"/>
      <c r="GPT8" s="63"/>
      <c r="GPU8" s="34"/>
      <c r="GPV8" s="64"/>
      <c r="GPW8" s="4"/>
      <c r="GPX8" s="65"/>
      <c r="GPY8" s="4"/>
      <c r="GPZ8" s="4"/>
      <c r="GQA8" s="4"/>
      <c r="GQD8" s="34"/>
      <c r="GQE8" s="34"/>
      <c r="GQG8" s="34"/>
      <c r="GQH8" s="72"/>
      <c r="GQI8" s="63"/>
      <c r="GQJ8" s="34"/>
      <c r="GQK8" s="64"/>
      <c r="GQL8" s="4"/>
      <c r="GQM8" s="65"/>
      <c r="GQN8" s="4"/>
      <c r="GQO8" s="4"/>
      <c r="GQP8" s="4"/>
      <c r="GQS8" s="34"/>
      <c r="GQT8" s="34"/>
      <c r="GQV8" s="34"/>
      <c r="GQW8" s="72"/>
      <c r="GQX8" s="63"/>
      <c r="GQY8" s="34"/>
      <c r="GQZ8" s="64"/>
      <c r="GRA8" s="4"/>
      <c r="GRB8" s="65"/>
      <c r="GRC8" s="4"/>
      <c r="GRD8" s="4"/>
      <c r="GRE8" s="4"/>
      <c r="GRH8" s="34"/>
      <c r="GRI8" s="34"/>
      <c r="GRK8" s="34"/>
      <c r="GRL8" s="72"/>
      <c r="GRM8" s="63"/>
      <c r="GRN8" s="34"/>
      <c r="GRO8" s="64"/>
      <c r="GRP8" s="4"/>
      <c r="GRQ8" s="65"/>
      <c r="GRR8" s="4"/>
      <c r="GRS8" s="4"/>
      <c r="GRT8" s="4"/>
      <c r="GRW8" s="34"/>
      <c r="GRX8" s="34"/>
      <c r="GRZ8" s="34"/>
      <c r="GSA8" s="72"/>
      <c r="GSB8" s="63"/>
      <c r="GSC8" s="34"/>
      <c r="GSD8" s="64"/>
      <c r="GSE8" s="4"/>
      <c r="GSF8" s="65"/>
      <c r="GSG8" s="4"/>
      <c r="GSH8" s="4"/>
      <c r="GSI8" s="4"/>
      <c r="GSL8" s="34"/>
      <c r="GSM8" s="34"/>
      <c r="GSO8" s="34"/>
      <c r="GSP8" s="72"/>
      <c r="GSQ8" s="63"/>
      <c r="GSR8" s="34"/>
      <c r="GSS8" s="64"/>
      <c r="GST8" s="4"/>
      <c r="GSU8" s="65"/>
      <c r="GSV8" s="4"/>
      <c r="GSW8" s="4"/>
      <c r="GSX8" s="4"/>
      <c r="GTA8" s="34"/>
      <c r="GTB8" s="34"/>
      <c r="GTD8" s="34"/>
      <c r="GTE8" s="72"/>
      <c r="GTF8" s="63"/>
      <c r="GTG8" s="34"/>
      <c r="GTH8" s="64"/>
      <c r="GTI8" s="4"/>
      <c r="GTJ8" s="65"/>
      <c r="GTK8" s="4"/>
      <c r="GTL8" s="4"/>
      <c r="GTM8" s="4"/>
      <c r="GTP8" s="34"/>
      <c r="GTQ8" s="34"/>
      <c r="GTS8" s="34"/>
      <c r="GTT8" s="72"/>
      <c r="GTU8" s="63"/>
      <c r="GTV8" s="34"/>
      <c r="GTW8" s="64"/>
      <c r="GTX8" s="4"/>
      <c r="GTY8" s="65"/>
      <c r="GTZ8" s="4"/>
      <c r="GUA8" s="4"/>
      <c r="GUB8" s="4"/>
      <c r="GUE8" s="34"/>
      <c r="GUF8" s="34"/>
      <c r="GUH8" s="34"/>
      <c r="GUI8" s="72"/>
      <c r="GUJ8" s="63"/>
      <c r="GUK8" s="34"/>
      <c r="GUL8" s="64"/>
      <c r="GUM8" s="4"/>
      <c r="GUN8" s="65"/>
      <c r="GUO8" s="4"/>
      <c r="GUP8" s="4"/>
      <c r="GUQ8" s="4"/>
      <c r="GUT8" s="34"/>
      <c r="GUU8" s="34"/>
      <c r="GUW8" s="34"/>
      <c r="GUX8" s="72"/>
      <c r="GUY8" s="63"/>
      <c r="GUZ8" s="34"/>
      <c r="GVA8" s="64"/>
      <c r="GVB8" s="4"/>
      <c r="GVC8" s="65"/>
      <c r="GVD8" s="4"/>
      <c r="GVE8" s="4"/>
      <c r="GVF8" s="4"/>
      <c r="GVI8" s="34"/>
      <c r="GVJ8" s="34"/>
      <c r="GVL8" s="34"/>
      <c r="GVM8" s="72"/>
      <c r="GVN8" s="63"/>
      <c r="GVO8" s="34"/>
      <c r="GVP8" s="64"/>
      <c r="GVQ8" s="4"/>
      <c r="GVR8" s="65"/>
      <c r="GVS8" s="4"/>
      <c r="GVT8" s="4"/>
      <c r="GVU8" s="4"/>
      <c r="GVX8" s="34"/>
      <c r="GVY8" s="34"/>
      <c r="GWA8" s="34"/>
      <c r="GWB8" s="72"/>
      <c r="GWC8" s="63"/>
      <c r="GWD8" s="34"/>
      <c r="GWE8" s="64"/>
      <c r="GWF8" s="4"/>
      <c r="GWG8" s="65"/>
      <c r="GWH8" s="4"/>
      <c r="GWI8" s="4"/>
      <c r="GWJ8" s="4"/>
      <c r="GWM8" s="34"/>
      <c r="GWN8" s="34"/>
      <c r="GWP8" s="34"/>
      <c r="GWQ8" s="72"/>
      <c r="GWR8" s="63"/>
      <c r="GWS8" s="34"/>
      <c r="GWT8" s="64"/>
      <c r="GWU8" s="4"/>
      <c r="GWV8" s="65"/>
      <c r="GWW8" s="4"/>
      <c r="GWX8" s="4"/>
      <c r="GWY8" s="4"/>
      <c r="GXB8" s="34"/>
      <c r="GXC8" s="34"/>
      <c r="GXE8" s="34"/>
      <c r="GXF8" s="72"/>
      <c r="GXG8" s="63"/>
      <c r="GXH8" s="34"/>
      <c r="GXI8" s="64"/>
      <c r="GXJ8" s="4"/>
      <c r="GXK8" s="65"/>
      <c r="GXL8" s="4"/>
      <c r="GXM8" s="4"/>
      <c r="GXN8" s="4"/>
      <c r="GXQ8" s="34"/>
      <c r="GXR8" s="34"/>
      <c r="GXT8" s="34"/>
      <c r="GXU8" s="72"/>
      <c r="GXV8" s="63"/>
      <c r="GXW8" s="34"/>
      <c r="GXX8" s="64"/>
      <c r="GXY8" s="4"/>
      <c r="GXZ8" s="65"/>
      <c r="GYA8" s="4"/>
      <c r="GYB8" s="4"/>
      <c r="GYC8" s="4"/>
      <c r="GYF8" s="34"/>
      <c r="GYG8" s="34"/>
      <c r="GYI8" s="34"/>
      <c r="GYJ8" s="72"/>
      <c r="GYK8" s="63"/>
      <c r="GYL8" s="34"/>
      <c r="GYM8" s="64"/>
      <c r="GYN8" s="4"/>
      <c r="GYO8" s="65"/>
      <c r="GYP8" s="4"/>
      <c r="GYQ8" s="4"/>
      <c r="GYR8" s="4"/>
      <c r="GYU8" s="34"/>
      <c r="GYV8" s="34"/>
      <c r="GYX8" s="34"/>
      <c r="GYY8" s="72"/>
      <c r="GYZ8" s="63"/>
      <c r="GZA8" s="34"/>
      <c r="GZB8" s="64"/>
      <c r="GZC8" s="4"/>
      <c r="GZD8" s="65"/>
      <c r="GZE8" s="4"/>
      <c r="GZF8" s="4"/>
      <c r="GZG8" s="4"/>
      <c r="GZJ8" s="34"/>
      <c r="GZK8" s="34"/>
      <c r="GZM8" s="34"/>
      <c r="GZN8" s="72"/>
      <c r="GZO8" s="63"/>
      <c r="GZP8" s="34"/>
      <c r="GZQ8" s="64"/>
      <c r="GZR8" s="4"/>
      <c r="GZS8" s="65"/>
      <c r="GZT8" s="4"/>
      <c r="GZU8" s="4"/>
      <c r="GZV8" s="4"/>
      <c r="GZY8" s="34"/>
      <c r="GZZ8" s="34"/>
      <c r="HAB8" s="34"/>
      <c r="HAC8" s="72"/>
      <c r="HAD8" s="63"/>
      <c r="HAE8" s="34"/>
      <c r="HAF8" s="64"/>
      <c r="HAG8" s="4"/>
      <c r="HAH8" s="65"/>
      <c r="HAI8" s="4"/>
      <c r="HAJ8" s="4"/>
      <c r="HAK8" s="4"/>
      <c r="HAN8" s="34"/>
      <c r="HAO8" s="34"/>
      <c r="HAQ8" s="34"/>
      <c r="HAR8" s="72"/>
      <c r="HAS8" s="63"/>
      <c r="HAT8" s="34"/>
      <c r="HAU8" s="64"/>
      <c r="HAV8" s="4"/>
      <c r="HAW8" s="65"/>
      <c r="HAX8" s="4"/>
      <c r="HAY8" s="4"/>
      <c r="HAZ8" s="4"/>
      <c r="HBC8" s="34"/>
      <c r="HBD8" s="34"/>
      <c r="HBF8" s="34"/>
      <c r="HBG8" s="72"/>
      <c r="HBH8" s="63"/>
      <c r="HBI8" s="34"/>
      <c r="HBJ8" s="64"/>
      <c r="HBK8" s="4"/>
      <c r="HBL8" s="65"/>
      <c r="HBM8" s="4"/>
      <c r="HBN8" s="4"/>
      <c r="HBO8" s="4"/>
      <c r="HBR8" s="34"/>
      <c r="HBS8" s="34"/>
      <c r="HBU8" s="34"/>
      <c r="HBV8" s="72"/>
      <c r="HBW8" s="63"/>
      <c r="HBX8" s="34"/>
      <c r="HBY8" s="64"/>
      <c r="HBZ8" s="4"/>
      <c r="HCA8" s="65"/>
      <c r="HCB8" s="4"/>
      <c r="HCC8" s="4"/>
      <c r="HCD8" s="4"/>
      <c r="HCG8" s="34"/>
      <c r="HCH8" s="34"/>
      <c r="HCJ8" s="34"/>
      <c r="HCK8" s="72"/>
      <c r="HCL8" s="63"/>
      <c r="HCM8" s="34"/>
      <c r="HCN8" s="64"/>
      <c r="HCO8" s="4"/>
      <c r="HCP8" s="65"/>
      <c r="HCQ8" s="4"/>
      <c r="HCR8" s="4"/>
      <c r="HCS8" s="4"/>
      <c r="HCV8" s="34"/>
      <c r="HCW8" s="34"/>
      <c r="HCY8" s="34"/>
      <c r="HCZ8" s="72"/>
      <c r="HDA8" s="63"/>
      <c r="HDB8" s="34"/>
      <c r="HDC8" s="64"/>
      <c r="HDD8" s="4"/>
      <c r="HDE8" s="65"/>
      <c r="HDF8" s="4"/>
      <c r="HDG8" s="4"/>
      <c r="HDH8" s="4"/>
      <c r="HDK8" s="34"/>
      <c r="HDL8" s="34"/>
      <c r="HDN8" s="34"/>
      <c r="HDO8" s="72"/>
      <c r="HDP8" s="63"/>
      <c r="HDQ8" s="34"/>
      <c r="HDR8" s="64"/>
      <c r="HDS8" s="4"/>
      <c r="HDT8" s="65"/>
      <c r="HDU8" s="4"/>
      <c r="HDV8" s="4"/>
      <c r="HDW8" s="4"/>
      <c r="HDZ8" s="34"/>
      <c r="HEA8" s="34"/>
      <c r="HEC8" s="34"/>
      <c r="HED8" s="72"/>
      <c r="HEE8" s="63"/>
      <c r="HEF8" s="34"/>
      <c r="HEG8" s="64"/>
      <c r="HEH8" s="4"/>
      <c r="HEI8" s="65"/>
      <c r="HEJ8" s="4"/>
      <c r="HEK8" s="4"/>
      <c r="HEL8" s="4"/>
      <c r="HEO8" s="34"/>
      <c r="HEP8" s="34"/>
      <c r="HER8" s="34"/>
      <c r="HES8" s="72"/>
      <c r="HET8" s="63"/>
      <c r="HEU8" s="34"/>
      <c r="HEV8" s="64"/>
      <c r="HEW8" s="4"/>
      <c r="HEX8" s="65"/>
      <c r="HEY8" s="4"/>
      <c r="HEZ8" s="4"/>
      <c r="HFA8" s="4"/>
      <c r="HFD8" s="34"/>
      <c r="HFE8" s="34"/>
      <c r="HFG8" s="34"/>
      <c r="HFH8" s="72"/>
      <c r="HFI8" s="63"/>
      <c r="HFJ8" s="34"/>
      <c r="HFK8" s="64"/>
      <c r="HFL8" s="4"/>
      <c r="HFM8" s="65"/>
      <c r="HFN8" s="4"/>
      <c r="HFO8" s="4"/>
      <c r="HFP8" s="4"/>
      <c r="HFS8" s="34"/>
      <c r="HFT8" s="34"/>
      <c r="HFV8" s="34"/>
      <c r="HFW8" s="72"/>
      <c r="HFX8" s="63"/>
      <c r="HFY8" s="34"/>
      <c r="HFZ8" s="64"/>
      <c r="HGA8" s="4"/>
      <c r="HGB8" s="65"/>
      <c r="HGC8" s="4"/>
      <c r="HGD8" s="4"/>
      <c r="HGE8" s="4"/>
      <c r="HGH8" s="34"/>
      <c r="HGI8" s="34"/>
      <c r="HGK8" s="34"/>
      <c r="HGL8" s="72"/>
      <c r="HGM8" s="63"/>
      <c r="HGN8" s="34"/>
      <c r="HGO8" s="64"/>
      <c r="HGP8" s="4"/>
      <c r="HGQ8" s="65"/>
      <c r="HGR8" s="4"/>
      <c r="HGS8" s="4"/>
      <c r="HGT8" s="4"/>
      <c r="HGW8" s="34"/>
      <c r="HGX8" s="34"/>
      <c r="HGZ8" s="34"/>
      <c r="HHA8" s="72"/>
      <c r="HHB8" s="63"/>
      <c r="HHC8" s="34"/>
      <c r="HHD8" s="64"/>
      <c r="HHE8" s="4"/>
      <c r="HHF8" s="65"/>
      <c r="HHG8" s="4"/>
      <c r="HHH8" s="4"/>
      <c r="HHI8" s="4"/>
      <c r="HHL8" s="34"/>
      <c r="HHM8" s="34"/>
      <c r="HHO8" s="34"/>
      <c r="HHP8" s="72"/>
      <c r="HHQ8" s="63"/>
      <c r="HHR8" s="34"/>
      <c r="HHS8" s="64"/>
      <c r="HHT8" s="4"/>
      <c r="HHU8" s="65"/>
      <c r="HHV8" s="4"/>
      <c r="HHW8" s="4"/>
      <c r="HHX8" s="4"/>
      <c r="HIA8" s="34"/>
      <c r="HIB8" s="34"/>
      <c r="HID8" s="34"/>
      <c r="HIE8" s="72"/>
      <c r="HIF8" s="63"/>
      <c r="HIG8" s="34"/>
      <c r="HIH8" s="64"/>
      <c r="HII8" s="4"/>
      <c r="HIJ8" s="65"/>
      <c r="HIK8" s="4"/>
      <c r="HIL8" s="4"/>
      <c r="HIM8" s="4"/>
      <c r="HIP8" s="34"/>
      <c r="HIQ8" s="34"/>
      <c r="HIS8" s="34"/>
      <c r="HIT8" s="72"/>
      <c r="HIU8" s="63"/>
      <c r="HIV8" s="34"/>
      <c r="HIW8" s="64"/>
      <c r="HIX8" s="4"/>
      <c r="HIY8" s="65"/>
      <c r="HIZ8" s="4"/>
      <c r="HJA8" s="4"/>
      <c r="HJB8" s="4"/>
      <c r="HJE8" s="34"/>
      <c r="HJF8" s="34"/>
      <c r="HJH8" s="34"/>
      <c r="HJI8" s="72"/>
      <c r="HJJ8" s="63"/>
      <c r="HJK8" s="34"/>
      <c r="HJL8" s="64"/>
      <c r="HJM8" s="4"/>
      <c r="HJN8" s="65"/>
      <c r="HJO8" s="4"/>
      <c r="HJP8" s="4"/>
      <c r="HJQ8" s="4"/>
      <c r="HJT8" s="34"/>
      <c r="HJU8" s="34"/>
      <c r="HJW8" s="34"/>
      <c r="HJX8" s="72"/>
      <c r="HJY8" s="63"/>
      <c r="HJZ8" s="34"/>
      <c r="HKA8" s="64"/>
      <c r="HKB8" s="4"/>
      <c r="HKC8" s="65"/>
      <c r="HKD8" s="4"/>
      <c r="HKE8" s="4"/>
      <c r="HKF8" s="4"/>
      <c r="HKI8" s="34"/>
      <c r="HKJ8" s="34"/>
      <c r="HKL8" s="34"/>
      <c r="HKM8" s="72"/>
      <c r="HKN8" s="63"/>
      <c r="HKO8" s="34"/>
      <c r="HKP8" s="64"/>
      <c r="HKQ8" s="4"/>
      <c r="HKR8" s="65"/>
      <c r="HKS8" s="4"/>
      <c r="HKT8" s="4"/>
      <c r="HKU8" s="4"/>
      <c r="HKX8" s="34"/>
      <c r="HKY8" s="34"/>
      <c r="HLA8" s="34"/>
      <c r="HLB8" s="72"/>
      <c r="HLC8" s="63"/>
      <c r="HLD8" s="34"/>
      <c r="HLE8" s="64"/>
      <c r="HLF8" s="4"/>
      <c r="HLG8" s="65"/>
      <c r="HLH8" s="4"/>
      <c r="HLI8" s="4"/>
      <c r="HLJ8" s="4"/>
      <c r="HLM8" s="34"/>
      <c r="HLN8" s="34"/>
      <c r="HLP8" s="34"/>
      <c r="HLQ8" s="72"/>
      <c r="HLR8" s="63"/>
      <c r="HLS8" s="34"/>
      <c r="HLT8" s="64"/>
      <c r="HLU8" s="4"/>
      <c r="HLV8" s="65"/>
      <c r="HLW8" s="4"/>
      <c r="HLX8" s="4"/>
      <c r="HLY8" s="4"/>
      <c r="HMB8" s="34"/>
      <c r="HMC8" s="34"/>
      <c r="HME8" s="34"/>
      <c r="HMF8" s="72"/>
      <c r="HMG8" s="63"/>
      <c r="HMH8" s="34"/>
      <c r="HMI8" s="64"/>
      <c r="HMJ8" s="4"/>
      <c r="HMK8" s="65"/>
      <c r="HML8" s="4"/>
      <c r="HMM8" s="4"/>
      <c r="HMN8" s="4"/>
      <c r="HMQ8" s="34"/>
      <c r="HMR8" s="34"/>
      <c r="HMT8" s="34"/>
      <c r="HMU8" s="72"/>
      <c r="HMV8" s="63"/>
      <c r="HMW8" s="34"/>
      <c r="HMX8" s="64"/>
      <c r="HMY8" s="4"/>
      <c r="HMZ8" s="65"/>
      <c r="HNA8" s="4"/>
      <c r="HNB8" s="4"/>
      <c r="HNC8" s="4"/>
      <c r="HNF8" s="34"/>
      <c r="HNG8" s="34"/>
      <c r="HNI8" s="34"/>
      <c r="HNJ8" s="72"/>
      <c r="HNK8" s="63"/>
      <c r="HNL8" s="34"/>
      <c r="HNM8" s="64"/>
      <c r="HNN8" s="4"/>
      <c r="HNO8" s="65"/>
      <c r="HNP8" s="4"/>
      <c r="HNQ8" s="4"/>
      <c r="HNR8" s="4"/>
      <c r="HNU8" s="34"/>
      <c r="HNV8" s="34"/>
      <c r="HNX8" s="34"/>
      <c r="HNY8" s="72"/>
      <c r="HNZ8" s="63"/>
      <c r="HOA8" s="34"/>
      <c r="HOB8" s="64"/>
      <c r="HOC8" s="4"/>
      <c r="HOD8" s="65"/>
      <c r="HOE8" s="4"/>
      <c r="HOF8" s="4"/>
      <c r="HOG8" s="4"/>
      <c r="HOJ8" s="34"/>
      <c r="HOK8" s="34"/>
      <c r="HOM8" s="34"/>
      <c r="HON8" s="72"/>
      <c r="HOO8" s="63"/>
      <c r="HOP8" s="34"/>
      <c r="HOQ8" s="64"/>
      <c r="HOR8" s="4"/>
      <c r="HOS8" s="65"/>
      <c r="HOT8" s="4"/>
      <c r="HOU8" s="4"/>
      <c r="HOV8" s="4"/>
      <c r="HOY8" s="34"/>
      <c r="HOZ8" s="34"/>
      <c r="HPB8" s="34"/>
      <c r="HPC8" s="72"/>
      <c r="HPD8" s="63"/>
      <c r="HPE8" s="34"/>
      <c r="HPF8" s="64"/>
      <c r="HPG8" s="4"/>
      <c r="HPH8" s="65"/>
      <c r="HPI8" s="4"/>
      <c r="HPJ8" s="4"/>
      <c r="HPK8" s="4"/>
      <c r="HPN8" s="34"/>
      <c r="HPO8" s="34"/>
      <c r="HPQ8" s="34"/>
      <c r="HPR8" s="72"/>
      <c r="HPS8" s="63"/>
      <c r="HPT8" s="34"/>
      <c r="HPU8" s="64"/>
      <c r="HPV8" s="4"/>
      <c r="HPW8" s="65"/>
      <c r="HPX8" s="4"/>
      <c r="HPY8" s="4"/>
      <c r="HPZ8" s="4"/>
      <c r="HQC8" s="34"/>
      <c r="HQD8" s="34"/>
      <c r="HQF8" s="34"/>
      <c r="HQG8" s="72"/>
      <c r="HQH8" s="63"/>
      <c r="HQI8" s="34"/>
      <c r="HQJ8" s="64"/>
      <c r="HQK8" s="4"/>
      <c r="HQL8" s="65"/>
      <c r="HQM8" s="4"/>
      <c r="HQN8" s="4"/>
      <c r="HQO8" s="4"/>
      <c r="HQR8" s="34"/>
      <c r="HQS8" s="34"/>
      <c r="HQU8" s="34"/>
      <c r="HQV8" s="72"/>
      <c r="HQW8" s="63"/>
      <c r="HQX8" s="34"/>
      <c r="HQY8" s="64"/>
      <c r="HQZ8" s="4"/>
      <c r="HRA8" s="65"/>
      <c r="HRB8" s="4"/>
      <c r="HRC8" s="4"/>
      <c r="HRD8" s="4"/>
      <c r="HRG8" s="34"/>
      <c r="HRH8" s="34"/>
      <c r="HRJ8" s="34"/>
      <c r="HRK8" s="72"/>
      <c r="HRL8" s="63"/>
      <c r="HRM8" s="34"/>
      <c r="HRN8" s="64"/>
      <c r="HRO8" s="4"/>
      <c r="HRP8" s="65"/>
      <c r="HRQ8" s="4"/>
      <c r="HRR8" s="4"/>
      <c r="HRS8" s="4"/>
      <c r="HRV8" s="34"/>
      <c r="HRW8" s="34"/>
      <c r="HRY8" s="34"/>
      <c r="HRZ8" s="72"/>
      <c r="HSA8" s="63"/>
      <c r="HSB8" s="34"/>
      <c r="HSC8" s="64"/>
      <c r="HSD8" s="4"/>
      <c r="HSE8" s="65"/>
      <c r="HSF8" s="4"/>
      <c r="HSG8" s="4"/>
      <c r="HSH8" s="4"/>
      <c r="HSK8" s="34"/>
      <c r="HSL8" s="34"/>
      <c r="HSN8" s="34"/>
      <c r="HSO8" s="72"/>
      <c r="HSP8" s="63"/>
      <c r="HSQ8" s="34"/>
      <c r="HSR8" s="64"/>
      <c r="HSS8" s="4"/>
      <c r="HST8" s="65"/>
      <c r="HSU8" s="4"/>
      <c r="HSV8" s="4"/>
      <c r="HSW8" s="4"/>
      <c r="HSZ8" s="34"/>
      <c r="HTA8" s="34"/>
      <c r="HTC8" s="34"/>
      <c r="HTD8" s="72"/>
      <c r="HTE8" s="63"/>
      <c r="HTF8" s="34"/>
      <c r="HTG8" s="64"/>
      <c r="HTH8" s="4"/>
      <c r="HTI8" s="65"/>
      <c r="HTJ8" s="4"/>
      <c r="HTK8" s="4"/>
      <c r="HTL8" s="4"/>
      <c r="HTO8" s="34"/>
      <c r="HTP8" s="34"/>
      <c r="HTR8" s="34"/>
      <c r="HTS8" s="72"/>
      <c r="HTT8" s="63"/>
      <c r="HTU8" s="34"/>
      <c r="HTV8" s="64"/>
      <c r="HTW8" s="4"/>
      <c r="HTX8" s="65"/>
      <c r="HTY8" s="4"/>
      <c r="HTZ8" s="4"/>
      <c r="HUA8" s="4"/>
      <c r="HUD8" s="34"/>
      <c r="HUE8" s="34"/>
      <c r="HUG8" s="34"/>
      <c r="HUH8" s="72"/>
      <c r="HUI8" s="63"/>
      <c r="HUJ8" s="34"/>
      <c r="HUK8" s="64"/>
      <c r="HUL8" s="4"/>
      <c r="HUM8" s="65"/>
      <c r="HUN8" s="4"/>
      <c r="HUO8" s="4"/>
      <c r="HUP8" s="4"/>
      <c r="HUS8" s="34"/>
      <c r="HUT8" s="34"/>
      <c r="HUV8" s="34"/>
      <c r="HUW8" s="72"/>
      <c r="HUX8" s="63"/>
      <c r="HUY8" s="34"/>
      <c r="HUZ8" s="64"/>
      <c r="HVA8" s="4"/>
      <c r="HVB8" s="65"/>
      <c r="HVC8" s="4"/>
      <c r="HVD8" s="4"/>
      <c r="HVE8" s="4"/>
      <c r="HVH8" s="34"/>
      <c r="HVI8" s="34"/>
      <c r="HVK8" s="34"/>
      <c r="HVL8" s="72"/>
      <c r="HVM8" s="63"/>
      <c r="HVN8" s="34"/>
      <c r="HVO8" s="64"/>
      <c r="HVP8" s="4"/>
      <c r="HVQ8" s="65"/>
      <c r="HVR8" s="4"/>
      <c r="HVS8" s="4"/>
      <c r="HVT8" s="4"/>
      <c r="HVW8" s="34"/>
      <c r="HVX8" s="34"/>
      <c r="HVZ8" s="34"/>
      <c r="HWA8" s="72"/>
      <c r="HWB8" s="63"/>
      <c r="HWC8" s="34"/>
      <c r="HWD8" s="64"/>
      <c r="HWE8" s="4"/>
      <c r="HWF8" s="65"/>
      <c r="HWG8" s="4"/>
      <c r="HWH8" s="4"/>
      <c r="HWI8" s="4"/>
      <c r="HWL8" s="34"/>
      <c r="HWM8" s="34"/>
      <c r="HWO8" s="34"/>
      <c r="HWP8" s="72"/>
      <c r="HWQ8" s="63"/>
      <c r="HWR8" s="34"/>
      <c r="HWS8" s="64"/>
      <c r="HWT8" s="4"/>
      <c r="HWU8" s="65"/>
      <c r="HWV8" s="4"/>
      <c r="HWW8" s="4"/>
      <c r="HWX8" s="4"/>
      <c r="HXA8" s="34"/>
      <c r="HXB8" s="34"/>
      <c r="HXD8" s="34"/>
      <c r="HXE8" s="72"/>
      <c r="HXF8" s="63"/>
      <c r="HXG8" s="34"/>
      <c r="HXH8" s="64"/>
      <c r="HXI8" s="4"/>
      <c r="HXJ8" s="65"/>
      <c r="HXK8" s="4"/>
      <c r="HXL8" s="4"/>
      <c r="HXM8" s="4"/>
      <c r="HXP8" s="34"/>
      <c r="HXQ8" s="34"/>
      <c r="HXS8" s="34"/>
      <c r="HXT8" s="72"/>
      <c r="HXU8" s="63"/>
      <c r="HXV8" s="34"/>
      <c r="HXW8" s="64"/>
      <c r="HXX8" s="4"/>
      <c r="HXY8" s="65"/>
      <c r="HXZ8" s="4"/>
      <c r="HYA8" s="4"/>
      <c r="HYB8" s="4"/>
      <c r="HYE8" s="34"/>
      <c r="HYF8" s="34"/>
      <c r="HYH8" s="34"/>
      <c r="HYI8" s="72"/>
      <c r="HYJ8" s="63"/>
      <c r="HYK8" s="34"/>
      <c r="HYL8" s="64"/>
      <c r="HYM8" s="4"/>
      <c r="HYN8" s="65"/>
      <c r="HYO8" s="4"/>
      <c r="HYP8" s="4"/>
      <c r="HYQ8" s="4"/>
      <c r="HYT8" s="34"/>
      <c r="HYU8" s="34"/>
      <c r="HYW8" s="34"/>
      <c r="HYX8" s="72"/>
      <c r="HYY8" s="63"/>
      <c r="HYZ8" s="34"/>
      <c r="HZA8" s="64"/>
      <c r="HZB8" s="4"/>
      <c r="HZC8" s="65"/>
      <c r="HZD8" s="4"/>
      <c r="HZE8" s="4"/>
      <c r="HZF8" s="4"/>
      <c r="HZI8" s="34"/>
      <c r="HZJ8" s="34"/>
      <c r="HZL8" s="34"/>
      <c r="HZM8" s="72"/>
      <c r="HZN8" s="63"/>
      <c r="HZO8" s="34"/>
      <c r="HZP8" s="64"/>
      <c r="HZQ8" s="4"/>
      <c r="HZR8" s="65"/>
      <c r="HZS8" s="4"/>
      <c r="HZT8" s="4"/>
      <c r="HZU8" s="4"/>
      <c r="HZX8" s="34"/>
      <c r="HZY8" s="34"/>
      <c r="IAA8" s="34"/>
      <c r="IAB8" s="72"/>
      <c r="IAC8" s="63"/>
      <c r="IAD8" s="34"/>
      <c r="IAE8" s="64"/>
      <c r="IAF8" s="4"/>
      <c r="IAG8" s="65"/>
      <c r="IAH8" s="4"/>
      <c r="IAI8" s="4"/>
      <c r="IAJ8" s="4"/>
      <c r="IAM8" s="34"/>
      <c r="IAN8" s="34"/>
      <c r="IAP8" s="34"/>
      <c r="IAQ8" s="72"/>
      <c r="IAR8" s="63"/>
      <c r="IAS8" s="34"/>
      <c r="IAT8" s="64"/>
      <c r="IAU8" s="4"/>
      <c r="IAV8" s="65"/>
      <c r="IAW8" s="4"/>
      <c r="IAX8" s="4"/>
      <c r="IAY8" s="4"/>
      <c r="IBB8" s="34"/>
      <c r="IBC8" s="34"/>
      <c r="IBE8" s="34"/>
      <c r="IBF8" s="72"/>
      <c r="IBG8" s="63"/>
      <c r="IBH8" s="34"/>
      <c r="IBI8" s="64"/>
      <c r="IBJ8" s="4"/>
      <c r="IBK8" s="65"/>
      <c r="IBL8" s="4"/>
      <c r="IBM8" s="4"/>
      <c r="IBN8" s="4"/>
      <c r="IBQ8" s="34"/>
      <c r="IBR8" s="34"/>
      <c r="IBT8" s="34"/>
      <c r="IBU8" s="72"/>
      <c r="IBV8" s="63"/>
      <c r="IBW8" s="34"/>
      <c r="IBX8" s="64"/>
      <c r="IBY8" s="4"/>
      <c r="IBZ8" s="65"/>
      <c r="ICA8" s="4"/>
      <c r="ICB8" s="4"/>
      <c r="ICC8" s="4"/>
      <c r="ICF8" s="34"/>
      <c r="ICG8" s="34"/>
      <c r="ICI8" s="34"/>
      <c r="ICJ8" s="72"/>
      <c r="ICK8" s="63"/>
      <c r="ICL8" s="34"/>
      <c r="ICM8" s="64"/>
      <c r="ICN8" s="4"/>
      <c r="ICO8" s="65"/>
      <c r="ICP8" s="4"/>
      <c r="ICQ8" s="4"/>
      <c r="ICR8" s="4"/>
      <c r="ICU8" s="34"/>
      <c r="ICV8" s="34"/>
      <c r="ICX8" s="34"/>
      <c r="ICY8" s="72"/>
      <c r="ICZ8" s="63"/>
      <c r="IDA8" s="34"/>
      <c r="IDB8" s="64"/>
      <c r="IDC8" s="4"/>
      <c r="IDD8" s="65"/>
      <c r="IDE8" s="4"/>
      <c r="IDF8" s="4"/>
      <c r="IDG8" s="4"/>
      <c r="IDJ8" s="34"/>
      <c r="IDK8" s="34"/>
      <c r="IDM8" s="34"/>
      <c r="IDN8" s="72"/>
      <c r="IDO8" s="63"/>
      <c r="IDP8" s="34"/>
      <c r="IDQ8" s="64"/>
      <c r="IDR8" s="4"/>
      <c r="IDS8" s="65"/>
      <c r="IDT8" s="4"/>
      <c r="IDU8" s="4"/>
      <c r="IDV8" s="4"/>
      <c r="IDY8" s="34"/>
      <c r="IDZ8" s="34"/>
      <c r="IEB8" s="34"/>
      <c r="IEC8" s="72"/>
      <c r="IED8" s="63"/>
      <c r="IEE8" s="34"/>
      <c r="IEF8" s="64"/>
      <c r="IEG8" s="4"/>
      <c r="IEH8" s="65"/>
      <c r="IEI8" s="4"/>
      <c r="IEJ8" s="4"/>
      <c r="IEK8" s="4"/>
      <c r="IEN8" s="34"/>
      <c r="IEO8" s="34"/>
      <c r="IEQ8" s="34"/>
      <c r="IER8" s="72"/>
      <c r="IES8" s="63"/>
      <c r="IET8" s="34"/>
      <c r="IEU8" s="64"/>
      <c r="IEV8" s="4"/>
      <c r="IEW8" s="65"/>
      <c r="IEX8" s="4"/>
      <c r="IEY8" s="4"/>
      <c r="IEZ8" s="4"/>
      <c r="IFC8" s="34"/>
      <c r="IFD8" s="34"/>
      <c r="IFF8" s="34"/>
      <c r="IFG8" s="72"/>
      <c r="IFH8" s="63"/>
      <c r="IFI8" s="34"/>
      <c r="IFJ8" s="64"/>
      <c r="IFK8" s="4"/>
      <c r="IFL8" s="65"/>
      <c r="IFM8" s="4"/>
      <c r="IFN8" s="4"/>
      <c r="IFO8" s="4"/>
      <c r="IFR8" s="34"/>
      <c r="IFS8" s="34"/>
      <c r="IFU8" s="34"/>
      <c r="IFV8" s="72"/>
      <c r="IFW8" s="63"/>
      <c r="IFX8" s="34"/>
      <c r="IFY8" s="64"/>
      <c r="IFZ8" s="4"/>
      <c r="IGA8" s="65"/>
      <c r="IGB8" s="4"/>
      <c r="IGC8" s="4"/>
      <c r="IGD8" s="4"/>
      <c r="IGG8" s="34"/>
      <c r="IGH8" s="34"/>
      <c r="IGJ8" s="34"/>
      <c r="IGK8" s="72"/>
      <c r="IGL8" s="63"/>
      <c r="IGM8" s="34"/>
      <c r="IGN8" s="64"/>
      <c r="IGO8" s="4"/>
      <c r="IGP8" s="65"/>
      <c r="IGQ8" s="4"/>
      <c r="IGR8" s="4"/>
      <c r="IGS8" s="4"/>
      <c r="IGV8" s="34"/>
      <c r="IGW8" s="34"/>
      <c r="IGY8" s="34"/>
      <c r="IGZ8" s="72"/>
      <c r="IHA8" s="63"/>
      <c r="IHB8" s="34"/>
      <c r="IHC8" s="64"/>
      <c r="IHD8" s="4"/>
      <c r="IHE8" s="65"/>
      <c r="IHF8" s="4"/>
      <c r="IHG8" s="4"/>
      <c r="IHH8" s="4"/>
      <c r="IHK8" s="34"/>
      <c r="IHL8" s="34"/>
      <c r="IHN8" s="34"/>
      <c r="IHO8" s="72"/>
      <c r="IHP8" s="63"/>
      <c r="IHQ8" s="34"/>
      <c r="IHR8" s="64"/>
      <c r="IHS8" s="4"/>
      <c r="IHT8" s="65"/>
      <c r="IHU8" s="4"/>
      <c r="IHV8" s="4"/>
      <c r="IHW8" s="4"/>
      <c r="IHZ8" s="34"/>
      <c r="IIA8" s="34"/>
      <c r="IIC8" s="34"/>
      <c r="IID8" s="72"/>
      <c r="IIE8" s="63"/>
      <c r="IIF8" s="34"/>
      <c r="IIG8" s="64"/>
      <c r="IIH8" s="4"/>
      <c r="III8" s="65"/>
      <c r="IIJ8" s="4"/>
      <c r="IIK8" s="4"/>
      <c r="IIL8" s="4"/>
      <c r="IIO8" s="34"/>
      <c r="IIP8" s="34"/>
      <c r="IIR8" s="34"/>
      <c r="IIS8" s="72"/>
      <c r="IIT8" s="63"/>
      <c r="IIU8" s="34"/>
      <c r="IIV8" s="64"/>
      <c r="IIW8" s="4"/>
      <c r="IIX8" s="65"/>
      <c r="IIY8" s="4"/>
      <c r="IIZ8" s="4"/>
      <c r="IJA8" s="4"/>
      <c r="IJD8" s="34"/>
      <c r="IJE8" s="34"/>
      <c r="IJG8" s="34"/>
      <c r="IJH8" s="72"/>
      <c r="IJI8" s="63"/>
      <c r="IJJ8" s="34"/>
      <c r="IJK8" s="64"/>
      <c r="IJL8" s="4"/>
      <c r="IJM8" s="65"/>
      <c r="IJN8" s="4"/>
      <c r="IJO8" s="4"/>
      <c r="IJP8" s="4"/>
      <c r="IJS8" s="34"/>
      <c r="IJT8" s="34"/>
      <c r="IJV8" s="34"/>
      <c r="IJW8" s="72"/>
      <c r="IJX8" s="63"/>
      <c r="IJY8" s="34"/>
      <c r="IJZ8" s="64"/>
      <c r="IKA8" s="4"/>
      <c r="IKB8" s="65"/>
      <c r="IKC8" s="4"/>
      <c r="IKD8" s="4"/>
      <c r="IKE8" s="4"/>
      <c r="IKH8" s="34"/>
      <c r="IKI8" s="34"/>
      <c r="IKK8" s="34"/>
      <c r="IKL8" s="72"/>
      <c r="IKM8" s="63"/>
      <c r="IKN8" s="34"/>
      <c r="IKO8" s="64"/>
      <c r="IKP8" s="4"/>
      <c r="IKQ8" s="65"/>
      <c r="IKR8" s="4"/>
      <c r="IKS8" s="4"/>
      <c r="IKT8" s="4"/>
      <c r="IKW8" s="34"/>
      <c r="IKX8" s="34"/>
      <c r="IKZ8" s="34"/>
      <c r="ILA8" s="72"/>
      <c r="ILB8" s="63"/>
      <c r="ILC8" s="34"/>
      <c r="ILD8" s="64"/>
      <c r="ILE8" s="4"/>
      <c r="ILF8" s="65"/>
      <c r="ILG8" s="4"/>
      <c r="ILH8" s="4"/>
      <c r="ILI8" s="4"/>
      <c r="ILL8" s="34"/>
      <c r="ILM8" s="34"/>
      <c r="ILO8" s="34"/>
      <c r="ILP8" s="72"/>
      <c r="ILQ8" s="63"/>
      <c r="ILR8" s="34"/>
      <c r="ILS8" s="64"/>
      <c r="ILT8" s="4"/>
      <c r="ILU8" s="65"/>
      <c r="ILV8" s="4"/>
      <c r="ILW8" s="4"/>
      <c r="ILX8" s="4"/>
      <c r="IMA8" s="34"/>
      <c r="IMB8" s="34"/>
      <c r="IMD8" s="34"/>
      <c r="IME8" s="72"/>
      <c r="IMF8" s="63"/>
      <c r="IMG8" s="34"/>
      <c r="IMH8" s="64"/>
      <c r="IMI8" s="4"/>
      <c r="IMJ8" s="65"/>
      <c r="IMK8" s="4"/>
      <c r="IML8" s="4"/>
      <c r="IMM8" s="4"/>
      <c r="IMP8" s="34"/>
      <c r="IMQ8" s="34"/>
      <c r="IMS8" s="34"/>
      <c r="IMT8" s="72"/>
      <c r="IMU8" s="63"/>
      <c r="IMV8" s="34"/>
      <c r="IMW8" s="64"/>
      <c r="IMX8" s="4"/>
      <c r="IMY8" s="65"/>
      <c r="IMZ8" s="4"/>
      <c r="INA8" s="4"/>
      <c r="INB8" s="4"/>
      <c r="INE8" s="34"/>
      <c r="INF8" s="34"/>
      <c r="INH8" s="34"/>
      <c r="INI8" s="72"/>
      <c r="INJ8" s="63"/>
      <c r="INK8" s="34"/>
      <c r="INL8" s="64"/>
      <c r="INM8" s="4"/>
      <c r="INN8" s="65"/>
      <c r="INO8" s="4"/>
      <c r="INP8" s="4"/>
      <c r="INQ8" s="4"/>
      <c r="INT8" s="34"/>
      <c r="INU8" s="34"/>
      <c r="INW8" s="34"/>
      <c r="INX8" s="72"/>
      <c r="INY8" s="63"/>
      <c r="INZ8" s="34"/>
      <c r="IOA8" s="64"/>
      <c r="IOB8" s="4"/>
      <c r="IOC8" s="65"/>
      <c r="IOD8" s="4"/>
      <c r="IOE8" s="4"/>
      <c r="IOF8" s="4"/>
      <c r="IOI8" s="34"/>
      <c r="IOJ8" s="34"/>
      <c r="IOL8" s="34"/>
      <c r="IOM8" s="72"/>
      <c r="ION8" s="63"/>
      <c r="IOO8" s="34"/>
      <c r="IOP8" s="64"/>
      <c r="IOQ8" s="4"/>
      <c r="IOR8" s="65"/>
      <c r="IOS8" s="4"/>
      <c r="IOT8" s="4"/>
      <c r="IOU8" s="4"/>
      <c r="IOX8" s="34"/>
      <c r="IOY8" s="34"/>
      <c r="IPA8" s="34"/>
      <c r="IPB8" s="72"/>
      <c r="IPC8" s="63"/>
      <c r="IPD8" s="34"/>
      <c r="IPE8" s="64"/>
      <c r="IPF8" s="4"/>
      <c r="IPG8" s="65"/>
      <c r="IPH8" s="4"/>
      <c r="IPI8" s="4"/>
      <c r="IPJ8" s="4"/>
      <c r="IPM8" s="34"/>
      <c r="IPN8" s="34"/>
      <c r="IPP8" s="34"/>
      <c r="IPQ8" s="72"/>
      <c r="IPR8" s="63"/>
      <c r="IPS8" s="34"/>
      <c r="IPT8" s="64"/>
      <c r="IPU8" s="4"/>
      <c r="IPV8" s="65"/>
      <c r="IPW8" s="4"/>
      <c r="IPX8" s="4"/>
      <c r="IPY8" s="4"/>
      <c r="IQB8" s="34"/>
      <c r="IQC8" s="34"/>
      <c r="IQE8" s="34"/>
      <c r="IQF8" s="72"/>
      <c r="IQG8" s="63"/>
      <c r="IQH8" s="34"/>
      <c r="IQI8" s="64"/>
      <c r="IQJ8" s="4"/>
      <c r="IQK8" s="65"/>
      <c r="IQL8" s="4"/>
      <c r="IQM8" s="4"/>
      <c r="IQN8" s="4"/>
      <c r="IQQ8" s="34"/>
      <c r="IQR8" s="34"/>
      <c r="IQT8" s="34"/>
      <c r="IQU8" s="72"/>
      <c r="IQV8" s="63"/>
      <c r="IQW8" s="34"/>
      <c r="IQX8" s="64"/>
      <c r="IQY8" s="4"/>
      <c r="IQZ8" s="65"/>
      <c r="IRA8" s="4"/>
      <c r="IRB8" s="4"/>
      <c r="IRC8" s="4"/>
      <c r="IRF8" s="34"/>
      <c r="IRG8" s="34"/>
      <c r="IRI8" s="34"/>
      <c r="IRJ8" s="72"/>
      <c r="IRK8" s="63"/>
      <c r="IRL8" s="34"/>
      <c r="IRM8" s="64"/>
      <c r="IRN8" s="4"/>
      <c r="IRO8" s="65"/>
      <c r="IRP8" s="4"/>
      <c r="IRQ8" s="4"/>
      <c r="IRR8" s="4"/>
      <c r="IRU8" s="34"/>
      <c r="IRV8" s="34"/>
      <c r="IRX8" s="34"/>
      <c r="IRY8" s="72"/>
      <c r="IRZ8" s="63"/>
      <c r="ISA8" s="34"/>
      <c r="ISB8" s="64"/>
      <c r="ISC8" s="4"/>
      <c r="ISD8" s="65"/>
      <c r="ISE8" s="4"/>
      <c r="ISF8" s="4"/>
      <c r="ISG8" s="4"/>
      <c r="ISJ8" s="34"/>
      <c r="ISK8" s="34"/>
      <c r="ISM8" s="34"/>
      <c r="ISN8" s="72"/>
      <c r="ISO8" s="63"/>
      <c r="ISP8" s="34"/>
      <c r="ISQ8" s="64"/>
      <c r="ISR8" s="4"/>
      <c r="ISS8" s="65"/>
      <c r="IST8" s="4"/>
      <c r="ISU8" s="4"/>
      <c r="ISV8" s="4"/>
      <c r="ISY8" s="34"/>
      <c r="ISZ8" s="34"/>
      <c r="ITB8" s="34"/>
      <c r="ITC8" s="72"/>
      <c r="ITD8" s="63"/>
      <c r="ITE8" s="34"/>
      <c r="ITF8" s="64"/>
      <c r="ITG8" s="4"/>
      <c r="ITH8" s="65"/>
      <c r="ITI8" s="4"/>
      <c r="ITJ8" s="4"/>
      <c r="ITK8" s="4"/>
      <c r="ITN8" s="34"/>
      <c r="ITO8" s="34"/>
      <c r="ITQ8" s="34"/>
      <c r="ITR8" s="72"/>
      <c r="ITS8" s="63"/>
      <c r="ITT8" s="34"/>
      <c r="ITU8" s="64"/>
      <c r="ITV8" s="4"/>
      <c r="ITW8" s="65"/>
      <c r="ITX8" s="4"/>
      <c r="ITY8" s="4"/>
      <c r="ITZ8" s="4"/>
      <c r="IUC8" s="34"/>
      <c r="IUD8" s="34"/>
      <c r="IUF8" s="34"/>
      <c r="IUG8" s="72"/>
      <c r="IUH8" s="63"/>
      <c r="IUI8" s="34"/>
      <c r="IUJ8" s="64"/>
      <c r="IUK8" s="4"/>
      <c r="IUL8" s="65"/>
      <c r="IUM8" s="4"/>
      <c r="IUN8" s="4"/>
      <c r="IUO8" s="4"/>
      <c r="IUR8" s="34"/>
      <c r="IUS8" s="34"/>
      <c r="IUU8" s="34"/>
      <c r="IUV8" s="72"/>
      <c r="IUW8" s="63"/>
      <c r="IUX8" s="34"/>
      <c r="IUY8" s="64"/>
      <c r="IUZ8" s="4"/>
      <c r="IVA8" s="65"/>
      <c r="IVB8" s="4"/>
      <c r="IVC8" s="4"/>
      <c r="IVD8" s="4"/>
      <c r="IVG8" s="34"/>
      <c r="IVH8" s="34"/>
      <c r="IVJ8" s="34"/>
      <c r="IVK8" s="72"/>
      <c r="IVL8" s="63"/>
      <c r="IVM8" s="34"/>
      <c r="IVN8" s="64"/>
      <c r="IVO8" s="4"/>
      <c r="IVP8" s="65"/>
      <c r="IVQ8" s="4"/>
      <c r="IVR8" s="4"/>
      <c r="IVS8" s="4"/>
      <c r="IVV8" s="34"/>
      <c r="IVW8" s="34"/>
      <c r="IVY8" s="34"/>
      <c r="IVZ8" s="72"/>
      <c r="IWA8" s="63"/>
      <c r="IWB8" s="34"/>
      <c r="IWC8" s="64"/>
      <c r="IWD8" s="4"/>
      <c r="IWE8" s="65"/>
      <c r="IWF8" s="4"/>
      <c r="IWG8" s="4"/>
      <c r="IWH8" s="4"/>
      <c r="IWK8" s="34"/>
      <c r="IWL8" s="34"/>
      <c r="IWN8" s="34"/>
      <c r="IWO8" s="72"/>
      <c r="IWP8" s="63"/>
      <c r="IWQ8" s="34"/>
      <c r="IWR8" s="64"/>
      <c r="IWS8" s="4"/>
      <c r="IWT8" s="65"/>
      <c r="IWU8" s="4"/>
      <c r="IWV8" s="4"/>
      <c r="IWW8" s="4"/>
      <c r="IWZ8" s="34"/>
      <c r="IXA8" s="34"/>
      <c r="IXC8" s="34"/>
      <c r="IXD8" s="72"/>
      <c r="IXE8" s="63"/>
      <c r="IXF8" s="34"/>
      <c r="IXG8" s="64"/>
      <c r="IXH8" s="4"/>
      <c r="IXI8" s="65"/>
      <c r="IXJ8" s="4"/>
      <c r="IXK8" s="4"/>
      <c r="IXL8" s="4"/>
      <c r="IXO8" s="34"/>
      <c r="IXP8" s="34"/>
      <c r="IXR8" s="34"/>
      <c r="IXS8" s="72"/>
      <c r="IXT8" s="63"/>
      <c r="IXU8" s="34"/>
      <c r="IXV8" s="64"/>
      <c r="IXW8" s="4"/>
      <c r="IXX8" s="65"/>
      <c r="IXY8" s="4"/>
      <c r="IXZ8" s="4"/>
      <c r="IYA8" s="4"/>
      <c r="IYD8" s="34"/>
      <c r="IYE8" s="34"/>
      <c r="IYG8" s="34"/>
      <c r="IYH8" s="72"/>
      <c r="IYI8" s="63"/>
      <c r="IYJ8" s="34"/>
      <c r="IYK8" s="64"/>
      <c r="IYL8" s="4"/>
      <c r="IYM8" s="65"/>
      <c r="IYN8" s="4"/>
      <c r="IYO8" s="4"/>
      <c r="IYP8" s="4"/>
      <c r="IYS8" s="34"/>
      <c r="IYT8" s="34"/>
      <c r="IYV8" s="34"/>
      <c r="IYW8" s="72"/>
      <c r="IYX8" s="63"/>
      <c r="IYY8" s="34"/>
      <c r="IYZ8" s="64"/>
      <c r="IZA8" s="4"/>
      <c r="IZB8" s="65"/>
      <c r="IZC8" s="4"/>
      <c r="IZD8" s="4"/>
      <c r="IZE8" s="4"/>
      <c r="IZH8" s="34"/>
      <c r="IZI8" s="34"/>
      <c r="IZK8" s="34"/>
      <c r="IZL8" s="72"/>
      <c r="IZM8" s="63"/>
      <c r="IZN8" s="34"/>
      <c r="IZO8" s="64"/>
      <c r="IZP8" s="4"/>
      <c r="IZQ8" s="65"/>
      <c r="IZR8" s="4"/>
      <c r="IZS8" s="4"/>
      <c r="IZT8" s="4"/>
      <c r="IZW8" s="34"/>
      <c r="IZX8" s="34"/>
      <c r="IZZ8" s="34"/>
      <c r="JAA8" s="72"/>
      <c r="JAB8" s="63"/>
      <c r="JAC8" s="34"/>
      <c r="JAD8" s="64"/>
      <c r="JAE8" s="4"/>
      <c r="JAF8" s="65"/>
      <c r="JAG8" s="4"/>
      <c r="JAH8" s="4"/>
      <c r="JAI8" s="4"/>
      <c r="JAL8" s="34"/>
      <c r="JAM8" s="34"/>
      <c r="JAO8" s="34"/>
      <c r="JAP8" s="72"/>
      <c r="JAQ8" s="63"/>
      <c r="JAR8" s="34"/>
      <c r="JAS8" s="64"/>
      <c r="JAT8" s="4"/>
      <c r="JAU8" s="65"/>
      <c r="JAV8" s="4"/>
      <c r="JAW8" s="4"/>
      <c r="JAX8" s="4"/>
      <c r="JBA8" s="34"/>
      <c r="JBB8" s="34"/>
      <c r="JBD8" s="34"/>
      <c r="JBE8" s="72"/>
      <c r="JBF8" s="63"/>
      <c r="JBG8" s="34"/>
      <c r="JBH8" s="64"/>
      <c r="JBI8" s="4"/>
      <c r="JBJ8" s="65"/>
      <c r="JBK8" s="4"/>
      <c r="JBL8" s="4"/>
      <c r="JBM8" s="4"/>
      <c r="JBP8" s="34"/>
      <c r="JBQ8" s="34"/>
      <c r="JBS8" s="34"/>
      <c r="JBT8" s="72"/>
      <c r="JBU8" s="63"/>
      <c r="JBV8" s="34"/>
      <c r="JBW8" s="64"/>
      <c r="JBX8" s="4"/>
      <c r="JBY8" s="65"/>
      <c r="JBZ8" s="4"/>
      <c r="JCA8" s="4"/>
      <c r="JCB8" s="4"/>
      <c r="JCE8" s="34"/>
      <c r="JCF8" s="34"/>
      <c r="JCH8" s="34"/>
      <c r="JCI8" s="72"/>
      <c r="JCJ8" s="63"/>
      <c r="JCK8" s="34"/>
      <c r="JCL8" s="64"/>
      <c r="JCM8" s="4"/>
      <c r="JCN8" s="65"/>
      <c r="JCO8" s="4"/>
      <c r="JCP8" s="4"/>
      <c r="JCQ8" s="4"/>
      <c r="JCT8" s="34"/>
      <c r="JCU8" s="34"/>
      <c r="JCW8" s="34"/>
      <c r="JCX8" s="72"/>
      <c r="JCY8" s="63"/>
      <c r="JCZ8" s="34"/>
      <c r="JDA8" s="64"/>
      <c r="JDB8" s="4"/>
      <c r="JDC8" s="65"/>
      <c r="JDD8" s="4"/>
      <c r="JDE8" s="4"/>
      <c r="JDF8" s="4"/>
      <c r="JDI8" s="34"/>
      <c r="JDJ8" s="34"/>
      <c r="JDL8" s="34"/>
      <c r="JDM8" s="72"/>
      <c r="JDN8" s="63"/>
      <c r="JDO8" s="34"/>
      <c r="JDP8" s="64"/>
      <c r="JDQ8" s="4"/>
      <c r="JDR8" s="65"/>
      <c r="JDS8" s="4"/>
      <c r="JDT8" s="4"/>
      <c r="JDU8" s="4"/>
      <c r="JDX8" s="34"/>
      <c r="JDY8" s="34"/>
      <c r="JEA8" s="34"/>
      <c r="JEB8" s="72"/>
      <c r="JEC8" s="63"/>
      <c r="JED8" s="34"/>
      <c r="JEE8" s="64"/>
      <c r="JEF8" s="4"/>
      <c r="JEG8" s="65"/>
      <c r="JEH8" s="4"/>
      <c r="JEI8" s="4"/>
      <c r="JEJ8" s="4"/>
      <c r="JEM8" s="34"/>
      <c r="JEN8" s="34"/>
      <c r="JEP8" s="34"/>
      <c r="JEQ8" s="72"/>
      <c r="JER8" s="63"/>
      <c r="JES8" s="34"/>
      <c r="JET8" s="64"/>
      <c r="JEU8" s="4"/>
      <c r="JEV8" s="65"/>
      <c r="JEW8" s="4"/>
      <c r="JEX8" s="4"/>
      <c r="JEY8" s="4"/>
      <c r="JFB8" s="34"/>
      <c r="JFC8" s="34"/>
      <c r="JFE8" s="34"/>
      <c r="JFF8" s="72"/>
      <c r="JFG8" s="63"/>
      <c r="JFH8" s="34"/>
      <c r="JFI8" s="64"/>
      <c r="JFJ8" s="4"/>
      <c r="JFK8" s="65"/>
      <c r="JFL8" s="4"/>
      <c r="JFM8" s="4"/>
      <c r="JFN8" s="4"/>
      <c r="JFQ8" s="34"/>
      <c r="JFR8" s="34"/>
      <c r="JFT8" s="34"/>
      <c r="JFU8" s="72"/>
      <c r="JFV8" s="63"/>
      <c r="JFW8" s="34"/>
      <c r="JFX8" s="64"/>
      <c r="JFY8" s="4"/>
      <c r="JFZ8" s="65"/>
      <c r="JGA8" s="4"/>
      <c r="JGB8" s="4"/>
      <c r="JGC8" s="4"/>
      <c r="JGF8" s="34"/>
      <c r="JGG8" s="34"/>
      <c r="JGI8" s="34"/>
      <c r="JGJ8" s="72"/>
      <c r="JGK8" s="63"/>
      <c r="JGL8" s="34"/>
      <c r="JGM8" s="64"/>
      <c r="JGN8" s="4"/>
      <c r="JGO8" s="65"/>
      <c r="JGP8" s="4"/>
      <c r="JGQ8" s="4"/>
      <c r="JGR8" s="4"/>
      <c r="JGU8" s="34"/>
      <c r="JGV8" s="34"/>
      <c r="JGX8" s="34"/>
      <c r="JGY8" s="72"/>
      <c r="JGZ8" s="63"/>
      <c r="JHA8" s="34"/>
      <c r="JHB8" s="64"/>
      <c r="JHC8" s="4"/>
      <c r="JHD8" s="65"/>
      <c r="JHE8" s="4"/>
      <c r="JHF8" s="4"/>
      <c r="JHG8" s="4"/>
      <c r="JHJ8" s="34"/>
      <c r="JHK8" s="34"/>
      <c r="JHM8" s="34"/>
      <c r="JHN8" s="72"/>
      <c r="JHO8" s="63"/>
      <c r="JHP8" s="34"/>
      <c r="JHQ8" s="64"/>
      <c r="JHR8" s="4"/>
      <c r="JHS8" s="65"/>
      <c r="JHT8" s="4"/>
      <c r="JHU8" s="4"/>
      <c r="JHV8" s="4"/>
      <c r="JHY8" s="34"/>
      <c r="JHZ8" s="34"/>
      <c r="JIB8" s="34"/>
      <c r="JIC8" s="72"/>
      <c r="JID8" s="63"/>
      <c r="JIE8" s="34"/>
      <c r="JIF8" s="64"/>
      <c r="JIG8" s="4"/>
      <c r="JIH8" s="65"/>
      <c r="JII8" s="4"/>
      <c r="JIJ8" s="4"/>
      <c r="JIK8" s="4"/>
      <c r="JIN8" s="34"/>
      <c r="JIO8" s="34"/>
      <c r="JIQ8" s="34"/>
      <c r="JIR8" s="72"/>
      <c r="JIS8" s="63"/>
      <c r="JIT8" s="34"/>
      <c r="JIU8" s="64"/>
      <c r="JIV8" s="4"/>
      <c r="JIW8" s="65"/>
      <c r="JIX8" s="4"/>
      <c r="JIY8" s="4"/>
      <c r="JIZ8" s="4"/>
      <c r="JJC8" s="34"/>
      <c r="JJD8" s="34"/>
      <c r="JJF8" s="34"/>
      <c r="JJG8" s="72"/>
      <c r="JJH8" s="63"/>
      <c r="JJI8" s="34"/>
      <c r="JJJ8" s="64"/>
      <c r="JJK8" s="4"/>
      <c r="JJL8" s="65"/>
      <c r="JJM8" s="4"/>
      <c r="JJN8" s="4"/>
      <c r="JJO8" s="4"/>
      <c r="JJR8" s="34"/>
      <c r="JJS8" s="34"/>
      <c r="JJU8" s="34"/>
      <c r="JJV8" s="72"/>
      <c r="JJW8" s="63"/>
      <c r="JJX8" s="34"/>
      <c r="JJY8" s="64"/>
      <c r="JJZ8" s="4"/>
      <c r="JKA8" s="65"/>
      <c r="JKB8" s="4"/>
      <c r="JKC8" s="4"/>
      <c r="JKD8" s="4"/>
      <c r="JKG8" s="34"/>
      <c r="JKH8" s="34"/>
      <c r="JKJ8" s="34"/>
      <c r="JKK8" s="72"/>
      <c r="JKL8" s="63"/>
      <c r="JKM8" s="34"/>
      <c r="JKN8" s="64"/>
      <c r="JKO8" s="4"/>
      <c r="JKP8" s="65"/>
      <c r="JKQ8" s="4"/>
      <c r="JKR8" s="4"/>
      <c r="JKS8" s="4"/>
      <c r="JKV8" s="34"/>
      <c r="JKW8" s="34"/>
      <c r="JKY8" s="34"/>
      <c r="JKZ8" s="72"/>
      <c r="JLA8" s="63"/>
      <c r="JLB8" s="34"/>
      <c r="JLC8" s="64"/>
      <c r="JLD8" s="4"/>
      <c r="JLE8" s="65"/>
      <c r="JLF8" s="4"/>
      <c r="JLG8" s="4"/>
      <c r="JLH8" s="4"/>
      <c r="JLK8" s="34"/>
      <c r="JLL8" s="34"/>
      <c r="JLN8" s="34"/>
      <c r="JLO8" s="72"/>
      <c r="JLP8" s="63"/>
      <c r="JLQ8" s="34"/>
      <c r="JLR8" s="64"/>
      <c r="JLS8" s="4"/>
      <c r="JLT8" s="65"/>
      <c r="JLU8" s="4"/>
      <c r="JLV8" s="4"/>
      <c r="JLW8" s="4"/>
      <c r="JLZ8" s="34"/>
      <c r="JMA8" s="34"/>
      <c r="JMC8" s="34"/>
      <c r="JMD8" s="72"/>
      <c r="JME8" s="63"/>
      <c r="JMF8" s="34"/>
      <c r="JMG8" s="64"/>
      <c r="JMH8" s="4"/>
      <c r="JMI8" s="65"/>
      <c r="JMJ8" s="4"/>
      <c r="JMK8" s="4"/>
      <c r="JML8" s="4"/>
      <c r="JMO8" s="34"/>
      <c r="JMP8" s="34"/>
      <c r="JMR8" s="34"/>
      <c r="JMS8" s="72"/>
      <c r="JMT8" s="63"/>
      <c r="JMU8" s="34"/>
      <c r="JMV8" s="64"/>
      <c r="JMW8" s="4"/>
      <c r="JMX8" s="65"/>
      <c r="JMY8" s="4"/>
      <c r="JMZ8" s="4"/>
      <c r="JNA8" s="4"/>
      <c r="JND8" s="34"/>
      <c r="JNE8" s="34"/>
      <c r="JNG8" s="34"/>
      <c r="JNH8" s="72"/>
      <c r="JNI8" s="63"/>
      <c r="JNJ8" s="34"/>
      <c r="JNK8" s="64"/>
      <c r="JNL8" s="4"/>
      <c r="JNM8" s="65"/>
      <c r="JNN8" s="4"/>
      <c r="JNO8" s="4"/>
      <c r="JNP8" s="4"/>
      <c r="JNS8" s="34"/>
      <c r="JNT8" s="34"/>
      <c r="JNV8" s="34"/>
      <c r="JNW8" s="72"/>
      <c r="JNX8" s="63"/>
      <c r="JNY8" s="34"/>
      <c r="JNZ8" s="64"/>
      <c r="JOA8" s="4"/>
      <c r="JOB8" s="65"/>
      <c r="JOC8" s="4"/>
      <c r="JOD8" s="4"/>
      <c r="JOE8" s="4"/>
      <c r="JOH8" s="34"/>
      <c r="JOI8" s="34"/>
      <c r="JOK8" s="34"/>
      <c r="JOL8" s="72"/>
      <c r="JOM8" s="63"/>
      <c r="JON8" s="34"/>
      <c r="JOO8" s="64"/>
      <c r="JOP8" s="4"/>
      <c r="JOQ8" s="65"/>
      <c r="JOR8" s="4"/>
      <c r="JOS8" s="4"/>
      <c r="JOT8" s="4"/>
      <c r="JOW8" s="34"/>
      <c r="JOX8" s="34"/>
      <c r="JOZ8" s="34"/>
      <c r="JPA8" s="72"/>
      <c r="JPB8" s="63"/>
      <c r="JPC8" s="34"/>
      <c r="JPD8" s="64"/>
      <c r="JPE8" s="4"/>
      <c r="JPF8" s="65"/>
      <c r="JPG8" s="4"/>
      <c r="JPH8" s="4"/>
      <c r="JPI8" s="4"/>
      <c r="JPL8" s="34"/>
      <c r="JPM8" s="34"/>
      <c r="JPO8" s="34"/>
      <c r="JPP8" s="72"/>
      <c r="JPQ8" s="63"/>
      <c r="JPR8" s="34"/>
      <c r="JPS8" s="64"/>
      <c r="JPT8" s="4"/>
      <c r="JPU8" s="65"/>
      <c r="JPV8" s="4"/>
      <c r="JPW8" s="4"/>
      <c r="JPX8" s="4"/>
      <c r="JQA8" s="34"/>
      <c r="JQB8" s="34"/>
      <c r="JQD8" s="34"/>
      <c r="JQE8" s="72"/>
      <c r="JQF8" s="63"/>
      <c r="JQG8" s="34"/>
      <c r="JQH8" s="64"/>
      <c r="JQI8" s="4"/>
      <c r="JQJ8" s="65"/>
      <c r="JQK8" s="4"/>
      <c r="JQL8" s="4"/>
      <c r="JQM8" s="4"/>
      <c r="JQP8" s="34"/>
      <c r="JQQ8" s="34"/>
      <c r="JQS8" s="34"/>
      <c r="JQT8" s="72"/>
      <c r="JQU8" s="63"/>
      <c r="JQV8" s="34"/>
      <c r="JQW8" s="64"/>
      <c r="JQX8" s="4"/>
      <c r="JQY8" s="65"/>
      <c r="JQZ8" s="4"/>
      <c r="JRA8" s="4"/>
      <c r="JRB8" s="4"/>
      <c r="JRE8" s="34"/>
      <c r="JRF8" s="34"/>
      <c r="JRH8" s="34"/>
      <c r="JRI8" s="72"/>
      <c r="JRJ8" s="63"/>
      <c r="JRK8" s="34"/>
      <c r="JRL8" s="64"/>
      <c r="JRM8" s="4"/>
      <c r="JRN8" s="65"/>
      <c r="JRO8" s="4"/>
      <c r="JRP8" s="4"/>
      <c r="JRQ8" s="4"/>
      <c r="JRT8" s="34"/>
      <c r="JRU8" s="34"/>
      <c r="JRW8" s="34"/>
      <c r="JRX8" s="72"/>
      <c r="JRY8" s="63"/>
      <c r="JRZ8" s="34"/>
      <c r="JSA8" s="64"/>
      <c r="JSB8" s="4"/>
      <c r="JSC8" s="65"/>
      <c r="JSD8" s="4"/>
      <c r="JSE8" s="4"/>
      <c r="JSF8" s="4"/>
      <c r="JSI8" s="34"/>
      <c r="JSJ8" s="34"/>
      <c r="JSL8" s="34"/>
      <c r="JSM8" s="72"/>
      <c r="JSN8" s="63"/>
      <c r="JSO8" s="34"/>
      <c r="JSP8" s="64"/>
      <c r="JSQ8" s="4"/>
      <c r="JSR8" s="65"/>
      <c r="JSS8" s="4"/>
      <c r="JST8" s="4"/>
      <c r="JSU8" s="4"/>
      <c r="JSX8" s="34"/>
      <c r="JSY8" s="34"/>
      <c r="JTA8" s="34"/>
      <c r="JTB8" s="72"/>
      <c r="JTC8" s="63"/>
      <c r="JTD8" s="34"/>
      <c r="JTE8" s="64"/>
      <c r="JTF8" s="4"/>
      <c r="JTG8" s="65"/>
      <c r="JTH8" s="4"/>
      <c r="JTI8" s="4"/>
      <c r="JTJ8" s="4"/>
      <c r="JTM8" s="34"/>
      <c r="JTN8" s="34"/>
      <c r="JTP8" s="34"/>
      <c r="JTQ8" s="72"/>
      <c r="JTR8" s="63"/>
      <c r="JTS8" s="34"/>
      <c r="JTT8" s="64"/>
      <c r="JTU8" s="4"/>
      <c r="JTV8" s="65"/>
      <c r="JTW8" s="4"/>
      <c r="JTX8" s="4"/>
      <c r="JTY8" s="4"/>
      <c r="JUB8" s="34"/>
      <c r="JUC8" s="34"/>
      <c r="JUE8" s="34"/>
      <c r="JUF8" s="72"/>
      <c r="JUG8" s="63"/>
      <c r="JUH8" s="34"/>
      <c r="JUI8" s="64"/>
      <c r="JUJ8" s="4"/>
      <c r="JUK8" s="65"/>
      <c r="JUL8" s="4"/>
      <c r="JUM8" s="4"/>
      <c r="JUN8" s="4"/>
      <c r="JUQ8" s="34"/>
      <c r="JUR8" s="34"/>
      <c r="JUT8" s="34"/>
      <c r="JUU8" s="72"/>
      <c r="JUV8" s="63"/>
      <c r="JUW8" s="34"/>
      <c r="JUX8" s="64"/>
      <c r="JUY8" s="4"/>
      <c r="JUZ8" s="65"/>
      <c r="JVA8" s="4"/>
      <c r="JVB8" s="4"/>
      <c r="JVC8" s="4"/>
      <c r="JVF8" s="34"/>
      <c r="JVG8" s="34"/>
      <c r="JVI8" s="34"/>
      <c r="JVJ8" s="72"/>
      <c r="JVK8" s="63"/>
      <c r="JVL8" s="34"/>
      <c r="JVM8" s="64"/>
      <c r="JVN8" s="4"/>
      <c r="JVO8" s="65"/>
      <c r="JVP8" s="4"/>
      <c r="JVQ8" s="4"/>
      <c r="JVR8" s="4"/>
      <c r="JVU8" s="34"/>
      <c r="JVV8" s="34"/>
      <c r="JVX8" s="34"/>
      <c r="JVY8" s="72"/>
      <c r="JVZ8" s="63"/>
      <c r="JWA8" s="34"/>
      <c r="JWB8" s="64"/>
      <c r="JWC8" s="4"/>
      <c r="JWD8" s="65"/>
      <c r="JWE8" s="4"/>
      <c r="JWF8" s="4"/>
      <c r="JWG8" s="4"/>
      <c r="JWJ8" s="34"/>
      <c r="JWK8" s="34"/>
      <c r="JWM8" s="34"/>
      <c r="JWN8" s="72"/>
      <c r="JWO8" s="63"/>
      <c r="JWP8" s="34"/>
      <c r="JWQ8" s="64"/>
      <c r="JWR8" s="4"/>
      <c r="JWS8" s="65"/>
      <c r="JWT8" s="4"/>
      <c r="JWU8" s="4"/>
      <c r="JWV8" s="4"/>
      <c r="JWY8" s="34"/>
      <c r="JWZ8" s="34"/>
      <c r="JXB8" s="34"/>
      <c r="JXC8" s="72"/>
      <c r="JXD8" s="63"/>
      <c r="JXE8" s="34"/>
      <c r="JXF8" s="64"/>
      <c r="JXG8" s="4"/>
      <c r="JXH8" s="65"/>
      <c r="JXI8" s="4"/>
      <c r="JXJ8" s="4"/>
      <c r="JXK8" s="4"/>
      <c r="JXN8" s="34"/>
      <c r="JXO8" s="34"/>
      <c r="JXQ8" s="34"/>
      <c r="JXR8" s="72"/>
      <c r="JXS8" s="63"/>
      <c r="JXT8" s="34"/>
      <c r="JXU8" s="64"/>
      <c r="JXV8" s="4"/>
      <c r="JXW8" s="65"/>
      <c r="JXX8" s="4"/>
      <c r="JXY8" s="4"/>
      <c r="JXZ8" s="4"/>
      <c r="JYC8" s="34"/>
      <c r="JYD8" s="34"/>
      <c r="JYF8" s="34"/>
      <c r="JYG8" s="72"/>
      <c r="JYH8" s="63"/>
      <c r="JYI8" s="34"/>
      <c r="JYJ8" s="64"/>
      <c r="JYK8" s="4"/>
      <c r="JYL8" s="65"/>
      <c r="JYM8" s="4"/>
      <c r="JYN8" s="4"/>
      <c r="JYO8" s="4"/>
      <c r="JYR8" s="34"/>
      <c r="JYS8" s="34"/>
      <c r="JYU8" s="34"/>
      <c r="JYV8" s="72"/>
      <c r="JYW8" s="63"/>
      <c r="JYX8" s="34"/>
      <c r="JYY8" s="64"/>
      <c r="JYZ8" s="4"/>
      <c r="JZA8" s="65"/>
      <c r="JZB8" s="4"/>
      <c r="JZC8" s="4"/>
      <c r="JZD8" s="4"/>
      <c r="JZG8" s="34"/>
      <c r="JZH8" s="34"/>
      <c r="JZJ8" s="34"/>
      <c r="JZK8" s="72"/>
      <c r="JZL8" s="63"/>
      <c r="JZM8" s="34"/>
      <c r="JZN8" s="64"/>
      <c r="JZO8" s="4"/>
      <c r="JZP8" s="65"/>
      <c r="JZQ8" s="4"/>
      <c r="JZR8" s="4"/>
      <c r="JZS8" s="4"/>
      <c r="JZV8" s="34"/>
      <c r="JZW8" s="34"/>
      <c r="JZY8" s="34"/>
      <c r="JZZ8" s="72"/>
      <c r="KAA8" s="63"/>
      <c r="KAB8" s="34"/>
      <c r="KAC8" s="64"/>
      <c r="KAD8" s="4"/>
      <c r="KAE8" s="65"/>
      <c r="KAF8" s="4"/>
      <c r="KAG8" s="4"/>
      <c r="KAH8" s="4"/>
      <c r="KAK8" s="34"/>
      <c r="KAL8" s="34"/>
      <c r="KAN8" s="34"/>
      <c r="KAO8" s="72"/>
      <c r="KAP8" s="63"/>
      <c r="KAQ8" s="34"/>
      <c r="KAR8" s="64"/>
      <c r="KAS8" s="4"/>
      <c r="KAT8" s="65"/>
      <c r="KAU8" s="4"/>
      <c r="KAV8" s="4"/>
      <c r="KAW8" s="4"/>
      <c r="KAZ8" s="34"/>
      <c r="KBA8" s="34"/>
      <c r="KBC8" s="34"/>
      <c r="KBD8" s="72"/>
      <c r="KBE8" s="63"/>
      <c r="KBF8" s="34"/>
      <c r="KBG8" s="64"/>
      <c r="KBH8" s="4"/>
      <c r="KBI8" s="65"/>
      <c r="KBJ8" s="4"/>
      <c r="KBK8" s="4"/>
      <c r="KBL8" s="4"/>
      <c r="KBO8" s="34"/>
      <c r="KBP8" s="34"/>
      <c r="KBR8" s="34"/>
      <c r="KBS8" s="72"/>
      <c r="KBT8" s="63"/>
      <c r="KBU8" s="34"/>
      <c r="KBV8" s="64"/>
      <c r="KBW8" s="4"/>
      <c r="KBX8" s="65"/>
      <c r="KBY8" s="4"/>
      <c r="KBZ8" s="4"/>
      <c r="KCA8" s="4"/>
      <c r="KCD8" s="34"/>
      <c r="KCE8" s="34"/>
      <c r="KCG8" s="34"/>
      <c r="KCH8" s="72"/>
      <c r="KCI8" s="63"/>
      <c r="KCJ8" s="34"/>
      <c r="KCK8" s="64"/>
      <c r="KCL8" s="4"/>
      <c r="KCM8" s="65"/>
      <c r="KCN8" s="4"/>
      <c r="KCO8" s="4"/>
      <c r="KCP8" s="4"/>
      <c r="KCS8" s="34"/>
      <c r="KCT8" s="34"/>
      <c r="KCV8" s="34"/>
      <c r="KCW8" s="72"/>
      <c r="KCX8" s="63"/>
      <c r="KCY8" s="34"/>
      <c r="KCZ8" s="64"/>
      <c r="KDA8" s="4"/>
      <c r="KDB8" s="65"/>
      <c r="KDC8" s="4"/>
      <c r="KDD8" s="4"/>
      <c r="KDE8" s="4"/>
      <c r="KDH8" s="34"/>
      <c r="KDI8" s="34"/>
      <c r="KDK8" s="34"/>
      <c r="KDL8" s="72"/>
      <c r="KDM8" s="63"/>
      <c r="KDN8" s="34"/>
      <c r="KDO8" s="64"/>
      <c r="KDP8" s="4"/>
      <c r="KDQ8" s="65"/>
      <c r="KDR8" s="4"/>
      <c r="KDS8" s="4"/>
      <c r="KDT8" s="4"/>
      <c r="KDW8" s="34"/>
      <c r="KDX8" s="34"/>
      <c r="KDZ8" s="34"/>
      <c r="KEA8" s="72"/>
      <c r="KEB8" s="63"/>
      <c r="KEC8" s="34"/>
      <c r="KED8" s="64"/>
      <c r="KEE8" s="4"/>
      <c r="KEF8" s="65"/>
      <c r="KEG8" s="4"/>
      <c r="KEH8" s="4"/>
      <c r="KEI8" s="4"/>
      <c r="KEL8" s="34"/>
      <c r="KEM8" s="34"/>
      <c r="KEO8" s="34"/>
      <c r="KEP8" s="72"/>
      <c r="KEQ8" s="63"/>
      <c r="KER8" s="34"/>
      <c r="KES8" s="64"/>
      <c r="KET8" s="4"/>
      <c r="KEU8" s="65"/>
      <c r="KEV8" s="4"/>
      <c r="KEW8" s="4"/>
      <c r="KEX8" s="4"/>
      <c r="KFA8" s="34"/>
      <c r="KFB8" s="34"/>
      <c r="KFD8" s="34"/>
      <c r="KFE8" s="72"/>
      <c r="KFF8" s="63"/>
      <c r="KFG8" s="34"/>
      <c r="KFH8" s="64"/>
      <c r="KFI8" s="4"/>
      <c r="KFJ8" s="65"/>
      <c r="KFK8" s="4"/>
      <c r="KFL8" s="4"/>
      <c r="KFM8" s="4"/>
      <c r="KFP8" s="34"/>
      <c r="KFQ8" s="34"/>
      <c r="KFS8" s="34"/>
      <c r="KFT8" s="72"/>
      <c r="KFU8" s="63"/>
      <c r="KFV8" s="34"/>
      <c r="KFW8" s="64"/>
      <c r="KFX8" s="4"/>
      <c r="KFY8" s="65"/>
      <c r="KFZ8" s="4"/>
      <c r="KGA8" s="4"/>
      <c r="KGB8" s="4"/>
      <c r="KGE8" s="34"/>
      <c r="KGF8" s="34"/>
      <c r="KGH8" s="34"/>
      <c r="KGI8" s="72"/>
      <c r="KGJ8" s="63"/>
      <c r="KGK8" s="34"/>
      <c r="KGL8" s="64"/>
      <c r="KGM8" s="4"/>
      <c r="KGN8" s="65"/>
      <c r="KGO8" s="4"/>
      <c r="KGP8" s="4"/>
      <c r="KGQ8" s="4"/>
      <c r="KGT8" s="34"/>
      <c r="KGU8" s="34"/>
      <c r="KGW8" s="34"/>
      <c r="KGX8" s="72"/>
      <c r="KGY8" s="63"/>
      <c r="KGZ8" s="34"/>
      <c r="KHA8" s="64"/>
      <c r="KHB8" s="4"/>
      <c r="KHC8" s="65"/>
      <c r="KHD8" s="4"/>
      <c r="KHE8" s="4"/>
      <c r="KHF8" s="4"/>
      <c r="KHI8" s="34"/>
      <c r="KHJ8" s="34"/>
      <c r="KHL8" s="34"/>
      <c r="KHM8" s="72"/>
      <c r="KHN8" s="63"/>
      <c r="KHO8" s="34"/>
      <c r="KHP8" s="64"/>
      <c r="KHQ8" s="4"/>
      <c r="KHR8" s="65"/>
      <c r="KHS8" s="4"/>
      <c r="KHT8" s="4"/>
      <c r="KHU8" s="4"/>
      <c r="KHX8" s="34"/>
      <c r="KHY8" s="34"/>
      <c r="KIA8" s="34"/>
      <c r="KIB8" s="72"/>
      <c r="KIC8" s="63"/>
      <c r="KID8" s="34"/>
      <c r="KIE8" s="64"/>
      <c r="KIF8" s="4"/>
      <c r="KIG8" s="65"/>
      <c r="KIH8" s="4"/>
      <c r="KII8" s="4"/>
      <c r="KIJ8" s="4"/>
      <c r="KIM8" s="34"/>
      <c r="KIN8" s="34"/>
      <c r="KIP8" s="34"/>
      <c r="KIQ8" s="72"/>
      <c r="KIR8" s="63"/>
      <c r="KIS8" s="34"/>
      <c r="KIT8" s="64"/>
      <c r="KIU8" s="4"/>
      <c r="KIV8" s="65"/>
      <c r="KIW8" s="4"/>
      <c r="KIX8" s="4"/>
      <c r="KIY8" s="4"/>
      <c r="KJB8" s="34"/>
      <c r="KJC8" s="34"/>
      <c r="KJE8" s="34"/>
      <c r="KJF8" s="72"/>
      <c r="KJG8" s="63"/>
      <c r="KJH8" s="34"/>
      <c r="KJI8" s="64"/>
      <c r="KJJ8" s="4"/>
      <c r="KJK8" s="65"/>
      <c r="KJL8" s="4"/>
      <c r="KJM8" s="4"/>
      <c r="KJN8" s="4"/>
      <c r="KJQ8" s="34"/>
      <c r="KJR8" s="34"/>
      <c r="KJT8" s="34"/>
      <c r="KJU8" s="72"/>
      <c r="KJV8" s="63"/>
      <c r="KJW8" s="34"/>
      <c r="KJX8" s="64"/>
      <c r="KJY8" s="4"/>
      <c r="KJZ8" s="65"/>
      <c r="KKA8" s="4"/>
      <c r="KKB8" s="4"/>
      <c r="KKC8" s="4"/>
      <c r="KKF8" s="34"/>
      <c r="KKG8" s="34"/>
      <c r="KKI8" s="34"/>
      <c r="KKJ8" s="72"/>
      <c r="KKK8" s="63"/>
      <c r="KKL8" s="34"/>
      <c r="KKM8" s="64"/>
      <c r="KKN8" s="4"/>
      <c r="KKO8" s="65"/>
      <c r="KKP8" s="4"/>
      <c r="KKQ8" s="4"/>
      <c r="KKR8" s="4"/>
      <c r="KKU8" s="34"/>
      <c r="KKV8" s="34"/>
      <c r="KKX8" s="34"/>
      <c r="KKY8" s="72"/>
      <c r="KKZ8" s="63"/>
      <c r="KLA8" s="34"/>
      <c r="KLB8" s="64"/>
      <c r="KLC8" s="4"/>
      <c r="KLD8" s="65"/>
      <c r="KLE8" s="4"/>
      <c r="KLF8" s="4"/>
      <c r="KLG8" s="4"/>
      <c r="KLJ8" s="34"/>
      <c r="KLK8" s="34"/>
      <c r="KLM8" s="34"/>
      <c r="KLN8" s="72"/>
      <c r="KLO8" s="63"/>
      <c r="KLP8" s="34"/>
      <c r="KLQ8" s="64"/>
      <c r="KLR8" s="4"/>
      <c r="KLS8" s="65"/>
      <c r="KLT8" s="4"/>
      <c r="KLU8" s="4"/>
      <c r="KLV8" s="4"/>
      <c r="KLY8" s="34"/>
      <c r="KLZ8" s="34"/>
      <c r="KMB8" s="34"/>
      <c r="KMC8" s="72"/>
      <c r="KMD8" s="63"/>
      <c r="KME8" s="34"/>
      <c r="KMF8" s="64"/>
      <c r="KMG8" s="4"/>
      <c r="KMH8" s="65"/>
      <c r="KMI8" s="4"/>
      <c r="KMJ8" s="4"/>
      <c r="KMK8" s="4"/>
      <c r="KMN8" s="34"/>
      <c r="KMO8" s="34"/>
      <c r="KMQ8" s="34"/>
      <c r="KMR8" s="72"/>
      <c r="KMS8" s="63"/>
      <c r="KMT8" s="34"/>
      <c r="KMU8" s="64"/>
      <c r="KMV8" s="4"/>
      <c r="KMW8" s="65"/>
      <c r="KMX8" s="4"/>
      <c r="KMY8" s="4"/>
      <c r="KMZ8" s="4"/>
      <c r="KNC8" s="34"/>
      <c r="KND8" s="34"/>
      <c r="KNF8" s="34"/>
      <c r="KNG8" s="72"/>
      <c r="KNH8" s="63"/>
      <c r="KNI8" s="34"/>
      <c r="KNJ8" s="64"/>
      <c r="KNK8" s="4"/>
      <c r="KNL8" s="65"/>
      <c r="KNM8" s="4"/>
      <c r="KNN8" s="4"/>
      <c r="KNO8" s="4"/>
      <c r="KNR8" s="34"/>
      <c r="KNS8" s="34"/>
      <c r="KNU8" s="34"/>
      <c r="KNV8" s="72"/>
      <c r="KNW8" s="63"/>
      <c r="KNX8" s="34"/>
      <c r="KNY8" s="64"/>
      <c r="KNZ8" s="4"/>
      <c r="KOA8" s="65"/>
      <c r="KOB8" s="4"/>
      <c r="KOC8" s="4"/>
      <c r="KOD8" s="4"/>
      <c r="KOG8" s="34"/>
      <c r="KOH8" s="34"/>
      <c r="KOJ8" s="34"/>
      <c r="KOK8" s="72"/>
      <c r="KOL8" s="63"/>
      <c r="KOM8" s="34"/>
      <c r="KON8" s="64"/>
      <c r="KOO8" s="4"/>
      <c r="KOP8" s="65"/>
      <c r="KOQ8" s="4"/>
      <c r="KOR8" s="4"/>
      <c r="KOS8" s="4"/>
      <c r="KOV8" s="34"/>
      <c r="KOW8" s="34"/>
      <c r="KOY8" s="34"/>
      <c r="KOZ8" s="72"/>
      <c r="KPA8" s="63"/>
      <c r="KPB8" s="34"/>
      <c r="KPC8" s="64"/>
      <c r="KPD8" s="4"/>
      <c r="KPE8" s="65"/>
      <c r="KPF8" s="4"/>
      <c r="KPG8" s="4"/>
      <c r="KPH8" s="4"/>
      <c r="KPK8" s="34"/>
      <c r="KPL8" s="34"/>
      <c r="KPN8" s="34"/>
      <c r="KPO8" s="72"/>
      <c r="KPP8" s="63"/>
      <c r="KPQ8" s="34"/>
      <c r="KPR8" s="64"/>
      <c r="KPS8" s="4"/>
      <c r="KPT8" s="65"/>
      <c r="KPU8" s="4"/>
      <c r="KPV8" s="4"/>
      <c r="KPW8" s="4"/>
      <c r="KPZ8" s="34"/>
      <c r="KQA8" s="34"/>
      <c r="KQC8" s="34"/>
      <c r="KQD8" s="72"/>
      <c r="KQE8" s="63"/>
      <c r="KQF8" s="34"/>
      <c r="KQG8" s="64"/>
      <c r="KQH8" s="4"/>
      <c r="KQI8" s="65"/>
      <c r="KQJ8" s="4"/>
      <c r="KQK8" s="4"/>
      <c r="KQL8" s="4"/>
      <c r="KQO8" s="34"/>
      <c r="KQP8" s="34"/>
      <c r="KQR8" s="34"/>
      <c r="KQS8" s="72"/>
      <c r="KQT8" s="63"/>
      <c r="KQU8" s="34"/>
      <c r="KQV8" s="64"/>
      <c r="KQW8" s="4"/>
      <c r="KQX8" s="65"/>
      <c r="KQY8" s="4"/>
      <c r="KQZ8" s="4"/>
      <c r="KRA8" s="4"/>
      <c r="KRD8" s="34"/>
      <c r="KRE8" s="34"/>
      <c r="KRG8" s="34"/>
      <c r="KRH8" s="72"/>
      <c r="KRI8" s="63"/>
      <c r="KRJ8" s="34"/>
      <c r="KRK8" s="64"/>
      <c r="KRL8" s="4"/>
      <c r="KRM8" s="65"/>
      <c r="KRN8" s="4"/>
      <c r="KRO8" s="4"/>
      <c r="KRP8" s="4"/>
      <c r="KRS8" s="34"/>
      <c r="KRT8" s="34"/>
      <c r="KRV8" s="34"/>
      <c r="KRW8" s="72"/>
      <c r="KRX8" s="63"/>
      <c r="KRY8" s="34"/>
      <c r="KRZ8" s="64"/>
      <c r="KSA8" s="4"/>
      <c r="KSB8" s="65"/>
      <c r="KSC8" s="4"/>
      <c r="KSD8" s="4"/>
      <c r="KSE8" s="4"/>
      <c r="KSH8" s="34"/>
      <c r="KSI8" s="34"/>
      <c r="KSK8" s="34"/>
      <c r="KSL8" s="72"/>
      <c r="KSM8" s="63"/>
      <c r="KSN8" s="34"/>
      <c r="KSO8" s="64"/>
      <c r="KSP8" s="4"/>
      <c r="KSQ8" s="65"/>
      <c r="KSR8" s="4"/>
      <c r="KSS8" s="4"/>
      <c r="KST8" s="4"/>
      <c r="KSW8" s="34"/>
      <c r="KSX8" s="34"/>
      <c r="KSZ8" s="34"/>
      <c r="KTA8" s="72"/>
      <c r="KTB8" s="63"/>
      <c r="KTC8" s="34"/>
      <c r="KTD8" s="64"/>
      <c r="KTE8" s="4"/>
      <c r="KTF8" s="65"/>
      <c r="KTG8" s="4"/>
      <c r="KTH8" s="4"/>
      <c r="KTI8" s="4"/>
      <c r="KTL8" s="34"/>
      <c r="KTM8" s="34"/>
      <c r="KTO8" s="34"/>
      <c r="KTP8" s="72"/>
      <c r="KTQ8" s="63"/>
      <c r="KTR8" s="34"/>
      <c r="KTS8" s="64"/>
      <c r="KTT8" s="4"/>
      <c r="KTU8" s="65"/>
      <c r="KTV8" s="4"/>
      <c r="KTW8" s="4"/>
      <c r="KTX8" s="4"/>
      <c r="KUA8" s="34"/>
      <c r="KUB8" s="34"/>
      <c r="KUD8" s="34"/>
      <c r="KUE8" s="72"/>
      <c r="KUF8" s="63"/>
      <c r="KUG8" s="34"/>
      <c r="KUH8" s="64"/>
      <c r="KUI8" s="4"/>
      <c r="KUJ8" s="65"/>
      <c r="KUK8" s="4"/>
      <c r="KUL8" s="4"/>
      <c r="KUM8" s="4"/>
      <c r="KUP8" s="34"/>
      <c r="KUQ8" s="34"/>
      <c r="KUS8" s="34"/>
      <c r="KUT8" s="72"/>
      <c r="KUU8" s="63"/>
      <c r="KUV8" s="34"/>
      <c r="KUW8" s="64"/>
      <c r="KUX8" s="4"/>
      <c r="KUY8" s="65"/>
      <c r="KUZ8" s="4"/>
      <c r="KVA8" s="4"/>
      <c r="KVB8" s="4"/>
      <c r="KVE8" s="34"/>
      <c r="KVF8" s="34"/>
      <c r="KVH8" s="34"/>
      <c r="KVI8" s="72"/>
      <c r="KVJ8" s="63"/>
      <c r="KVK8" s="34"/>
      <c r="KVL8" s="64"/>
      <c r="KVM8" s="4"/>
      <c r="KVN8" s="65"/>
      <c r="KVO8" s="4"/>
      <c r="KVP8" s="4"/>
      <c r="KVQ8" s="4"/>
      <c r="KVT8" s="34"/>
      <c r="KVU8" s="34"/>
      <c r="KVW8" s="34"/>
      <c r="KVX8" s="72"/>
      <c r="KVY8" s="63"/>
      <c r="KVZ8" s="34"/>
      <c r="KWA8" s="64"/>
      <c r="KWB8" s="4"/>
      <c r="KWC8" s="65"/>
      <c r="KWD8" s="4"/>
      <c r="KWE8" s="4"/>
      <c r="KWF8" s="4"/>
      <c r="KWI8" s="34"/>
      <c r="KWJ8" s="34"/>
      <c r="KWL8" s="34"/>
      <c r="KWM8" s="72"/>
      <c r="KWN8" s="63"/>
      <c r="KWO8" s="34"/>
      <c r="KWP8" s="64"/>
      <c r="KWQ8" s="4"/>
      <c r="KWR8" s="65"/>
      <c r="KWS8" s="4"/>
      <c r="KWT8" s="4"/>
      <c r="KWU8" s="4"/>
      <c r="KWX8" s="34"/>
      <c r="KWY8" s="34"/>
      <c r="KXA8" s="34"/>
      <c r="KXB8" s="72"/>
      <c r="KXC8" s="63"/>
      <c r="KXD8" s="34"/>
      <c r="KXE8" s="64"/>
      <c r="KXF8" s="4"/>
      <c r="KXG8" s="65"/>
      <c r="KXH8" s="4"/>
      <c r="KXI8" s="4"/>
      <c r="KXJ8" s="4"/>
      <c r="KXM8" s="34"/>
      <c r="KXN8" s="34"/>
      <c r="KXP8" s="34"/>
      <c r="KXQ8" s="72"/>
      <c r="KXR8" s="63"/>
      <c r="KXS8" s="34"/>
      <c r="KXT8" s="64"/>
      <c r="KXU8" s="4"/>
      <c r="KXV8" s="65"/>
      <c r="KXW8" s="4"/>
      <c r="KXX8" s="4"/>
      <c r="KXY8" s="4"/>
      <c r="KYB8" s="34"/>
      <c r="KYC8" s="34"/>
      <c r="KYE8" s="34"/>
      <c r="KYF8" s="72"/>
      <c r="KYG8" s="63"/>
      <c r="KYH8" s="34"/>
      <c r="KYI8" s="64"/>
      <c r="KYJ8" s="4"/>
      <c r="KYK8" s="65"/>
      <c r="KYL8" s="4"/>
      <c r="KYM8" s="4"/>
      <c r="KYN8" s="4"/>
      <c r="KYQ8" s="34"/>
      <c r="KYR8" s="34"/>
      <c r="KYT8" s="34"/>
      <c r="KYU8" s="72"/>
      <c r="KYV8" s="63"/>
      <c r="KYW8" s="34"/>
      <c r="KYX8" s="64"/>
      <c r="KYY8" s="4"/>
      <c r="KYZ8" s="65"/>
      <c r="KZA8" s="4"/>
      <c r="KZB8" s="4"/>
      <c r="KZC8" s="4"/>
      <c r="KZF8" s="34"/>
      <c r="KZG8" s="34"/>
      <c r="KZI8" s="34"/>
      <c r="KZJ8" s="72"/>
      <c r="KZK8" s="63"/>
      <c r="KZL8" s="34"/>
      <c r="KZM8" s="64"/>
      <c r="KZN8" s="4"/>
      <c r="KZO8" s="65"/>
      <c r="KZP8" s="4"/>
      <c r="KZQ8" s="4"/>
      <c r="KZR8" s="4"/>
      <c r="KZU8" s="34"/>
      <c r="KZV8" s="34"/>
      <c r="KZX8" s="34"/>
      <c r="KZY8" s="72"/>
      <c r="KZZ8" s="63"/>
      <c r="LAA8" s="34"/>
      <c r="LAB8" s="64"/>
      <c r="LAC8" s="4"/>
      <c r="LAD8" s="65"/>
      <c r="LAE8" s="4"/>
      <c r="LAF8" s="4"/>
      <c r="LAG8" s="4"/>
      <c r="LAJ8" s="34"/>
      <c r="LAK8" s="34"/>
      <c r="LAM8" s="34"/>
      <c r="LAN8" s="72"/>
      <c r="LAO8" s="63"/>
      <c r="LAP8" s="34"/>
      <c r="LAQ8" s="64"/>
      <c r="LAR8" s="4"/>
      <c r="LAS8" s="65"/>
      <c r="LAT8" s="4"/>
      <c r="LAU8" s="4"/>
      <c r="LAV8" s="4"/>
      <c r="LAY8" s="34"/>
      <c r="LAZ8" s="34"/>
      <c r="LBB8" s="34"/>
      <c r="LBC8" s="72"/>
      <c r="LBD8" s="63"/>
      <c r="LBE8" s="34"/>
      <c r="LBF8" s="64"/>
      <c r="LBG8" s="4"/>
      <c r="LBH8" s="65"/>
      <c r="LBI8" s="4"/>
      <c r="LBJ8" s="4"/>
      <c r="LBK8" s="4"/>
      <c r="LBN8" s="34"/>
      <c r="LBO8" s="34"/>
      <c r="LBQ8" s="34"/>
      <c r="LBR8" s="72"/>
      <c r="LBS8" s="63"/>
      <c r="LBT8" s="34"/>
      <c r="LBU8" s="64"/>
      <c r="LBV8" s="4"/>
      <c r="LBW8" s="65"/>
      <c r="LBX8" s="4"/>
      <c r="LBY8" s="4"/>
      <c r="LBZ8" s="4"/>
      <c r="LCC8" s="34"/>
      <c r="LCD8" s="34"/>
      <c r="LCF8" s="34"/>
      <c r="LCG8" s="72"/>
      <c r="LCH8" s="63"/>
      <c r="LCI8" s="34"/>
      <c r="LCJ8" s="64"/>
      <c r="LCK8" s="4"/>
      <c r="LCL8" s="65"/>
      <c r="LCM8" s="4"/>
      <c r="LCN8" s="4"/>
      <c r="LCO8" s="4"/>
      <c r="LCR8" s="34"/>
      <c r="LCS8" s="34"/>
      <c r="LCU8" s="34"/>
      <c r="LCV8" s="72"/>
      <c r="LCW8" s="63"/>
      <c r="LCX8" s="34"/>
      <c r="LCY8" s="64"/>
      <c r="LCZ8" s="4"/>
      <c r="LDA8" s="65"/>
      <c r="LDB8" s="4"/>
      <c r="LDC8" s="4"/>
      <c r="LDD8" s="4"/>
      <c r="LDG8" s="34"/>
      <c r="LDH8" s="34"/>
      <c r="LDJ8" s="34"/>
      <c r="LDK8" s="72"/>
      <c r="LDL8" s="63"/>
      <c r="LDM8" s="34"/>
      <c r="LDN8" s="64"/>
      <c r="LDO8" s="4"/>
      <c r="LDP8" s="65"/>
      <c r="LDQ8" s="4"/>
      <c r="LDR8" s="4"/>
      <c r="LDS8" s="4"/>
      <c r="LDV8" s="34"/>
      <c r="LDW8" s="34"/>
      <c r="LDY8" s="34"/>
      <c r="LDZ8" s="72"/>
      <c r="LEA8" s="63"/>
      <c r="LEB8" s="34"/>
      <c r="LEC8" s="64"/>
      <c r="LED8" s="4"/>
      <c r="LEE8" s="65"/>
      <c r="LEF8" s="4"/>
      <c r="LEG8" s="4"/>
      <c r="LEH8" s="4"/>
      <c r="LEK8" s="34"/>
      <c r="LEL8" s="34"/>
      <c r="LEN8" s="34"/>
      <c r="LEO8" s="72"/>
      <c r="LEP8" s="63"/>
      <c r="LEQ8" s="34"/>
      <c r="LER8" s="64"/>
      <c r="LES8" s="4"/>
      <c r="LET8" s="65"/>
      <c r="LEU8" s="4"/>
      <c r="LEV8" s="4"/>
      <c r="LEW8" s="4"/>
      <c r="LEZ8" s="34"/>
      <c r="LFA8" s="34"/>
      <c r="LFC8" s="34"/>
      <c r="LFD8" s="72"/>
      <c r="LFE8" s="63"/>
      <c r="LFF8" s="34"/>
      <c r="LFG8" s="64"/>
      <c r="LFH8" s="4"/>
      <c r="LFI8" s="65"/>
      <c r="LFJ8" s="4"/>
      <c r="LFK8" s="4"/>
      <c r="LFL8" s="4"/>
      <c r="LFO8" s="34"/>
      <c r="LFP8" s="34"/>
      <c r="LFR8" s="34"/>
      <c r="LFS8" s="72"/>
      <c r="LFT8" s="63"/>
      <c r="LFU8" s="34"/>
      <c r="LFV8" s="64"/>
      <c r="LFW8" s="4"/>
      <c r="LFX8" s="65"/>
      <c r="LFY8" s="4"/>
      <c r="LFZ8" s="4"/>
      <c r="LGA8" s="4"/>
      <c r="LGD8" s="34"/>
      <c r="LGE8" s="34"/>
      <c r="LGG8" s="34"/>
      <c r="LGH8" s="72"/>
      <c r="LGI8" s="63"/>
      <c r="LGJ8" s="34"/>
      <c r="LGK8" s="64"/>
      <c r="LGL8" s="4"/>
      <c r="LGM8" s="65"/>
      <c r="LGN8" s="4"/>
      <c r="LGO8" s="4"/>
      <c r="LGP8" s="4"/>
      <c r="LGS8" s="34"/>
      <c r="LGT8" s="34"/>
      <c r="LGV8" s="34"/>
      <c r="LGW8" s="72"/>
      <c r="LGX8" s="63"/>
      <c r="LGY8" s="34"/>
      <c r="LGZ8" s="64"/>
      <c r="LHA8" s="4"/>
      <c r="LHB8" s="65"/>
      <c r="LHC8" s="4"/>
      <c r="LHD8" s="4"/>
      <c r="LHE8" s="4"/>
      <c r="LHH8" s="34"/>
      <c r="LHI8" s="34"/>
      <c r="LHK8" s="34"/>
      <c r="LHL8" s="72"/>
      <c r="LHM8" s="63"/>
      <c r="LHN8" s="34"/>
      <c r="LHO8" s="64"/>
      <c r="LHP8" s="4"/>
      <c r="LHQ8" s="65"/>
      <c r="LHR8" s="4"/>
      <c r="LHS8" s="4"/>
      <c r="LHT8" s="4"/>
      <c r="LHW8" s="34"/>
      <c r="LHX8" s="34"/>
      <c r="LHZ8" s="34"/>
      <c r="LIA8" s="72"/>
      <c r="LIB8" s="63"/>
      <c r="LIC8" s="34"/>
      <c r="LID8" s="64"/>
      <c r="LIE8" s="4"/>
      <c r="LIF8" s="65"/>
      <c r="LIG8" s="4"/>
      <c r="LIH8" s="4"/>
      <c r="LII8" s="4"/>
      <c r="LIL8" s="34"/>
      <c r="LIM8" s="34"/>
      <c r="LIO8" s="34"/>
      <c r="LIP8" s="72"/>
      <c r="LIQ8" s="63"/>
      <c r="LIR8" s="34"/>
      <c r="LIS8" s="64"/>
      <c r="LIT8" s="4"/>
      <c r="LIU8" s="65"/>
      <c r="LIV8" s="4"/>
      <c r="LIW8" s="4"/>
      <c r="LIX8" s="4"/>
      <c r="LJA8" s="34"/>
      <c r="LJB8" s="34"/>
      <c r="LJD8" s="34"/>
      <c r="LJE8" s="72"/>
      <c r="LJF8" s="63"/>
      <c r="LJG8" s="34"/>
      <c r="LJH8" s="64"/>
      <c r="LJI8" s="4"/>
      <c r="LJJ8" s="65"/>
      <c r="LJK8" s="4"/>
      <c r="LJL8" s="4"/>
      <c r="LJM8" s="4"/>
      <c r="LJP8" s="34"/>
      <c r="LJQ8" s="34"/>
      <c r="LJS8" s="34"/>
      <c r="LJT8" s="72"/>
      <c r="LJU8" s="63"/>
      <c r="LJV8" s="34"/>
      <c r="LJW8" s="64"/>
      <c r="LJX8" s="4"/>
      <c r="LJY8" s="65"/>
      <c r="LJZ8" s="4"/>
      <c r="LKA8" s="4"/>
      <c r="LKB8" s="4"/>
      <c r="LKE8" s="34"/>
      <c r="LKF8" s="34"/>
      <c r="LKH8" s="34"/>
      <c r="LKI8" s="72"/>
      <c r="LKJ8" s="63"/>
      <c r="LKK8" s="34"/>
      <c r="LKL8" s="64"/>
      <c r="LKM8" s="4"/>
      <c r="LKN8" s="65"/>
      <c r="LKO8" s="4"/>
      <c r="LKP8" s="4"/>
      <c r="LKQ8" s="4"/>
      <c r="LKT8" s="34"/>
      <c r="LKU8" s="34"/>
      <c r="LKW8" s="34"/>
      <c r="LKX8" s="72"/>
      <c r="LKY8" s="63"/>
      <c r="LKZ8" s="34"/>
      <c r="LLA8" s="64"/>
      <c r="LLB8" s="4"/>
      <c r="LLC8" s="65"/>
      <c r="LLD8" s="4"/>
      <c r="LLE8" s="4"/>
      <c r="LLF8" s="4"/>
      <c r="LLI8" s="34"/>
      <c r="LLJ8" s="34"/>
      <c r="LLL8" s="34"/>
      <c r="LLM8" s="72"/>
      <c r="LLN8" s="63"/>
      <c r="LLO8" s="34"/>
      <c r="LLP8" s="64"/>
      <c r="LLQ8" s="4"/>
      <c r="LLR8" s="65"/>
      <c r="LLS8" s="4"/>
      <c r="LLT8" s="4"/>
      <c r="LLU8" s="4"/>
      <c r="LLX8" s="34"/>
      <c r="LLY8" s="34"/>
      <c r="LMA8" s="34"/>
      <c r="LMB8" s="72"/>
      <c r="LMC8" s="63"/>
      <c r="LMD8" s="34"/>
      <c r="LME8" s="64"/>
      <c r="LMF8" s="4"/>
      <c r="LMG8" s="65"/>
      <c r="LMH8" s="4"/>
      <c r="LMI8" s="4"/>
      <c r="LMJ8" s="4"/>
      <c r="LMM8" s="34"/>
      <c r="LMN8" s="34"/>
      <c r="LMP8" s="34"/>
      <c r="LMQ8" s="72"/>
      <c r="LMR8" s="63"/>
      <c r="LMS8" s="34"/>
      <c r="LMT8" s="64"/>
      <c r="LMU8" s="4"/>
      <c r="LMV8" s="65"/>
      <c r="LMW8" s="4"/>
      <c r="LMX8" s="4"/>
      <c r="LMY8" s="4"/>
      <c r="LNB8" s="34"/>
      <c r="LNC8" s="34"/>
      <c r="LNE8" s="34"/>
      <c r="LNF8" s="72"/>
      <c r="LNG8" s="63"/>
      <c r="LNH8" s="34"/>
      <c r="LNI8" s="64"/>
      <c r="LNJ8" s="4"/>
      <c r="LNK8" s="65"/>
      <c r="LNL8" s="4"/>
      <c r="LNM8" s="4"/>
      <c r="LNN8" s="4"/>
      <c r="LNQ8" s="34"/>
      <c r="LNR8" s="34"/>
      <c r="LNT8" s="34"/>
      <c r="LNU8" s="72"/>
      <c r="LNV8" s="63"/>
      <c r="LNW8" s="34"/>
      <c r="LNX8" s="64"/>
      <c r="LNY8" s="4"/>
      <c r="LNZ8" s="65"/>
      <c r="LOA8" s="4"/>
      <c r="LOB8" s="4"/>
      <c r="LOC8" s="4"/>
      <c r="LOF8" s="34"/>
      <c r="LOG8" s="34"/>
      <c r="LOI8" s="34"/>
      <c r="LOJ8" s="72"/>
      <c r="LOK8" s="63"/>
      <c r="LOL8" s="34"/>
      <c r="LOM8" s="64"/>
      <c r="LON8" s="4"/>
      <c r="LOO8" s="65"/>
      <c r="LOP8" s="4"/>
      <c r="LOQ8" s="4"/>
      <c r="LOR8" s="4"/>
      <c r="LOU8" s="34"/>
      <c r="LOV8" s="34"/>
      <c r="LOX8" s="34"/>
      <c r="LOY8" s="72"/>
      <c r="LOZ8" s="63"/>
      <c r="LPA8" s="34"/>
      <c r="LPB8" s="64"/>
      <c r="LPC8" s="4"/>
      <c r="LPD8" s="65"/>
      <c r="LPE8" s="4"/>
      <c r="LPF8" s="4"/>
      <c r="LPG8" s="4"/>
      <c r="LPJ8" s="34"/>
      <c r="LPK8" s="34"/>
      <c r="LPM8" s="34"/>
      <c r="LPN8" s="72"/>
      <c r="LPO8" s="63"/>
      <c r="LPP8" s="34"/>
      <c r="LPQ8" s="64"/>
      <c r="LPR8" s="4"/>
      <c r="LPS8" s="65"/>
      <c r="LPT8" s="4"/>
      <c r="LPU8" s="4"/>
      <c r="LPV8" s="4"/>
      <c r="LPY8" s="34"/>
      <c r="LPZ8" s="34"/>
      <c r="LQB8" s="34"/>
      <c r="LQC8" s="72"/>
      <c r="LQD8" s="63"/>
      <c r="LQE8" s="34"/>
      <c r="LQF8" s="64"/>
      <c r="LQG8" s="4"/>
      <c r="LQH8" s="65"/>
      <c r="LQI8" s="4"/>
      <c r="LQJ8" s="4"/>
      <c r="LQK8" s="4"/>
      <c r="LQN8" s="34"/>
      <c r="LQO8" s="34"/>
      <c r="LQQ8" s="34"/>
      <c r="LQR8" s="72"/>
      <c r="LQS8" s="63"/>
      <c r="LQT8" s="34"/>
      <c r="LQU8" s="64"/>
      <c r="LQV8" s="4"/>
      <c r="LQW8" s="65"/>
      <c r="LQX8" s="4"/>
      <c r="LQY8" s="4"/>
      <c r="LQZ8" s="4"/>
      <c r="LRC8" s="34"/>
      <c r="LRD8" s="34"/>
      <c r="LRF8" s="34"/>
      <c r="LRG8" s="72"/>
      <c r="LRH8" s="63"/>
      <c r="LRI8" s="34"/>
      <c r="LRJ8" s="64"/>
      <c r="LRK8" s="4"/>
      <c r="LRL8" s="65"/>
      <c r="LRM8" s="4"/>
      <c r="LRN8" s="4"/>
      <c r="LRO8" s="4"/>
      <c r="LRR8" s="34"/>
      <c r="LRS8" s="34"/>
      <c r="LRU8" s="34"/>
      <c r="LRV8" s="72"/>
      <c r="LRW8" s="63"/>
      <c r="LRX8" s="34"/>
      <c r="LRY8" s="64"/>
      <c r="LRZ8" s="4"/>
      <c r="LSA8" s="65"/>
      <c r="LSB8" s="4"/>
      <c r="LSC8" s="4"/>
      <c r="LSD8" s="4"/>
      <c r="LSG8" s="34"/>
      <c r="LSH8" s="34"/>
      <c r="LSJ8" s="34"/>
      <c r="LSK8" s="72"/>
      <c r="LSL8" s="63"/>
      <c r="LSM8" s="34"/>
      <c r="LSN8" s="64"/>
      <c r="LSO8" s="4"/>
      <c r="LSP8" s="65"/>
      <c r="LSQ8" s="4"/>
      <c r="LSR8" s="4"/>
      <c r="LSS8" s="4"/>
      <c r="LSV8" s="34"/>
      <c r="LSW8" s="34"/>
      <c r="LSY8" s="34"/>
      <c r="LSZ8" s="72"/>
      <c r="LTA8" s="63"/>
      <c r="LTB8" s="34"/>
      <c r="LTC8" s="64"/>
      <c r="LTD8" s="4"/>
      <c r="LTE8" s="65"/>
      <c r="LTF8" s="4"/>
      <c r="LTG8" s="4"/>
      <c r="LTH8" s="4"/>
      <c r="LTK8" s="34"/>
      <c r="LTL8" s="34"/>
      <c r="LTN8" s="34"/>
      <c r="LTO8" s="72"/>
      <c r="LTP8" s="63"/>
      <c r="LTQ8" s="34"/>
      <c r="LTR8" s="64"/>
      <c r="LTS8" s="4"/>
      <c r="LTT8" s="65"/>
      <c r="LTU8" s="4"/>
      <c r="LTV8" s="4"/>
      <c r="LTW8" s="4"/>
      <c r="LTZ8" s="34"/>
      <c r="LUA8" s="34"/>
      <c r="LUC8" s="34"/>
      <c r="LUD8" s="72"/>
      <c r="LUE8" s="63"/>
      <c r="LUF8" s="34"/>
      <c r="LUG8" s="64"/>
      <c r="LUH8" s="4"/>
      <c r="LUI8" s="65"/>
      <c r="LUJ8" s="4"/>
      <c r="LUK8" s="4"/>
      <c r="LUL8" s="4"/>
      <c r="LUO8" s="34"/>
      <c r="LUP8" s="34"/>
      <c r="LUR8" s="34"/>
      <c r="LUS8" s="72"/>
      <c r="LUT8" s="63"/>
      <c r="LUU8" s="34"/>
      <c r="LUV8" s="64"/>
      <c r="LUW8" s="4"/>
      <c r="LUX8" s="65"/>
      <c r="LUY8" s="4"/>
      <c r="LUZ8" s="4"/>
      <c r="LVA8" s="4"/>
      <c r="LVD8" s="34"/>
      <c r="LVE8" s="34"/>
      <c r="LVG8" s="34"/>
      <c r="LVH8" s="72"/>
      <c r="LVI8" s="63"/>
      <c r="LVJ8" s="34"/>
      <c r="LVK8" s="64"/>
      <c r="LVL8" s="4"/>
      <c r="LVM8" s="65"/>
      <c r="LVN8" s="4"/>
      <c r="LVO8" s="4"/>
      <c r="LVP8" s="4"/>
      <c r="LVS8" s="34"/>
      <c r="LVT8" s="34"/>
      <c r="LVV8" s="34"/>
      <c r="LVW8" s="72"/>
      <c r="LVX8" s="63"/>
      <c r="LVY8" s="34"/>
      <c r="LVZ8" s="64"/>
      <c r="LWA8" s="4"/>
      <c r="LWB8" s="65"/>
      <c r="LWC8" s="4"/>
      <c r="LWD8" s="4"/>
      <c r="LWE8" s="4"/>
      <c r="LWH8" s="34"/>
      <c r="LWI8" s="34"/>
      <c r="LWK8" s="34"/>
      <c r="LWL8" s="72"/>
      <c r="LWM8" s="63"/>
      <c r="LWN8" s="34"/>
      <c r="LWO8" s="64"/>
      <c r="LWP8" s="4"/>
      <c r="LWQ8" s="65"/>
      <c r="LWR8" s="4"/>
      <c r="LWS8" s="4"/>
      <c r="LWT8" s="4"/>
      <c r="LWW8" s="34"/>
      <c r="LWX8" s="34"/>
      <c r="LWZ8" s="34"/>
      <c r="LXA8" s="72"/>
      <c r="LXB8" s="63"/>
      <c r="LXC8" s="34"/>
      <c r="LXD8" s="64"/>
      <c r="LXE8" s="4"/>
      <c r="LXF8" s="65"/>
      <c r="LXG8" s="4"/>
      <c r="LXH8" s="4"/>
      <c r="LXI8" s="4"/>
      <c r="LXL8" s="34"/>
      <c r="LXM8" s="34"/>
      <c r="LXO8" s="34"/>
      <c r="LXP8" s="72"/>
      <c r="LXQ8" s="63"/>
      <c r="LXR8" s="34"/>
      <c r="LXS8" s="64"/>
      <c r="LXT8" s="4"/>
      <c r="LXU8" s="65"/>
      <c r="LXV8" s="4"/>
      <c r="LXW8" s="4"/>
      <c r="LXX8" s="4"/>
      <c r="LYA8" s="34"/>
      <c r="LYB8" s="34"/>
      <c r="LYD8" s="34"/>
      <c r="LYE8" s="72"/>
      <c r="LYF8" s="63"/>
      <c r="LYG8" s="34"/>
      <c r="LYH8" s="64"/>
      <c r="LYI8" s="4"/>
      <c r="LYJ8" s="65"/>
      <c r="LYK8" s="4"/>
      <c r="LYL8" s="4"/>
      <c r="LYM8" s="4"/>
      <c r="LYP8" s="34"/>
      <c r="LYQ8" s="34"/>
      <c r="LYS8" s="34"/>
      <c r="LYT8" s="72"/>
      <c r="LYU8" s="63"/>
      <c r="LYV8" s="34"/>
      <c r="LYW8" s="64"/>
      <c r="LYX8" s="4"/>
      <c r="LYY8" s="65"/>
      <c r="LYZ8" s="4"/>
      <c r="LZA8" s="4"/>
      <c r="LZB8" s="4"/>
      <c r="LZE8" s="34"/>
      <c r="LZF8" s="34"/>
      <c r="LZH8" s="34"/>
      <c r="LZI8" s="72"/>
      <c r="LZJ8" s="63"/>
      <c r="LZK8" s="34"/>
      <c r="LZL8" s="64"/>
      <c r="LZM8" s="4"/>
      <c r="LZN8" s="65"/>
      <c r="LZO8" s="4"/>
      <c r="LZP8" s="4"/>
      <c r="LZQ8" s="4"/>
      <c r="LZT8" s="34"/>
      <c r="LZU8" s="34"/>
      <c r="LZW8" s="34"/>
      <c r="LZX8" s="72"/>
      <c r="LZY8" s="63"/>
      <c r="LZZ8" s="34"/>
      <c r="MAA8" s="64"/>
      <c r="MAB8" s="4"/>
      <c r="MAC8" s="65"/>
      <c r="MAD8" s="4"/>
      <c r="MAE8" s="4"/>
      <c r="MAF8" s="4"/>
      <c r="MAI8" s="34"/>
      <c r="MAJ8" s="34"/>
      <c r="MAL8" s="34"/>
      <c r="MAM8" s="72"/>
      <c r="MAN8" s="63"/>
      <c r="MAO8" s="34"/>
      <c r="MAP8" s="64"/>
      <c r="MAQ8" s="4"/>
      <c r="MAR8" s="65"/>
      <c r="MAS8" s="4"/>
      <c r="MAT8" s="4"/>
      <c r="MAU8" s="4"/>
      <c r="MAX8" s="34"/>
      <c r="MAY8" s="34"/>
      <c r="MBA8" s="34"/>
      <c r="MBB8" s="72"/>
      <c r="MBC8" s="63"/>
      <c r="MBD8" s="34"/>
      <c r="MBE8" s="64"/>
      <c r="MBF8" s="4"/>
      <c r="MBG8" s="65"/>
      <c r="MBH8" s="4"/>
      <c r="MBI8" s="4"/>
      <c r="MBJ8" s="4"/>
      <c r="MBM8" s="34"/>
      <c r="MBN8" s="34"/>
      <c r="MBP8" s="34"/>
      <c r="MBQ8" s="72"/>
      <c r="MBR8" s="63"/>
      <c r="MBS8" s="34"/>
      <c r="MBT8" s="64"/>
      <c r="MBU8" s="4"/>
      <c r="MBV8" s="65"/>
      <c r="MBW8" s="4"/>
      <c r="MBX8" s="4"/>
      <c r="MBY8" s="4"/>
      <c r="MCB8" s="34"/>
      <c r="MCC8" s="34"/>
      <c r="MCE8" s="34"/>
      <c r="MCF8" s="72"/>
      <c r="MCG8" s="63"/>
      <c r="MCH8" s="34"/>
      <c r="MCI8" s="64"/>
      <c r="MCJ8" s="4"/>
      <c r="MCK8" s="65"/>
      <c r="MCL8" s="4"/>
      <c r="MCM8" s="4"/>
      <c r="MCN8" s="4"/>
      <c r="MCQ8" s="34"/>
      <c r="MCR8" s="34"/>
      <c r="MCT8" s="34"/>
      <c r="MCU8" s="72"/>
      <c r="MCV8" s="63"/>
      <c r="MCW8" s="34"/>
      <c r="MCX8" s="64"/>
      <c r="MCY8" s="4"/>
      <c r="MCZ8" s="65"/>
      <c r="MDA8" s="4"/>
      <c r="MDB8" s="4"/>
      <c r="MDC8" s="4"/>
      <c r="MDF8" s="34"/>
      <c r="MDG8" s="34"/>
      <c r="MDI8" s="34"/>
      <c r="MDJ8" s="72"/>
      <c r="MDK8" s="63"/>
      <c r="MDL8" s="34"/>
      <c r="MDM8" s="64"/>
      <c r="MDN8" s="4"/>
      <c r="MDO8" s="65"/>
      <c r="MDP8" s="4"/>
      <c r="MDQ8" s="4"/>
      <c r="MDR8" s="4"/>
      <c r="MDU8" s="34"/>
      <c r="MDV8" s="34"/>
      <c r="MDX8" s="34"/>
      <c r="MDY8" s="72"/>
      <c r="MDZ8" s="63"/>
      <c r="MEA8" s="34"/>
      <c r="MEB8" s="64"/>
      <c r="MEC8" s="4"/>
      <c r="MED8" s="65"/>
      <c r="MEE8" s="4"/>
      <c r="MEF8" s="4"/>
      <c r="MEG8" s="4"/>
      <c r="MEJ8" s="34"/>
      <c r="MEK8" s="34"/>
      <c r="MEM8" s="34"/>
      <c r="MEN8" s="72"/>
      <c r="MEO8" s="63"/>
      <c r="MEP8" s="34"/>
      <c r="MEQ8" s="64"/>
      <c r="MER8" s="4"/>
      <c r="MES8" s="65"/>
      <c r="MET8" s="4"/>
      <c r="MEU8" s="4"/>
      <c r="MEV8" s="4"/>
      <c r="MEY8" s="34"/>
      <c r="MEZ8" s="34"/>
      <c r="MFB8" s="34"/>
      <c r="MFC8" s="72"/>
      <c r="MFD8" s="63"/>
      <c r="MFE8" s="34"/>
      <c r="MFF8" s="64"/>
      <c r="MFG8" s="4"/>
      <c r="MFH8" s="65"/>
      <c r="MFI8" s="4"/>
      <c r="MFJ8" s="4"/>
      <c r="MFK8" s="4"/>
      <c r="MFN8" s="34"/>
      <c r="MFO8" s="34"/>
      <c r="MFQ8" s="34"/>
      <c r="MFR8" s="72"/>
      <c r="MFS8" s="63"/>
      <c r="MFT8" s="34"/>
      <c r="MFU8" s="64"/>
      <c r="MFV8" s="4"/>
      <c r="MFW8" s="65"/>
      <c r="MFX8" s="4"/>
      <c r="MFY8" s="4"/>
      <c r="MFZ8" s="4"/>
      <c r="MGC8" s="34"/>
      <c r="MGD8" s="34"/>
      <c r="MGF8" s="34"/>
      <c r="MGG8" s="72"/>
      <c r="MGH8" s="63"/>
      <c r="MGI8" s="34"/>
      <c r="MGJ8" s="64"/>
      <c r="MGK8" s="4"/>
      <c r="MGL8" s="65"/>
      <c r="MGM8" s="4"/>
      <c r="MGN8" s="4"/>
      <c r="MGO8" s="4"/>
      <c r="MGR8" s="34"/>
      <c r="MGS8" s="34"/>
      <c r="MGU8" s="34"/>
      <c r="MGV8" s="72"/>
      <c r="MGW8" s="63"/>
      <c r="MGX8" s="34"/>
      <c r="MGY8" s="64"/>
      <c r="MGZ8" s="4"/>
      <c r="MHA8" s="65"/>
      <c r="MHB8" s="4"/>
      <c r="MHC8" s="4"/>
      <c r="MHD8" s="4"/>
      <c r="MHG8" s="34"/>
      <c r="MHH8" s="34"/>
      <c r="MHJ8" s="34"/>
      <c r="MHK8" s="72"/>
      <c r="MHL8" s="63"/>
      <c r="MHM8" s="34"/>
      <c r="MHN8" s="64"/>
      <c r="MHO8" s="4"/>
      <c r="MHP8" s="65"/>
      <c r="MHQ8" s="4"/>
      <c r="MHR8" s="4"/>
      <c r="MHS8" s="4"/>
      <c r="MHV8" s="34"/>
      <c r="MHW8" s="34"/>
      <c r="MHY8" s="34"/>
      <c r="MHZ8" s="72"/>
      <c r="MIA8" s="63"/>
      <c r="MIB8" s="34"/>
      <c r="MIC8" s="64"/>
      <c r="MID8" s="4"/>
      <c r="MIE8" s="65"/>
      <c r="MIF8" s="4"/>
      <c r="MIG8" s="4"/>
      <c r="MIH8" s="4"/>
      <c r="MIK8" s="34"/>
      <c r="MIL8" s="34"/>
      <c r="MIN8" s="34"/>
      <c r="MIO8" s="72"/>
      <c r="MIP8" s="63"/>
      <c r="MIQ8" s="34"/>
      <c r="MIR8" s="64"/>
      <c r="MIS8" s="4"/>
      <c r="MIT8" s="65"/>
      <c r="MIU8" s="4"/>
      <c r="MIV8" s="4"/>
      <c r="MIW8" s="4"/>
      <c r="MIZ8" s="34"/>
      <c r="MJA8" s="34"/>
      <c r="MJC8" s="34"/>
      <c r="MJD8" s="72"/>
      <c r="MJE8" s="63"/>
      <c r="MJF8" s="34"/>
      <c r="MJG8" s="64"/>
      <c r="MJH8" s="4"/>
      <c r="MJI8" s="65"/>
      <c r="MJJ8" s="4"/>
      <c r="MJK8" s="4"/>
      <c r="MJL8" s="4"/>
      <c r="MJO8" s="34"/>
      <c r="MJP8" s="34"/>
      <c r="MJR8" s="34"/>
      <c r="MJS8" s="72"/>
      <c r="MJT8" s="63"/>
      <c r="MJU8" s="34"/>
      <c r="MJV8" s="64"/>
      <c r="MJW8" s="4"/>
      <c r="MJX8" s="65"/>
      <c r="MJY8" s="4"/>
      <c r="MJZ8" s="4"/>
      <c r="MKA8" s="4"/>
      <c r="MKD8" s="34"/>
      <c r="MKE8" s="34"/>
      <c r="MKG8" s="34"/>
      <c r="MKH8" s="72"/>
      <c r="MKI8" s="63"/>
      <c r="MKJ8" s="34"/>
      <c r="MKK8" s="64"/>
      <c r="MKL8" s="4"/>
      <c r="MKM8" s="65"/>
      <c r="MKN8" s="4"/>
      <c r="MKO8" s="4"/>
      <c r="MKP8" s="4"/>
      <c r="MKS8" s="34"/>
      <c r="MKT8" s="34"/>
      <c r="MKV8" s="34"/>
      <c r="MKW8" s="72"/>
      <c r="MKX8" s="63"/>
      <c r="MKY8" s="34"/>
      <c r="MKZ8" s="64"/>
      <c r="MLA8" s="4"/>
      <c r="MLB8" s="65"/>
      <c r="MLC8" s="4"/>
      <c r="MLD8" s="4"/>
      <c r="MLE8" s="4"/>
      <c r="MLH8" s="34"/>
      <c r="MLI8" s="34"/>
      <c r="MLK8" s="34"/>
      <c r="MLL8" s="72"/>
      <c r="MLM8" s="63"/>
      <c r="MLN8" s="34"/>
      <c r="MLO8" s="64"/>
      <c r="MLP8" s="4"/>
      <c r="MLQ8" s="65"/>
      <c r="MLR8" s="4"/>
      <c r="MLS8" s="4"/>
      <c r="MLT8" s="4"/>
      <c r="MLW8" s="34"/>
      <c r="MLX8" s="34"/>
      <c r="MLZ8" s="34"/>
      <c r="MMA8" s="72"/>
      <c r="MMB8" s="63"/>
      <c r="MMC8" s="34"/>
      <c r="MMD8" s="64"/>
      <c r="MME8" s="4"/>
      <c r="MMF8" s="65"/>
      <c r="MMG8" s="4"/>
      <c r="MMH8" s="4"/>
      <c r="MMI8" s="4"/>
      <c r="MML8" s="34"/>
      <c r="MMM8" s="34"/>
      <c r="MMO8" s="34"/>
      <c r="MMP8" s="72"/>
      <c r="MMQ8" s="63"/>
      <c r="MMR8" s="34"/>
      <c r="MMS8" s="64"/>
      <c r="MMT8" s="4"/>
      <c r="MMU8" s="65"/>
      <c r="MMV8" s="4"/>
      <c r="MMW8" s="4"/>
      <c r="MMX8" s="4"/>
      <c r="MNA8" s="34"/>
      <c r="MNB8" s="34"/>
      <c r="MND8" s="34"/>
      <c r="MNE8" s="72"/>
      <c r="MNF8" s="63"/>
      <c r="MNG8" s="34"/>
      <c r="MNH8" s="64"/>
      <c r="MNI8" s="4"/>
      <c r="MNJ8" s="65"/>
      <c r="MNK8" s="4"/>
      <c r="MNL8" s="4"/>
      <c r="MNM8" s="4"/>
      <c r="MNP8" s="34"/>
      <c r="MNQ8" s="34"/>
      <c r="MNS8" s="34"/>
      <c r="MNT8" s="72"/>
      <c r="MNU8" s="63"/>
      <c r="MNV8" s="34"/>
      <c r="MNW8" s="64"/>
      <c r="MNX8" s="4"/>
      <c r="MNY8" s="65"/>
      <c r="MNZ8" s="4"/>
      <c r="MOA8" s="4"/>
      <c r="MOB8" s="4"/>
      <c r="MOE8" s="34"/>
      <c r="MOF8" s="34"/>
      <c r="MOH8" s="34"/>
      <c r="MOI8" s="72"/>
      <c r="MOJ8" s="63"/>
      <c r="MOK8" s="34"/>
      <c r="MOL8" s="64"/>
      <c r="MOM8" s="4"/>
      <c r="MON8" s="65"/>
      <c r="MOO8" s="4"/>
      <c r="MOP8" s="4"/>
      <c r="MOQ8" s="4"/>
      <c r="MOT8" s="34"/>
      <c r="MOU8" s="34"/>
      <c r="MOW8" s="34"/>
      <c r="MOX8" s="72"/>
      <c r="MOY8" s="63"/>
      <c r="MOZ8" s="34"/>
      <c r="MPA8" s="64"/>
      <c r="MPB8" s="4"/>
      <c r="MPC8" s="65"/>
      <c r="MPD8" s="4"/>
      <c r="MPE8" s="4"/>
      <c r="MPF8" s="4"/>
      <c r="MPI8" s="34"/>
      <c r="MPJ8" s="34"/>
      <c r="MPL8" s="34"/>
      <c r="MPM8" s="72"/>
      <c r="MPN8" s="63"/>
      <c r="MPO8" s="34"/>
      <c r="MPP8" s="64"/>
      <c r="MPQ8" s="4"/>
      <c r="MPR8" s="65"/>
      <c r="MPS8" s="4"/>
      <c r="MPT8" s="4"/>
      <c r="MPU8" s="4"/>
      <c r="MPX8" s="34"/>
      <c r="MPY8" s="34"/>
      <c r="MQA8" s="34"/>
      <c r="MQB8" s="72"/>
      <c r="MQC8" s="63"/>
      <c r="MQD8" s="34"/>
      <c r="MQE8" s="64"/>
      <c r="MQF8" s="4"/>
      <c r="MQG8" s="65"/>
      <c r="MQH8" s="4"/>
      <c r="MQI8" s="4"/>
      <c r="MQJ8" s="4"/>
      <c r="MQM8" s="34"/>
      <c r="MQN8" s="34"/>
      <c r="MQP8" s="34"/>
      <c r="MQQ8" s="72"/>
      <c r="MQR8" s="63"/>
      <c r="MQS8" s="34"/>
      <c r="MQT8" s="64"/>
      <c r="MQU8" s="4"/>
      <c r="MQV8" s="65"/>
      <c r="MQW8" s="4"/>
      <c r="MQX8" s="4"/>
      <c r="MQY8" s="4"/>
      <c r="MRB8" s="34"/>
      <c r="MRC8" s="34"/>
      <c r="MRE8" s="34"/>
      <c r="MRF8" s="72"/>
      <c r="MRG8" s="63"/>
      <c r="MRH8" s="34"/>
      <c r="MRI8" s="64"/>
      <c r="MRJ8" s="4"/>
      <c r="MRK8" s="65"/>
      <c r="MRL8" s="4"/>
      <c r="MRM8" s="4"/>
      <c r="MRN8" s="4"/>
      <c r="MRQ8" s="34"/>
      <c r="MRR8" s="34"/>
      <c r="MRT8" s="34"/>
      <c r="MRU8" s="72"/>
      <c r="MRV8" s="63"/>
      <c r="MRW8" s="34"/>
      <c r="MRX8" s="64"/>
      <c r="MRY8" s="4"/>
      <c r="MRZ8" s="65"/>
      <c r="MSA8" s="4"/>
      <c r="MSB8" s="4"/>
      <c r="MSC8" s="4"/>
      <c r="MSF8" s="34"/>
      <c r="MSG8" s="34"/>
      <c r="MSI8" s="34"/>
      <c r="MSJ8" s="72"/>
      <c r="MSK8" s="63"/>
      <c r="MSL8" s="34"/>
      <c r="MSM8" s="64"/>
      <c r="MSN8" s="4"/>
      <c r="MSO8" s="65"/>
      <c r="MSP8" s="4"/>
      <c r="MSQ8" s="4"/>
      <c r="MSR8" s="4"/>
      <c r="MSU8" s="34"/>
      <c r="MSV8" s="34"/>
      <c r="MSX8" s="34"/>
      <c r="MSY8" s="72"/>
      <c r="MSZ8" s="63"/>
      <c r="MTA8" s="34"/>
      <c r="MTB8" s="64"/>
      <c r="MTC8" s="4"/>
      <c r="MTD8" s="65"/>
      <c r="MTE8" s="4"/>
      <c r="MTF8" s="4"/>
      <c r="MTG8" s="4"/>
      <c r="MTJ8" s="34"/>
      <c r="MTK8" s="34"/>
      <c r="MTM8" s="34"/>
      <c r="MTN8" s="72"/>
      <c r="MTO8" s="63"/>
      <c r="MTP8" s="34"/>
      <c r="MTQ8" s="64"/>
      <c r="MTR8" s="4"/>
      <c r="MTS8" s="65"/>
      <c r="MTT8" s="4"/>
      <c r="MTU8" s="4"/>
      <c r="MTV8" s="4"/>
      <c r="MTY8" s="34"/>
      <c r="MTZ8" s="34"/>
      <c r="MUB8" s="34"/>
      <c r="MUC8" s="72"/>
      <c r="MUD8" s="63"/>
      <c r="MUE8" s="34"/>
      <c r="MUF8" s="64"/>
      <c r="MUG8" s="4"/>
      <c r="MUH8" s="65"/>
      <c r="MUI8" s="4"/>
      <c r="MUJ8" s="4"/>
      <c r="MUK8" s="4"/>
      <c r="MUN8" s="34"/>
      <c r="MUO8" s="34"/>
      <c r="MUQ8" s="34"/>
      <c r="MUR8" s="72"/>
      <c r="MUS8" s="63"/>
      <c r="MUT8" s="34"/>
      <c r="MUU8" s="64"/>
      <c r="MUV8" s="4"/>
      <c r="MUW8" s="65"/>
      <c r="MUX8" s="4"/>
      <c r="MUY8" s="4"/>
      <c r="MUZ8" s="4"/>
      <c r="MVC8" s="34"/>
      <c r="MVD8" s="34"/>
      <c r="MVF8" s="34"/>
      <c r="MVG8" s="72"/>
      <c r="MVH8" s="63"/>
      <c r="MVI8" s="34"/>
      <c r="MVJ8" s="64"/>
      <c r="MVK8" s="4"/>
      <c r="MVL8" s="65"/>
      <c r="MVM8" s="4"/>
      <c r="MVN8" s="4"/>
      <c r="MVO8" s="4"/>
      <c r="MVR8" s="34"/>
      <c r="MVS8" s="34"/>
      <c r="MVU8" s="34"/>
      <c r="MVV8" s="72"/>
      <c r="MVW8" s="63"/>
      <c r="MVX8" s="34"/>
      <c r="MVY8" s="64"/>
      <c r="MVZ8" s="4"/>
      <c r="MWA8" s="65"/>
      <c r="MWB8" s="4"/>
      <c r="MWC8" s="4"/>
      <c r="MWD8" s="4"/>
      <c r="MWG8" s="34"/>
      <c r="MWH8" s="34"/>
      <c r="MWJ8" s="34"/>
      <c r="MWK8" s="72"/>
      <c r="MWL8" s="63"/>
      <c r="MWM8" s="34"/>
      <c r="MWN8" s="64"/>
      <c r="MWO8" s="4"/>
      <c r="MWP8" s="65"/>
      <c r="MWQ8" s="4"/>
      <c r="MWR8" s="4"/>
      <c r="MWS8" s="4"/>
      <c r="MWV8" s="34"/>
      <c r="MWW8" s="34"/>
      <c r="MWY8" s="34"/>
      <c r="MWZ8" s="72"/>
      <c r="MXA8" s="63"/>
      <c r="MXB8" s="34"/>
      <c r="MXC8" s="64"/>
      <c r="MXD8" s="4"/>
      <c r="MXE8" s="65"/>
      <c r="MXF8" s="4"/>
      <c r="MXG8" s="4"/>
      <c r="MXH8" s="4"/>
      <c r="MXK8" s="34"/>
      <c r="MXL8" s="34"/>
      <c r="MXN8" s="34"/>
      <c r="MXO8" s="72"/>
      <c r="MXP8" s="63"/>
      <c r="MXQ8" s="34"/>
      <c r="MXR8" s="64"/>
      <c r="MXS8" s="4"/>
      <c r="MXT8" s="65"/>
      <c r="MXU8" s="4"/>
      <c r="MXV8" s="4"/>
      <c r="MXW8" s="4"/>
      <c r="MXZ8" s="34"/>
      <c r="MYA8" s="34"/>
      <c r="MYC8" s="34"/>
      <c r="MYD8" s="72"/>
      <c r="MYE8" s="63"/>
      <c r="MYF8" s="34"/>
      <c r="MYG8" s="64"/>
      <c r="MYH8" s="4"/>
      <c r="MYI8" s="65"/>
      <c r="MYJ8" s="4"/>
      <c r="MYK8" s="4"/>
      <c r="MYL8" s="4"/>
      <c r="MYO8" s="34"/>
      <c r="MYP8" s="34"/>
      <c r="MYR8" s="34"/>
      <c r="MYS8" s="72"/>
      <c r="MYT8" s="63"/>
      <c r="MYU8" s="34"/>
      <c r="MYV8" s="64"/>
      <c r="MYW8" s="4"/>
      <c r="MYX8" s="65"/>
      <c r="MYY8" s="4"/>
      <c r="MYZ8" s="4"/>
      <c r="MZA8" s="4"/>
      <c r="MZD8" s="34"/>
      <c r="MZE8" s="34"/>
      <c r="MZG8" s="34"/>
      <c r="MZH8" s="72"/>
      <c r="MZI8" s="63"/>
      <c r="MZJ8" s="34"/>
      <c r="MZK8" s="64"/>
      <c r="MZL8" s="4"/>
      <c r="MZM8" s="65"/>
      <c r="MZN8" s="4"/>
      <c r="MZO8" s="4"/>
      <c r="MZP8" s="4"/>
      <c r="MZS8" s="34"/>
      <c r="MZT8" s="34"/>
      <c r="MZV8" s="34"/>
      <c r="MZW8" s="72"/>
      <c r="MZX8" s="63"/>
      <c r="MZY8" s="34"/>
      <c r="MZZ8" s="64"/>
      <c r="NAA8" s="4"/>
      <c r="NAB8" s="65"/>
      <c r="NAC8" s="4"/>
      <c r="NAD8" s="4"/>
      <c r="NAE8" s="4"/>
      <c r="NAH8" s="34"/>
      <c r="NAI8" s="34"/>
      <c r="NAK8" s="34"/>
      <c r="NAL8" s="72"/>
      <c r="NAM8" s="63"/>
      <c r="NAN8" s="34"/>
      <c r="NAO8" s="64"/>
      <c r="NAP8" s="4"/>
      <c r="NAQ8" s="65"/>
      <c r="NAR8" s="4"/>
      <c r="NAS8" s="4"/>
      <c r="NAT8" s="4"/>
      <c r="NAW8" s="34"/>
      <c r="NAX8" s="34"/>
      <c r="NAZ8" s="34"/>
      <c r="NBA8" s="72"/>
      <c r="NBB8" s="63"/>
      <c r="NBC8" s="34"/>
      <c r="NBD8" s="64"/>
      <c r="NBE8" s="4"/>
      <c r="NBF8" s="65"/>
      <c r="NBG8" s="4"/>
      <c r="NBH8" s="4"/>
      <c r="NBI8" s="4"/>
      <c r="NBL8" s="34"/>
      <c r="NBM8" s="34"/>
      <c r="NBO8" s="34"/>
      <c r="NBP8" s="72"/>
      <c r="NBQ8" s="63"/>
      <c r="NBR8" s="34"/>
      <c r="NBS8" s="64"/>
      <c r="NBT8" s="4"/>
      <c r="NBU8" s="65"/>
      <c r="NBV8" s="4"/>
      <c r="NBW8" s="4"/>
      <c r="NBX8" s="4"/>
      <c r="NCA8" s="34"/>
      <c r="NCB8" s="34"/>
      <c r="NCD8" s="34"/>
      <c r="NCE8" s="72"/>
      <c r="NCF8" s="63"/>
      <c r="NCG8" s="34"/>
      <c r="NCH8" s="64"/>
      <c r="NCI8" s="4"/>
      <c r="NCJ8" s="65"/>
      <c r="NCK8" s="4"/>
      <c r="NCL8" s="4"/>
      <c r="NCM8" s="4"/>
      <c r="NCP8" s="34"/>
      <c r="NCQ8" s="34"/>
      <c r="NCS8" s="34"/>
      <c r="NCT8" s="72"/>
      <c r="NCU8" s="63"/>
      <c r="NCV8" s="34"/>
      <c r="NCW8" s="64"/>
      <c r="NCX8" s="4"/>
      <c r="NCY8" s="65"/>
      <c r="NCZ8" s="4"/>
      <c r="NDA8" s="4"/>
      <c r="NDB8" s="4"/>
      <c r="NDE8" s="34"/>
      <c r="NDF8" s="34"/>
      <c r="NDH8" s="34"/>
      <c r="NDI8" s="72"/>
      <c r="NDJ8" s="63"/>
      <c r="NDK8" s="34"/>
      <c r="NDL8" s="64"/>
      <c r="NDM8" s="4"/>
      <c r="NDN8" s="65"/>
      <c r="NDO8" s="4"/>
      <c r="NDP8" s="4"/>
      <c r="NDQ8" s="4"/>
      <c r="NDT8" s="34"/>
      <c r="NDU8" s="34"/>
      <c r="NDW8" s="34"/>
      <c r="NDX8" s="72"/>
      <c r="NDY8" s="63"/>
      <c r="NDZ8" s="34"/>
      <c r="NEA8" s="64"/>
      <c r="NEB8" s="4"/>
      <c r="NEC8" s="65"/>
      <c r="NED8" s="4"/>
      <c r="NEE8" s="4"/>
      <c r="NEF8" s="4"/>
      <c r="NEI8" s="34"/>
      <c r="NEJ8" s="34"/>
      <c r="NEL8" s="34"/>
      <c r="NEM8" s="72"/>
      <c r="NEN8" s="63"/>
      <c r="NEO8" s="34"/>
      <c r="NEP8" s="64"/>
      <c r="NEQ8" s="4"/>
      <c r="NER8" s="65"/>
      <c r="NES8" s="4"/>
      <c r="NET8" s="4"/>
      <c r="NEU8" s="4"/>
      <c r="NEX8" s="34"/>
      <c r="NEY8" s="34"/>
      <c r="NFA8" s="34"/>
      <c r="NFB8" s="72"/>
      <c r="NFC8" s="63"/>
      <c r="NFD8" s="34"/>
      <c r="NFE8" s="64"/>
      <c r="NFF8" s="4"/>
      <c r="NFG8" s="65"/>
      <c r="NFH8" s="4"/>
      <c r="NFI8" s="4"/>
      <c r="NFJ8" s="4"/>
      <c r="NFM8" s="34"/>
      <c r="NFN8" s="34"/>
      <c r="NFP8" s="34"/>
      <c r="NFQ8" s="72"/>
      <c r="NFR8" s="63"/>
      <c r="NFS8" s="34"/>
      <c r="NFT8" s="64"/>
      <c r="NFU8" s="4"/>
      <c r="NFV8" s="65"/>
      <c r="NFW8" s="4"/>
      <c r="NFX8" s="4"/>
      <c r="NFY8" s="4"/>
      <c r="NGB8" s="34"/>
      <c r="NGC8" s="34"/>
      <c r="NGE8" s="34"/>
      <c r="NGF8" s="72"/>
      <c r="NGG8" s="63"/>
      <c r="NGH8" s="34"/>
      <c r="NGI8" s="64"/>
      <c r="NGJ8" s="4"/>
      <c r="NGK8" s="65"/>
      <c r="NGL8" s="4"/>
      <c r="NGM8" s="4"/>
      <c r="NGN8" s="4"/>
      <c r="NGQ8" s="34"/>
      <c r="NGR8" s="34"/>
      <c r="NGT8" s="34"/>
      <c r="NGU8" s="72"/>
      <c r="NGV8" s="63"/>
      <c r="NGW8" s="34"/>
      <c r="NGX8" s="64"/>
      <c r="NGY8" s="4"/>
      <c r="NGZ8" s="65"/>
      <c r="NHA8" s="4"/>
      <c r="NHB8" s="4"/>
      <c r="NHC8" s="4"/>
      <c r="NHF8" s="34"/>
      <c r="NHG8" s="34"/>
      <c r="NHI8" s="34"/>
      <c r="NHJ8" s="72"/>
      <c r="NHK8" s="63"/>
      <c r="NHL8" s="34"/>
      <c r="NHM8" s="64"/>
      <c r="NHN8" s="4"/>
      <c r="NHO8" s="65"/>
      <c r="NHP8" s="4"/>
      <c r="NHQ8" s="4"/>
      <c r="NHR8" s="4"/>
      <c r="NHU8" s="34"/>
      <c r="NHV8" s="34"/>
      <c r="NHX8" s="34"/>
      <c r="NHY8" s="72"/>
      <c r="NHZ8" s="63"/>
      <c r="NIA8" s="34"/>
      <c r="NIB8" s="64"/>
      <c r="NIC8" s="4"/>
      <c r="NID8" s="65"/>
      <c r="NIE8" s="4"/>
      <c r="NIF8" s="4"/>
      <c r="NIG8" s="4"/>
      <c r="NIJ8" s="34"/>
      <c r="NIK8" s="34"/>
      <c r="NIM8" s="34"/>
      <c r="NIN8" s="72"/>
      <c r="NIO8" s="63"/>
      <c r="NIP8" s="34"/>
      <c r="NIQ8" s="64"/>
      <c r="NIR8" s="4"/>
      <c r="NIS8" s="65"/>
      <c r="NIT8" s="4"/>
      <c r="NIU8" s="4"/>
      <c r="NIV8" s="4"/>
      <c r="NIY8" s="34"/>
      <c r="NIZ8" s="34"/>
      <c r="NJB8" s="34"/>
      <c r="NJC8" s="72"/>
      <c r="NJD8" s="63"/>
      <c r="NJE8" s="34"/>
      <c r="NJF8" s="64"/>
      <c r="NJG8" s="4"/>
      <c r="NJH8" s="65"/>
      <c r="NJI8" s="4"/>
      <c r="NJJ8" s="4"/>
      <c r="NJK8" s="4"/>
      <c r="NJN8" s="34"/>
      <c r="NJO8" s="34"/>
      <c r="NJQ8" s="34"/>
      <c r="NJR8" s="72"/>
      <c r="NJS8" s="63"/>
      <c r="NJT8" s="34"/>
      <c r="NJU8" s="64"/>
      <c r="NJV8" s="4"/>
      <c r="NJW8" s="65"/>
      <c r="NJX8" s="4"/>
      <c r="NJY8" s="4"/>
      <c r="NJZ8" s="4"/>
      <c r="NKC8" s="34"/>
      <c r="NKD8" s="34"/>
      <c r="NKF8" s="34"/>
      <c r="NKG8" s="72"/>
      <c r="NKH8" s="63"/>
      <c r="NKI8" s="34"/>
      <c r="NKJ8" s="64"/>
      <c r="NKK8" s="4"/>
      <c r="NKL8" s="65"/>
      <c r="NKM8" s="4"/>
      <c r="NKN8" s="4"/>
      <c r="NKO8" s="4"/>
      <c r="NKR8" s="34"/>
      <c r="NKS8" s="34"/>
      <c r="NKU8" s="34"/>
      <c r="NKV8" s="72"/>
      <c r="NKW8" s="63"/>
      <c r="NKX8" s="34"/>
      <c r="NKY8" s="64"/>
      <c r="NKZ8" s="4"/>
      <c r="NLA8" s="65"/>
      <c r="NLB8" s="4"/>
      <c r="NLC8" s="4"/>
      <c r="NLD8" s="4"/>
      <c r="NLG8" s="34"/>
      <c r="NLH8" s="34"/>
      <c r="NLJ8" s="34"/>
      <c r="NLK8" s="72"/>
      <c r="NLL8" s="63"/>
      <c r="NLM8" s="34"/>
      <c r="NLN8" s="64"/>
      <c r="NLO8" s="4"/>
      <c r="NLP8" s="65"/>
      <c r="NLQ8" s="4"/>
      <c r="NLR8" s="4"/>
      <c r="NLS8" s="4"/>
      <c r="NLV8" s="34"/>
      <c r="NLW8" s="34"/>
      <c r="NLY8" s="34"/>
      <c r="NLZ8" s="72"/>
      <c r="NMA8" s="63"/>
      <c r="NMB8" s="34"/>
      <c r="NMC8" s="64"/>
      <c r="NMD8" s="4"/>
      <c r="NME8" s="65"/>
      <c r="NMF8" s="4"/>
      <c r="NMG8" s="4"/>
      <c r="NMH8" s="4"/>
      <c r="NMK8" s="34"/>
      <c r="NML8" s="34"/>
      <c r="NMN8" s="34"/>
      <c r="NMO8" s="72"/>
      <c r="NMP8" s="63"/>
      <c r="NMQ8" s="34"/>
      <c r="NMR8" s="64"/>
      <c r="NMS8" s="4"/>
      <c r="NMT8" s="65"/>
      <c r="NMU8" s="4"/>
      <c r="NMV8" s="4"/>
      <c r="NMW8" s="4"/>
      <c r="NMZ8" s="34"/>
      <c r="NNA8" s="34"/>
      <c r="NNC8" s="34"/>
      <c r="NND8" s="72"/>
      <c r="NNE8" s="63"/>
      <c r="NNF8" s="34"/>
      <c r="NNG8" s="64"/>
      <c r="NNH8" s="4"/>
      <c r="NNI8" s="65"/>
      <c r="NNJ8" s="4"/>
      <c r="NNK8" s="4"/>
      <c r="NNL8" s="4"/>
      <c r="NNO8" s="34"/>
      <c r="NNP8" s="34"/>
      <c r="NNR8" s="34"/>
      <c r="NNS8" s="72"/>
      <c r="NNT8" s="63"/>
      <c r="NNU8" s="34"/>
      <c r="NNV8" s="64"/>
      <c r="NNW8" s="4"/>
      <c r="NNX8" s="65"/>
      <c r="NNY8" s="4"/>
      <c r="NNZ8" s="4"/>
      <c r="NOA8" s="4"/>
      <c r="NOD8" s="34"/>
      <c r="NOE8" s="34"/>
      <c r="NOG8" s="34"/>
      <c r="NOH8" s="72"/>
      <c r="NOI8" s="63"/>
      <c r="NOJ8" s="34"/>
      <c r="NOK8" s="64"/>
      <c r="NOL8" s="4"/>
      <c r="NOM8" s="65"/>
      <c r="NON8" s="4"/>
      <c r="NOO8" s="4"/>
      <c r="NOP8" s="4"/>
      <c r="NOS8" s="34"/>
      <c r="NOT8" s="34"/>
      <c r="NOV8" s="34"/>
      <c r="NOW8" s="72"/>
      <c r="NOX8" s="63"/>
      <c r="NOY8" s="34"/>
      <c r="NOZ8" s="64"/>
      <c r="NPA8" s="4"/>
      <c r="NPB8" s="65"/>
      <c r="NPC8" s="4"/>
      <c r="NPD8" s="4"/>
      <c r="NPE8" s="4"/>
      <c r="NPH8" s="34"/>
      <c r="NPI8" s="34"/>
      <c r="NPK8" s="34"/>
      <c r="NPL8" s="72"/>
      <c r="NPM8" s="63"/>
      <c r="NPN8" s="34"/>
      <c r="NPO8" s="64"/>
      <c r="NPP8" s="4"/>
      <c r="NPQ8" s="65"/>
      <c r="NPR8" s="4"/>
      <c r="NPS8" s="4"/>
      <c r="NPT8" s="4"/>
      <c r="NPW8" s="34"/>
      <c r="NPX8" s="34"/>
      <c r="NPZ8" s="34"/>
      <c r="NQA8" s="72"/>
      <c r="NQB8" s="63"/>
      <c r="NQC8" s="34"/>
      <c r="NQD8" s="64"/>
      <c r="NQE8" s="4"/>
      <c r="NQF8" s="65"/>
      <c r="NQG8" s="4"/>
      <c r="NQH8" s="4"/>
      <c r="NQI8" s="4"/>
      <c r="NQL8" s="34"/>
      <c r="NQM8" s="34"/>
      <c r="NQO8" s="34"/>
      <c r="NQP8" s="72"/>
      <c r="NQQ8" s="63"/>
      <c r="NQR8" s="34"/>
      <c r="NQS8" s="64"/>
      <c r="NQT8" s="4"/>
      <c r="NQU8" s="65"/>
      <c r="NQV8" s="4"/>
      <c r="NQW8" s="4"/>
      <c r="NQX8" s="4"/>
      <c r="NRA8" s="34"/>
      <c r="NRB8" s="34"/>
      <c r="NRD8" s="34"/>
      <c r="NRE8" s="72"/>
      <c r="NRF8" s="63"/>
      <c r="NRG8" s="34"/>
      <c r="NRH8" s="64"/>
      <c r="NRI8" s="4"/>
      <c r="NRJ8" s="65"/>
      <c r="NRK8" s="4"/>
      <c r="NRL8" s="4"/>
      <c r="NRM8" s="4"/>
      <c r="NRP8" s="34"/>
      <c r="NRQ8" s="34"/>
      <c r="NRS8" s="34"/>
      <c r="NRT8" s="72"/>
      <c r="NRU8" s="63"/>
      <c r="NRV8" s="34"/>
      <c r="NRW8" s="64"/>
      <c r="NRX8" s="4"/>
      <c r="NRY8" s="65"/>
      <c r="NRZ8" s="4"/>
      <c r="NSA8" s="4"/>
      <c r="NSB8" s="4"/>
      <c r="NSE8" s="34"/>
      <c r="NSF8" s="34"/>
      <c r="NSH8" s="34"/>
      <c r="NSI8" s="72"/>
      <c r="NSJ8" s="63"/>
      <c r="NSK8" s="34"/>
      <c r="NSL8" s="64"/>
      <c r="NSM8" s="4"/>
      <c r="NSN8" s="65"/>
      <c r="NSO8" s="4"/>
      <c r="NSP8" s="4"/>
      <c r="NSQ8" s="4"/>
      <c r="NST8" s="34"/>
      <c r="NSU8" s="34"/>
      <c r="NSW8" s="34"/>
      <c r="NSX8" s="72"/>
      <c r="NSY8" s="63"/>
      <c r="NSZ8" s="34"/>
      <c r="NTA8" s="64"/>
      <c r="NTB8" s="4"/>
      <c r="NTC8" s="65"/>
      <c r="NTD8" s="4"/>
      <c r="NTE8" s="4"/>
      <c r="NTF8" s="4"/>
      <c r="NTI8" s="34"/>
      <c r="NTJ8" s="34"/>
      <c r="NTL8" s="34"/>
      <c r="NTM8" s="72"/>
      <c r="NTN8" s="63"/>
      <c r="NTO8" s="34"/>
      <c r="NTP8" s="64"/>
      <c r="NTQ8" s="4"/>
      <c r="NTR8" s="65"/>
      <c r="NTS8" s="4"/>
      <c r="NTT8" s="4"/>
      <c r="NTU8" s="4"/>
      <c r="NTX8" s="34"/>
      <c r="NTY8" s="34"/>
      <c r="NUA8" s="34"/>
      <c r="NUB8" s="72"/>
      <c r="NUC8" s="63"/>
      <c r="NUD8" s="34"/>
      <c r="NUE8" s="64"/>
      <c r="NUF8" s="4"/>
      <c r="NUG8" s="65"/>
      <c r="NUH8" s="4"/>
      <c r="NUI8" s="4"/>
      <c r="NUJ8" s="4"/>
      <c r="NUM8" s="34"/>
      <c r="NUN8" s="34"/>
      <c r="NUP8" s="34"/>
      <c r="NUQ8" s="72"/>
      <c r="NUR8" s="63"/>
      <c r="NUS8" s="34"/>
      <c r="NUT8" s="64"/>
      <c r="NUU8" s="4"/>
      <c r="NUV8" s="65"/>
      <c r="NUW8" s="4"/>
      <c r="NUX8" s="4"/>
      <c r="NUY8" s="4"/>
      <c r="NVB8" s="34"/>
      <c r="NVC8" s="34"/>
      <c r="NVE8" s="34"/>
      <c r="NVF8" s="72"/>
      <c r="NVG8" s="63"/>
      <c r="NVH8" s="34"/>
      <c r="NVI8" s="64"/>
      <c r="NVJ8" s="4"/>
      <c r="NVK8" s="65"/>
      <c r="NVL8" s="4"/>
      <c r="NVM8" s="4"/>
      <c r="NVN8" s="4"/>
      <c r="NVQ8" s="34"/>
      <c r="NVR8" s="34"/>
      <c r="NVT8" s="34"/>
      <c r="NVU8" s="72"/>
      <c r="NVV8" s="63"/>
      <c r="NVW8" s="34"/>
      <c r="NVX8" s="64"/>
      <c r="NVY8" s="4"/>
      <c r="NVZ8" s="65"/>
      <c r="NWA8" s="4"/>
      <c r="NWB8" s="4"/>
      <c r="NWC8" s="4"/>
      <c r="NWF8" s="34"/>
      <c r="NWG8" s="34"/>
      <c r="NWI8" s="34"/>
      <c r="NWJ8" s="72"/>
      <c r="NWK8" s="63"/>
      <c r="NWL8" s="34"/>
      <c r="NWM8" s="64"/>
      <c r="NWN8" s="4"/>
      <c r="NWO8" s="65"/>
      <c r="NWP8" s="4"/>
      <c r="NWQ8" s="4"/>
      <c r="NWR8" s="4"/>
      <c r="NWU8" s="34"/>
      <c r="NWV8" s="34"/>
      <c r="NWX8" s="34"/>
      <c r="NWY8" s="72"/>
      <c r="NWZ8" s="63"/>
      <c r="NXA8" s="34"/>
      <c r="NXB8" s="64"/>
      <c r="NXC8" s="4"/>
      <c r="NXD8" s="65"/>
      <c r="NXE8" s="4"/>
      <c r="NXF8" s="4"/>
      <c r="NXG8" s="4"/>
      <c r="NXJ8" s="34"/>
      <c r="NXK8" s="34"/>
      <c r="NXM8" s="34"/>
      <c r="NXN8" s="72"/>
      <c r="NXO8" s="63"/>
      <c r="NXP8" s="34"/>
      <c r="NXQ8" s="64"/>
      <c r="NXR8" s="4"/>
      <c r="NXS8" s="65"/>
      <c r="NXT8" s="4"/>
      <c r="NXU8" s="4"/>
      <c r="NXV8" s="4"/>
      <c r="NXY8" s="34"/>
      <c r="NXZ8" s="34"/>
      <c r="NYB8" s="34"/>
      <c r="NYC8" s="72"/>
      <c r="NYD8" s="63"/>
      <c r="NYE8" s="34"/>
      <c r="NYF8" s="64"/>
      <c r="NYG8" s="4"/>
      <c r="NYH8" s="65"/>
      <c r="NYI8" s="4"/>
      <c r="NYJ8" s="4"/>
      <c r="NYK8" s="4"/>
      <c r="NYN8" s="34"/>
      <c r="NYO8" s="34"/>
      <c r="NYQ8" s="34"/>
      <c r="NYR8" s="72"/>
      <c r="NYS8" s="63"/>
      <c r="NYT8" s="34"/>
      <c r="NYU8" s="64"/>
      <c r="NYV8" s="4"/>
      <c r="NYW8" s="65"/>
      <c r="NYX8" s="4"/>
      <c r="NYY8" s="4"/>
      <c r="NYZ8" s="4"/>
      <c r="NZC8" s="34"/>
      <c r="NZD8" s="34"/>
      <c r="NZF8" s="34"/>
      <c r="NZG8" s="72"/>
      <c r="NZH8" s="63"/>
      <c r="NZI8" s="34"/>
      <c r="NZJ8" s="64"/>
      <c r="NZK8" s="4"/>
      <c r="NZL8" s="65"/>
      <c r="NZM8" s="4"/>
      <c r="NZN8" s="4"/>
      <c r="NZO8" s="4"/>
      <c r="NZR8" s="34"/>
      <c r="NZS8" s="34"/>
      <c r="NZU8" s="34"/>
      <c r="NZV8" s="72"/>
      <c r="NZW8" s="63"/>
      <c r="NZX8" s="34"/>
      <c r="NZY8" s="64"/>
      <c r="NZZ8" s="4"/>
      <c r="OAA8" s="65"/>
      <c r="OAB8" s="4"/>
      <c r="OAC8" s="4"/>
      <c r="OAD8" s="4"/>
      <c r="OAG8" s="34"/>
      <c r="OAH8" s="34"/>
      <c r="OAJ8" s="34"/>
      <c r="OAK8" s="72"/>
      <c r="OAL8" s="63"/>
      <c r="OAM8" s="34"/>
      <c r="OAN8" s="64"/>
      <c r="OAO8" s="4"/>
      <c r="OAP8" s="65"/>
      <c r="OAQ8" s="4"/>
      <c r="OAR8" s="4"/>
      <c r="OAS8" s="4"/>
      <c r="OAV8" s="34"/>
      <c r="OAW8" s="34"/>
      <c r="OAY8" s="34"/>
      <c r="OAZ8" s="72"/>
      <c r="OBA8" s="63"/>
      <c r="OBB8" s="34"/>
      <c r="OBC8" s="64"/>
      <c r="OBD8" s="4"/>
      <c r="OBE8" s="65"/>
      <c r="OBF8" s="4"/>
      <c r="OBG8" s="4"/>
      <c r="OBH8" s="4"/>
      <c r="OBK8" s="34"/>
      <c r="OBL8" s="34"/>
      <c r="OBN8" s="34"/>
      <c r="OBO8" s="72"/>
      <c r="OBP8" s="63"/>
      <c r="OBQ8" s="34"/>
      <c r="OBR8" s="64"/>
      <c r="OBS8" s="4"/>
      <c r="OBT8" s="65"/>
      <c r="OBU8" s="4"/>
      <c r="OBV8" s="4"/>
      <c r="OBW8" s="4"/>
      <c r="OBZ8" s="34"/>
      <c r="OCA8" s="34"/>
      <c r="OCC8" s="34"/>
      <c r="OCD8" s="72"/>
      <c r="OCE8" s="63"/>
      <c r="OCF8" s="34"/>
      <c r="OCG8" s="64"/>
      <c r="OCH8" s="4"/>
      <c r="OCI8" s="65"/>
      <c r="OCJ8" s="4"/>
      <c r="OCK8" s="4"/>
      <c r="OCL8" s="4"/>
      <c r="OCO8" s="34"/>
      <c r="OCP8" s="34"/>
      <c r="OCR8" s="34"/>
      <c r="OCS8" s="72"/>
      <c r="OCT8" s="63"/>
      <c r="OCU8" s="34"/>
      <c r="OCV8" s="64"/>
      <c r="OCW8" s="4"/>
      <c r="OCX8" s="65"/>
      <c r="OCY8" s="4"/>
      <c r="OCZ8" s="4"/>
      <c r="ODA8" s="4"/>
      <c r="ODD8" s="34"/>
      <c r="ODE8" s="34"/>
      <c r="ODG8" s="34"/>
      <c r="ODH8" s="72"/>
      <c r="ODI8" s="63"/>
      <c r="ODJ8" s="34"/>
      <c r="ODK8" s="64"/>
      <c r="ODL8" s="4"/>
      <c r="ODM8" s="65"/>
      <c r="ODN8" s="4"/>
      <c r="ODO8" s="4"/>
      <c r="ODP8" s="4"/>
      <c r="ODS8" s="34"/>
      <c r="ODT8" s="34"/>
      <c r="ODV8" s="34"/>
      <c r="ODW8" s="72"/>
      <c r="ODX8" s="63"/>
      <c r="ODY8" s="34"/>
      <c r="ODZ8" s="64"/>
      <c r="OEA8" s="4"/>
      <c r="OEB8" s="65"/>
      <c r="OEC8" s="4"/>
      <c r="OED8" s="4"/>
      <c r="OEE8" s="4"/>
      <c r="OEH8" s="34"/>
      <c r="OEI8" s="34"/>
      <c r="OEK8" s="34"/>
      <c r="OEL8" s="72"/>
      <c r="OEM8" s="63"/>
      <c r="OEN8" s="34"/>
      <c r="OEO8" s="64"/>
      <c r="OEP8" s="4"/>
      <c r="OEQ8" s="65"/>
      <c r="OER8" s="4"/>
      <c r="OES8" s="4"/>
      <c r="OET8" s="4"/>
      <c r="OEW8" s="34"/>
      <c r="OEX8" s="34"/>
      <c r="OEZ8" s="34"/>
      <c r="OFA8" s="72"/>
      <c r="OFB8" s="63"/>
      <c r="OFC8" s="34"/>
      <c r="OFD8" s="64"/>
      <c r="OFE8" s="4"/>
      <c r="OFF8" s="65"/>
      <c r="OFG8" s="4"/>
      <c r="OFH8" s="4"/>
      <c r="OFI8" s="4"/>
      <c r="OFL8" s="34"/>
      <c r="OFM8" s="34"/>
      <c r="OFO8" s="34"/>
      <c r="OFP8" s="72"/>
      <c r="OFQ8" s="63"/>
      <c r="OFR8" s="34"/>
      <c r="OFS8" s="64"/>
      <c r="OFT8" s="4"/>
      <c r="OFU8" s="65"/>
      <c r="OFV8" s="4"/>
      <c r="OFW8" s="4"/>
      <c r="OFX8" s="4"/>
      <c r="OGA8" s="34"/>
      <c r="OGB8" s="34"/>
      <c r="OGD8" s="34"/>
      <c r="OGE8" s="72"/>
      <c r="OGF8" s="63"/>
      <c r="OGG8" s="34"/>
      <c r="OGH8" s="64"/>
      <c r="OGI8" s="4"/>
      <c r="OGJ8" s="65"/>
      <c r="OGK8" s="4"/>
      <c r="OGL8" s="4"/>
      <c r="OGM8" s="4"/>
      <c r="OGP8" s="34"/>
      <c r="OGQ8" s="34"/>
      <c r="OGS8" s="34"/>
      <c r="OGT8" s="72"/>
      <c r="OGU8" s="63"/>
      <c r="OGV8" s="34"/>
      <c r="OGW8" s="64"/>
      <c r="OGX8" s="4"/>
      <c r="OGY8" s="65"/>
      <c r="OGZ8" s="4"/>
      <c r="OHA8" s="4"/>
      <c r="OHB8" s="4"/>
      <c r="OHE8" s="34"/>
      <c r="OHF8" s="34"/>
      <c r="OHH8" s="34"/>
      <c r="OHI8" s="72"/>
      <c r="OHJ8" s="63"/>
      <c r="OHK8" s="34"/>
      <c r="OHL8" s="64"/>
      <c r="OHM8" s="4"/>
      <c r="OHN8" s="65"/>
      <c r="OHO8" s="4"/>
      <c r="OHP8" s="4"/>
      <c r="OHQ8" s="4"/>
      <c r="OHT8" s="34"/>
      <c r="OHU8" s="34"/>
      <c r="OHW8" s="34"/>
      <c r="OHX8" s="72"/>
      <c r="OHY8" s="63"/>
      <c r="OHZ8" s="34"/>
      <c r="OIA8" s="64"/>
      <c r="OIB8" s="4"/>
      <c r="OIC8" s="65"/>
      <c r="OID8" s="4"/>
      <c r="OIE8" s="4"/>
      <c r="OIF8" s="4"/>
      <c r="OII8" s="34"/>
      <c r="OIJ8" s="34"/>
      <c r="OIL8" s="34"/>
      <c r="OIM8" s="72"/>
      <c r="OIN8" s="63"/>
      <c r="OIO8" s="34"/>
      <c r="OIP8" s="64"/>
      <c r="OIQ8" s="4"/>
      <c r="OIR8" s="65"/>
      <c r="OIS8" s="4"/>
      <c r="OIT8" s="4"/>
      <c r="OIU8" s="4"/>
      <c r="OIX8" s="34"/>
      <c r="OIY8" s="34"/>
      <c r="OJA8" s="34"/>
      <c r="OJB8" s="72"/>
      <c r="OJC8" s="63"/>
      <c r="OJD8" s="34"/>
      <c r="OJE8" s="64"/>
      <c r="OJF8" s="4"/>
      <c r="OJG8" s="65"/>
      <c r="OJH8" s="4"/>
      <c r="OJI8" s="4"/>
      <c r="OJJ8" s="4"/>
      <c r="OJM8" s="34"/>
      <c r="OJN8" s="34"/>
      <c r="OJP8" s="34"/>
      <c r="OJQ8" s="72"/>
      <c r="OJR8" s="63"/>
      <c r="OJS8" s="34"/>
      <c r="OJT8" s="64"/>
      <c r="OJU8" s="4"/>
      <c r="OJV8" s="65"/>
      <c r="OJW8" s="4"/>
      <c r="OJX8" s="4"/>
      <c r="OJY8" s="4"/>
      <c r="OKB8" s="34"/>
      <c r="OKC8" s="34"/>
      <c r="OKE8" s="34"/>
      <c r="OKF8" s="72"/>
      <c r="OKG8" s="63"/>
      <c r="OKH8" s="34"/>
      <c r="OKI8" s="64"/>
      <c r="OKJ8" s="4"/>
      <c r="OKK8" s="65"/>
      <c r="OKL8" s="4"/>
      <c r="OKM8" s="4"/>
      <c r="OKN8" s="4"/>
      <c r="OKQ8" s="34"/>
      <c r="OKR8" s="34"/>
      <c r="OKT8" s="34"/>
      <c r="OKU8" s="72"/>
      <c r="OKV8" s="63"/>
      <c r="OKW8" s="34"/>
      <c r="OKX8" s="64"/>
      <c r="OKY8" s="4"/>
      <c r="OKZ8" s="65"/>
      <c r="OLA8" s="4"/>
      <c r="OLB8" s="4"/>
      <c r="OLC8" s="4"/>
      <c r="OLF8" s="34"/>
      <c r="OLG8" s="34"/>
      <c r="OLI8" s="34"/>
      <c r="OLJ8" s="72"/>
      <c r="OLK8" s="63"/>
      <c r="OLL8" s="34"/>
      <c r="OLM8" s="64"/>
      <c r="OLN8" s="4"/>
      <c r="OLO8" s="65"/>
      <c r="OLP8" s="4"/>
      <c r="OLQ8" s="4"/>
      <c r="OLR8" s="4"/>
      <c r="OLU8" s="34"/>
      <c r="OLV8" s="34"/>
      <c r="OLX8" s="34"/>
      <c r="OLY8" s="72"/>
      <c r="OLZ8" s="63"/>
      <c r="OMA8" s="34"/>
      <c r="OMB8" s="64"/>
      <c r="OMC8" s="4"/>
      <c r="OMD8" s="65"/>
      <c r="OME8" s="4"/>
      <c r="OMF8" s="4"/>
      <c r="OMG8" s="4"/>
      <c r="OMJ8" s="34"/>
      <c r="OMK8" s="34"/>
      <c r="OMM8" s="34"/>
      <c r="OMN8" s="72"/>
      <c r="OMO8" s="63"/>
      <c r="OMP8" s="34"/>
      <c r="OMQ8" s="64"/>
      <c r="OMR8" s="4"/>
      <c r="OMS8" s="65"/>
      <c r="OMT8" s="4"/>
      <c r="OMU8" s="4"/>
      <c r="OMV8" s="4"/>
      <c r="OMY8" s="34"/>
      <c r="OMZ8" s="34"/>
      <c r="ONB8" s="34"/>
      <c r="ONC8" s="72"/>
      <c r="OND8" s="63"/>
      <c r="ONE8" s="34"/>
      <c r="ONF8" s="64"/>
      <c r="ONG8" s="4"/>
      <c r="ONH8" s="65"/>
      <c r="ONI8" s="4"/>
      <c r="ONJ8" s="4"/>
      <c r="ONK8" s="4"/>
      <c r="ONN8" s="34"/>
      <c r="ONO8" s="34"/>
      <c r="ONQ8" s="34"/>
      <c r="ONR8" s="72"/>
      <c r="ONS8" s="63"/>
      <c r="ONT8" s="34"/>
      <c r="ONU8" s="64"/>
      <c r="ONV8" s="4"/>
      <c r="ONW8" s="65"/>
      <c r="ONX8" s="4"/>
      <c r="ONY8" s="4"/>
      <c r="ONZ8" s="4"/>
      <c r="OOC8" s="34"/>
      <c r="OOD8" s="34"/>
      <c r="OOF8" s="34"/>
      <c r="OOG8" s="72"/>
      <c r="OOH8" s="63"/>
      <c r="OOI8" s="34"/>
      <c r="OOJ8" s="64"/>
      <c r="OOK8" s="4"/>
      <c r="OOL8" s="65"/>
      <c r="OOM8" s="4"/>
      <c r="OON8" s="4"/>
      <c r="OOO8" s="4"/>
      <c r="OOR8" s="34"/>
      <c r="OOS8" s="34"/>
      <c r="OOU8" s="34"/>
      <c r="OOV8" s="72"/>
      <c r="OOW8" s="63"/>
      <c r="OOX8" s="34"/>
      <c r="OOY8" s="64"/>
      <c r="OOZ8" s="4"/>
      <c r="OPA8" s="65"/>
      <c r="OPB8" s="4"/>
      <c r="OPC8" s="4"/>
      <c r="OPD8" s="4"/>
      <c r="OPG8" s="34"/>
      <c r="OPH8" s="34"/>
      <c r="OPJ8" s="34"/>
      <c r="OPK8" s="72"/>
      <c r="OPL8" s="63"/>
      <c r="OPM8" s="34"/>
      <c r="OPN8" s="64"/>
      <c r="OPO8" s="4"/>
      <c r="OPP8" s="65"/>
      <c r="OPQ8" s="4"/>
      <c r="OPR8" s="4"/>
      <c r="OPS8" s="4"/>
      <c r="OPV8" s="34"/>
      <c r="OPW8" s="34"/>
      <c r="OPY8" s="34"/>
      <c r="OPZ8" s="72"/>
      <c r="OQA8" s="63"/>
      <c r="OQB8" s="34"/>
      <c r="OQC8" s="64"/>
      <c r="OQD8" s="4"/>
      <c r="OQE8" s="65"/>
      <c r="OQF8" s="4"/>
      <c r="OQG8" s="4"/>
      <c r="OQH8" s="4"/>
      <c r="OQK8" s="34"/>
      <c r="OQL8" s="34"/>
      <c r="OQN8" s="34"/>
      <c r="OQO8" s="72"/>
      <c r="OQP8" s="63"/>
      <c r="OQQ8" s="34"/>
      <c r="OQR8" s="64"/>
      <c r="OQS8" s="4"/>
      <c r="OQT8" s="65"/>
      <c r="OQU8" s="4"/>
      <c r="OQV8" s="4"/>
      <c r="OQW8" s="4"/>
      <c r="OQZ8" s="34"/>
      <c r="ORA8" s="34"/>
      <c r="ORC8" s="34"/>
      <c r="ORD8" s="72"/>
      <c r="ORE8" s="63"/>
      <c r="ORF8" s="34"/>
      <c r="ORG8" s="64"/>
      <c r="ORH8" s="4"/>
      <c r="ORI8" s="65"/>
      <c r="ORJ8" s="4"/>
      <c r="ORK8" s="4"/>
      <c r="ORL8" s="4"/>
      <c r="ORO8" s="34"/>
      <c r="ORP8" s="34"/>
      <c r="ORR8" s="34"/>
      <c r="ORS8" s="72"/>
      <c r="ORT8" s="63"/>
      <c r="ORU8" s="34"/>
      <c r="ORV8" s="64"/>
      <c r="ORW8" s="4"/>
      <c r="ORX8" s="65"/>
      <c r="ORY8" s="4"/>
      <c r="ORZ8" s="4"/>
      <c r="OSA8" s="4"/>
      <c r="OSD8" s="34"/>
      <c r="OSE8" s="34"/>
      <c r="OSG8" s="34"/>
      <c r="OSH8" s="72"/>
      <c r="OSI8" s="63"/>
      <c r="OSJ8" s="34"/>
      <c r="OSK8" s="64"/>
      <c r="OSL8" s="4"/>
      <c r="OSM8" s="65"/>
      <c r="OSN8" s="4"/>
      <c r="OSO8" s="4"/>
      <c r="OSP8" s="4"/>
      <c r="OSS8" s="34"/>
      <c r="OST8" s="34"/>
      <c r="OSV8" s="34"/>
      <c r="OSW8" s="72"/>
      <c r="OSX8" s="63"/>
      <c r="OSY8" s="34"/>
      <c r="OSZ8" s="64"/>
      <c r="OTA8" s="4"/>
      <c r="OTB8" s="65"/>
      <c r="OTC8" s="4"/>
      <c r="OTD8" s="4"/>
      <c r="OTE8" s="4"/>
      <c r="OTH8" s="34"/>
      <c r="OTI8" s="34"/>
      <c r="OTK8" s="34"/>
      <c r="OTL8" s="72"/>
      <c r="OTM8" s="63"/>
      <c r="OTN8" s="34"/>
      <c r="OTO8" s="64"/>
      <c r="OTP8" s="4"/>
      <c r="OTQ8" s="65"/>
      <c r="OTR8" s="4"/>
      <c r="OTS8" s="4"/>
      <c r="OTT8" s="4"/>
      <c r="OTW8" s="34"/>
      <c r="OTX8" s="34"/>
      <c r="OTZ8" s="34"/>
      <c r="OUA8" s="72"/>
      <c r="OUB8" s="63"/>
      <c r="OUC8" s="34"/>
      <c r="OUD8" s="64"/>
      <c r="OUE8" s="4"/>
      <c r="OUF8" s="65"/>
      <c r="OUG8" s="4"/>
      <c r="OUH8" s="4"/>
      <c r="OUI8" s="4"/>
      <c r="OUL8" s="34"/>
      <c r="OUM8" s="34"/>
      <c r="OUO8" s="34"/>
      <c r="OUP8" s="72"/>
      <c r="OUQ8" s="63"/>
      <c r="OUR8" s="34"/>
      <c r="OUS8" s="64"/>
      <c r="OUT8" s="4"/>
      <c r="OUU8" s="65"/>
      <c r="OUV8" s="4"/>
      <c r="OUW8" s="4"/>
      <c r="OUX8" s="4"/>
      <c r="OVA8" s="34"/>
      <c r="OVB8" s="34"/>
      <c r="OVD8" s="34"/>
      <c r="OVE8" s="72"/>
      <c r="OVF8" s="63"/>
      <c r="OVG8" s="34"/>
      <c r="OVH8" s="64"/>
      <c r="OVI8" s="4"/>
      <c r="OVJ8" s="65"/>
      <c r="OVK8" s="4"/>
      <c r="OVL8" s="4"/>
      <c r="OVM8" s="4"/>
      <c r="OVP8" s="34"/>
      <c r="OVQ8" s="34"/>
      <c r="OVS8" s="34"/>
      <c r="OVT8" s="72"/>
      <c r="OVU8" s="63"/>
      <c r="OVV8" s="34"/>
      <c r="OVW8" s="64"/>
      <c r="OVX8" s="4"/>
      <c r="OVY8" s="65"/>
      <c r="OVZ8" s="4"/>
      <c r="OWA8" s="4"/>
      <c r="OWB8" s="4"/>
      <c r="OWE8" s="34"/>
      <c r="OWF8" s="34"/>
      <c r="OWH8" s="34"/>
      <c r="OWI8" s="72"/>
      <c r="OWJ8" s="63"/>
      <c r="OWK8" s="34"/>
      <c r="OWL8" s="64"/>
      <c r="OWM8" s="4"/>
      <c r="OWN8" s="65"/>
      <c r="OWO8" s="4"/>
      <c r="OWP8" s="4"/>
      <c r="OWQ8" s="4"/>
      <c r="OWT8" s="34"/>
      <c r="OWU8" s="34"/>
      <c r="OWW8" s="34"/>
      <c r="OWX8" s="72"/>
      <c r="OWY8" s="63"/>
      <c r="OWZ8" s="34"/>
      <c r="OXA8" s="64"/>
      <c r="OXB8" s="4"/>
      <c r="OXC8" s="65"/>
      <c r="OXD8" s="4"/>
      <c r="OXE8" s="4"/>
      <c r="OXF8" s="4"/>
      <c r="OXI8" s="34"/>
      <c r="OXJ8" s="34"/>
      <c r="OXL8" s="34"/>
      <c r="OXM8" s="72"/>
      <c r="OXN8" s="63"/>
      <c r="OXO8" s="34"/>
      <c r="OXP8" s="64"/>
      <c r="OXQ8" s="4"/>
      <c r="OXR8" s="65"/>
      <c r="OXS8" s="4"/>
      <c r="OXT8" s="4"/>
      <c r="OXU8" s="4"/>
      <c r="OXX8" s="34"/>
      <c r="OXY8" s="34"/>
      <c r="OYA8" s="34"/>
      <c r="OYB8" s="72"/>
      <c r="OYC8" s="63"/>
      <c r="OYD8" s="34"/>
      <c r="OYE8" s="64"/>
      <c r="OYF8" s="4"/>
      <c r="OYG8" s="65"/>
      <c r="OYH8" s="4"/>
      <c r="OYI8" s="4"/>
      <c r="OYJ8" s="4"/>
      <c r="OYM8" s="34"/>
      <c r="OYN8" s="34"/>
      <c r="OYP8" s="34"/>
      <c r="OYQ8" s="72"/>
      <c r="OYR8" s="63"/>
      <c r="OYS8" s="34"/>
      <c r="OYT8" s="64"/>
      <c r="OYU8" s="4"/>
      <c r="OYV8" s="65"/>
      <c r="OYW8" s="4"/>
      <c r="OYX8" s="4"/>
      <c r="OYY8" s="4"/>
      <c r="OZB8" s="34"/>
      <c r="OZC8" s="34"/>
      <c r="OZE8" s="34"/>
      <c r="OZF8" s="72"/>
      <c r="OZG8" s="63"/>
      <c r="OZH8" s="34"/>
      <c r="OZI8" s="64"/>
      <c r="OZJ8" s="4"/>
      <c r="OZK8" s="65"/>
      <c r="OZL8" s="4"/>
      <c r="OZM8" s="4"/>
      <c r="OZN8" s="4"/>
      <c r="OZQ8" s="34"/>
      <c r="OZR8" s="34"/>
      <c r="OZT8" s="34"/>
      <c r="OZU8" s="72"/>
      <c r="OZV8" s="63"/>
      <c r="OZW8" s="34"/>
      <c r="OZX8" s="64"/>
      <c r="OZY8" s="4"/>
      <c r="OZZ8" s="65"/>
      <c r="PAA8" s="4"/>
      <c r="PAB8" s="4"/>
      <c r="PAC8" s="4"/>
      <c r="PAF8" s="34"/>
      <c r="PAG8" s="34"/>
      <c r="PAI8" s="34"/>
      <c r="PAJ8" s="72"/>
      <c r="PAK8" s="63"/>
      <c r="PAL8" s="34"/>
      <c r="PAM8" s="64"/>
      <c r="PAN8" s="4"/>
      <c r="PAO8" s="65"/>
      <c r="PAP8" s="4"/>
      <c r="PAQ8" s="4"/>
      <c r="PAR8" s="4"/>
      <c r="PAU8" s="34"/>
      <c r="PAV8" s="34"/>
      <c r="PAX8" s="34"/>
      <c r="PAY8" s="72"/>
      <c r="PAZ8" s="63"/>
      <c r="PBA8" s="34"/>
      <c r="PBB8" s="64"/>
      <c r="PBC8" s="4"/>
      <c r="PBD8" s="65"/>
      <c r="PBE8" s="4"/>
      <c r="PBF8" s="4"/>
      <c r="PBG8" s="4"/>
      <c r="PBJ8" s="34"/>
      <c r="PBK8" s="34"/>
      <c r="PBM8" s="34"/>
      <c r="PBN8" s="72"/>
      <c r="PBO8" s="63"/>
      <c r="PBP8" s="34"/>
      <c r="PBQ8" s="64"/>
      <c r="PBR8" s="4"/>
      <c r="PBS8" s="65"/>
      <c r="PBT8" s="4"/>
      <c r="PBU8" s="4"/>
      <c r="PBV8" s="4"/>
      <c r="PBY8" s="34"/>
      <c r="PBZ8" s="34"/>
      <c r="PCB8" s="34"/>
      <c r="PCC8" s="72"/>
      <c r="PCD8" s="63"/>
      <c r="PCE8" s="34"/>
      <c r="PCF8" s="64"/>
      <c r="PCG8" s="4"/>
      <c r="PCH8" s="65"/>
      <c r="PCI8" s="4"/>
      <c r="PCJ8" s="4"/>
      <c r="PCK8" s="4"/>
      <c r="PCN8" s="34"/>
      <c r="PCO8" s="34"/>
      <c r="PCQ8" s="34"/>
      <c r="PCR8" s="72"/>
      <c r="PCS8" s="63"/>
      <c r="PCT8" s="34"/>
      <c r="PCU8" s="64"/>
      <c r="PCV8" s="4"/>
      <c r="PCW8" s="65"/>
      <c r="PCX8" s="4"/>
      <c r="PCY8" s="4"/>
      <c r="PCZ8" s="4"/>
      <c r="PDC8" s="34"/>
      <c r="PDD8" s="34"/>
      <c r="PDF8" s="34"/>
      <c r="PDG8" s="72"/>
      <c r="PDH8" s="63"/>
      <c r="PDI8" s="34"/>
      <c r="PDJ8" s="64"/>
      <c r="PDK8" s="4"/>
      <c r="PDL8" s="65"/>
      <c r="PDM8" s="4"/>
      <c r="PDN8" s="4"/>
      <c r="PDO8" s="4"/>
      <c r="PDR8" s="34"/>
      <c r="PDS8" s="34"/>
      <c r="PDU8" s="34"/>
      <c r="PDV8" s="72"/>
      <c r="PDW8" s="63"/>
      <c r="PDX8" s="34"/>
      <c r="PDY8" s="64"/>
      <c r="PDZ8" s="4"/>
      <c r="PEA8" s="65"/>
      <c r="PEB8" s="4"/>
      <c r="PEC8" s="4"/>
      <c r="PED8" s="4"/>
      <c r="PEG8" s="34"/>
      <c r="PEH8" s="34"/>
      <c r="PEJ8" s="34"/>
      <c r="PEK8" s="72"/>
      <c r="PEL8" s="63"/>
      <c r="PEM8" s="34"/>
      <c r="PEN8" s="64"/>
      <c r="PEO8" s="4"/>
      <c r="PEP8" s="65"/>
      <c r="PEQ8" s="4"/>
      <c r="PER8" s="4"/>
      <c r="PES8" s="4"/>
      <c r="PEV8" s="34"/>
      <c r="PEW8" s="34"/>
      <c r="PEY8" s="34"/>
      <c r="PEZ8" s="72"/>
      <c r="PFA8" s="63"/>
      <c r="PFB8" s="34"/>
      <c r="PFC8" s="64"/>
      <c r="PFD8" s="4"/>
      <c r="PFE8" s="65"/>
      <c r="PFF8" s="4"/>
      <c r="PFG8" s="4"/>
      <c r="PFH8" s="4"/>
      <c r="PFK8" s="34"/>
      <c r="PFL8" s="34"/>
      <c r="PFN8" s="34"/>
      <c r="PFO8" s="72"/>
      <c r="PFP8" s="63"/>
      <c r="PFQ8" s="34"/>
      <c r="PFR8" s="64"/>
      <c r="PFS8" s="4"/>
      <c r="PFT8" s="65"/>
      <c r="PFU8" s="4"/>
      <c r="PFV8" s="4"/>
      <c r="PFW8" s="4"/>
      <c r="PFZ8" s="34"/>
      <c r="PGA8" s="34"/>
      <c r="PGC8" s="34"/>
      <c r="PGD8" s="72"/>
      <c r="PGE8" s="63"/>
      <c r="PGF8" s="34"/>
      <c r="PGG8" s="64"/>
      <c r="PGH8" s="4"/>
      <c r="PGI8" s="65"/>
      <c r="PGJ8" s="4"/>
      <c r="PGK8" s="4"/>
      <c r="PGL8" s="4"/>
      <c r="PGO8" s="34"/>
      <c r="PGP8" s="34"/>
      <c r="PGR8" s="34"/>
      <c r="PGS8" s="72"/>
      <c r="PGT8" s="63"/>
      <c r="PGU8" s="34"/>
      <c r="PGV8" s="64"/>
      <c r="PGW8" s="4"/>
      <c r="PGX8" s="65"/>
      <c r="PGY8" s="4"/>
      <c r="PGZ8" s="4"/>
      <c r="PHA8" s="4"/>
      <c r="PHD8" s="34"/>
      <c r="PHE8" s="34"/>
      <c r="PHG8" s="34"/>
      <c r="PHH8" s="72"/>
      <c r="PHI8" s="63"/>
      <c r="PHJ8" s="34"/>
      <c r="PHK8" s="64"/>
      <c r="PHL8" s="4"/>
      <c r="PHM8" s="65"/>
      <c r="PHN8" s="4"/>
      <c r="PHO8" s="4"/>
      <c r="PHP8" s="4"/>
      <c r="PHS8" s="34"/>
      <c r="PHT8" s="34"/>
      <c r="PHV8" s="34"/>
      <c r="PHW8" s="72"/>
      <c r="PHX8" s="63"/>
      <c r="PHY8" s="34"/>
      <c r="PHZ8" s="64"/>
      <c r="PIA8" s="4"/>
      <c r="PIB8" s="65"/>
      <c r="PIC8" s="4"/>
      <c r="PID8" s="4"/>
      <c r="PIE8" s="4"/>
      <c r="PIH8" s="34"/>
      <c r="PII8" s="34"/>
      <c r="PIK8" s="34"/>
      <c r="PIL8" s="72"/>
      <c r="PIM8" s="63"/>
      <c r="PIN8" s="34"/>
      <c r="PIO8" s="64"/>
      <c r="PIP8" s="4"/>
      <c r="PIQ8" s="65"/>
      <c r="PIR8" s="4"/>
      <c r="PIS8" s="4"/>
      <c r="PIT8" s="4"/>
      <c r="PIW8" s="34"/>
      <c r="PIX8" s="34"/>
      <c r="PIZ8" s="34"/>
      <c r="PJA8" s="72"/>
      <c r="PJB8" s="63"/>
      <c r="PJC8" s="34"/>
      <c r="PJD8" s="64"/>
      <c r="PJE8" s="4"/>
      <c r="PJF8" s="65"/>
      <c r="PJG8" s="4"/>
      <c r="PJH8" s="4"/>
      <c r="PJI8" s="4"/>
      <c r="PJL8" s="34"/>
      <c r="PJM8" s="34"/>
      <c r="PJO8" s="34"/>
      <c r="PJP8" s="72"/>
      <c r="PJQ8" s="63"/>
      <c r="PJR8" s="34"/>
      <c r="PJS8" s="64"/>
      <c r="PJT8" s="4"/>
      <c r="PJU8" s="65"/>
      <c r="PJV8" s="4"/>
      <c r="PJW8" s="4"/>
      <c r="PJX8" s="4"/>
      <c r="PKA8" s="34"/>
      <c r="PKB8" s="34"/>
      <c r="PKD8" s="34"/>
      <c r="PKE8" s="72"/>
      <c r="PKF8" s="63"/>
      <c r="PKG8" s="34"/>
      <c r="PKH8" s="64"/>
      <c r="PKI8" s="4"/>
      <c r="PKJ8" s="65"/>
      <c r="PKK8" s="4"/>
      <c r="PKL8" s="4"/>
      <c r="PKM8" s="4"/>
      <c r="PKP8" s="34"/>
      <c r="PKQ8" s="34"/>
      <c r="PKS8" s="34"/>
      <c r="PKT8" s="72"/>
      <c r="PKU8" s="63"/>
      <c r="PKV8" s="34"/>
      <c r="PKW8" s="64"/>
      <c r="PKX8" s="4"/>
      <c r="PKY8" s="65"/>
      <c r="PKZ8" s="4"/>
      <c r="PLA8" s="4"/>
      <c r="PLB8" s="4"/>
      <c r="PLE8" s="34"/>
      <c r="PLF8" s="34"/>
      <c r="PLH8" s="34"/>
      <c r="PLI8" s="72"/>
      <c r="PLJ8" s="63"/>
      <c r="PLK8" s="34"/>
      <c r="PLL8" s="64"/>
      <c r="PLM8" s="4"/>
      <c r="PLN8" s="65"/>
      <c r="PLO8" s="4"/>
      <c r="PLP8" s="4"/>
      <c r="PLQ8" s="4"/>
      <c r="PLT8" s="34"/>
      <c r="PLU8" s="34"/>
      <c r="PLW8" s="34"/>
      <c r="PLX8" s="72"/>
      <c r="PLY8" s="63"/>
      <c r="PLZ8" s="34"/>
      <c r="PMA8" s="64"/>
      <c r="PMB8" s="4"/>
      <c r="PMC8" s="65"/>
      <c r="PMD8" s="4"/>
      <c r="PME8" s="4"/>
      <c r="PMF8" s="4"/>
      <c r="PMI8" s="34"/>
      <c r="PMJ8" s="34"/>
      <c r="PML8" s="34"/>
      <c r="PMM8" s="72"/>
      <c r="PMN8" s="63"/>
      <c r="PMO8" s="34"/>
      <c r="PMP8" s="64"/>
      <c r="PMQ8" s="4"/>
      <c r="PMR8" s="65"/>
      <c r="PMS8" s="4"/>
      <c r="PMT8" s="4"/>
      <c r="PMU8" s="4"/>
      <c r="PMX8" s="34"/>
      <c r="PMY8" s="34"/>
      <c r="PNA8" s="34"/>
      <c r="PNB8" s="72"/>
      <c r="PNC8" s="63"/>
      <c r="PND8" s="34"/>
      <c r="PNE8" s="64"/>
      <c r="PNF8" s="4"/>
      <c r="PNG8" s="65"/>
      <c r="PNH8" s="4"/>
      <c r="PNI8" s="4"/>
      <c r="PNJ8" s="4"/>
      <c r="PNM8" s="34"/>
      <c r="PNN8" s="34"/>
      <c r="PNP8" s="34"/>
      <c r="PNQ8" s="72"/>
      <c r="PNR8" s="63"/>
      <c r="PNS8" s="34"/>
      <c r="PNT8" s="64"/>
      <c r="PNU8" s="4"/>
      <c r="PNV8" s="65"/>
      <c r="PNW8" s="4"/>
      <c r="PNX8" s="4"/>
      <c r="PNY8" s="4"/>
      <c r="POB8" s="34"/>
      <c r="POC8" s="34"/>
      <c r="POE8" s="34"/>
      <c r="POF8" s="72"/>
      <c r="POG8" s="63"/>
      <c r="POH8" s="34"/>
      <c r="POI8" s="64"/>
      <c r="POJ8" s="4"/>
      <c r="POK8" s="65"/>
      <c r="POL8" s="4"/>
      <c r="POM8" s="4"/>
      <c r="PON8" s="4"/>
      <c r="POQ8" s="34"/>
      <c r="POR8" s="34"/>
      <c r="POT8" s="34"/>
      <c r="POU8" s="72"/>
      <c r="POV8" s="63"/>
      <c r="POW8" s="34"/>
      <c r="POX8" s="64"/>
      <c r="POY8" s="4"/>
      <c r="POZ8" s="65"/>
      <c r="PPA8" s="4"/>
      <c r="PPB8" s="4"/>
      <c r="PPC8" s="4"/>
      <c r="PPF8" s="34"/>
      <c r="PPG8" s="34"/>
      <c r="PPI8" s="34"/>
      <c r="PPJ8" s="72"/>
      <c r="PPK8" s="63"/>
      <c r="PPL8" s="34"/>
      <c r="PPM8" s="64"/>
      <c r="PPN8" s="4"/>
      <c r="PPO8" s="65"/>
      <c r="PPP8" s="4"/>
      <c r="PPQ8" s="4"/>
      <c r="PPR8" s="4"/>
      <c r="PPU8" s="34"/>
      <c r="PPV8" s="34"/>
      <c r="PPX8" s="34"/>
      <c r="PPY8" s="72"/>
      <c r="PPZ8" s="63"/>
      <c r="PQA8" s="34"/>
      <c r="PQB8" s="64"/>
      <c r="PQC8" s="4"/>
      <c r="PQD8" s="65"/>
      <c r="PQE8" s="4"/>
      <c r="PQF8" s="4"/>
      <c r="PQG8" s="4"/>
      <c r="PQJ8" s="34"/>
      <c r="PQK8" s="34"/>
      <c r="PQM8" s="34"/>
      <c r="PQN8" s="72"/>
      <c r="PQO8" s="63"/>
      <c r="PQP8" s="34"/>
      <c r="PQQ8" s="64"/>
      <c r="PQR8" s="4"/>
      <c r="PQS8" s="65"/>
      <c r="PQT8" s="4"/>
      <c r="PQU8" s="4"/>
      <c r="PQV8" s="4"/>
      <c r="PQY8" s="34"/>
      <c r="PQZ8" s="34"/>
      <c r="PRB8" s="34"/>
      <c r="PRC8" s="72"/>
      <c r="PRD8" s="63"/>
      <c r="PRE8" s="34"/>
      <c r="PRF8" s="64"/>
      <c r="PRG8" s="4"/>
      <c r="PRH8" s="65"/>
      <c r="PRI8" s="4"/>
      <c r="PRJ8" s="4"/>
      <c r="PRK8" s="4"/>
      <c r="PRN8" s="34"/>
      <c r="PRO8" s="34"/>
      <c r="PRQ8" s="34"/>
      <c r="PRR8" s="72"/>
      <c r="PRS8" s="63"/>
      <c r="PRT8" s="34"/>
      <c r="PRU8" s="64"/>
      <c r="PRV8" s="4"/>
      <c r="PRW8" s="65"/>
      <c r="PRX8" s="4"/>
      <c r="PRY8" s="4"/>
      <c r="PRZ8" s="4"/>
      <c r="PSC8" s="34"/>
      <c r="PSD8" s="34"/>
      <c r="PSF8" s="34"/>
      <c r="PSG8" s="72"/>
      <c r="PSH8" s="63"/>
      <c r="PSI8" s="34"/>
      <c r="PSJ8" s="64"/>
      <c r="PSK8" s="4"/>
      <c r="PSL8" s="65"/>
      <c r="PSM8" s="4"/>
      <c r="PSN8" s="4"/>
      <c r="PSO8" s="4"/>
      <c r="PSR8" s="34"/>
      <c r="PSS8" s="34"/>
      <c r="PSU8" s="34"/>
      <c r="PSV8" s="72"/>
      <c r="PSW8" s="63"/>
      <c r="PSX8" s="34"/>
      <c r="PSY8" s="64"/>
      <c r="PSZ8" s="4"/>
      <c r="PTA8" s="65"/>
      <c r="PTB8" s="4"/>
      <c r="PTC8" s="4"/>
      <c r="PTD8" s="4"/>
      <c r="PTG8" s="34"/>
      <c r="PTH8" s="34"/>
      <c r="PTJ8" s="34"/>
      <c r="PTK8" s="72"/>
      <c r="PTL8" s="63"/>
      <c r="PTM8" s="34"/>
      <c r="PTN8" s="64"/>
      <c r="PTO8" s="4"/>
      <c r="PTP8" s="65"/>
      <c r="PTQ8" s="4"/>
      <c r="PTR8" s="4"/>
      <c r="PTS8" s="4"/>
      <c r="PTV8" s="34"/>
      <c r="PTW8" s="34"/>
      <c r="PTY8" s="34"/>
      <c r="PTZ8" s="72"/>
      <c r="PUA8" s="63"/>
      <c r="PUB8" s="34"/>
      <c r="PUC8" s="64"/>
      <c r="PUD8" s="4"/>
      <c r="PUE8" s="65"/>
      <c r="PUF8" s="4"/>
      <c r="PUG8" s="4"/>
      <c r="PUH8" s="4"/>
      <c r="PUK8" s="34"/>
      <c r="PUL8" s="34"/>
      <c r="PUN8" s="34"/>
      <c r="PUO8" s="72"/>
      <c r="PUP8" s="63"/>
      <c r="PUQ8" s="34"/>
      <c r="PUR8" s="64"/>
      <c r="PUS8" s="4"/>
      <c r="PUT8" s="65"/>
      <c r="PUU8" s="4"/>
      <c r="PUV8" s="4"/>
      <c r="PUW8" s="4"/>
      <c r="PUZ8" s="34"/>
      <c r="PVA8" s="34"/>
      <c r="PVC8" s="34"/>
      <c r="PVD8" s="72"/>
      <c r="PVE8" s="63"/>
      <c r="PVF8" s="34"/>
      <c r="PVG8" s="64"/>
      <c r="PVH8" s="4"/>
      <c r="PVI8" s="65"/>
      <c r="PVJ8" s="4"/>
      <c r="PVK8" s="4"/>
      <c r="PVL8" s="4"/>
      <c r="PVO8" s="34"/>
      <c r="PVP8" s="34"/>
      <c r="PVR8" s="34"/>
      <c r="PVS8" s="72"/>
      <c r="PVT8" s="63"/>
      <c r="PVU8" s="34"/>
      <c r="PVV8" s="64"/>
      <c r="PVW8" s="4"/>
      <c r="PVX8" s="65"/>
      <c r="PVY8" s="4"/>
      <c r="PVZ8" s="4"/>
      <c r="PWA8" s="4"/>
      <c r="PWD8" s="34"/>
      <c r="PWE8" s="34"/>
      <c r="PWG8" s="34"/>
      <c r="PWH8" s="72"/>
      <c r="PWI8" s="63"/>
      <c r="PWJ8" s="34"/>
      <c r="PWK8" s="64"/>
      <c r="PWL8" s="4"/>
      <c r="PWM8" s="65"/>
      <c r="PWN8" s="4"/>
      <c r="PWO8" s="4"/>
      <c r="PWP8" s="4"/>
      <c r="PWS8" s="34"/>
      <c r="PWT8" s="34"/>
      <c r="PWV8" s="34"/>
      <c r="PWW8" s="72"/>
      <c r="PWX8" s="63"/>
      <c r="PWY8" s="34"/>
      <c r="PWZ8" s="64"/>
      <c r="PXA8" s="4"/>
      <c r="PXB8" s="65"/>
      <c r="PXC8" s="4"/>
      <c r="PXD8" s="4"/>
      <c r="PXE8" s="4"/>
      <c r="PXH8" s="34"/>
      <c r="PXI8" s="34"/>
      <c r="PXK8" s="34"/>
      <c r="PXL8" s="72"/>
      <c r="PXM8" s="63"/>
      <c r="PXN8" s="34"/>
      <c r="PXO8" s="64"/>
      <c r="PXP8" s="4"/>
      <c r="PXQ8" s="65"/>
      <c r="PXR8" s="4"/>
      <c r="PXS8" s="4"/>
      <c r="PXT8" s="4"/>
      <c r="PXW8" s="34"/>
      <c r="PXX8" s="34"/>
      <c r="PXZ8" s="34"/>
      <c r="PYA8" s="72"/>
      <c r="PYB8" s="63"/>
      <c r="PYC8" s="34"/>
      <c r="PYD8" s="64"/>
      <c r="PYE8" s="4"/>
      <c r="PYF8" s="65"/>
      <c r="PYG8" s="4"/>
      <c r="PYH8" s="4"/>
      <c r="PYI8" s="4"/>
      <c r="PYL8" s="34"/>
      <c r="PYM8" s="34"/>
      <c r="PYO8" s="34"/>
      <c r="PYP8" s="72"/>
      <c r="PYQ8" s="63"/>
      <c r="PYR8" s="34"/>
      <c r="PYS8" s="64"/>
      <c r="PYT8" s="4"/>
      <c r="PYU8" s="65"/>
      <c r="PYV8" s="4"/>
      <c r="PYW8" s="4"/>
      <c r="PYX8" s="4"/>
      <c r="PZA8" s="34"/>
      <c r="PZB8" s="34"/>
      <c r="PZD8" s="34"/>
      <c r="PZE8" s="72"/>
      <c r="PZF8" s="63"/>
      <c r="PZG8" s="34"/>
      <c r="PZH8" s="64"/>
      <c r="PZI8" s="4"/>
      <c r="PZJ8" s="65"/>
      <c r="PZK8" s="4"/>
      <c r="PZL8" s="4"/>
      <c r="PZM8" s="4"/>
      <c r="PZP8" s="34"/>
      <c r="PZQ8" s="34"/>
      <c r="PZS8" s="34"/>
      <c r="PZT8" s="72"/>
      <c r="PZU8" s="63"/>
      <c r="PZV8" s="34"/>
      <c r="PZW8" s="64"/>
      <c r="PZX8" s="4"/>
      <c r="PZY8" s="65"/>
      <c r="PZZ8" s="4"/>
      <c r="QAA8" s="4"/>
      <c r="QAB8" s="4"/>
      <c r="QAE8" s="34"/>
      <c r="QAF8" s="34"/>
      <c r="QAH8" s="34"/>
      <c r="QAI8" s="72"/>
      <c r="QAJ8" s="63"/>
      <c r="QAK8" s="34"/>
      <c r="QAL8" s="64"/>
      <c r="QAM8" s="4"/>
      <c r="QAN8" s="65"/>
      <c r="QAO8" s="4"/>
      <c r="QAP8" s="4"/>
      <c r="QAQ8" s="4"/>
      <c r="QAT8" s="34"/>
      <c r="QAU8" s="34"/>
      <c r="QAW8" s="34"/>
      <c r="QAX8" s="72"/>
      <c r="QAY8" s="63"/>
      <c r="QAZ8" s="34"/>
      <c r="QBA8" s="64"/>
      <c r="QBB8" s="4"/>
      <c r="QBC8" s="65"/>
      <c r="QBD8" s="4"/>
      <c r="QBE8" s="4"/>
      <c r="QBF8" s="4"/>
      <c r="QBI8" s="34"/>
      <c r="QBJ8" s="34"/>
      <c r="QBL8" s="34"/>
      <c r="QBM8" s="72"/>
      <c r="QBN8" s="63"/>
      <c r="QBO8" s="34"/>
      <c r="QBP8" s="64"/>
      <c r="QBQ8" s="4"/>
      <c r="QBR8" s="65"/>
      <c r="QBS8" s="4"/>
      <c r="QBT8" s="4"/>
      <c r="QBU8" s="4"/>
      <c r="QBX8" s="34"/>
      <c r="QBY8" s="34"/>
      <c r="QCA8" s="34"/>
      <c r="QCB8" s="72"/>
      <c r="QCC8" s="63"/>
      <c r="QCD8" s="34"/>
      <c r="QCE8" s="64"/>
      <c r="QCF8" s="4"/>
      <c r="QCG8" s="65"/>
      <c r="QCH8" s="4"/>
      <c r="QCI8" s="4"/>
      <c r="QCJ8" s="4"/>
      <c r="QCM8" s="34"/>
      <c r="QCN8" s="34"/>
      <c r="QCP8" s="34"/>
      <c r="QCQ8" s="72"/>
      <c r="QCR8" s="63"/>
      <c r="QCS8" s="34"/>
      <c r="QCT8" s="64"/>
      <c r="QCU8" s="4"/>
      <c r="QCV8" s="65"/>
      <c r="QCW8" s="4"/>
      <c r="QCX8" s="4"/>
      <c r="QCY8" s="4"/>
      <c r="QDB8" s="34"/>
      <c r="QDC8" s="34"/>
      <c r="QDE8" s="34"/>
      <c r="QDF8" s="72"/>
      <c r="QDG8" s="63"/>
      <c r="QDH8" s="34"/>
      <c r="QDI8" s="64"/>
      <c r="QDJ8" s="4"/>
      <c r="QDK8" s="65"/>
      <c r="QDL8" s="4"/>
      <c r="QDM8" s="4"/>
      <c r="QDN8" s="4"/>
      <c r="QDQ8" s="34"/>
      <c r="QDR8" s="34"/>
      <c r="QDT8" s="34"/>
      <c r="QDU8" s="72"/>
      <c r="QDV8" s="63"/>
      <c r="QDW8" s="34"/>
      <c r="QDX8" s="64"/>
      <c r="QDY8" s="4"/>
      <c r="QDZ8" s="65"/>
      <c r="QEA8" s="4"/>
      <c r="QEB8" s="4"/>
      <c r="QEC8" s="4"/>
      <c r="QEF8" s="34"/>
      <c r="QEG8" s="34"/>
      <c r="QEI8" s="34"/>
      <c r="QEJ8" s="72"/>
      <c r="QEK8" s="63"/>
      <c r="QEL8" s="34"/>
      <c r="QEM8" s="64"/>
      <c r="QEN8" s="4"/>
      <c r="QEO8" s="65"/>
      <c r="QEP8" s="4"/>
      <c r="QEQ8" s="4"/>
      <c r="QER8" s="4"/>
      <c r="QEU8" s="34"/>
      <c r="QEV8" s="34"/>
      <c r="QEX8" s="34"/>
      <c r="QEY8" s="72"/>
      <c r="QEZ8" s="63"/>
      <c r="QFA8" s="34"/>
      <c r="QFB8" s="64"/>
      <c r="QFC8" s="4"/>
      <c r="QFD8" s="65"/>
      <c r="QFE8" s="4"/>
      <c r="QFF8" s="4"/>
      <c r="QFG8" s="4"/>
      <c r="QFJ8" s="34"/>
      <c r="QFK8" s="34"/>
      <c r="QFM8" s="34"/>
      <c r="QFN8" s="72"/>
      <c r="QFO8" s="63"/>
      <c r="QFP8" s="34"/>
      <c r="QFQ8" s="64"/>
      <c r="QFR8" s="4"/>
      <c r="QFS8" s="65"/>
      <c r="QFT8" s="4"/>
      <c r="QFU8" s="4"/>
      <c r="QFV8" s="4"/>
      <c r="QFY8" s="34"/>
      <c r="QFZ8" s="34"/>
      <c r="QGB8" s="34"/>
      <c r="QGC8" s="72"/>
      <c r="QGD8" s="63"/>
      <c r="QGE8" s="34"/>
      <c r="QGF8" s="64"/>
      <c r="QGG8" s="4"/>
      <c r="QGH8" s="65"/>
      <c r="QGI8" s="4"/>
      <c r="QGJ8" s="4"/>
      <c r="QGK8" s="4"/>
      <c r="QGN8" s="34"/>
      <c r="QGO8" s="34"/>
      <c r="QGQ8" s="34"/>
      <c r="QGR8" s="72"/>
      <c r="QGS8" s="63"/>
      <c r="QGT8" s="34"/>
      <c r="QGU8" s="64"/>
      <c r="QGV8" s="4"/>
      <c r="QGW8" s="65"/>
      <c r="QGX8" s="4"/>
      <c r="QGY8" s="4"/>
      <c r="QGZ8" s="4"/>
      <c r="QHC8" s="34"/>
      <c r="QHD8" s="34"/>
      <c r="QHF8" s="34"/>
      <c r="QHG8" s="72"/>
      <c r="QHH8" s="63"/>
      <c r="QHI8" s="34"/>
      <c r="QHJ8" s="64"/>
      <c r="QHK8" s="4"/>
      <c r="QHL8" s="65"/>
      <c r="QHM8" s="4"/>
      <c r="QHN8" s="4"/>
      <c r="QHO8" s="4"/>
      <c r="QHR8" s="34"/>
      <c r="QHS8" s="34"/>
      <c r="QHU8" s="34"/>
      <c r="QHV8" s="72"/>
      <c r="QHW8" s="63"/>
      <c r="QHX8" s="34"/>
      <c r="QHY8" s="64"/>
      <c r="QHZ8" s="4"/>
      <c r="QIA8" s="65"/>
      <c r="QIB8" s="4"/>
      <c r="QIC8" s="4"/>
      <c r="QID8" s="4"/>
      <c r="QIG8" s="34"/>
      <c r="QIH8" s="34"/>
      <c r="QIJ8" s="34"/>
      <c r="QIK8" s="72"/>
      <c r="QIL8" s="63"/>
      <c r="QIM8" s="34"/>
      <c r="QIN8" s="64"/>
      <c r="QIO8" s="4"/>
      <c r="QIP8" s="65"/>
      <c r="QIQ8" s="4"/>
      <c r="QIR8" s="4"/>
      <c r="QIS8" s="4"/>
      <c r="QIV8" s="34"/>
      <c r="QIW8" s="34"/>
      <c r="QIY8" s="34"/>
      <c r="QIZ8" s="72"/>
      <c r="QJA8" s="63"/>
      <c r="QJB8" s="34"/>
      <c r="QJC8" s="64"/>
      <c r="QJD8" s="4"/>
      <c r="QJE8" s="65"/>
      <c r="QJF8" s="4"/>
      <c r="QJG8" s="4"/>
      <c r="QJH8" s="4"/>
      <c r="QJK8" s="34"/>
      <c r="QJL8" s="34"/>
      <c r="QJN8" s="34"/>
      <c r="QJO8" s="72"/>
      <c r="QJP8" s="63"/>
      <c r="QJQ8" s="34"/>
      <c r="QJR8" s="64"/>
      <c r="QJS8" s="4"/>
      <c r="QJT8" s="65"/>
      <c r="QJU8" s="4"/>
      <c r="QJV8" s="4"/>
      <c r="QJW8" s="4"/>
      <c r="QJZ8" s="34"/>
      <c r="QKA8" s="34"/>
      <c r="QKC8" s="34"/>
      <c r="QKD8" s="72"/>
      <c r="QKE8" s="63"/>
      <c r="QKF8" s="34"/>
      <c r="QKG8" s="64"/>
      <c r="QKH8" s="4"/>
      <c r="QKI8" s="65"/>
      <c r="QKJ8" s="4"/>
      <c r="QKK8" s="4"/>
      <c r="QKL8" s="4"/>
      <c r="QKO8" s="34"/>
      <c r="QKP8" s="34"/>
      <c r="QKR8" s="34"/>
      <c r="QKS8" s="72"/>
      <c r="QKT8" s="63"/>
      <c r="QKU8" s="34"/>
      <c r="QKV8" s="64"/>
      <c r="QKW8" s="4"/>
      <c r="QKX8" s="65"/>
      <c r="QKY8" s="4"/>
      <c r="QKZ8" s="4"/>
      <c r="QLA8" s="4"/>
      <c r="QLD8" s="34"/>
      <c r="QLE8" s="34"/>
      <c r="QLG8" s="34"/>
      <c r="QLH8" s="72"/>
      <c r="QLI8" s="63"/>
      <c r="QLJ8" s="34"/>
      <c r="QLK8" s="64"/>
      <c r="QLL8" s="4"/>
      <c r="QLM8" s="65"/>
      <c r="QLN8" s="4"/>
      <c r="QLO8" s="4"/>
      <c r="QLP8" s="4"/>
      <c r="QLS8" s="34"/>
      <c r="QLT8" s="34"/>
      <c r="QLV8" s="34"/>
      <c r="QLW8" s="72"/>
      <c r="QLX8" s="63"/>
      <c r="QLY8" s="34"/>
      <c r="QLZ8" s="64"/>
      <c r="QMA8" s="4"/>
      <c r="QMB8" s="65"/>
      <c r="QMC8" s="4"/>
      <c r="QMD8" s="4"/>
      <c r="QME8" s="4"/>
      <c r="QMH8" s="34"/>
      <c r="QMI8" s="34"/>
      <c r="QMK8" s="34"/>
      <c r="QML8" s="72"/>
      <c r="QMM8" s="63"/>
      <c r="QMN8" s="34"/>
      <c r="QMO8" s="64"/>
      <c r="QMP8" s="4"/>
      <c r="QMQ8" s="65"/>
      <c r="QMR8" s="4"/>
      <c r="QMS8" s="4"/>
      <c r="QMT8" s="4"/>
      <c r="QMW8" s="34"/>
      <c r="QMX8" s="34"/>
      <c r="QMZ8" s="34"/>
      <c r="QNA8" s="72"/>
      <c r="QNB8" s="63"/>
      <c r="QNC8" s="34"/>
      <c r="QND8" s="64"/>
      <c r="QNE8" s="4"/>
      <c r="QNF8" s="65"/>
      <c r="QNG8" s="4"/>
      <c r="QNH8" s="4"/>
      <c r="QNI8" s="4"/>
      <c r="QNL8" s="34"/>
      <c r="QNM8" s="34"/>
      <c r="QNO8" s="34"/>
      <c r="QNP8" s="72"/>
      <c r="QNQ8" s="63"/>
      <c r="QNR8" s="34"/>
      <c r="QNS8" s="64"/>
      <c r="QNT8" s="4"/>
      <c r="QNU8" s="65"/>
      <c r="QNV8" s="4"/>
      <c r="QNW8" s="4"/>
      <c r="QNX8" s="4"/>
      <c r="QOA8" s="34"/>
      <c r="QOB8" s="34"/>
      <c r="QOD8" s="34"/>
      <c r="QOE8" s="72"/>
      <c r="QOF8" s="63"/>
      <c r="QOG8" s="34"/>
      <c r="QOH8" s="64"/>
      <c r="QOI8" s="4"/>
      <c r="QOJ8" s="65"/>
      <c r="QOK8" s="4"/>
      <c r="QOL8" s="4"/>
      <c r="QOM8" s="4"/>
      <c r="QOP8" s="34"/>
      <c r="QOQ8" s="34"/>
      <c r="QOS8" s="34"/>
      <c r="QOT8" s="72"/>
      <c r="QOU8" s="63"/>
      <c r="QOV8" s="34"/>
      <c r="QOW8" s="64"/>
      <c r="QOX8" s="4"/>
      <c r="QOY8" s="65"/>
      <c r="QOZ8" s="4"/>
      <c r="QPA8" s="4"/>
      <c r="QPB8" s="4"/>
      <c r="QPE8" s="34"/>
      <c r="QPF8" s="34"/>
      <c r="QPH8" s="34"/>
      <c r="QPI8" s="72"/>
      <c r="QPJ8" s="63"/>
      <c r="QPK8" s="34"/>
      <c r="QPL8" s="64"/>
      <c r="QPM8" s="4"/>
      <c r="QPN8" s="65"/>
      <c r="QPO8" s="4"/>
      <c r="QPP8" s="4"/>
      <c r="QPQ8" s="4"/>
      <c r="QPT8" s="34"/>
      <c r="QPU8" s="34"/>
      <c r="QPW8" s="34"/>
      <c r="QPX8" s="72"/>
      <c r="QPY8" s="63"/>
      <c r="QPZ8" s="34"/>
      <c r="QQA8" s="64"/>
      <c r="QQB8" s="4"/>
      <c r="QQC8" s="65"/>
      <c r="QQD8" s="4"/>
      <c r="QQE8" s="4"/>
      <c r="QQF8" s="4"/>
      <c r="QQI8" s="34"/>
      <c r="QQJ8" s="34"/>
      <c r="QQL8" s="34"/>
      <c r="QQM8" s="72"/>
      <c r="QQN8" s="63"/>
      <c r="QQO8" s="34"/>
      <c r="QQP8" s="64"/>
      <c r="QQQ8" s="4"/>
      <c r="QQR8" s="65"/>
      <c r="QQS8" s="4"/>
      <c r="QQT8" s="4"/>
      <c r="QQU8" s="4"/>
      <c r="QQX8" s="34"/>
      <c r="QQY8" s="34"/>
      <c r="QRA8" s="34"/>
      <c r="QRB8" s="72"/>
      <c r="QRC8" s="63"/>
      <c r="QRD8" s="34"/>
      <c r="QRE8" s="64"/>
      <c r="QRF8" s="4"/>
      <c r="QRG8" s="65"/>
      <c r="QRH8" s="4"/>
      <c r="QRI8" s="4"/>
      <c r="QRJ8" s="4"/>
      <c r="QRM8" s="34"/>
      <c r="QRN8" s="34"/>
      <c r="QRP8" s="34"/>
      <c r="QRQ8" s="72"/>
      <c r="QRR8" s="63"/>
      <c r="QRS8" s="34"/>
      <c r="QRT8" s="64"/>
      <c r="QRU8" s="4"/>
      <c r="QRV8" s="65"/>
      <c r="QRW8" s="4"/>
      <c r="QRX8" s="4"/>
      <c r="QRY8" s="4"/>
      <c r="QSB8" s="34"/>
      <c r="QSC8" s="34"/>
      <c r="QSE8" s="34"/>
      <c r="QSF8" s="72"/>
      <c r="QSG8" s="63"/>
      <c r="QSH8" s="34"/>
      <c r="QSI8" s="64"/>
      <c r="QSJ8" s="4"/>
      <c r="QSK8" s="65"/>
      <c r="QSL8" s="4"/>
      <c r="QSM8" s="4"/>
      <c r="QSN8" s="4"/>
      <c r="QSQ8" s="34"/>
      <c r="QSR8" s="34"/>
      <c r="QST8" s="34"/>
      <c r="QSU8" s="72"/>
      <c r="QSV8" s="63"/>
      <c r="QSW8" s="34"/>
      <c r="QSX8" s="64"/>
      <c r="QSY8" s="4"/>
      <c r="QSZ8" s="65"/>
      <c r="QTA8" s="4"/>
      <c r="QTB8" s="4"/>
      <c r="QTC8" s="4"/>
      <c r="QTF8" s="34"/>
      <c r="QTG8" s="34"/>
      <c r="QTI8" s="34"/>
      <c r="QTJ8" s="72"/>
      <c r="QTK8" s="63"/>
      <c r="QTL8" s="34"/>
      <c r="QTM8" s="64"/>
      <c r="QTN8" s="4"/>
      <c r="QTO8" s="65"/>
      <c r="QTP8" s="4"/>
      <c r="QTQ8" s="4"/>
      <c r="QTR8" s="4"/>
      <c r="QTU8" s="34"/>
      <c r="QTV8" s="34"/>
      <c r="QTX8" s="34"/>
      <c r="QTY8" s="72"/>
      <c r="QTZ8" s="63"/>
      <c r="QUA8" s="34"/>
      <c r="QUB8" s="64"/>
      <c r="QUC8" s="4"/>
      <c r="QUD8" s="65"/>
      <c r="QUE8" s="4"/>
      <c r="QUF8" s="4"/>
      <c r="QUG8" s="4"/>
      <c r="QUJ8" s="34"/>
      <c r="QUK8" s="34"/>
      <c r="QUM8" s="34"/>
      <c r="QUN8" s="72"/>
      <c r="QUO8" s="63"/>
      <c r="QUP8" s="34"/>
      <c r="QUQ8" s="64"/>
      <c r="QUR8" s="4"/>
      <c r="QUS8" s="65"/>
      <c r="QUT8" s="4"/>
      <c r="QUU8" s="4"/>
      <c r="QUV8" s="4"/>
      <c r="QUY8" s="34"/>
      <c r="QUZ8" s="34"/>
      <c r="QVB8" s="34"/>
      <c r="QVC8" s="72"/>
      <c r="QVD8" s="63"/>
      <c r="QVE8" s="34"/>
      <c r="QVF8" s="64"/>
      <c r="QVG8" s="4"/>
      <c r="QVH8" s="65"/>
      <c r="QVI8" s="4"/>
      <c r="QVJ8" s="4"/>
      <c r="QVK8" s="4"/>
      <c r="QVN8" s="34"/>
      <c r="QVO8" s="34"/>
      <c r="QVQ8" s="34"/>
      <c r="QVR8" s="72"/>
      <c r="QVS8" s="63"/>
      <c r="QVT8" s="34"/>
      <c r="QVU8" s="64"/>
      <c r="QVV8" s="4"/>
      <c r="QVW8" s="65"/>
      <c r="QVX8" s="4"/>
      <c r="QVY8" s="4"/>
      <c r="QVZ8" s="4"/>
      <c r="QWC8" s="34"/>
      <c r="QWD8" s="34"/>
      <c r="QWF8" s="34"/>
      <c r="QWG8" s="72"/>
      <c r="QWH8" s="63"/>
      <c r="QWI8" s="34"/>
      <c r="QWJ8" s="64"/>
      <c r="QWK8" s="4"/>
      <c r="QWL8" s="65"/>
      <c r="QWM8" s="4"/>
      <c r="QWN8" s="4"/>
      <c r="QWO8" s="4"/>
      <c r="QWR8" s="34"/>
      <c r="QWS8" s="34"/>
      <c r="QWU8" s="34"/>
      <c r="QWV8" s="72"/>
      <c r="QWW8" s="63"/>
      <c r="QWX8" s="34"/>
      <c r="QWY8" s="64"/>
      <c r="QWZ8" s="4"/>
      <c r="QXA8" s="65"/>
      <c r="QXB8" s="4"/>
      <c r="QXC8" s="4"/>
      <c r="QXD8" s="4"/>
      <c r="QXG8" s="34"/>
      <c r="QXH8" s="34"/>
      <c r="QXJ8" s="34"/>
      <c r="QXK8" s="72"/>
      <c r="QXL8" s="63"/>
      <c r="QXM8" s="34"/>
      <c r="QXN8" s="64"/>
      <c r="QXO8" s="4"/>
      <c r="QXP8" s="65"/>
      <c r="QXQ8" s="4"/>
      <c r="QXR8" s="4"/>
      <c r="QXS8" s="4"/>
      <c r="QXV8" s="34"/>
      <c r="QXW8" s="34"/>
      <c r="QXY8" s="34"/>
      <c r="QXZ8" s="72"/>
      <c r="QYA8" s="63"/>
      <c r="QYB8" s="34"/>
      <c r="QYC8" s="64"/>
      <c r="QYD8" s="4"/>
      <c r="QYE8" s="65"/>
      <c r="QYF8" s="4"/>
      <c r="QYG8" s="4"/>
      <c r="QYH8" s="4"/>
      <c r="QYK8" s="34"/>
      <c r="QYL8" s="34"/>
      <c r="QYN8" s="34"/>
      <c r="QYO8" s="72"/>
      <c r="QYP8" s="63"/>
      <c r="QYQ8" s="34"/>
      <c r="QYR8" s="64"/>
      <c r="QYS8" s="4"/>
      <c r="QYT8" s="65"/>
      <c r="QYU8" s="4"/>
      <c r="QYV8" s="4"/>
      <c r="QYW8" s="4"/>
      <c r="QYZ8" s="34"/>
      <c r="QZA8" s="34"/>
      <c r="QZC8" s="34"/>
      <c r="QZD8" s="72"/>
      <c r="QZE8" s="63"/>
      <c r="QZF8" s="34"/>
      <c r="QZG8" s="64"/>
      <c r="QZH8" s="4"/>
      <c r="QZI8" s="65"/>
      <c r="QZJ8" s="4"/>
      <c r="QZK8" s="4"/>
      <c r="QZL8" s="4"/>
      <c r="QZO8" s="34"/>
      <c r="QZP8" s="34"/>
      <c r="QZR8" s="34"/>
      <c r="QZS8" s="72"/>
      <c r="QZT8" s="63"/>
      <c r="QZU8" s="34"/>
      <c r="QZV8" s="64"/>
      <c r="QZW8" s="4"/>
      <c r="QZX8" s="65"/>
      <c r="QZY8" s="4"/>
      <c r="QZZ8" s="4"/>
      <c r="RAA8" s="4"/>
      <c r="RAD8" s="34"/>
      <c r="RAE8" s="34"/>
      <c r="RAG8" s="34"/>
      <c r="RAH8" s="72"/>
      <c r="RAI8" s="63"/>
      <c r="RAJ8" s="34"/>
      <c r="RAK8" s="64"/>
      <c r="RAL8" s="4"/>
      <c r="RAM8" s="65"/>
      <c r="RAN8" s="4"/>
      <c r="RAO8" s="4"/>
      <c r="RAP8" s="4"/>
      <c r="RAS8" s="34"/>
      <c r="RAT8" s="34"/>
      <c r="RAV8" s="34"/>
      <c r="RAW8" s="72"/>
      <c r="RAX8" s="63"/>
      <c r="RAY8" s="34"/>
      <c r="RAZ8" s="64"/>
      <c r="RBA8" s="4"/>
      <c r="RBB8" s="65"/>
      <c r="RBC8" s="4"/>
      <c r="RBD8" s="4"/>
      <c r="RBE8" s="4"/>
      <c r="RBH8" s="34"/>
      <c r="RBI8" s="34"/>
      <c r="RBK8" s="34"/>
      <c r="RBL8" s="72"/>
      <c r="RBM8" s="63"/>
      <c r="RBN8" s="34"/>
      <c r="RBO8" s="64"/>
      <c r="RBP8" s="4"/>
      <c r="RBQ8" s="65"/>
      <c r="RBR8" s="4"/>
      <c r="RBS8" s="4"/>
      <c r="RBT8" s="4"/>
      <c r="RBW8" s="34"/>
      <c r="RBX8" s="34"/>
      <c r="RBZ8" s="34"/>
      <c r="RCA8" s="72"/>
      <c r="RCB8" s="63"/>
      <c r="RCC8" s="34"/>
      <c r="RCD8" s="64"/>
      <c r="RCE8" s="4"/>
      <c r="RCF8" s="65"/>
      <c r="RCG8" s="4"/>
      <c r="RCH8" s="4"/>
      <c r="RCI8" s="4"/>
      <c r="RCL8" s="34"/>
      <c r="RCM8" s="34"/>
      <c r="RCO8" s="34"/>
      <c r="RCP8" s="72"/>
      <c r="RCQ8" s="63"/>
      <c r="RCR8" s="34"/>
      <c r="RCS8" s="64"/>
      <c r="RCT8" s="4"/>
      <c r="RCU8" s="65"/>
      <c r="RCV8" s="4"/>
      <c r="RCW8" s="4"/>
      <c r="RCX8" s="4"/>
      <c r="RDA8" s="34"/>
      <c r="RDB8" s="34"/>
      <c r="RDD8" s="34"/>
      <c r="RDE8" s="72"/>
      <c r="RDF8" s="63"/>
      <c r="RDG8" s="34"/>
      <c r="RDH8" s="64"/>
      <c r="RDI8" s="4"/>
      <c r="RDJ8" s="65"/>
      <c r="RDK8" s="4"/>
      <c r="RDL8" s="4"/>
      <c r="RDM8" s="4"/>
      <c r="RDP8" s="34"/>
      <c r="RDQ8" s="34"/>
      <c r="RDS8" s="34"/>
      <c r="RDT8" s="72"/>
      <c r="RDU8" s="63"/>
      <c r="RDV8" s="34"/>
      <c r="RDW8" s="64"/>
      <c r="RDX8" s="4"/>
      <c r="RDY8" s="65"/>
      <c r="RDZ8" s="4"/>
      <c r="REA8" s="4"/>
      <c r="REB8" s="4"/>
      <c r="REE8" s="34"/>
      <c r="REF8" s="34"/>
      <c r="REH8" s="34"/>
      <c r="REI8" s="72"/>
      <c r="REJ8" s="63"/>
      <c r="REK8" s="34"/>
      <c r="REL8" s="64"/>
      <c r="REM8" s="4"/>
      <c r="REN8" s="65"/>
      <c r="REO8" s="4"/>
      <c r="REP8" s="4"/>
      <c r="REQ8" s="4"/>
      <c r="RET8" s="34"/>
      <c r="REU8" s="34"/>
      <c r="REW8" s="34"/>
      <c r="REX8" s="72"/>
      <c r="REY8" s="63"/>
      <c r="REZ8" s="34"/>
      <c r="RFA8" s="64"/>
      <c r="RFB8" s="4"/>
      <c r="RFC8" s="65"/>
      <c r="RFD8" s="4"/>
      <c r="RFE8" s="4"/>
      <c r="RFF8" s="4"/>
      <c r="RFI8" s="34"/>
      <c r="RFJ8" s="34"/>
      <c r="RFL8" s="34"/>
      <c r="RFM8" s="72"/>
      <c r="RFN8" s="63"/>
      <c r="RFO8" s="34"/>
      <c r="RFP8" s="64"/>
      <c r="RFQ8" s="4"/>
      <c r="RFR8" s="65"/>
      <c r="RFS8" s="4"/>
      <c r="RFT8" s="4"/>
      <c r="RFU8" s="4"/>
      <c r="RFX8" s="34"/>
      <c r="RFY8" s="34"/>
      <c r="RGA8" s="34"/>
      <c r="RGB8" s="72"/>
      <c r="RGC8" s="63"/>
      <c r="RGD8" s="34"/>
      <c r="RGE8" s="64"/>
      <c r="RGF8" s="4"/>
      <c r="RGG8" s="65"/>
      <c r="RGH8" s="4"/>
      <c r="RGI8" s="4"/>
      <c r="RGJ8" s="4"/>
      <c r="RGM8" s="34"/>
      <c r="RGN8" s="34"/>
      <c r="RGP8" s="34"/>
      <c r="RGQ8" s="72"/>
      <c r="RGR8" s="63"/>
      <c r="RGS8" s="34"/>
      <c r="RGT8" s="64"/>
      <c r="RGU8" s="4"/>
      <c r="RGV8" s="65"/>
      <c r="RGW8" s="4"/>
      <c r="RGX8" s="4"/>
      <c r="RGY8" s="4"/>
      <c r="RHB8" s="34"/>
      <c r="RHC8" s="34"/>
      <c r="RHE8" s="34"/>
      <c r="RHF8" s="72"/>
      <c r="RHG8" s="63"/>
      <c r="RHH8" s="34"/>
      <c r="RHI8" s="64"/>
      <c r="RHJ8" s="4"/>
      <c r="RHK8" s="65"/>
      <c r="RHL8" s="4"/>
      <c r="RHM8" s="4"/>
      <c r="RHN8" s="4"/>
      <c r="RHQ8" s="34"/>
      <c r="RHR8" s="34"/>
      <c r="RHT8" s="34"/>
      <c r="RHU8" s="72"/>
      <c r="RHV8" s="63"/>
      <c r="RHW8" s="34"/>
      <c r="RHX8" s="64"/>
      <c r="RHY8" s="4"/>
      <c r="RHZ8" s="65"/>
      <c r="RIA8" s="4"/>
      <c r="RIB8" s="4"/>
      <c r="RIC8" s="4"/>
      <c r="RIF8" s="34"/>
      <c r="RIG8" s="34"/>
      <c r="RII8" s="34"/>
      <c r="RIJ8" s="72"/>
      <c r="RIK8" s="63"/>
      <c r="RIL8" s="34"/>
      <c r="RIM8" s="64"/>
      <c r="RIN8" s="4"/>
      <c r="RIO8" s="65"/>
      <c r="RIP8" s="4"/>
      <c r="RIQ8" s="4"/>
      <c r="RIR8" s="4"/>
      <c r="RIU8" s="34"/>
      <c r="RIV8" s="34"/>
      <c r="RIX8" s="34"/>
      <c r="RIY8" s="72"/>
      <c r="RIZ8" s="63"/>
      <c r="RJA8" s="34"/>
      <c r="RJB8" s="64"/>
      <c r="RJC8" s="4"/>
      <c r="RJD8" s="65"/>
      <c r="RJE8" s="4"/>
      <c r="RJF8" s="4"/>
      <c r="RJG8" s="4"/>
      <c r="RJJ8" s="34"/>
      <c r="RJK8" s="34"/>
      <c r="RJM8" s="34"/>
      <c r="RJN8" s="72"/>
      <c r="RJO8" s="63"/>
      <c r="RJP8" s="34"/>
      <c r="RJQ8" s="64"/>
      <c r="RJR8" s="4"/>
      <c r="RJS8" s="65"/>
      <c r="RJT8" s="4"/>
      <c r="RJU8" s="4"/>
      <c r="RJV8" s="4"/>
      <c r="RJY8" s="34"/>
      <c r="RJZ8" s="34"/>
      <c r="RKB8" s="34"/>
      <c r="RKC8" s="72"/>
      <c r="RKD8" s="63"/>
      <c r="RKE8" s="34"/>
      <c r="RKF8" s="64"/>
      <c r="RKG8" s="4"/>
      <c r="RKH8" s="65"/>
      <c r="RKI8" s="4"/>
      <c r="RKJ8" s="4"/>
      <c r="RKK8" s="4"/>
      <c r="RKN8" s="34"/>
      <c r="RKO8" s="34"/>
      <c r="RKQ8" s="34"/>
      <c r="RKR8" s="72"/>
      <c r="RKS8" s="63"/>
      <c r="RKT8" s="34"/>
      <c r="RKU8" s="64"/>
      <c r="RKV8" s="4"/>
      <c r="RKW8" s="65"/>
      <c r="RKX8" s="4"/>
      <c r="RKY8" s="4"/>
      <c r="RKZ8" s="4"/>
      <c r="RLC8" s="34"/>
      <c r="RLD8" s="34"/>
      <c r="RLF8" s="34"/>
      <c r="RLG8" s="72"/>
      <c r="RLH8" s="63"/>
      <c r="RLI8" s="34"/>
      <c r="RLJ8" s="64"/>
      <c r="RLK8" s="4"/>
      <c r="RLL8" s="65"/>
      <c r="RLM8" s="4"/>
      <c r="RLN8" s="4"/>
      <c r="RLO8" s="4"/>
      <c r="RLR8" s="34"/>
      <c r="RLS8" s="34"/>
      <c r="RLU8" s="34"/>
      <c r="RLV8" s="72"/>
      <c r="RLW8" s="63"/>
      <c r="RLX8" s="34"/>
      <c r="RLY8" s="64"/>
      <c r="RLZ8" s="4"/>
      <c r="RMA8" s="65"/>
      <c r="RMB8" s="4"/>
      <c r="RMC8" s="4"/>
      <c r="RMD8" s="4"/>
      <c r="RMG8" s="34"/>
      <c r="RMH8" s="34"/>
      <c r="RMJ8" s="34"/>
      <c r="RMK8" s="72"/>
      <c r="RML8" s="63"/>
      <c r="RMM8" s="34"/>
      <c r="RMN8" s="64"/>
      <c r="RMO8" s="4"/>
      <c r="RMP8" s="65"/>
      <c r="RMQ8" s="4"/>
      <c r="RMR8" s="4"/>
      <c r="RMS8" s="4"/>
      <c r="RMV8" s="34"/>
      <c r="RMW8" s="34"/>
      <c r="RMY8" s="34"/>
      <c r="RMZ8" s="72"/>
      <c r="RNA8" s="63"/>
      <c r="RNB8" s="34"/>
      <c r="RNC8" s="64"/>
      <c r="RND8" s="4"/>
      <c r="RNE8" s="65"/>
      <c r="RNF8" s="4"/>
      <c r="RNG8" s="4"/>
      <c r="RNH8" s="4"/>
      <c r="RNK8" s="34"/>
      <c r="RNL8" s="34"/>
      <c r="RNN8" s="34"/>
      <c r="RNO8" s="72"/>
      <c r="RNP8" s="63"/>
      <c r="RNQ8" s="34"/>
      <c r="RNR8" s="64"/>
      <c r="RNS8" s="4"/>
      <c r="RNT8" s="65"/>
      <c r="RNU8" s="4"/>
      <c r="RNV8" s="4"/>
      <c r="RNW8" s="4"/>
      <c r="RNZ8" s="34"/>
      <c r="ROA8" s="34"/>
      <c r="ROC8" s="34"/>
      <c r="ROD8" s="72"/>
      <c r="ROE8" s="63"/>
      <c r="ROF8" s="34"/>
      <c r="ROG8" s="64"/>
      <c r="ROH8" s="4"/>
      <c r="ROI8" s="65"/>
      <c r="ROJ8" s="4"/>
      <c r="ROK8" s="4"/>
      <c r="ROL8" s="4"/>
      <c r="ROO8" s="34"/>
      <c r="ROP8" s="34"/>
      <c r="ROR8" s="34"/>
      <c r="ROS8" s="72"/>
      <c r="ROT8" s="63"/>
      <c r="ROU8" s="34"/>
      <c r="ROV8" s="64"/>
      <c r="ROW8" s="4"/>
      <c r="ROX8" s="65"/>
      <c r="ROY8" s="4"/>
      <c r="ROZ8" s="4"/>
      <c r="RPA8" s="4"/>
      <c r="RPD8" s="34"/>
      <c r="RPE8" s="34"/>
      <c r="RPG8" s="34"/>
      <c r="RPH8" s="72"/>
      <c r="RPI8" s="63"/>
      <c r="RPJ8" s="34"/>
      <c r="RPK8" s="64"/>
      <c r="RPL8" s="4"/>
      <c r="RPM8" s="65"/>
      <c r="RPN8" s="4"/>
      <c r="RPO8" s="4"/>
      <c r="RPP8" s="4"/>
      <c r="RPS8" s="34"/>
      <c r="RPT8" s="34"/>
      <c r="RPV8" s="34"/>
      <c r="RPW8" s="72"/>
      <c r="RPX8" s="63"/>
      <c r="RPY8" s="34"/>
      <c r="RPZ8" s="64"/>
      <c r="RQA8" s="4"/>
      <c r="RQB8" s="65"/>
      <c r="RQC8" s="4"/>
      <c r="RQD8" s="4"/>
      <c r="RQE8" s="4"/>
      <c r="RQH8" s="34"/>
      <c r="RQI8" s="34"/>
      <c r="RQK8" s="34"/>
      <c r="RQL8" s="72"/>
      <c r="RQM8" s="63"/>
      <c r="RQN8" s="34"/>
      <c r="RQO8" s="64"/>
      <c r="RQP8" s="4"/>
      <c r="RQQ8" s="65"/>
      <c r="RQR8" s="4"/>
      <c r="RQS8" s="4"/>
      <c r="RQT8" s="4"/>
      <c r="RQW8" s="34"/>
      <c r="RQX8" s="34"/>
      <c r="RQZ8" s="34"/>
      <c r="RRA8" s="72"/>
      <c r="RRB8" s="63"/>
      <c r="RRC8" s="34"/>
      <c r="RRD8" s="64"/>
      <c r="RRE8" s="4"/>
      <c r="RRF8" s="65"/>
      <c r="RRG8" s="4"/>
      <c r="RRH8" s="4"/>
      <c r="RRI8" s="4"/>
      <c r="RRL8" s="34"/>
      <c r="RRM8" s="34"/>
      <c r="RRO8" s="34"/>
      <c r="RRP8" s="72"/>
      <c r="RRQ8" s="63"/>
      <c r="RRR8" s="34"/>
      <c r="RRS8" s="64"/>
      <c r="RRT8" s="4"/>
      <c r="RRU8" s="65"/>
      <c r="RRV8" s="4"/>
      <c r="RRW8" s="4"/>
      <c r="RRX8" s="4"/>
      <c r="RSA8" s="34"/>
      <c r="RSB8" s="34"/>
      <c r="RSD8" s="34"/>
      <c r="RSE8" s="72"/>
      <c r="RSF8" s="63"/>
      <c r="RSG8" s="34"/>
      <c r="RSH8" s="64"/>
      <c r="RSI8" s="4"/>
      <c r="RSJ8" s="65"/>
      <c r="RSK8" s="4"/>
      <c r="RSL8" s="4"/>
      <c r="RSM8" s="4"/>
      <c r="RSP8" s="34"/>
      <c r="RSQ8" s="34"/>
      <c r="RSS8" s="34"/>
      <c r="RST8" s="72"/>
      <c r="RSU8" s="63"/>
      <c r="RSV8" s="34"/>
      <c r="RSW8" s="64"/>
      <c r="RSX8" s="4"/>
      <c r="RSY8" s="65"/>
      <c r="RSZ8" s="4"/>
      <c r="RTA8" s="4"/>
      <c r="RTB8" s="4"/>
      <c r="RTE8" s="34"/>
      <c r="RTF8" s="34"/>
      <c r="RTH8" s="34"/>
      <c r="RTI8" s="72"/>
      <c r="RTJ8" s="63"/>
      <c r="RTK8" s="34"/>
      <c r="RTL8" s="64"/>
      <c r="RTM8" s="4"/>
      <c r="RTN8" s="65"/>
      <c r="RTO8" s="4"/>
      <c r="RTP8" s="4"/>
      <c r="RTQ8" s="4"/>
      <c r="RTT8" s="34"/>
      <c r="RTU8" s="34"/>
      <c r="RTW8" s="34"/>
      <c r="RTX8" s="72"/>
      <c r="RTY8" s="63"/>
      <c r="RTZ8" s="34"/>
      <c r="RUA8" s="64"/>
      <c r="RUB8" s="4"/>
      <c r="RUC8" s="65"/>
      <c r="RUD8" s="4"/>
      <c r="RUE8" s="4"/>
      <c r="RUF8" s="4"/>
      <c r="RUI8" s="34"/>
      <c r="RUJ8" s="34"/>
      <c r="RUL8" s="34"/>
      <c r="RUM8" s="72"/>
      <c r="RUN8" s="63"/>
      <c r="RUO8" s="34"/>
      <c r="RUP8" s="64"/>
      <c r="RUQ8" s="4"/>
      <c r="RUR8" s="65"/>
      <c r="RUS8" s="4"/>
      <c r="RUT8" s="4"/>
      <c r="RUU8" s="4"/>
      <c r="RUX8" s="34"/>
      <c r="RUY8" s="34"/>
      <c r="RVA8" s="34"/>
      <c r="RVB8" s="72"/>
      <c r="RVC8" s="63"/>
      <c r="RVD8" s="34"/>
      <c r="RVE8" s="64"/>
      <c r="RVF8" s="4"/>
      <c r="RVG8" s="65"/>
      <c r="RVH8" s="4"/>
      <c r="RVI8" s="4"/>
      <c r="RVJ8" s="4"/>
      <c r="RVM8" s="34"/>
      <c r="RVN8" s="34"/>
      <c r="RVP8" s="34"/>
      <c r="RVQ8" s="72"/>
      <c r="RVR8" s="63"/>
      <c r="RVS8" s="34"/>
      <c r="RVT8" s="64"/>
      <c r="RVU8" s="4"/>
      <c r="RVV8" s="65"/>
      <c r="RVW8" s="4"/>
      <c r="RVX8" s="4"/>
      <c r="RVY8" s="4"/>
      <c r="RWB8" s="34"/>
      <c r="RWC8" s="34"/>
      <c r="RWE8" s="34"/>
      <c r="RWF8" s="72"/>
      <c r="RWG8" s="63"/>
      <c r="RWH8" s="34"/>
      <c r="RWI8" s="64"/>
      <c r="RWJ8" s="4"/>
      <c r="RWK8" s="65"/>
      <c r="RWL8" s="4"/>
      <c r="RWM8" s="4"/>
      <c r="RWN8" s="4"/>
      <c r="RWQ8" s="34"/>
      <c r="RWR8" s="34"/>
      <c r="RWT8" s="34"/>
      <c r="RWU8" s="72"/>
      <c r="RWV8" s="63"/>
      <c r="RWW8" s="34"/>
      <c r="RWX8" s="64"/>
      <c r="RWY8" s="4"/>
      <c r="RWZ8" s="65"/>
      <c r="RXA8" s="4"/>
      <c r="RXB8" s="4"/>
      <c r="RXC8" s="4"/>
      <c r="RXF8" s="34"/>
      <c r="RXG8" s="34"/>
      <c r="RXI8" s="34"/>
      <c r="RXJ8" s="72"/>
      <c r="RXK8" s="63"/>
      <c r="RXL8" s="34"/>
      <c r="RXM8" s="64"/>
      <c r="RXN8" s="4"/>
      <c r="RXO8" s="65"/>
      <c r="RXP8" s="4"/>
      <c r="RXQ8" s="4"/>
      <c r="RXR8" s="4"/>
      <c r="RXU8" s="34"/>
      <c r="RXV8" s="34"/>
      <c r="RXX8" s="34"/>
      <c r="RXY8" s="72"/>
      <c r="RXZ8" s="63"/>
      <c r="RYA8" s="34"/>
      <c r="RYB8" s="64"/>
      <c r="RYC8" s="4"/>
      <c r="RYD8" s="65"/>
      <c r="RYE8" s="4"/>
      <c r="RYF8" s="4"/>
      <c r="RYG8" s="4"/>
      <c r="RYJ8" s="34"/>
      <c r="RYK8" s="34"/>
      <c r="RYM8" s="34"/>
      <c r="RYN8" s="72"/>
      <c r="RYO8" s="63"/>
      <c r="RYP8" s="34"/>
      <c r="RYQ8" s="64"/>
      <c r="RYR8" s="4"/>
      <c r="RYS8" s="65"/>
      <c r="RYT8" s="4"/>
      <c r="RYU8" s="4"/>
      <c r="RYV8" s="4"/>
      <c r="RYY8" s="34"/>
      <c r="RYZ8" s="34"/>
      <c r="RZB8" s="34"/>
      <c r="RZC8" s="72"/>
      <c r="RZD8" s="63"/>
      <c r="RZE8" s="34"/>
      <c r="RZF8" s="64"/>
      <c r="RZG8" s="4"/>
      <c r="RZH8" s="65"/>
      <c r="RZI8" s="4"/>
      <c r="RZJ8" s="4"/>
      <c r="RZK8" s="4"/>
      <c r="RZN8" s="34"/>
      <c r="RZO8" s="34"/>
      <c r="RZQ8" s="34"/>
      <c r="RZR8" s="72"/>
      <c r="RZS8" s="63"/>
      <c r="RZT8" s="34"/>
      <c r="RZU8" s="64"/>
      <c r="RZV8" s="4"/>
      <c r="RZW8" s="65"/>
      <c r="RZX8" s="4"/>
      <c r="RZY8" s="4"/>
      <c r="RZZ8" s="4"/>
      <c r="SAC8" s="34"/>
      <c r="SAD8" s="34"/>
      <c r="SAF8" s="34"/>
      <c r="SAG8" s="72"/>
      <c r="SAH8" s="63"/>
      <c r="SAI8" s="34"/>
      <c r="SAJ8" s="64"/>
      <c r="SAK8" s="4"/>
      <c r="SAL8" s="65"/>
      <c r="SAM8" s="4"/>
      <c r="SAN8" s="4"/>
      <c r="SAO8" s="4"/>
      <c r="SAR8" s="34"/>
      <c r="SAS8" s="34"/>
      <c r="SAU8" s="34"/>
      <c r="SAV8" s="72"/>
      <c r="SAW8" s="63"/>
      <c r="SAX8" s="34"/>
      <c r="SAY8" s="64"/>
      <c r="SAZ8" s="4"/>
      <c r="SBA8" s="65"/>
      <c r="SBB8" s="4"/>
      <c r="SBC8" s="4"/>
      <c r="SBD8" s="4"/>
      <c r="SBG8" s="34"/>
      <c r="SBH8" s="34"/>
      <c r="SBJ8" s="34"/>
      <c r="SBK8" s="72"/>
      <c r="SBL8" s="63"/>
      <c r="SBM8" s="34"/>
      <c r="SBN8" s="64"/>
      <c r="SBO8" s="4"/>
      <c r="SBP8" s="65"/>
      <c r="SBQ8" s="4"/>
      <c r="SBR8" s="4"/>
      <c r="SBS8" s="4"/>
      <c r="SBV8" s="34"/>
      <c r="SBW8" s="34"/>
      <c r="SBY8" s="34"/>
      <c r="SBZ8" s="72"/>
      <c r="SCA8" s="63"/>
      <c r="SCB8" s="34"/>
      <c r="SCC8" s="64"/>
      <c r="SCD8" s="4"/>
      <c r="SCE8" s="65"/>
      <c r="SCF8" s="4"/>
      <c r="SCG8" s="4"/>
      <c r="SCH8" s="4"/>
      <c r="SCK8" s="34"/>
      <c r="SCL8" s="34"/>
      <c r="SCN8" s="34"/>
      <c r="SCO8" s="72"/>
      <c r="SCP8" s="63"/>
      <c r="SCQ8" s="34"/>
      <c r="SCR8" s="64"/>
      <c r="SCS8" s="4"/>
      <c r="SCT8" s="65"/>
      <c r="SCU8" s="4"/>
      <c r="SCV8" s="4"/>
      <c r="SCW8" s="4"/>
      <c r="SCZ8" s="34"/>
      <c r="SDA8" s="34"/>
      <c r="SDC8" s="34"/>
      <c r="SDD8" s="72"/>
      <c r="SDE8" s="63"/>
      <c r="SDF8" s="34"/>
      <c r="SDG8" s="64"/>
      <c r="SDH8" s="4"/>
      <c r="SDI8" s="65"/>
      <c r="SDJ8" s="4"/>
      <c r="SDK8" s="4"/>
      <c r="SDL8" s="4"/>
      <c r="SDO8" s="34"/>
      <c r="SDP8" s="34"/>
      <c r="SDR8" s="34"/>
      <c r="SDS8" s="72"/>
      <c r="SDT8" s="63"/>
      <c r="SDU8" s="34"/>
      <c r="SDV8" s="64"/>
      <c r="SDW8" s="4"/>
      <c r="SDX8" s="65"/>
      <c r="SDY8" s="4"/>
      <c r="SDZ8" s="4"/>
      <c r="SEA8" s="4"/>
      <c r="SED8" s="34"/>
      <c r="SEE8" s="34"/>
      <c r="SEG8" s="34"/>
      <c r="SEH8" s="72"/>
      <c r="SEI8" s="63"/>
      <c r="SEJ8" s="34"/>
      <c r="SEK8" s="64"/>
      <c r="SEL8" s="4"/>
      <c r="SEM8" s="65"/>
      <c r="SEN8" s="4"/>
      <c r="SEO8" s="4"/>
      <c r="SEP8" s="4"/>
      <c r="SES8" s="34"/>
      <c r="SET8" s="34"/>
      <c r="SEV8" s="34"/>
      <c r="SEW8" s="72"/>
      <c r="SEX8" s="63"/>
      <c r="SEY8" s="34"/>
      <c r="SEZ8" s="64"/>
      <c r="SFA8" s="4"/>
      <c r="SFB8" s="65"/>
      <c r="SFC8" s="4"/>
      <c r="SFD8" s="4"/>
      <c r="SFE8" s="4"/>
      <c r="SFH8" s="34"/>
      <c r="SFI8" s="34"/>
      <c r="SFK8" s="34"/>
      <c r="SFL8" s="72"/>
      <c r="SFM8" s="63"/>
      <c r="SFN8" s="34"/>
      <c r="SFO8" s="64"/>
      <c r="SFP8" s="4"/>
      <c r="SFQ8" s="65"/>
      <c r="SFR8" s="4"/>
      <c r="SFS8" s="4"/>
      <c r="SFT8" s="4"/>
      <c r="SFW8" s="34"/>
      <c r="SFX8" s="34"/>
      <c r="SFZ8" s="34"/>
      <c r="SGA8" s="72"/>
      <c r="SGB8" s="63"/>
      <c r="SGC8" s="34"/>
      <c r="SGD8" s="64"/>
      <c r="SGE8" s="4"/>
      <c r="SGF8" s="65"/>
      <c r="SGG8" s="4"/>
      <c r="SGH8" s="4"/>
      <c r="SGI8" s="4"/>
      <c r="SGL8" s="34"/>
      <c r="SGM8" s="34"/>
      <c r="SGO8" s="34"/>
      <c r="SGP8" s="72"/>
      <c r="SGQ8" s="63"/>
      <c r="SGR8" s="34"/>
      <c r="SGS8" s="64"/>
      <c r="SGT8" s="4"/>
      <c r="SGU8" s="65"/>
      <c r="SGV8" s="4"/>
      <c r="SGW8" s="4"/>
      <c r="SGX8" s="4"/>
      <c r="SHA8" s="34"/>
      <c r="SHB8" s="34"/>
      <c r="SHD8" s="34"/>
      <c r="SHE8" s="72"/>
      <c r="SHF8" s="63"/>
      <c r="SHG8" s="34"/>
      <c r="SHH8" s="64"/>
      <c r="SHI8" s="4"/>
      <c r="SHJ8" s="65"/>
      <c r="SHK8" s="4"/>
      <c r="SHL8" s="4"/>
      <c r="SHM8" s="4"/>
      <c r="SHP8" s="34"/>
      <c r="SHQ8" s="34"/>
      <c r="SHS8" s="34"/>
      <c r="SHT8" s="72"/>
      <c r="SHU8" s="63"/>
      <c r="SHV8" s="34"/>
      <c r="SHW8" s="64"/>
      <c r="SHX8" s="4"/>
      <c r="SHY8" s="65"/>
      <c r="SHZ8" s="4"/>
      <c r="SIA8" s="4"/>
      <c r="SIB8" s="4"/>
      <c r="SIE8" s="34"/>
      <c r="SIF8" s="34"/>
      <c r="SIH8" s="34"/>
      <c r="SII8" s="72"/>
      <c r="SIJ8" s="63"/>
      <c r="SIK8" s="34"/>
      <c r="SIL8" s="64"/>
      <c r="SIM8" s="4"/>
      <c r="SIN8" s="65"/>
      <c r="SIO8" s="4"/>
      <c r="SIP8" s="4"/>
      <c r="SIQ8" s="4"/>
      <c r="SIT8" s="34"/>
      <c r="SIU8" s="34"/>
      <c r="SIW8" s="34"/>
      <c r="SIX8" s="72"/>
      <c r="SIY8" s="63"/>
      <c r="SIZ8" s="34"/>
      <c r="SJA8" s="64"/>
      <c r="SJB8" s="4"/>
      <c r="SJC8" s="65"/>
      <c r="SJD8" s="4"/>
      <c r="SJE8" s="4"/>
      <c r="SJF8" s="4"/>
      <c r="SJI8" s="34"/>
      <c r="SJJ8" s="34"/>
      <c r="SJL8" s="34"/>
      <c r="SJM8" s="72"/>
      <c r="SJN8" s="63"/>
      <c r="SJO8" s="34"/>
      <c r="SJP8" s="64"/>
      <c r="SJQ8" s="4"/>
      <c r="SJR8" s="65"/>
      <c r="SJS8" s="4"/>
      <c r="SJT8" s="4"/>
      <c r="SJU8" s="4"/>
      <c r="SJX8" s="34"/>
      <c r="SJY8" s="34"/>
      <c r="SKA8" s="34"/>
      <c r="SKB8" s="72"/>
      <c r="SKC8" s="63"/>
      <c r="SKD8" s="34"/>
      <c r="SKE8" s="64"/>
      <c r="SKF8" s="4"/>
      <c r="SKG8" s="65"/>
      <c r="SKH8" s="4"/>
      <c r="SKI8" s="4"/>
      <c r="SKJ8" s="4"/>
      <c r="SKM8" s="34"/>
      <c r="SKN8" s="34"/>
      <c r="SKP8" s="34"/>
      <c r="SKQ8" s="72"/>
      <c r="SKR8" s="63"/>
      <c r="SKS8" s="34"/>
      <c r="SKT8" s="64"/>
      <c r="SKU8" s="4"/>
      <c r="SKV8" s="65"/>
      <c r="SKW8" s="4"/>
      <c r="SKX8" s="4"/>
      <c r="SKY8" s="4"/>
      <c r="SLB8" s="34"/>
      <c r="SLC8" s="34"/>
      <c r="SLE8" s="34"/>
      <c r="SLF8" s="72"/>
      <c r="SLG8" s="63"/>
      <c r="SLH8" s="34"/>
      <c r="SLI8" s="64"/>
      <c r="SLJ8" s="4"/>
      <c r="SLK8" s="65"/>
      <c r="SLL8" s="4"/>
      <c r="SLM8" s="4"/>
      <c r="SLN8" s="4"/>
      <c r="SLQ8" s="34"/>
      <c r="SLR8" s="34"/>
      <c r="SLT8" s="34"/>
      <c r="SLU8" s="72"/>
      <c r="SLV8" s="63"/>
      <c r="SLW8" s="34"/>
      <c r="SLX8" s="64"/>
      <c r="SLY8" s="4"/>
      <c r="SLZ8" s="65"/>
      <c r="SMA8" s="4"/>
      <c r="SMB8" s="4"/>
      <c r="SMC8" s="4"/>
      <c r="SMF8" s="34"/>
      <c r="SMG8" s="34"/>
      <c r="SMI8" s="34"/>
      <c r="SMJ8" s="72"/>
      <c r="SMK8" s="63"/>
      <c r="SML8" s="34"/>
      <c r="SMM8" s="64"/>
      <c r="SMN8" s="4"/>
      <c r="SMO8" s="65"/>
      <c r="SMP8" s="4"/>
      <c r="SMQ8" s="4"/>
      <c r="SMR8" s="4"/>
      <c r="SMU8" s="34"/>
      <c r="SMV8" s="34"/>
      <c r="SMX8" s="34"/>
      <c r="SMY8" s="72"/>
      <c r="SMZ8" s="63"/>
      <c r="SNA8" s="34"/>
      <c r="SNB8" s="64"/>
      <c r="SNC8" s="4"/>
      <c r="SND8" s="65"/>
      <c r="SNE8" s="4"/>
      <c r="SNF8" s="4"/>
      <c r="SNG8" s="4"/>
      <c r="SNJ8" s="34"/>
      <c r="SNK8" s="34"/>
      <c r="SNM8" s="34"/>
      <c r="SNN8" s="72"/>
      <c r="SNO8" s="63"/>
      <c r="SNP8" s="34"/>
      <c r="SNQ8" s="64"/>
      <c r="SNR8" s="4"/>
      <c r="SNS8" s="65"/>
      <c r="SNT8" s="4"/>
      <c r="SNU8" s="4"/>
      <c r="SNV8" s="4"/>
      <c r="SNY8" s="34"/>
      <c r="SNZ8" s="34"/>
      <c r="SOB8" s="34"/>
      <c r="SOC8" s="72"/>
      <c r="SOD8" s="63"/>
      <c r="SOE8" s="34"/>
      <c r="SOF8" s="64"/>
      <c r="SOG8" s="4"/>
      <c r="SOH8" s="65"/>
      <c r="SOI8" s="4"/>
      <c r="SOJ8" s="4"/>
      <c r="SOK8" s="4"/>
      <c r="SON8" s="34"/>
      <c r="SOO8" s="34"/>
      <c r="SOQ8" s="34"/>
      <c r="SOR8" s="72"/>
      <c r="SOS8" s="63"/>
      <c r="SOT8" s="34"/>
      <c r="SOU8" s="64"/>
      <c r="SOV8" s="4"/>
      <c r="SOW8" s="65"/>
      <c r="SOX8" s="4"/>
      <c r="SOY8" s="4"/>
      <c r="SOZ8" s="4"/>
      <c r="SPC8" s="34"/>
      <c r="SPD8" s="34"/>
      <c r="SPF8" s="34"/>
      <c r="SPG8" s="72"/>
      <c r="SPH8" s="63"/>
      <c r="SPI8" s="34"/>
      <c r="SPJ8" s="64"/>
      <c r="SPK8" s="4"/>
      <c r="SPL8" s="65"/>
      <c r="SPM8" s="4"/>
      <c r="SPN8" s="4"/>
      <c r="SPO8" s="4"/>
      <c r="SPR8" s="34"/>
      <c r="SPS8" s="34"/>
      <c r="SPU8" s="34"/>
      <c r="SPV8" s="72"/>
      <c r="SPW8" s="63"/>
      <c r="SPX8" s="34"/>
      <c r="SPY8" s="64"/>
      <c r="SPZ8" s="4"/>
      <c r="SQA8" s="65"/>
      <c r="SQB8" s="4"/>
      <c r="SQC8" s="4"/>
      <c r="SQD8" s="4"/>
      <c r="SQG8" s="34"/>
      <c r="SQH8" s="34"/>
      <c r="SQJ8" s="34"/>
      <c r="SQK8" s="72"/>
      <c r="SQL8" s="63"/>
      <c r="SQM8" s="34"/>
      <c r="SQN8" s="64"/>
      <c r="SQO8" s="4"/>
      <c r="SQP8" s="65"/>
      <c r="SQQ8" s="4"/>
      <c r="SQR8" s="4"/>
      <c r="SQS8" s="4"/>
      <c r="SQV8" s="34"/>
      <c r="SQW8" s="34"/>
      <c r="SQY8" s="34"/>
      <c r="SQZ8" s="72"/>
      <c r="SRA8" s="63"/>
      <c r="SRB8" s="34"/>
      <c r="SRC8" s="64"/>
      <c r="SRD8" s="4"/>
      <c r="SRE8" s="65"/>
      <c r="SRF8" s="4"/>
      <c r="SRG8" s="4"/>
      <c r="SRH8" s="4"/>
      <c r="SRK8" s="34"/>
      <c r="SRL8" s="34"/>
      <c r="SRN8" s="34"/>
      <c r="SRO8" s="72"/>
      <c r="SRP8" s="63"/>
      <c r="SRQ8" s="34"/>
      <c r="SRR8" s="64"/>
      <c r="SRS8" s="4"/>
      <c r="SRT8" s="65"/>
      <c r="SRU8" s="4"/>
      <c r="SRV8" s="4"/>
      <c r="SRW8" s="4"/>
      <c r="SRZ8" s="34"/>
      <c r="SSA8" s="34"/>
      <c r="SSC8" s="34"/>
      <c r="SSD8" s="72"/>
      <c r="SSE8" s="63"/>
      <c r="SSF8" s="34"/>
      <c r="SSG8" s="64"/>
      <c r="SSH8" s="4"/>
      <c r="SSI8" s="65"/>
      <c r="SSJ8" s="4"/>
      <c r="SSK8" s="4"/>
      <c r="SSL8" s="4"/>
      <c r="SSO8" s="34"/>
      <c r="SSP8" s="34"/>
      <c r="SSR8" s="34"/>
      <c r="SSS8" s="72"/>
      <c r="SST8" s="63"/>
      <c r="SSU8" s="34"/>
      <c r="SSV8" s="64"/>
      <c r="SSW8" s="4"/>
      <c r="SSX8" s="65"/>
      <c r="SSY8" s="4"/>
      <c r="SSZ8" s="4"/>
      <c r="STA8" s="4"/>
      <c r="STD8" s="34"/>
      <c r="STE8" s="34"/>
      <c r="STG8" s="34"/>
      <c r="STH8" s="72"/>
      <c r="STI8" s="63"/>
      <c r="STJ8" s="34"/>
      <c r="STK8" s="64"/>
      <c r="STL8" s="4"/>
      <c r="STM8" s="65"/>
      <c r="STN8" s="4"/>
      <c r="STO8" s="4"/>
      <c r="STP8" s="4"/>
      <c r="STS8" s="34"/>
      <c r="STT8" s="34"/>
      <c r="STV8" s="34"/>
      <c r="STW8" s="72"/>
      <c r="STX8" s="63"/>
      <c r="STY8" s="34"/>
      <c r="STZ8" s="64"/>
      <c r="SUA8" s="4"/>
      <c r="SUB8" s="65"/>
      <c r="SUC8" s="4"/>
      <c r="SUD8" s="4"/>
      <c r="SUE8" s="4"/>
      <c r="SUH8" s="34"/>
      <c r="SUI8" s="34"/>
      <c r="SUK8" s="34"/>
      <c r="SUL8" s="72"/>
      <c r="SUM8" s="63"/>
      <c r="SUN8" s="34"/>
      <c r="SUO8" s="64"/>
      <c r="SUP8" s="4"/>
      <c r="SUQ8" s="65"/>
      <c r="SUR8" s="4"/>
      <c r="SUS8" s="4"/>
      <c r="SUT8" s="4"/>
      <c r="SUW8" s="34"/>
      <c r="SUX8" s="34"/>
      <c r="SUZ8" s="34"/>
      <c r="SVA8" s="72"/>
      <c r="SVB8" s="63"/>
      <c r="SVC8" s="34"/>
      <c r="SVD8" s="64"/>
      <c r="SVE8" s="4"/>
      <c r="SVF8" s="65"/>
      <c r="SVG8" s="4"/>
      <c r="SVH8" s="4"/>
      <c r="SVI8" s="4"/>
      <c r="SVL8" s="34"/>
      <c r="SVM8" s="34"/>
      <c r="SVO8" s="34"/>
      <c r="SVP8" s="72"/>
      <c r="SVQ8" s="63"/>
      <c r="SVR8" s="34"/>
      <c r="SVS8" s="64"/>
      <c r="SVT8" s="4"/>
      <c r="SVU8" s="65"/>
      <c r="SVV8" s="4"/>
      <c r="SVW8" s="4"/>
      <c r="SVX8" s="4"/>
      <c r="SWA8" s="34"/>
      <c r="SWB8" s="34"/>
      <c r="SWD8" s="34"/>
      <c r="SWE8" s="72"/>
      <c r="SWF8" s="63"/>
      <c r="SWG8" s="34"/>
      <c r="SWH8" s="64"/>
      <c r="SWI8" s="4"/>
      <c r="SWJ8" s="65"/>
      <c r="SWK8" s="4"/>
      <c r="SWL8" s="4"/>
      <c r="SWM8" s="4"/>
      <c r="SWP8" s="34"/>
      <c r="SWQ8" s="34"/>
      <c r="SWS8" s="34"/>
      <c r="SWT8" s="72"/>
      <c r="SWU8" s="63"/>
      <c r="SWV8" s="34"/>
      <c r="SWW8" s="64"/>
      <c r="SWX8" s="4"/>
      <c r="SWY8" s="65"/>
      <c r="SWZ8" s="4"/>
      <c r="SXA8" s="4"/>
      <c r="SXB8" s="4"/>
      <c r="SXE8" s="34"/>
      <c r="SXF8" s="34"/>
      <c r="SXH8" s="34"/>
      <c r="SXI8" s="72"/>
      <c r="SXJ8" s="63"/>
      <c r="SXK8" s="34"/>
      <c r="SXL8" s="64"/>
      <c r="SXM8" s="4"/>
      <c r="SXN8" s="65"/>
      <c r="SXO8" s="4"/>
      <c r="SXP8" s="4"/>
      <c r="SXQ8" s="4"/>
      <c r="SXT8" s="34"/>
      <c r="SXU8" s="34"/>
      <c r="SXW8" s="34"/>
      <c r="SXX8" s="72"/>
      <c r="SXY8" s="63"/>
      <c r="SXZ8" s="34"/>
      <c r="SYA8" s="64"/>
      <c r="SYB8" s="4"/>
      <c r="SYC8" s="65"/>
      <c r="SYD8" s="4"/>
      <c r="SYE8" s="4"/>
      <c r="SYF8" s="4"/>
      <c r="SYI8" s="34"/>
      <c r="SYJ8" s="34"/>
      <c r="SYL8" s="34"/>
      <c r="SYM8" s="72"/>
      <c r="SYN8" s="63"/>
      <c r="SYO8" s="34"/>
      <c r="SYP8" s="64"/>
      <c r="SYQ8" s="4"/>
      <c r="SYR8" s="65"/>
      <c r="SYS8" s="4"/>
      <c r="SYT8" s="4"/>
      <c r="SYU8" s="4"/>
      <c r="SYX8" s="34"/>
      <c r="SYY8" s="34"/>
      <c r="SZA8" s="34"/>
      <c r="SZB8" s="72"/>
      <c r="SZC8" s="63"/>
      <c r="SZD8" s="34"/>
      <c r="SZE8" s="64"/>
      <c r="SZF8" s="4"/>
      <c r="SZG8" s="65"/>
      <c r="SZH8" s="4"/>
      <c r="SZI8" s="4"/>
      <c r="SZJ8" s="4"/>
      <c r="SZM8" s="34"/>
      <c r="SZN8" s="34"/>
      <c r="SZP8" s="34"/>
      <c r="SZQ8" s="72"/>
      <c r="SZR8" s="63"/>
      <c r="SZS8" s="34"/>
      <c r="SZT8" s="64"/>
      <c r="SZU8" s="4"/>
      <c r="SZV8" s="65"/>
      <c r="SZW8" s="4"/>
      <c r="SZX8" s="4"/>
      <c r="SZY8" s="4"/>
      <c r="TAB8" s="34"/>
      <c r="TAC8" s="34"/>
      <c r="TAE8" s="34"/>
      <c r="TAF8" s="72"/>
      <c r="TAG8" s="63"/>
      <c r="TAH8" s="34"/>
      <c r="TAI8" s="64"/>
      <c r="TAJ8" s="4"/>
      <c r="TAK8" s="65"/>
      <c r="TAL8" s="4"/>
      <c r="TAM8" s="4"/>
      <c r="TAN8" s="4"/>
      <c r="TAQ8" s="34"/>
      <c r="TAR8" s="34"/>
      <c r="TAT8" s="34"/>
      <c r="TAU8" s="72"/>
      <c r="TAV8" s="63"/>
      <c r="TAW8" s="34"/>
      <c r="TAX8" s="64"/>
      <c r="TAY8" s="4"/>
      <c r="TAZ8" s="65"/>
      <c r="TBA8" s="4"/>
      <c r="TBB8" s="4"/>
      <c r="TBC8" s="4"/>
      <c r="TBF8" s="34"/>
      <c r="TBG8" s="34"/>
      <c r="TBI8" s="34"/>
      <c r="TBJ8" s="72"/>
      <c r="TBK8" s="63"/>
      <c r="TBL8" s="34"/>
      <c r="TBM8" s="64"/>
      <c r="TBN8" s="4"/>
      <c r="TBO8" s="65"/>
      <c r="TBP8" s="4"/>
      <c r="TBQ8" s="4"/>
      <c r="TBR8" s="4"/>
      <c r="TBU8" s="34"/>
      <c r="TBV8" s="34"/>
      <c r="TBX8" s="34"/>
      <c r="TBY8" s="72"/>
      <c r="TBZ8" s="63"/>
      <c r="TCA8" s="34"/>
      <c r="TCB8" s="64"/>
      <c r="TCC8" s="4"/>
      <c r="TCD8" s="65"/>
      <c r="TCE8" s="4"/>
      <c r="TCF8" s="4"/>
      <c r="TCG8" s="4"/>
      <c r="TCJ8" s="34"/>
      <c r="TCK8" s="34"/>
      <c r="TCM8" s="34"/>
      <c r="TCN8" s="72"/>
      <c r="TCO8" s="63"/>
      <c r="TCP8" s="34"/>
      <c r="TCQ8" s="64"/>
      <c r="TCR8" s="4"/>
      <c r="TCS8" s="65"/>
      <c r="TCT8" s="4"/>
      <c r="TCU8" s="4"/>
      <c r="TCV8" s="4"/>
      <c r="TCY8" s="34"/>
      <c r="TCZ8" s="34"/>
      <c r="TDB8" s="34"/>
      <c r="TDC8" s="72"/>
      <c r="TDD8" s="63"/>
      <c r="TDE8" s="34"/>
      <c r="TDF8" s="64"/>
      <c r="TDG8" s="4"/>
      <c r="TDH8" s="65"/>
      <c r="TDI8" s="4"/>
      <c r="TDJ8" s="4"/>
      <c r="TDK8" s="4"/>
      <c r="TDN8" s="34"/>
      <c r="TDO8" s="34"/>
      <c r="TDQ8" s="34"/>
      <c r="TDR8" s="72"/>
      <c r="TDS8" s="63"/>
      <c r="TDT8" s="34"/>
      <c r="TDU8" s="64"/>
      <c r="TDV8" s="4"/>
      <c r="TDW8" s="65"/>
      <c r="TDX8" s="4"/>
      <c r="TDY8" s="4"/>
      <c r="TDZ8" s="4"/>
      <c r="TEC8" s="34"/>
      <c r="TED8" s="34"/>
      <c r="TEF8" s="34"/>
      <c r="TEG8" s="72"/>
      <c r="TEH8" s="63"/>
      <c r="TEI8" s="34"/>
      <c r="TEJ8" s="64"/>
      <c r="TEK8" s="4"/>
      <c r="TEL8" s="65"/>
      <c r="TEM8" s="4"/>
      <c r="TEN8" s="4"/>
      <c r="TEO8" s="4"/>
      <c r="TER8" s="34"/>
      <c r="TES8" s="34"/>
      <c r="TEU8" s="34"/>
      <c r="TEV8" s="72"/>
      <c r="TEW8" s="63"/>
      <c r="TEX8" s="34"/>
      <c r="TEY8" s="64"/>
      <c r="TEZ8" s="4"/>
      <c r="TFA8" s="65"/>
      <c r="TFB8" s="4"/>
      <c r="TFC8" s="4"/>
      <c r="TFD8" s="4"/>
      <c r="TFG8" s="34"/>
      <c r="TFH8" s="34"/>
      <c r="TFJ8" s="34"/>
      <c r="TFK8" s="72"/>
      <c r="TFL8" s="63"/>
      <c r="TFM8" s="34"/>
      <c r="TFN8" s="64"/>
      <c r="TFO8" s="4"/>
      <c r="TFP8" s="65"/>
      <c r="TFQ8" s="4"/>
      <c r="TFR8" s="4"/>
      <c r="TFS8" s="4"/>
      <c r="TFV8" s="34"/>
      <c r="TFW8" s="34"/>
      <c r="TFY8" s="34"/>
      <c r="TFZ8" s="72"/>
      <c r="TGA8" s="63"/>
      <c r="TGB8" s="34"/>
      <c r="TGC8" s="64"/>
      <c r="TGD8" s="4"/>
      <c r="TGE8" s="65"/>
      <c r="TGF8" s="4"/>
      <c r="TGG8" s="4"/>
      <c r="TGH8" s="4"/>
      <c r="TGK8" s="34"/>
      <c r="TGL8" s="34"/>
      <c r="TGN8" s="34"/>
      <c r="TGO8" s="72"/>
      <c r="TGP8" s="63"/>
      <c r="TGQ8" s="34"/>
      <c r="TGR8" s="64"/>
      <c r="TGS8" s="4"/>
      <c r="TGT8" s="65"/>
      <c r="TGU8" s="4"/>
      <c r="TGV8" s="4"/>
      <c r="TGW8" s="4"/>
      <c r="TGZ8" s="34"/>
      <c r="THA8" s="34"/>
      <c r="THC8" s="34"/>
      <c r="THD8" s="72"/>
      <c r="THE8" s="63"/>
      <c r="THF8" s="34"/>
      <c r="THG8" s="64"/>
      <c r="THH8" s="4"/>
      <c r="THI8" s="65"/>
      <c r="THJ8" s="4"/>
      <c r="THK8" s="4"/>
      <c r="THL8" s="4"/>
      <c r="THO8" s="34"/>
      <c r="THP8" s="34"/>
      <c r="THR8" s="34"/>
      <c r="THS8" s="72"/>
      <c r="THT8" s="63"/>
      <c r="THU8" s="34"/>
      <c r="THV8" s="64"/>
      <c r="THW8" s="4"/>
      <c r="THX8" s="65"/>
      <c r="THY8" s="4"/>
      <c r="THZ8" s="4"/>
      <c r="TIA8" s="4"/>
      <c r="TID8" s="34"/>
      <c r="TIE8" s="34"/>
      <c r="TIG8" s="34"/>
      <c r="TIH8" s="72"/>
      <c r="TII8" s="63"/>
      <c r="TIJ8" s="34"/>
      <c r="TIK8" s="64"/>
      <c r="TIL8" s="4"/>
      <c r="TIM8" s="65"/>
      <c r="TIN8" s="4"/>
      <c r="TIO8" s="4"/>
      <c r="TIP8" s="4"/>
      <c r="TIS8" s="34"/>
      <c r="TIT8" s="34"/>
      <c r="TIV8" s="34"/>
      <c r="TIW8" s="72"/>
      <c r="TIX8" s="63"/>
      <c r="TIY8" s="34"/>
      <c r="TIZ8" s="64"/>
      <c r="TJA8" s="4"/>
      <c r="TJB8" s="65"/>
      <c r="TJC8" s="4"/>
      <c r="TJD8" s="4"/>
      <c r="TJE8" s="4"/>
      <c r="TJH8" s="34"/>
      <c r="TJI8" s="34"/>
      <c r="TJK8" s="34"/>
      <c r="TJL8" s="72"/>
      <c r="TJM8" s="63"/>
      <c r="TJN8" s="34"/>
      <c r="TJO8" s="64"/>
      <c r="TJP8" s="4"/>
      <c r="TJQ8" s="65"/>
      <c r="TJR8" s="4"/>
      <c r="TJS8" s="4"/>
      <c r="TJT8" s="4"/>
      <c r="TJW8" s="34"/>
      <c r="TJX8" s="34"/>
      <c r="TJZ8" s="34"/>
      <c r="TKA8" s="72"/>
      <c r="TKB8" s="63"/>
      <c r="TKC8" s="34"/>
      <c r="TKD8" s="64"/>
      <c r="TKE8" s="4"/>
      <c r="TKF8" s="65"/>
      <c r="TKG8" s="4"/>
      <c r="TKH8" s="4"/>
      <c r="TKI8" s="4"/>
      <c r="TKL8" s="34"/>
      <c r="TKM8" s="34"/>
      <c r="TKO8" s="34"/>
      <c r="TKP8" s="72"/>
      <c r="TKQ8" s="63"/>
      <c r="TKR8" s="34"/>
      <c r="TKS8" s="64"/>
      <c r="TKT8" s="4"/>
      <c r="TKU8" s="65"/>
      <c r="TKV8" s="4"/>
      <c r="TKW8" s="4"/>
      <c r="TKX8" s="4"/>
      <c r="TLA8" s="34"/>
      <c r="TLB8" s="34"/>
      <c r="TLD8" s="34"/>
      <c r="TLE8" s="72"/>
      <c r="TLF8" s="63"/>
      <c r="TLG8" s="34"/>
      <c r="TLH8" s="64"/>
      <c r="TLI8" s="4"/>
      <c r="TLJ8" s="65"/>
      <c r="TLK8" s="4"/>
      <c r="TLL8" s="4"/>
      <c r="TLM8" s="4"/>
      <c r="TLP8" s="34"/>
      <c r="TLQ8" s="34"/>
      <c r="TLS8" s="34"/>
      <c r="TLT8" s="72"/>
      <c r="TLU8" s="63"/>
      <c r="TLV8" s="34"/>
      <c r="TLW8" s="64"/>
      <c r="TLX8" s="4"/>
      <c r="TLY8" s="65"/>
      <c r="TLZ8" s="4"/>
      <c r="TMA8" s="4"/>
      <c r="TMB8" s="4"/>
      <c r="TME8" s="34"/>
      <c r="TMF8" s="34"/>
      <c r="TMH8" s="34"/>
      <c r="TMI8" s="72"/>
      <c r="TMJ8" s="63"/>
      <c r="TMK8" s="34"/>
      <c r="TML8" s="64"/>
      <c r="TMM8" s="4"/>
      <c r="TMN8" s="65"/>
      <c r="TMO8" s="4"/>
      <c r="TMP8" s="4"/>
      <c r="TMQ8" s="4"/>
      <c r="TMT8" s="34"/>
      <c r="TMU8" s="34"/>
      <c r="TMW8" s="34"/>
      <c r="TMX8" s="72"/>
      <c r="TMY8" s="63"/>
      <c r="TMZ8" s="34"/>
      <c r="TNA8" s="64"/>
      <c r="TNB8" s="4"/>
      <c r="TNC8" s="65"/>
      <c r="TND8" s="4"/>
      <c r="TNE8" s="4"/>
      <c r="TNF8" s="4"/>
      <c r="TNI8" s="34"/>
      <c r="TNJ8" s="34"/>
      <c r="TNL8" s="34"/>
      <c r="TNM8" s="72"/>
      <c r="TNN8" s="63"/>
      <c r="TNO8" s="34"/>
      <c r="TNP8" s="64"/>
      <c r="TNQ8" s="4"/>
      <c r="TNR8" s="65"/>
      <c r="TNS8" s="4"/>
      <c r="TNT8" s="4"/>
      <c r="TNU8" s="4"/>
      <c r="TNX8" s="34"/>
      <c r="TNY8" s="34"/>
      <c r="TOA8" s="34"/>
      <c r="TOB8" s="72"/>
      <c r="TOC8" s="63"/>
      <c r="TOD8" s="34"/>
      <c r="TOE8" s="64"/>
      <c r="TOF8" s="4"/>
      <c r="TOG8" s="65"/>
      <c r="TOH8" s="4"/>
      <c r="TOI8" s="4"/>
      <c r="TOJ8" s="4"/>
      <c r="TOM8" s="34"/>
      <c r="TON8" s="34"/>
      <c r="TOP8" s="34"/>
      <c r="TOQ8" s="72"/>
      <c r="TOR8" s="63"/>
      <c r="TOS8" s="34"/>
      <c r="TOT8" s="64"/>
      <c r="TOU8" s="4"/>
      <c r="TOV8" s="65"/>
      <c r="TOW8" s="4"/>
      <c r="TOX8" s="4"/>
      <c r="TOY8" s="4"/>
      <c r="TPB8" s="34"/>
      <c r="TPC8" s="34"/>
      <c r="TPE8" s="34"/>
      <c r="TPF8" s="72"/>
      <c r="TPG8" s="63"/>
      <c r="TPH8" s="34"/>
      <c r="TPI8" s="64"/>
      <c r="TPJ8" s="4"/>
      <c r="TPK8" s="65"/>
      <c r="TPL8" s="4"/>
      <c r="TPM8" s="4"/>
      <c r="TPN8" s="4"/>
      <c r="TPQ8" s="34"/>
      <c r="TPR8" s="34"/>
      <c r="TPT8" s="34"/>
      <c r="TPU8" s="72"/>
      <c r="TPV8" s="63"/>
      <c r="TPW8" s="34"/>
      <c r="TPX8" s="64"/>
      <c r="TPY8" s="4"/>
      <c r="TPZ8" s="65"/>
      <c r="TQA8" s="4"/>
      <c r="TQB8" s="4"/>
      <c r="TQC8" s="4"/>
      <c r="TQF8" s="34"/>
      <c r="TQG8" s="34"/>
      <c r="TQI8" s="34"/>
      <c r="TQJ8" s="72"/>
      <c r="TQK8" s="63"/>
      <c r="TQL8" s="34"/>
      <c r="TQM8" s="64"/>
      <c r="TQN8" s="4"/>
      <c r="TQO8" s="65"/>
      <c r="TQP8" s="4"/>
      <c r="TQQ8" s="4"/>
      <c r="TQR8" s="4"/>
      <c r="TQU8" s="34"/>
      <c r="TQV8" s="34"/>
      <c r="TQX8" s="34"/>
      <c r="TQY8" s="72"/>
      <c r="TQZ8" s="63"/>
      <c r="TRA8" s="34"/>
      <c r="TRB8" s="64"/>
      <c r="TRC8" s="4"/>
      <c r="TRD8" s="65"/>
      <c r="TRE8" s="4"/>
      <c r="TRF8" s="4"/>
      <c r="TRG8" s="4"/>
      <c r="TRJ8" s="34"/>
      <c r="TRK8" s="34"/>
      <c r="TRM8" s="34"/>
      <c r="TRN8" s="72"/>
      <c r="TRO8" s="63"/>
      <c r="TRP8" s="34"/>
      <c r="TRQ8" s="64"/>
      <c r="TRR8" s="4"/>
      <c r="TRS8" s="65"/>
      <c r="TRT8" s="4"/>
      <c r="TRU8" s="4"/>
      <c r="TRV8" s="4"/>
      <c r="TRY8" s="34"/>
      <c r="TRZ8" s="34"/>
      <c r="TSB8" s="34"/>
      <c r="TSC8" s="72"/>
      <c r="TSD8" s="63"/>
      <c r="TSE8" s="34"/>
      <c r="TSF8" s="64"/>
      <c r="TSG8" s="4"/>
      <c r="TSH8" s="65"/>
      <c r="TSI8" s="4"/>
      <c r="TSJ8" s="4"/>
      <c r="TSK8" s="4"/>
      <c r="TSN8" s="34"/>
      <c r="TSO8" s="34"/>
      <c r="TSQ8" s="34"/>
      <c r="TSR8" s="72"/>
      <c r="TSS8" s="63"/>
      <c r="TST8" s="34"/>
      <c r="TSU8" s="64"/>
      <c r="TSV8" s="4"/>
      <c r="TSW8" s="65"/>
      <c r="TSX8" s="4"/>
      <c r="TSY8" s="4"/>
      <c r="TSZ8" s="4"/>
      <c r="TTC8" s="34"/>
      <c r="TTD8" s="34"/>
      <c r="TTF8" s="34"/>
      <c r="TTG8" s="72"/>
      <c r="TTH8" s="63"/>
      <c r="TTI8" s="34"/>
      <c r="TTJ8" s="64"/>
      <c r="TTK8" s="4"/>
      <c r="TTL8" s="65"/>
      <c r="TTM8" s="4"/>
      <c r="TTN8" s="4"/>
      <c r="TTO8" s="4"/>
      <c r="TTR8" s="34"/>
      <c r="TTS8" s="34"/>
      <c r="TTU8" s="34"/>
      <c r="TTV8" s="72"/>
      <c r="TTW8" s="63"/>
      <c r="TTX8" s="34"/>
      <c r="TTY8" s="64"/>
      <c r="TTZ8" s="4"/>
      <c r="TUA8" s="65"/>
      <c r="TUB8" s="4"/>
      <c r="TUC8" s="4"/>
      <c r="TUD8" s="4"/>
      <c r="TUG8" s="34"/>
      <c r="TUH8" s="34"/>
      <c r="TUJ8" s="34"/>
      <c r="TUK8" s="72"/>
      <c r="TUL8" s="63"/>
      <c r="TUM8" s="34"/>
      <c r="TUN8" s="64"/>
      <c r="TUO8" s="4"/>
      <c r="TUP8" s="65"/>
      <c r="TUQ8" s="4"/>
      <c r="TUR8" s="4"/>
      <c r="TUS8" s="4"/>
      <c r="TUV8" s="34"/>
      <c r="TUW8" s="34"/>
      <c r="TUY8" s="34"/>
      <c r="TUZ8" s="72"/>
      <c r="TVA8" s="63"/>
      <c r="TVB8" s="34"/>
      <c r="TVC8" s="64"/>
      <c r="TVD8" s="4"/>
      <c r="TVE8" s="65"/>
      <c r="TVF8" s="4"/>
      <c r="TVG8" s="4"/>
      <c r="TVH8" s="4"/>
      <c r="TVK8" s="34"/>
      <c r="TVL8" s="34"/>
      <c r="TVN8" s="34"/>
      <c r="TVO8" s="72"/>
      <c r="TVP8" s="63"/>
      <c r="TVQ8" s="34"/>
      <c r="TVR8" s="64"/>
      <c r="TVS8" s="4"/>
      <c r="TVT8" s="65"/>
      <c r="TVU8" s="4"/>
      <c r="TVV8" s="4"/>
      <c r="TVW8" s="4"/>
      <c r="TVZ8" s="34"/>
      <c r="TWA8" s="34"/>
      <c r="TWC8" s="34"/>
      <c r="TWD8" s="72"/>
      <c r="TWE8" s="63"/>
      <c r="TWF8" s="34"/>
      <c r="TWG8" s="64"/>
      <c r="TWH8" s="4"/>
      <c r="TWI8" s="65"/>
      <c r="TWJ8" s="4"/>
      <c r="TWK8" s="4"/>
      <c r="TWL8" s="4"/>
      <c r="TWO8" s="34"/>
      <c r="TWP8" s="34"/>
      <c r="TWR8" s="34"/>
      <c r="TWS8" s="72"/>
      <c r="TWT8" s="63"/>
      <c r="TWU8" s="34"/>
      <c r="TWV8" s="64"/>
      <c r="TWW8" s="4"/>
      <c r="TWX8" s="65"/>
      <c r="TWY8" s="4"/>
      <c r="TWZ8" s="4"/>
      <c r="TXA8" s="4"/>
      <c r="TXD8" s="34"/>
      <c r="TXE8" s="34"/>
      <c r="TXG8" s="34"/>
      <c r="TXH8" s="72"/>
      <c r="TXI8" s="63"/>
      <c r="TXJ8" s="34"/>
      <c r="TXK8" s="64"/>
      <c r="TXL8" s="4"/>
      <c r="TXM8" s="65"/>
      <c r="TXN8" s="4"/>
      <c r="TXO8" s="4"/>
      <c r="TXP8" s="4"/>
      <c r="TXS8" s="34"/>
      <c r="TXT8" s="34"/>
      <c r="TXV8" s="34"/>
      <c r="TXW8" s="72"/>
      <c r="TXX8" s="63"/>
      <c r="TXY8" s="34"/>
      <c r="TXZ8" s="64"/>
      <c r="TYA8" s="4"/>
      <c r="TYB8" s="65"/>
      <c r="TYC8" s="4"/>
      <c r="TYD8" s="4"/>
      <c r="TYE8" s="4"/>
      <c r="TYH8" s="34"/>
      <c r="TYI8" s="34"/>
      <c r="TYK8" s="34"/>
      <c r="TYL8" s="72"/>
      <c r="TYM8" s="63"/>
      <c r="TYN8" s="34"/>
      <c r="TYO8" s="64"/>
      <c r="TYP8" s="4"/>
      <c r="TYQ8" s="65"/>
      <c r="TYR8" s="4"/>
      <c r="TYS8" s="4"/>
      <c r="TYT8" s="4"/>
      <c r="TYW8" s="34"/>
      <c r="TYX8" s="34"/>
      <c r="TYZ8" s="34"/>
      <c r="TZA8" s="72"/>
      <c r="TZB8" s="63"/>
      <c r="TZC8" s="34"/>
      <c r="TZD8" s="64"/>
      <c r="TZE8" s="4"/>
      <c r="TZF8" s="65"/>
      <c r="TZG8" s="4"/>
      <c r="TZH8" s="4"/>
      <c r="TZI8" s="4"/>
      <c r="TZL8" s="34"/>
      <c r="TZM8" s="34"/>
      <c r="TZO8" s="34"/>
      <c r="TZP8" s="72"/>
      <c r="TZQ8" s="63"/>
      <c r="TZR8" s="34"/>
      <c r="TZS8" s="64"/>
      <c r="TZT8" s="4"/>
      <c r="TZU8" s="65"/>
      <c r="TZV8" s="4"/>
      <c r="TZW8" s="4"/>
      <c r="TZX8" s="4"/>
      <c r="UAA8" s="34"/>
      <c r="UAB8" s="34"/>
      <c r="UAD8" s="34"/>
      <c r="UAE8" s="72"/>
      <c r="UAF8" s="63"/>
      <c r="UAG8" s="34"/>
      <c r="UAH8" s="64"/>
      <c r="UAI8" s="4"/>
      <c r="UAJ8" s="65"/>
      <c r="UAK8" s="4"/>
      <c r="UAL8" s="4"/>
      <c r="UAM8" s="4"/>
      <c r="UAP8" s="34"/>
      <c r="UAQ8" s="34"/>
      <c r="UAS8" s="34"/>
      <c r="UAT8" s="72"/>
      <c r="UAU8" s="63"/>
      <c r="UAV8" s="34"/>
      <c r="UAW8" s="64"/>
      <c r="UAX8" s="4"/>
      <c r="UAY8" s="65"/>
      <c r="UAZ8" s="4"/>
      <c r="UBA8" s="4"/>
      <c r="UBB8" s="4"/>
      <c r="UBE8" s="34"/>
      <c r="UBF8" s="34"/>
      <c r="UBH8" s="34"/>
      <c r="UBI8" s="72"/>
      <c r="UBJ8" s="63"/>
      <c r="UBK8" s="34"/>
      <c r="UBL8" s="64"/>
      <c r="UBM8" s="4"/>
      <c r="UBN8" s="65"/>
      <c r="UBO8" s="4"/>
      <c r="UBP8" s="4"/>
      <c r="UBQ8" s="4"/>
      <c r="UBT8" s="34"/>
      <c r="UBU8" s="34"/>
      <c r="UBW8" s="34"/>
      <c r="UBX8" s="72"/>
      <c r="UBY8" s="63"/>
      <c r="UBZ8" s="34"/>
      <c r="UCA8" s="64"/>
      <c r="UCB8" s="4"/>
      <c r="UCC8" s="65"/>
      <c r="UCD8" s="4"/>
      <c r="UCE8" s="4"/>
      <c r="UCF8" s="4"/>
      <c r="UCI8" s="34"/>
      <c r="UCJ8" s="34"/>
      <c r="UCL8" s="34"/>
      <c r="UCM8" s="72"/>
      <c r="UCN8" s="63"/>
      <c r="UCO8" s="34"/>
      <c r="UCP8" s="64"/>
      <c r="UCQ8" s="4"/>
      <c r="UCR8" s="65"/>
      <c r="UCS8" s="4"/>
      <c r="UCT8" s="4"/>
      <c r="UCU8" s="4"/>
      <c r="UCX8" s="34"/>
      <c r="UCY8" s="34"/>
      <c r="UDA8" s="34"/>
      <c r="UDB8" s="72"/>
      <c r="UDC8" s="63"/>
      <c r="UDD8" s="34"/>
      <c r="UDE8" s="64"/>
      <c r="UDF8" s="4"/>
      <c r="UDG8" s="65"/>
      <c r="UDH8" s="4"/>
      <c r="UDI8" s="4"/>
      <c r="UDJ8" s="4"/>
      <c r="UDM8" s="34"/>
      <c r="UDN8" s="34"/>
      <c r="UDP8" s="34"/>
      <c r="UDQ8" s="72"/>
      <c r="UDR8" s="63"/>
      <c r="UDS8" s="34"/>
      <c r="UDT8" s="64"/>
      <c r="UDU8" s="4"/>
      <c r="UDV8" s="65"/>
      <c r="UDW8" s="4"/>
      <c r="UDX8" s="4"/>
      <c r="UDY8" s="4"/>
      <c r="UEB8" s="34"/>
      <c r="UEC8" s="34"/>
      <c r="UEE8" s="34"/>
      <c r="UEF8" s="72"/>
      <c r="UEG8" s="63"/>
      <c r="UEH8" s="34"/>
      <c r="UEI8" s="64"/>
      <c r="UEJ8" s="4"/>
      <c r="UEK8" s="65"/>
      <c r="UEL8" s="4"/>
      <c r="UEM8" s="4"/>
      <c r="UEN8" s="4"/>
      <c r="UEQ8" s="34"/>
      <c r="UER8" s="34"/>
      <c r="UET8" s="34"/>
      <c r="UEU8" s="72"/>
      <c r="UEV8" s="63"/>
      <c r="UEW8" s="34"/>
      <c r="UEX8" s="64"/>
      <c r="UEY8" s="4"/>
      <c r="UEZ8" s="65"/>
      <c r="UFA8" s="4"/>
      <c r="UFB8" s="4"/>
      <c r="UFC8" s="4"/>
      <c r="UFF8" s="34"/>
      <c r="UFG8" s="34"/>
      <c r="UFI8" s="34"/>
      <c r="UFJ8" s="72"/>
      <c r="UFK8" s="63"/>
      <c r="UFL8" s="34"/>
      <c r="UFM8" s="64"/>
      <c r="UFN8" s="4"/>
      <c r="UFO8" s="65"/>
      <c r="UFP8" s="4"/>
      <c r="UFQ8" s="4"/>
      <c r="UFR8" s="4"/>
      <c r="UFU8" s="34"/>
      <c r="UFV8" s="34"/>
      <c r="UFX8" s="34"/>
      <c r="UFY8" s="72"/>
      <c r="UFZ8" s="63"/>
      <c r="UGA8" s="34"/>
      <c r="UGB8" s="64"/>
      <c r="UGC8" s="4"/>
      <c r="UGD8" s="65"/>
      <c r="UGE8" s="4"/>
      <c r="UGF8" s="4"/>
      <c r="UGG8" s="4"/>
      <c r="UGJ8" s="34"/>
      <c r="UGK8" s="34"/>
      <c r="UGM8" s="34"/>
      <c r="UGN8" s="72"/>
      <c r="UGO8" s="63"/>
      <c r="UGP8" s="34"/>
      <c r="UGQ8" s="64"/>
      <c r="UGR8" s="4"/>
      <c r="UGS8" s="65"/>
      <c r="UGT8" s="4"/>
      <c r="UGU8" s="4"/>
      <c r="UGV8" s="4"/>
      <c r="UGY8" s="34"/>
      <c r="UGZ8" s="34"/>
      <c r="UHB8" s="34"/>
      <c r="UHC8" s="72"/>
      <c r="UHD8" s="63"/>
      <c r="UHE8" s="34"/>
      <c r="UHF8" s="64"/>
      <c r="UHG8" s="4"/>
      <c r="UHH8" s="65"/>
      <c r="UHI8" s="4"/>
      <c r="UHJ8" s="4"/>
      <c r="UHK8" s="4"/>
      <c r="UHN8" s="34"/>
      <c r="UHO8" s="34"/>
      <c r="UHQ8" s="34"/>
      <c r="UHR8" s="72"/>
      <c r="UHS8" s="63"/>
      <c r="UHT8" s="34"/>
      <c r="UHU8" s="64"/>
      <c r="UHV8" s="4"/>
      <c r="UHW8" s="65"/>
      <c r="UHX8" s="4"/>
      <c r="UHY8" s="4"/>
      <c r="UHZ8" s="4"/>
      <c r="UIC8" s="34"/>
      <c r="UID8" s="34"/>
      <c r="UIF8" s="34"/>
      <c r="UIG8" s="72"/>
      <c r="UIH8" s="63"/>
      <c r="UII8" s="34"/>
      <c r="UIJ8" s="64"/>
      <c r="UIK8" s="4"/>
      <c r="UIL8" s="65"/>
      <c r="UIM8" s="4"/>
      <c r="UIN8" s="4"/>
      <c r="UIO8" s="4"/>
      <c r="UIR8" s="34"/>
      <c r="UIS8" s="34"/>
      <c r="UIU8" s="34"/>
      <c r="UIV8" s="72"/>
      <c r="UIW8" s="63"/>
      <c r="UIX8" s="34"/>
      <c r="UIY8" s="64"/>
      <c r="UIZ8" s="4"/>
      <c r="UJA8" s="65"/>
      <c r="UJB8" s="4"/>
      <c r="UJC8" s="4"/>
      <c r="UJD8" s="4"/>
      <c r="UJG8" s="34"/>
      <c r="UJH8" s="34"/>
      <c r="UJJ8" s="34"/>
      <c r="UJK8" s="72"/>
      <c r="UJL8" s="63"/>
      <c r="UJM8" s="34"/>
      <c r="UJN8" s="64"/>
      <c r="UJO8" s="4"/>
      <c r="UJP8" s="65"/>
      <c r="UJQ8" s="4"/>
      <c r="UJR8" s="4"/>
      <c r="UJS8" s="4"/>
      <c r="UJV8" s="34"/>
      <c r="UJW8" s="34"/>
      <c r="UJY8" s="34"/>
      <c r="UJZ8" s="72"/>
      <c r="UKA8" s="63"/>
      <c r="UKB8" s="34"/>
      <c r="UKC8" s="64"/>
      <c r="UKD8" s="4"/>
      <c r="UKE8" s="65"/>
      <c r="UKF8" s="4"/>
      <c r="UKG8" s="4"/>
      <c r="UKH8" s="4"/>
      <c r="UKK8" s="34"/>
      <c r="UKL8" s="34"/>
      <c r="UKN8" s="34"/>
      <c r="UKO8" s="72"/>
      <c r="UKP8" s="63"/>
      <c r="UKQ8" s="34"/>
      <c r="UKR8" s="64"/>
      <c r="UKS8" s="4"/>
      <c r="UKT8" s="65"/>
      <c r="UKU8" s="4"/>
      <c r="UKV8" s="4"/>
      <c r="UKW8" s="4"/>
      <c r="UKZ8" s="34"/>
      <c r="ULA8" s="34"/>
      <c r="ULC8" s="34"/>
      <c r="ULD8" s="72"/>
      <c r="ULE8" s="63"/>
      <c r="ULF8" s="34"/>
      <c r="ULG8" s="64"/>
      <c r="ULH8" s="4"/>
      <c r="ULI8" s="65"/>
      <c r="ULJ8" s="4"/>
      <c r="ULK8" s="4"/>
      <c r="ULL8" s="4"/>
      <c r="ULO8" s="34"/>
      <c r="ULP8" s="34"/>
      <c r="ULR8" s="34"/>
      <c r="ULS8" s="72"/>
      <c r="ULT8" s="63"/>
      <c r="ULU8" s="34"/>
      <c r="ULV8" s="64"/>
      <c r="ULW8" s="4"/>
      <c r="ULX8" s="65"/>
      <c r="ULY8" s="4"/>
      <c r="ULZ8" s="4"/>
      <c r="UMA8" s="4"/>
      <c r="UMD8" s="34"/>
      <c r="UME8" s="34"/>
      <c r="UMG8" s="34"/>
      <c r="UMH8" s="72"/>
      <c r="UMI8" s="63"/>
      <c r="UMJ8" s="34"/>
      <c r="UMK8" s="64"/>
      <c r="UML8" s="4"/>
      <c r="UMM8" s="65"/>
      <c r="UMN8" s="4"/>
      <c r="UMO8" s="4"/>
      <c r="UMP8" s="4"/>
      <c r="UMS8" s="34"/>
      <c r="UMT8" s="34"/>
      <c r="UMV8" s="34"/>
      <c r="UMW8" s="72"/>
      <c r="UMX8" s="63"/>
      <c r="UMY8" s="34"/>
      <c r="UMZ8" s="64"/>
      <c r="UNA8" s="4"/>
      <c r="UNB8" s="65"/>
      <c r="UNC8" s="4"/>
      <c r="UND8" s="4"/>
      <c r="UNE8" s="4"/>
      <c r="UNH8" s="34"/>
      <c r="UNI8" s="34"/>
      <c r="UNK8" s="34"/>
      <c r="UNL8" s="72"/>
      <c r="UNM8" s="63"/>
      <c r="UNN8" s="34"/>
      <c r="UNO8" s="64"/>
      <c r="UNP8" s="4"/>
      <c r="UNQ8" s="65"/>
      <c r="UNR8" s="4"/>
      <c r="UNS8" s="4"/>
      <c r="UNT8" s="4"/>
      <c r="UNW8" s="34"/>
      <c r="UNX8" s="34"/>
      <c r="UNZ8" s="34"/>
      <c r="UOA8" s="72"/>
      <c r="UOB8" s="63"/>
      <c r="UOC8" s="34"/>
      <c r="UOD8" s="64"/>
      <c r="UOE8" s="4"/>
      <c r="UOF8" s="65"/>
      <c r="UOG8" s="4"/>
      <c r="UOH8" s="4"/>
      <c r="UOI8" s="4"/>
      <c r="UOL8" s="34"/>
      <c r="UOM8" s="34"/>
      <c r="UOO8" s="34"/>
      <c r="UOP8" s="72"/>
      <c r="UOQ8" s="63"/>
      <c r="UOR8" s="34"/>
      <c r="UOS8" s="64"/>
      <c r="UOT8" s="4"/>
      <c r="UOU8" s="65"/>
      <c r="UOV8" s="4"/>
      <c r="UOW8" s="4"/>
      <c r="UOX8" s="4"/>
      <c r="UPA8" s="34"/>
      <c r="UPB8" s="34"/>
      <c r="UPD8" s="34"/>
      <c r="UPE8" s="72"/>
      <c r="UPF8" s="63"/>
      <c r="UPG8" s="34"/>
      <c r="UPH8" s="64"/>
      <c r="UPI8" s="4"/>
      <c r="UPJ8" s="65"/>
      <c r="UPK8" s="4"/>
      <c r="UPL8" s="4"/>
      <c r="UPM8" s="4"/>
      <c r="UPP8" s="34"/>
      <c r="UPQ8" s="34"/>
      <c r="UPS8" s="34"/>
      <c r="UPT8" s="72"/>
      <c r="UPU8" s="63"/>
      <c r="UPV8" s="34"/>
      <c r="UPW8" s="64"/>
      <c r="UPX8" s="4"/>
      <c r="UPY8" s="65"/>
      <c r="UPZ8" s="4"/>
      <c r="UQA8" s="4"/>
      <c r="UQB8" s="4"/>
      <c r="UQE8" s="34"/>
      <c r="UQF8" s="34"/>
      <c r="UQH8" s="34"/>
      <c r="UQI8" s="72"/>
      <c r="UQJ8" s="63"/>
      <c r="UQK8" s="34"/>
      <c r="UQL8" s="64"/>
      <c r="UQM8" s="4"/>
      <c r="UQN8" s="65"/>
      <c r="UQO8" s="4"/>
      <c r="UQP8" s="4"/>
      <c r="UQQ8" s="4"/>
      <c r="UQT8" s="34"/>
      <c r="UQU8" s="34"/>
      <c r="UQW8" s="34"/>
      <c r="UQX8" s="72"/>
      <c r="UQY8" s="63"/>
      <c r="UQZ8" s="34"/>
      <c r="URA8" s="64"/>
      <c r="URB8" s="4"/>
      <c r="URC8" s="65"/>
      <c r="URD8" s="4"/>
      <c r="URE8" s="4"/>
      <c r="URF8" s="4"/>
      <c r="URI8" s="34"/>
      <c r="URJ8" s="34"/>
      <c r="URL8" s="34"/>
      <c r="URM8" s="72"/>
      <c r="URN8" s="63"/>
      <c r="URO8" s="34"/>
      <c r="URP8" s="64"/>
      <c r="URQ8" s="4"/>
      <c r="URR8" s="65"/>
      <c r="URS8" s="4"/>
      <c r="URT8" s="4"/>
      <c r="URU8" s="4"/>
      <c r="URX8" s="34"/>
      <c r="URY8" s="34"/>
      <c r="USA8" s="34"/>
      <c r="USB8" s="72"/>
      <c r="USC8" s="63"/>
      <c r="USD8" s="34"/>
      <c r="USE8" s="64"/>
      <c r="USF8" s="4"/>
      <c r="USG8" s="65"/>
      <c r="USH8" s="4"/>
      <c r="USI8" s="4"/>
      <c r="USJ8" s="4"/>
      <c r="USM8" s="34"/>
      <c r="USN8" s="34"/>
      <c r="USP8" s="34"/>
      <c r="USQ8" s="72"/>
      <c r="USR8" s="63"/>
      <c r="USS8" s="34"/>
      <c r="UST8" s="64"/>
      <c r="USU8" s="4"/>
      <c r="USV8" s="65"/>
      <c r="USW8" s="4"/>
      <c r="USX8" s="4"/>
      <c r="USY8" s="4"/>
      <c r="UTB8" s="34"/>
      <c r="UTC8" s="34"/>
      <c r="UTE8" s="34"/>
      <c r="UTF8" s="72"/>
      <c r="UTG8" s="63"/>
      <c r="UTH8" s="34"/>
      <c r="UTI8" s="64"/>
      <c r="UTJ8" s="4"/>
      <c r="UTK8" s="65"/>
      <c r="UTL8" s="4"/>
      <c r="UTM8" s="4"/>
      <c r="UTN8" s="4"/>
      <c r="UTQ8" s="34"/>
      <c r="UTR8" s="34"/>
      <c r="UTT8" s="34"/>
      <c r="UTU8" s="72"/>
      <c r="UTV8" s="63"/>
      <c r="UTW8" s="34"/>
      <c r="UTX8" s="64"/>
      <c r="UTY8" s="4"/>
      <c r="UTZ8" s="65"/>
      <c r="UUA8" s="4"/>
      <c r="UUB8" s="4"/>
      <c r="UUC8" s="4"/>
      <c r="UUF8" s="34"/>
      <c r="UUG8" s="34"/>
      <c r="UUI8" s="34"/>
      <c r="UUJ8" s="72"/>
      <c r="UUK8" s="63"/>
      <c r="UUL8" s="34"/>
      <c r="UUM8" s="64"/>
      <c r="UUN8" s="4"/>
      <c r="UUO8" s="65"/>
      <c r="UUP8" s="4"/>
      <c r="UUQ8" s="4"/>
      <c r="UUR8" s="4"/>
      <c r="UUU8" s="34"/>
      <c r="UUV8" s="34"/>
      <c r="UUX8" s="34"/>
      <c r="UUY8" s="72"/>
      <c r="UUZ8" s="63"/>
      <c r="UVA8" s="34"/>
      <c r="UVB8" s="64"/>
      <c r="UVC8" s="4"/>
      <c r="UVD8" s="65"/>
      <c r="UVE8" s="4"/>
      <c r="UVF8" s="4"/>
      <c r="UVG8" s="4"/>
      <c r="UVJ8" s="34"/>
      <c r="UVK8" s="34"/>
      <c r="UVM8" s="34"/>
      <c r="UVN8" s="72"/>
      <c r="UVO8" s="63"/>
      <c r="UVP8" s="34"/>
      <c r="UVQ8" s="64"/>
      <c r="UVR8" s="4"/>
      <c r="UVS8" s="65"/>
      <c r="UVT8" s="4"/>
      <c r="UVU8" s="4"/>
      <c r="UVV8" s="4"/>
      <c r="UVY8" s="34"/>
      <c r="UVZ8" s="34"/>
      <c r="UWB8" s="34"/>
      <c r="UWC8" s="72"/>
      <c r="UWD8" s="63"/>
      <c r="UWE8" s="34"/>
      <c r="UWF8" s="64"/>
      <c r="UWG8" s="4"/>
      <c r="UWH8" s="65"/>
      <c r="UWI8" s="4"/>
      <c r="UWJ8" s="4"/>
      <c r="UWK8" s="4"/>
      <c r="UWN8" s="34"/>
      <c r="UWO8" s="34"/>
      <c r="UWQ8" s="34"/>
      <c r="UWR8" s="72"/>
      <c r="UWS8" s="63"/>
      <c r="UWT8" s="34"/>
      <c r="UWU8" s="64"/>
      <c r="UWV8" s="4"/>
      <c r="UWW8" s="65"/>
      <c r="UWX8" s="4"/>
      <c r="UWY8" s="4"/>
      <c r="UWZ8" s="4"/>
      <c r="UXC8" s="34"/>
      <c r="UXD8" s="34"/>
      <c r="UXF8" s="34"/>
      <c r="UXG8" s="72"/>
      <c r="UXH8" s="63"/>
      <c r="UXI8" s="34"/>
      <c r="UXJ8" s="64"/>
      <c r="UXK8" s="4"/>
      <c r="UXL8" s="65"/>
      <c r="UXM8" s="4"/>
      <c r="UXN8" s="4"/>
      <c r="UXO8" s="4"/>
      <c r="UXR8" s="34"/>
      <c r="UXS8" s="34"/>
      <c r="UXU8" s="34"/>
      <c r="UXV8" s="72"/>
      <c r="UXW8" s="63"/>
      <c r="UXX8" s="34"/>
      <c r="UXY8" s="64"/>
      <c r="UXZ8" s="4"/>
      <c r="UYA8" s="65"/>
      <c r="UYB8" s="4"/>
      <c r="UYC8" s="4"/>
      <c r="UYD8" s="4"/>
      <c r="UYG8" s="34"/>
      <c r="UYH8" s="34"/>
      <c r="UYJ8" s="34"/>
      <c r="UYK8" s="72"/>
      <c r="UYL8" s="63"/>
      <c r="UYM8" s="34"/>
      <c r="UYN8" s="64"/>
      <c r="UYO8" s="4"/>
      <c r="UYP8" s="65"/>
      <c r="UYQ8" s="4"/>
      <c r="UYR8" s="4"/>
      <c r="UYS8" s="4"/>
      <c r="UYV8" s="34"/>
      <c r="UYW8" s="34"/>
      <c r="UYY8" s="34"/>
      <c r="UYZ8" s="72"/>
      <c r="UZA8" s="63"/>
      <c r="UZB8" s="34"/>
      <c r="UZC8" s="64"/>
      <c r="UZD8" s="4"/>
      <c r="UZE8" s="65"/>
      <c r="UZF8" s="4"/>
      <c r="UZG8" s="4"/>
      <c r="UZH8" s="4"/>
      <c r="UZK8" s="34"/>
      <c r="UZL8" s="34"/>
      <c r="UZN8" s="34"/>
      <c r="UZO8" s="72"/>
      <c r="UZP8" s="63"/>
      <c r="UZQ8" s="34"/>
      <c r="UZR8" s="64"/>
      <c r="UZS8" s="4"/>
      <c r="UZT8" s="65"/>
      <c r="UZU8" s="4"/>
      <c r="UZV8" s="4"/>
      <c r="UZW8" s="4"/>
      <c r="UZZ8" s="34"/>
      <c r="VAA8" s="34"/>
      <c r="VAC8" s="34"/>
      <c r="VAD8" s="72"/>
      <c r="VAE8" s="63"/>
      <c r="VAF8" s="34"/>
      <c r="VAG8" s="64"/>
      <c r="VAH8" s="4"/>
      <c r="VAI8" s="65"/>
      <c r="VAJ8" s="4"/>
      <c r="VAK8" s="4"/>
      <c r="VAL8" s="4"/>
      <c r="VAO8" s="34"/>
      <c r="VAP8" s="34"/>
      <c r="VAR8" s="34"/>
      <c r="VAS8" s="72"/>
      <c r="VAT8" s="63"/>
      <c r="VAU8" s="34"/>
      <c r="VAV8" s="64"/>
      <c r="VAW8" s="4"/>
      <c r="VAX8" s="65"/>
      <c r="VAY8" s="4"/>
      <c r="VAZ8" s="4"/>
      <c r="VBA8" s="4"/>
      <c r="VBD8" s="34"/>
      <c r="VBE8" s="34"/>
      <c r="VBG8" s="34"/>
      <c r="VBH8" s="72"/>
      <c r="VBI8" s="63"/>
      <c r="VBJ8" s="34"/>
      <c r="VBK8" s="64"/>
      <c r="VBL8" s="4"/>
      <c r="VBM8" s="65"/>
      <c r="VBN8" s="4"/>
      <c r="VBO8" s="4"/>
      <c r="VBP8" s="4"/>
      <c r="VBS8" s="34"/>
      <c r="VBT8" s="34"/>
      <c r="VBV8" s="34"/>
      <c r="VBW8" s="72"/>
      <c r="VBX8" s="63"/>
      <c r="VBY8" s="34"/>
      <c r="VBZ8" s="64"/>
      <c r="VCA8" s="4"/>
      <c r="VCB8" s="65"/>
      <c r="VCC8" s="4"/>
      <c r="VCD8" s="4"/>
      <c r="VCE8" s="4"/>
      <c r="VCH8" s="34"/>
      <c r="VCI8" s="34"/>
      <c r="VCK8" s="34"/>
      <c r="VCL8" s="72"/>
      <c r="VCM8" s="63"/>
      <c r="VCN8" s="34"/>
      <c r="VCO8" s="64"/>
      <c r="VCP8" s="4"/>
      <c r="VCQ8" s="65"/>
      <c r="VCR8" s="4"/>
      <c r="VCS8" s="4"/>
      <c r="VCT8" s="4"/>
      <c r="VCW8" s="34"/>
      <c r="VCX8" s="34"/>
      <c r="VCZ8" s="34"/>
      <c r="VDA8" s="72"/>
      <c r="VDB8" s="63"/>
      <c r="VDC8" s="34"/>
      <c r="VDD8" s="64"/>
      <c r="VDE8" s="4"/>
      <c r="VDF8" s="65"/>
      <c r="VDG8" s="4"/>
      <c r="VDH8" s="4"/>
      <c r="VDI8" s="4"/>
      <c r="VDL8" s="34"/>
      <c r="VDM8" s="34"/>
      <c r="VDO8" s="34"/>
      <c r="VDP8" s="72"/>
      <c r="VDQ8" s="63"/>
      <c r="VDR8" s="34"/>
      <c r="VDS8" s="64"/>
      <c r="VDT8" s="4"/>
      <c r="VDU8" s="65"/>
      <c r="VDV8" s="4"/>
      <c r="VDW8" s="4"/>
      <c r="VDX8" s="4"/>
      <c r="VEA8" s="34"/>
      <c r="VEB8" s="34"/>
      <c r="VED8" s="34"/>
      <c r="VEE8" s="72"/>
      <c r="VEF8" s="63"/>
      <c r="VEG8" s="34"/>
      <c r="VEH8" s="64"/>
      <c r="VEI8" s="4"/>
      <c r="VEJ8" s="65"/>
      <c r="VEK8" s="4"/>
      <c r="VEL8" s="4"/>
      <c r="VEM8" s="4"/>
      <c r="VEP8" s="34"/>
      <c r="VEQ8" s="34"/>
      <c r="VES8" s="34"/>
      <c r="VET8" s="72"/>
      <c r="VEU8" s="63"/>
      <c r="VEV8" s="34"/>
      <c r="VEW8" s="64"/>
      <c r="VEX8" s="4"/>
      <c r="VEY8" s="65"/>
      <c r="VEZ8" s="4"/>
      <c r="VFA8" s="4"/>
      <c r="VFB8" s="4"/>
      <c r="VFE8" s="34"/>
      <c r="VFF8" s="34"/>
      <c r="VFH8" s="34"/>
      <c r="VFI8" s="72"/>
      <c r="VFJ8" s="63"/>
      <c r="VFK8" s="34"/>
      <c r="VFL8" s="64"/>
      <c r="VFM8" s="4"/>
      <c r="VFN8" s="65"/>
      <c r="VFO8" s="4"/>
      <c r="VFP8" s="4"/>
      <c r="VFQ8" s="4"/>
      <c r="VFT8" s="34"/>
      <c r="VFU8" s="34"/>
      <c r="VFW8" s="34"/>
      <c r="VFX8" s="72"/>
      <c r="VFY8" s="63"/>
      <c r="VFZ8" s="34"/>
      <c r="VGA8" s="64"/>
      <c r="VGB8" s="4"/>
      <c r="VGC8" s="65"/>
      <c r="VGD8" s="4"/>
      <c r="VGE8" s="4"/>
      <c r="VGF8" s="4"/>
      <c r="VGI8" s="34"/>
      <c r="VGJ8" s="34"/>
      <c r="VGL8" s="34"/>
      <c r="VGM8" s="72"/>
      <c r="VGN8" s="63"/>
      <c r="VGO8" s="34"/>
      <c r="VGP8" s="64"/>
      <c r="VGQ8" s="4"/>
      <c r="VGR8" s="65"/>
      <c r="VGS8" s="4"/>
      <c r="VGT8" s="4"/>
      <c r="VGU8" s="4"/>
      <c r="VGX8" s="34"/>
      <c r="VGY8" s="34"/>
      <c r="VHA8" s="34"/>
      <c r="VHB8" s="72"/>
      <c r="VHC8" s="63"/>
      <c r="VHD8" s="34"/>
      <c r="VHE8" s="64"/>
      <c r="VHF8" s="4"/>
      <c r="VHG8" s="65"/>
      <c r="VHH8" s="4"/>
      <c r="VHI8" s="4"/>
      <c r="VHJ8" s="4"/>
      <c r="VHM8" s="34"/>
      <c r="VHN8" s="34"/>
      <c r="VHP8" s="34"/>
      <c r="VHQ8" s="72"/>
      <c r="VHR8" s="63"/>
      <c r="VHS8" s="34"/>
      <c r="VHT8" s="64"/>
      <c r="VHU8" s="4"/>
      <c r="VHV8" s="65"/>
      <c r="VHW8" s="4"/>
      <c r="VHX8" s="4"/>
      <c r="VHY8" s="4"/>
      <c r="VIB8" s="34"/>
      <c r="VIC8" s="34"/>
      <c r="VIE8" s="34"/>
      <c r="VIF8" s="72"/>
      <c r="VIG8" s="63"/>
      <c r="VIH8" s="34"/>
      <c r="VII8" s="64"/>
      <c r="VIJ8" s="4"/>
      <c r="VIK8" s="65"/>
      <c r="VIL8" s="4"/>
      <c r="VIM8" s="4"/>
      <c r="VIN8" s="4"/>
      <c r="VIQ8" s="34"/>
      <c r="VIR8" s="34"/>
      <c r="VIT8" s="34"/>
      <c r="VIU8" s="72"/>
      <c r="VIV8" s="63"/>
      <c r="VIW8" s="34"/>
      <c r="VIX8" s="64"/>
      <c r="VIY8" s="4"/>
      <c r="VIZ8" s="65"/>
      <c r="VJA8" s="4"/>
      <c r="VJB8" s="4"/>
      <c r="VJC8" s="4"/>
      <c r="VJF8" s="34"/>
      <c r="VJG8" s="34"/>
      <c r="VJI8" s="34"/>
      <c r="VJJ8" s="72"/>
      <c r="VJK8" s="63"/>
      <c r="VJL8" s="34"/>
      <c r="VJM8" s="64"/>
      <c r="VJN8" s="4"/>
      <c r="VJO8" s="65"/>
      <c r="VJP8" s="4"/>
      <c r="VJQ8" s="4"/>
      <c r="VJR8" s="4"/>
      <c r="VJU8" s="34"/>
      <c r="VJV8" s="34"/>
      <c r="VJX8" s="34"/>
      <c r="VJY8" s="72"/>
      <c r="VJZ8" s="63"/>
      <c r="VKA8" s="34"/>
      <c r="VKB8" s="64"/>
      <c r="VKC8" s="4"/>
      <c r="VKD8" s="65"/>
      <c r="VKE8" s="4"/>
      <c r="VKF8" s="4"/>
      <c r="VKG8" s="4"/>
      <c r="VKJ8" s="34"/>
      <c r="VKK8" s="34"/>
      <c r="VKM8" s="34"/>
      <c r="VKN8" s="72"/>
      <c r="VKO8" s="63"/>
      <c r="VKP8" s="34"/>
      <c r="VKQ8" s="64"/>
      <c r="VKR8" s="4"/>
      <c r="VKS8" s="65"/>
      <c r="VKT8" s="4"/>
      <c r="VKU8" s="4"/>
      <c r="VKV8" s="4"/>
      <c r="VKY8" s="34"/>
      <c r="VKZ8" s="34"/>
      <c r="VLB8" s="34"/>
      <c r="VLC8" s="72"/>
      <c r="VLD8" s="63"/>
      <c r="VLE8" s="34"/>
      <c r="VLF8" s="64"/>
      <c r="VLG8" s="4"/>
      <c r="VLH8" s="65"/>
      <c r="VLI8" s="4"/>
      <c r="VLJ8" s="4"/>
      <c r="VLK8" s="4"/>
      <c r="VLN8" s="34"/>
      <c r="VLO8" s="34"/>
      <c r="VLQ8" s="34"/>
      <c r="VLR8" s="72"/>
      <c r="VLS8" s="63"/>
      <c r="VLT8" s="34"/>
      <c r="VLU8" s="64"/>
      <c r="VLV8" s="4"/>
      <c r="VLW8" s="65"/>
      <c r="VLX8" s="4"/>
      <c r="VLY8" s="4"/>
      <c r="VLZ8" s="4"/>
      <c r="VMC8" s="34"/>
      <c r="VMD8" s="34"/>
      <c r="VMF8" s="34"/>
      <c r="VMG8" s="72"/>
      <c r="VMH8" s="63"/>
      <c r="VMI8" s="34"/>
      <c r="VMJ8" s="64"/>
      <c r="VMK8" s="4"/>
      <c r="VML8" s="65"/>
      <c r="VMM8" s="4"/>
      <c r="VMN8" s="4"/>
      <c r="VMO8" s="4"/>
      <c r="VMR8" s="34"/>
      <c r="VMS8" s="34"/>
      <c r="VMU8" s="34"/>
      <c r="VMV8" s="72"/>
      <c r="VMW8" s="63"/>
      <c r="VMX8" s="34"/>
      <c r="VMY8" s="64"/>
      <c r="VMZ8" s="4"/>
      <c r="VNA8" s="65"/>
      <c r="VNB8" s="4"/>
      <c r="VNC8" s="4"/>
      <c r="VND8" s="4"/>
      <c r="VNG8" s="34"/>
      <c r="VNH8" s="34"/>
      <c r="VNJ8" s="34"/>
      <c r="VNK8" s="72"/>
      <c r="VNL8" s="63"/>
      <c r="VNM8" s="34"/>
      <c r="VNN8" s="64"/>
      <c r="VNO8" s="4"/>
      <c r="VNP8" s="65"/>
      <c r="VNQ8" s="4"/>
      <c r="VNR8" s="4"/>
      <c r="VNS8" s="4"/>
      <c r="VNV8" s="34"/>
      <c r="VNW8" s="34"/>
      <c r="VNY8" s="34"/>
      <c r="VNZ8" s="72"/>
      <c r="VOA8" s="63"/>
      <c r="VOB8" s="34"/>
      <c r="VOC8" s="64"/>
      <c r="VOD8" s="4"/>
      <c r="VOE8" s="65"/>
      <c r="VOF8" s="4"/>
      <c r="VOG8" s="4"/>
      <c r="VOH8" s="4"/>
      <c r="VOK8" s="34"/>
      <c r="VOL8" s="34"/>
      <c r="VON8" s="34"/>
      <c r="VOO8" s="72"/>
      <c r="VOP8" s="63"/>
      <c r="VOQ8" s="34"/>
      <c r="VOR8" s="64"/>
      <c r="VOS8" s="4"/>
      <c r="VOT8" s="65"/>
      <c r="VOU8" s="4"/>
      <c r="VOV8" s="4"/>
      <c r="VOW8" s="4"/>
      <c r="VOZ8" s="34"/>
      <c r="VPA8" s="34"/>
      <c r="VPC8" s="34"/>
      <c r="VPD8" s="72"/>
      <c r="VPE8" s="63"/>
      <c r="VPF8" s="34"/>
      <c r="VPG8" s="64"/>
      <c r="VPH8" s="4"/>
      <c r="VPI8" s="65"/>
      <c r="VPJ8" s="4"/>
      <c r="VPK8" s="4"/>
      <c r="VPL8" s="4"/>
      <c r="VPO8" s="34"/>
      <c r="VPP8" s="34"/>
      <c r="VPR8" s="34"/>
      <c r="VPS8" s="72"/>
      <c r="VPT8" s="63"/>
      <c r="VPU8" s="34"/>
      <c r="VPV8" s="64"/>
      <c r="VPW8" s="4"/>
      <c r="VPX8" s="65"/>
      <c r="VPY8" s="4"/>
      <c r="VPZ8" s="4"/>
      <c r="VQA8" s="4"/>
      <c r="VQD8" s="34"/>
      <c r="VQE8" s="34"/>
      <c r="VQG8" s="34"/>
      <c r="VQH8" s="72"/>
      <c r="VQI8" s="63"/>
      <c r="VQJ8" s="34"/>
      <c r="VQK8" s="64"/>
      <c r="VQL8" s="4"/>
      <c r="VQM8" s="65"/>
      <c r="VQN8" s="4"/>
      <c r="VQO8" s="4"/>
      <c r="VQP8" s="4"/>
      <c r="VQS8" s="34"/>
      <c r="VQT8" s="34"/>
      <c r="VQV8" s="34"/>
      <c r="VQW8" s="72"/>
      <c r="VQX8" s="63"/>
      <c r="VQY8" s="34"/>
      <c r="VQZ8" s="64"/>
      <c r="VRA8" s="4"/>
      <c r="VRB8" s="65"/>
      <c r="VRC8" s="4"/>
      <c r="VRD8" s="4"/>
      <c r="VRE8" s="4"/>
      <c r="VRH8" s="34"/>
      <c r="VRI8" s="34"/>
      <c r="VRK8" s="34"/>
      <c r="VRL8" s="72"/>
      <c r="VRM8" s="63"/>
      <c r="VRN8" s="34"/>
      <c r="VRO8" s="64"/>
      <c r="VRP8" s="4"/>
      <c r="VRQ8" s="65"/>
      <c r="VRR8" s="4"/>
      <c r="VRS8" s="4"/>
      <c r="VRT8" s="4"/>
      <c r="VRW8" s="34"/>
      <c r="VRX8" s="34"/>
      <c r="VRZ8" s="34"/>
      <c r="VSA8" s="72"/>
      <c r="VSB8" s="63"/>
      <c r="VSC8" s="34"/>
      <c r="VSD8" s="64"/>
      <c r="VSE8" s="4"/>
      <c r="VSF8" s="65"/>
      <c r="VSG8" s="4"/>
      <c r="VSH8" s="4"/>
      <c r="VSI8" s="4"/>
      <c r="VSL8" s="34"/>
      <c r="VSM8" s="34"/>
      <c r="VSO8" s="34"/>
      <c r="VSP8" s="72"/>
      <c r="VSQ8" s="63"/>
      <c r="VSR8" s="34"/>
      <c r="VSS8" s="64"/>
      <c r="VST8" s="4"/>
      <c r="VSU8" s="65"/>
      <c r="VSV8" s="4"/>
      <c r="VSW8" s="4"/>
      <c r="VSX8" s="4"/>
      <c r="VTA8" s="34"/>
      <c r="VTB8" s="34"/>
      <c r="VTD8" s="34"/>
      <c r="VTE8" s="72"/>
      <c r="VTF8" s="63"/>
      <c r="VTG8" s="34"/>
      <c r="VTH8" s="64"/>
      <c r="VTI8" s="4"/>
      <c r="VTJ8" s="65"/>
      <c r="VTK8" s="4"/>
      <c r="VTL8" s="4"/>
      <c r="VTM8" s="4"/>
      <c r="VTP8" s="34"/>
      <c r="VTQ8" s="34"/>
      <c r="VTS8" s="34"/>
      <c r="VTT8" s="72"/>
      <c r="VTU8" s="63"/>
      <c r="VTV8" s="34"/>
      <c r="VTW8" s="64"/>
      <c r="VTX8" s="4"/>
      <c r="VTY8" s="65"/>
      <c r="VTZ8" s="4"/>
      <c r="VUA8" s="4"/>
      <c r="VUB8" s="4"/>
      <c r="VUE8" s="34"/>
      <c r="VUF8" s="34"/>
      <c r="VUH8" s="34"/>
      <c r="VUI8" s="72"/>
      <c r="VUJ8" s="63"/>
      <c r="VUK8" s="34"/>
      <c r="VUL8" s="64"/>
      <c r="VUM8" s="4"/>
      <c r="VUN8" s="65"/>
      <c r="VUO8" s="4"/>
      <c r="VUP8" s="4"/>
      <c r="VUQ8" s="4"/>
      <c r="VUT8" s="34"/>
      <c r="VUU8" s="34"/>
      <c r="VUW8" s="34"/>
      <c r="VUX8" s="72"/>
      <c r="VUY8" s="63"/>
      <c r="VUZ8" s="34"/>
      <c r="VVA8" s="64"/>
      <c r="VVB8" s="4"/>
      <c r="VVC8" s="65"/>
      <c r="VVD8" s="4"/>
      <c r="VVE8" s="4"/>
      <c r="VVF8" s="4"/>
      <c r="VVI8" s="34"/>
      <c r="VVJ8" s="34"/>
      <c r="VVL8" s="34"/>
      <c r="VVM8" s="72"/>
      <c r="VVN8" s="63"/>
      <c r="VVO8" s="34"/>
      <c r="VVP8" s="64"/>
      <c r="VVQ8" s="4"/>
      <c r="VVR8" s="65"/>
      <c r="VVS8" s="4"/>
      <c r="VVT8" s="4"/>
      <c r="VVU8" s="4"/>
      <c r="VVX8" s="34"/>
      <c r="VVY8" s="34"/>
      <c r="VWA8" s="34"/>
      <c r="VWB8" s="72"/>
      <c r="VWC8" s="63"/>
      <c r="VWD8" s="34"/>
      <c r="VWE8" s="64"/>
      <c r="VWF8" s="4"/>
      <c r="VWG8" s="65"/>
      <c r="VWH8" s="4"/>
      <c r="VWI8" s="4"/>
      <c r="VWJ8" s="4"/>
      <c r="VWM8" s="34"/>
      <c r="VWN8" s="34"/>
      <c r="VWP8" s="34"/>
      <c r="VWQ8" s="72"/>
      <c r="VWR8" s="63"/>
      <c r="VWS8" s="34"/>
      <c r="VWT8" s="64"/>
      <c r="VWU8" s="4"/>
      <c r="VWV8" s="65"/>
      <c r="VWW8" s="4"/>
      <c r="VWX8" s="4"/>
      <c r="VWY8" s="4"/>
      <c r="VXB8" s="34"/>
      <c r="VXC8" s="34"/>
      <c r="VXE8" s="34"/>
      <c r="VXF8" s="72"/>
      <c r="VXG8" s="63"/>
      <c r="VXH8" s="34"/>
      <c r="VXI8" s="64"/>
      <c r="VXJ8" s="4"/>
      <c r="VXK8" s="65"/>
      <c r="VXL8" s="4"/>
      <c r="VXM8" s="4"/>
      <c r="VXN8" s="4"/>
      <c r="VXQ8" s="34"/>
      <c r="VXR8" s="34"/>
      <c r="VXT8" s="34"/>
      <c r="VXU8" s="72"/>
      <c r="VXV8" s="63"/>
      <c r="VXW8" s="34"/>
      <c r="VXX8" s="64"/>
      <c r="VXY8" s="4"/>
      <c r="VXZ8" s="65"/>
      <c r="VYA8" s="4"/>
      <c r="VYB8" s="4"/>
      <c r="VYC8" s="4"/>
      <c r="VYF8" s="34"/>
      <c r="VYG8" s="34"/>
      <c r="VYI8" s="34"/>
      <c r="VYJ8" s="72"/>
      <c r="VYK8" s="63"/>
      <c r="VYL8" s="34"/>
      <c r="VYM8" s="64"/>
      <c r="VYN8" s="4"/>
      <c r="VYO8" s="65"/>
      <c r="VYP8" s="4"/>
      <c r="VYQ8" s="4"/>
      <c r="VYR8" s="4"/>
      <c r="VYU8" s="34"/>
      <c r="VYV8" s="34"/>
      <c r="VYX8" s="34"/>
      <c r="VYY8" s="72"/>
      <c r="VYZ8" s="63"/>
      <c r="VZA8" s="34"/>
      <c r="VZB8" s="64"/>
      <c r="VZC8" s="4"/>
      <c r="VZD8" s="65"/>
      <c r="VZE8" s="4"/>
      <c r="VZF8" s="4"/>
      <c r="VZG8" s="4"/>
      <c r="VZJ8" s="34"/>
      <c r="VZK8" s="34"/>
      <c r="VZM8" s="34"/>
      <c r="VZN8" s="72"/>
      <c r="VZO8" s="63"/>
      <c r="VZP8" s="34"/>
      <c r="VZQ8" s="64"/>
      <c r="VZR8" s="4"/>
      <c r="VZS8" s="65"/>
      <c r="VZT8" s="4"/>
      <c r="VZU8" s="4"/>
      <c r="VZV8" s="4"/>
      <c r="VZY8" s="34"/>
      <c r="VZZ8" s="34"/>
      <c r="WAB8" s="34"/>
      <c r="WAC8" s="72"/>
      <c r="WAD8" s="63"/>
      <c r="WAE8" s="34"/>
      <c r="WAF8" s="64"/>
      <c r="WAG8" s="4"/>
      <c r="WAH8" s="65"/>
      <c r="WAI8" s="4"/>
      <c r="WAJ8" s="4"/>
      <c r="WAK8" s="4"/>
      <c r="WAN8" s="34"/>
      <c r="WAO8" s="34"/>
      <c r="WAQ8" s="34"/>
      <c r="WAR8" s="72"/>
      <c r="WAS8" s="63"/>
      <c r="WAT8" s="34"/>
      <c r="WAU8" s="64"/>
      <c r="WAV8" s="4"/>
      <c r="WAW8" s="65"/>
      <c r="WAX8" s="4"/>
      <c r="WAY8" s="4"/>
      <c r="WAZ8" s="4"/>
      <c r="WBC8" s="34"/>
      <c r="WBD8" s="34"/>
      <c r="WBF8" s="34"/>
      <c r="WBG8" s="72"/>
      <c r="WBH8" s="63"/>
      <c r="WBI8" s="34"/>
      <c r="WBJ8" s="64"/>
      <c r="WBK8" s="4"/>
      <c r="WBL8" s="65"/>
      <c r="WBM8" s="4"/>
      <c r="WBN8" s="4"/>
      <c r="WBO8" s="4"/>
      <c r="WBR8" s="34"/>
      <c r="WBS8" s="34"/>
      <c r="WBU8" s="34"/>
      <c r="WBV8" s="72"/>
      <c r="WBW8" s="63"/>
      <c r="WBX8" s="34"/>
      <c r="WBY8" s="64"/>
      <c r="WBZ8" s="4"/>
      <c r="WCA8" s="65"/>
      <c r="WCB8" s="4"/>
      <c r="WCC8" s="4"/>
      <c r="WCD8" s="4"/>
      <c r="WCG8" s="34"/>
      <c r="WCH8" s="34"/>
      <c r="WCJ8" s="34"/>
      <c r="WCK8" s="72"/>
      <c r="WCL8" s="63"/>
      <c r="WCM8" s="34"/>
      <c r="WCN8" s="64"/>
      <c r="WCO8" s="4"/>
      <c r="WCP8" s="65"/>
      <c r="WCQ8" s="4"/>
      <c r="WCR8" s="4"/>
      <c r="WCS8" s="4"/>
      <c r="WCV8" s="34"/>
      <c r="WCW8" s="34"/>
      <c r="WCY8" s="34"/>
      <c r="WCZ8" s="72"/>
      <c r="WDA8" s="63"/>
      <c r="WDB8" s="34"/>
      <c r="WDC8" s="64"/>
      <c r="WDD8" s="4"/>
      <c r="WDE8" s="65"/>
      <c r="WDF8" s="4"/>
      <c r="WDG8" s="4"/>
      <c r="WDH8" s="4"/>
      <c r="WDK8" s="34"/>
      <c r="WDL8" s="34"/>
      <c r="WDN8" s="34"/>
      <c r="WDO8" s="72"/>
      <c r="WDP8" s="63"/>
      <c r="WDQ8" s="34"/>
      <c r="WDR8" s="64"/>
      <c r="WDS8" s="4"/>
      <c r="WDT8" s="65"/>
      <c r="WDU8" s="4"/>
      <c r="WDV8" s="4"/>
      <c r="WDW8" s="4"/>
      <c r="WDZ8" s="34"/>
      <c r="WEA8" s="34"/>
      <c r="WEC8" s="34"/>
      <c r="WED8" s="72"/>
      <c r="WEE8" s="63"/>
      <c r="WEF8" s="34"/>
      <c r="WEG8" s="64"/>
      <c r="WEH8" s="4"/>
      <c r="WEI8" s="65"/>
      <c r="WEJ8" s="4"/>
      <c r="WEK8" s="4"/>
      <c r="WEL8" s="4"/>
      <c r="WEO8" s="34"/>
      <c r="WEP8" s="34"/>
      <c r="WER8" s="34"/>
      <c r="WES8" s="72"/>
      <c r="WET8" s="63"/>
      <c r="WEU8" s="34"/>
      <c r="WEV8" s="64"/>
      <c r="WEW8" s="4"/>
      <c r="WEX8" s="65"/>
      <c r="WEY8" s="4"/>
      <c r="WEZ8" s="4"/>
      <c r="WFA8" s="4"/>
      <c r="WFD8" s="34"/>
      <c r="WFE8" s="34"/>
      <c r="WFG8" s="34"/>
      <c r="WFH8" s="72"/>
      <c r="WFI8" s="63"/>
      <c r="WFJ8" s="34"/>
      <c r="WFK8" s="64"/>
      <c r="WFL8" s="4"/>
      <c r="WFM8" s="65"/>
      <c r="WFN8" s="4"/>
      <c r="WFO8" s="4"/>
      <c r="WFP8" s="4"/>
      <c r="WFS8" s="34"/>
      <c r="WFT8" s="34"/>
      <c r="WFV8" s="34"/>
      <c r="WFW8" s="72"/>
      <c r="WFX8" s="63"/>
      <c r="WFY8" s="34"/>
      <c r="WFZ8" s="64"/>
      <c r="WGA8" s="4"/>
      <c r="WGB8" s="65"/>
      <c r="WGC8" s="4"/>
      <c r="WGD8" s="4"/>
      <c r="WGE8" s="4"/>
      <c r="WGH8" s="34"/>
      <c r="WGI8" s="34"/>
      <c r="WGK8" s="34"/>
      <c r="WGL8" s="72"/>
      <c r="WGM8" s="63"/>
      <c r="WGN8" s="34"/>
      <c r="WGO8" s="64"/>
      <c r="WGP8" s="4"/>
      <c r="WGQ8" s="65"/>
      <c r="WGR8" s="4"/>
      <c r="WGS8" s="4"/>
      <c r="WGT8" s="4"/>
      <c r="WGW8" s="34"/>
      <c r="WGX8" s="34"/>
      <c r="WGZ8" s="34"/>
      <c r="WHA8" s="72"/>
      <c r="WHB8" s="63"/>
      <c r="WHC8" s="34"/>
      <c r="WHD8" s="64"/>
      <c r="WHE8" s="4"/>
      <c r="WHF8" s="65"/>
      <c r="WHG8" s="4"/>
      <c r="WHH8" s="4"/>
      <c r="WHI8" s="4"/>
      <c r="WHL8" s="34"/>
      <c r="WHM8" s="34"/>
      <c r="WHO8" s="34"/>
      <c r="WHP8" s="72"/>
      <c r="WHQ8" s="63"/>
      <c r="WHR8" s="34"/>
      <c r="WHS8" s="64"/>
      <c r="WHT8" s="4"/>
      <c r="WHU8" s="65"/>
      <c r="WHV8" s="4"/>
      <c r="WHW8" s="4"/>
      <c r="WHX8" s="4"/>
      <c r="WIA8" s="34"/>
      <c r="WIB8" s="34"/>
      <c r="WID8" s="34"/>
      <c r="WIE8" s="72"/>
      <c r="WIF8" s="63"/>
      <c r="WIG8" s="34"/>
      <c r="WIH8" s="64"/>
      <c r="WII8" s="4"/>
      <c r="WIJ8" s="65"/>
      <c r="WIK8" s="4"/>
      <c r="WIL8" s="4"/>
      <c r="WIM8" s="4"/>
      <c r="WIP8" s="34"/>
      <c r="WIQ8" s="34"/>
      <c r="WIS8" s="34"/>
      <c r="WIT8" s="72"/>
      <c r="WIU8" s="63"/>
      <c r="WIV8" s="34"/>
      <c r="WIW8" s="64"/>
      <c r="WIX8" s="4"/>
      <c r="WIY8" s="65"/>
      <c r="WIZ8" s="4"/>
      <c r="WJA8" s="4"/>
      <c r="WJB8" s="4"/>
      <c r="WJE8" s="34"/>
      <c r="WJF8" s="34"/>
      <c r="WJH8" s="34"/>
      <c r="WJI8" s="72"/>
      <c r="WJJ8" s="63"/>
      <c r="WJK8" s="34"/>
      <c r="WJL8" s="64"/>
      <c r="WJM8" s="4"/>
      <c r="WJN8" s="65"/>
      <c r="WJO8" s="4"/>
      <c r="WJP8" s="4"/>
      <c r="WJQ8" s="4"/>
      <c r="WJT8" s="34"/>
      <c r="WJU8" s="34"/>
      <c r="WJW8" s="34"/>
      <c r="WJX8" s="72"/>
      <c r="WJY8" s="63"/>
      <c r="WJZ8" s="34"/>
      <c r="WKA8" s="64"/>
      <c r="WKB8" s="4"/>
      <c r="WKC8" s="65"/>
      <c r="WKD8" s="4"/>
      <c r="WKE8" s="4"/>
      <c r="WKF8" s="4"/>
      <c r="WKI8" s="34"/>
      <c r="WKJ8" s="34"/>
      <c r="WKL8" s="34"/>
      <c r="WKM8" s="72"/>
      <c r="WKN8" s="63"/>
      <c r="WKO8" s="34"/>
      <c r="WKP8" s="64"/>
      <c r="WKQ8" s="4"/>
      <c r="WKR8" s="65"/>
      <c r="WKS8" s="4"/>
      <c r="WKT8" s="4"/>
      <c r="WKU8" s="4"/>
      <c r="WKX8" s="34"/>
      <c r="WKY8" s="34"/>
      <c r="WLA8" s="34"/>
      <c r="WLB8" s="72"/>
      <c r="WLC8" s="63"/>
      <c r="WLD8" s="34"/>
      <c r="WLE8" s="64"/>
      <c r="WLF8" s="4"/>
      <c r="WLG8" s="65"/>
      <c r="WLH8" s="4"/>
      <c r="WLI8" s="4"/>
      <c r="WLJ8" s="4"/>
      <c r="WLM8" s="34"/>
      <c r="WLN8" s="34"/>
      <c r="WLP8" s="34"/>
      <c r="WLQ8" s="72"/>
      <c r="WLR8" s="63"/>
      <c r="WLS8" s="34"/>
      <c r="WLT8" s="64"/>
      <c r="WLU8" s="4"/>
      <c r="WLV8" s="65"/>
      <c r="WLW8" s="4"/>
      <c r="WLX8" s="4"/>
      <c r="WLY8" s="4"/>
      <c r="WMB8" s="34"/>
      <c r="WMC8" s="34"/>
      <c r="WME8" s="34"/>
      <c r="WMF8" s="72"/>
      <c r="WMG8" s="63"/>
      <c r="WMH8" s="34"/>
      <c r="WMI8" s="64"/>
      <c r="WMJ8" s="4"/>
      <c r="WMK8" s="65"/>
      <c r="WML8" s="4"/>
      <c r="WMM8" s="4"/>
      <c r="WMN8" s="4"/>
      <c r="WMQ8" s="34"/>
      <c r="WMR8" s="34"/>
      <c r="WMT8" s="34"/>
      <c r="WMU8" s="72"/>
      <c r="WMV8" s="63"/>
      <c r="WMW8" s="34"/>
      <c r="WMX8" s="64"/>
      <c r="WMY8" s="4"/>
      <c r="WMZ8" s="65"/>
      <c r="WNA8" s="4"/>
      <c r="WNB8" s="4"/>
      <c r="WNC8" s="4"/>
      <c r="WNF8" s="34"/>
      <c r="WNG8" s="34"/>
      <c r="WNI8" s="34"/>
      <c r="WNJ8" s="72"/>
      <c r="WNK8" s="63"/>
      <c r="WNL8" s="34"/>
      <c r="WNM8" s="64"/>
      <c r="WNN8" s="4"/>
      <c r="WNO8" s="65"/>
      <c r="WNP8" s="4"/>
      <c r="WNQ8" s="4"/>
      <c r="WNR8" s="4"/>
      <c r="WNU8" s="34"/>
      <c r="WNV8" s="34"/>
      <c r="WNX8" s="34"/>
      <c r="WNY8" s="72"/>
      <c r="WNZ8" s="63"/>
      <c r="WOA8" s="34"/>
      <c r="WOB8" s="64"/>
      <c r="WOC8" s="4"/>
      <c r="WOD8" s="65"/>
      <c r="WOE8" s="4"/>
      <c r="WOF8" s="4"/>
      <c r="WOG8" s="4"/>
      <c r="WOJ8" s="34"/>
      <c r="WOK8" s="34"/>
      <c r="WOM8" s="34"/>
      <c r="WON8" s="72"/>
      <c r="WOO8" s="63"/>
      <c r="WOP8" s="34"/>
      <c r="WOQ8" s="64"/>
      <c r="WOR8" s="4"/>
      <c r="WOS8" s="65"/>
      <c r="WOT8" s="4"/>
      <c r="WOU8" s="4"/>
      <c r="WOV8" s="4"/>
      <c r="WOY8" s="34"/>
      <c r="WOZ8" s="34"/>
      <c r="WPB8" s="34"/>
      <c r="WPC8" s="72"/>
      <c r="WPD8" s="63"/>
      <c r="WPE8" s="34"/>
      <c r="WPF8" s="64"/>
      <c r="WPG8" s="4"/>
      <c r="WPH8" s="65"/>
      <c r="WPI8" s="4"/>
      <c r="WPJ8" s="4"/>
      <c r="WPK8" s="4"/>
      <c r="WPN8" s="34"/>
      <c r="WPO8" s="34"/>
      <c r="WPQ8" s="34"/>
      <c r="WPR8" s="72"/>
      <c r="WPS8" s="63"/>
      <c r="WPT8" s="34"/>
      <c r="WPU8" s="64"/>
      <c r="WPV8" s="4"/>
      <c r="WPW8" s="65"/>
      <c r="WPX8" s="4"/>
      <c r="WPY8" s="4"/>
      <c r="WPZ8" s="4"/>
      <c r="WQC8" s="34"/>
      <c r="WQD8" s="34"/>
      <c r="WQF8" s="34"/>
      <c r="WQG8" s="72"/>
      <c r="WQH8" s="63"/>
      <c r="WQI8" s="34"/>
      <c r="WQJ8" s="64"/>
      <c r="WQK8" s="4"/>
      <c r="WQL8" s="65"/>
      <c r="WQM8" s="4"/>
      <c r="WQN8" s="4"/>
      <c r="WQO8" s="4"/>
      <c r="WQR8" s="34"/>
      <c r="WQS8" s="34"/>
      <c r="WQU8" s="34"/>
      <c r="WQV8" s="72"/>
      <c r="WQW8" s="63"/>
      <c r="WQX8" s="34"/>
      <c r="WQY8" s="64"/>
      <c r="WQZ8" s="4"/>
      <c r="WRA8" s="65"/>
      <c r="WRB8" s="4"/>
      <c r="WRC8" s="4"/>
      <c r="WRD8" s="4"/>
      <c r="WRG8" s="34"/>
      <c r="WRH8" s="34"/>
      <c r="WRJ8" s="34"/>
      <c r="WRK8" s="72"/>
      <c r="WRL8" s="63"/>
      <c r="WRM8" s="34"/>
      <c r="WRN8" s="64"/>
      <c r="WRO8" s="4"/>
      <c r="WRP8" s="65"/>
      <c r="WRQ8" s="4"/>
      <c r="WRR8" s="4"/>
      <c r="WRS8" s="4"/>
      <c r="WRV8" s="34"/>
      <c r="WRW8" s="34"/>
      <c r="WRY8" s="34"/>
      <c r="WRZ8" s="72"/>
      <c r="WSA8" s="63"/>
      <c r="WSB8" s="34"/>
      <c r="WSC8" s="64"/>
      <c r="WSD8" s="4"/>
      <c r="WSE8" s="65"/>
      <c r="WSF8" s="4"/>
      <c r="WSG8" s="4"/>
      <c r="WSH8" s="4"/>
      <c r="WSK8" s="34"/>
      <c r="WSL8" s="34"/>
      <c r="WSN8" s="34"/>
      <c r="WSO8" s="72"/>
      <c r="WSP8" s="63"/>
      <c r="WSQ8" s="34"/>
      <c r="WSR8" s="64"/>
      <c r="WSS8" s="4"/>
      <c r="WST8" s="65"/>
      <c r="WSU8" s="4"/>
      <c r="WSV8" s="4"/>
      <c r="WSW8" s="4"/>
      <c r="WSZ8" s="34"/>
      <c r="WTA8" s="34"/>
      <c r="WTC8" s="34"/>
      <c r="WTD8" s="72"/>
      <c r="WTE8" s="63"/>
      <c r="WTF8" s="34"/>
      <c r="WTG8" s="64"/>
      <c r="WTH8" s="4"/>
      <c r="WTI8" s="65"/>
      <c r="WTJ8" s="4"/>
      <c r="WTK8" s="4"/>
      <c r="WTL8" s="4"/>
      <c r="WTO8" s="34"/>
      <c r="WTP8" s="34"/>
      <c r="WTR8" s="34"/>
      <c r="WTS8" s="72"/>
      <c r="WTT8" s="63"/>
      <c r="WTU8" s="34"/>
      <c r="WTV8" s="64"/>
      <c r="WTW8" s="4"/>
      <c r="WTX8" s="65"/>
      <c r="WTY8" s="4"/>
      <c r="WTZ8" s="4"/>
      <c r="WUA8" s="4"/>
      <c r="WUD8" s="34"/>
      <c r="WUE8" s="34"/>
      <c r="WUG8" s="34"/>
      <c r="WUH8" s="72"/>
      <c r="WUI8" s="63"/>
      <c r="WUJ8" s="34"/>
      <c r="WUK8" s="64"/>
      <c r="WUL8" s="4"/>
      <c r="WUM8" s="65"/>
      <c r="WUN8" s="4"/>
      <c r="WUO8" s="4"/>
      <c r="WUP8" s="4"/>
      <c r="WUS8" s="34"/>
      <c r="WUT8" s="34"/>
      <c r="WUV8" s="34"/>
      <c r="WUW8" s="72"/>
      <c r="WUX8" s="63"/>
      <c r="WUY8" s="34"/>
      <c r="WUZ8" s="64"/>
      <c r="WVA8" s="4"/>
      <c r="WVB8" s="65"/>
      <c r="WVC8" s="4"/>
      <c r="WVD8" s="4"/>
      <c r="WVE8" s="4"/>
      <c r="WVH8" s="34"/>
      <c r="WVI8" s="34"/>
      <c r="WVK8" s="34"/>
      <c r="WVL8" s="72"/>
      <c r="WVM8" s="63"/>
      <c r="WVN8" s="34"/>
      <c r="WVO8" s="64"/>
      <c r="WVP8" s="4"/>
      <c r="WVQ8" s="65"/>
      <c r="WVR8" s="4"/>
      <c r="WVS8" s="4"/>
      <c r="WVT8" s="4"/>
      <c r="WVW8" s="34"/>
      <c r="WVX8" s="34"/>
      <c r="WVZ8" s="34"/>
      <c r="WWA8" s="72"/>
      <c r="WWB8" s="63"/>
      <c r="WWC8" s="34"/>
      <c r="WWD8" s="64"/>
      <c r="WWE8" s="4"/>
      <c r="WWF8" s="65"/>
      <c r="WWG8" s="4"/>
      <c r="WWH8" s="4"/>
      <c r="WWI8" s="4"/>
      <c r="WWL8" s="34"/>
      <c r="WWM8" s="34"/>
      <c r="WWO8" s="34"/>
      <c r="WWP8" s="72"/>
      <c r="WWQ8" s="63"/>
      <c r="WWR8" s="34"/>
      <c r="WWS8" s="64"/>
      <c r="WWT8" s="4"/>
      <c r="WWU8" s="65"/>
      <c r="WWV8" s="4"/>
      <c r="WWW8" s="4"/>
      <c r="WWX8" s="4"/>
      <c r="WXA8" s="34"/>
      <c r="WXB8" s="34"/>
      <c r="WXD8" s="34"/>
      <c r="WXE8" s="72"/>
      <c r="WXF8" s="63"/>
      <c r="WXG8" s="34"/>
      <c r="WXH8" s="64"/>
      <c r="WXI8" s="4"/>
      <c r="WXJ8" s="65"/>
      <c r="WXK8" s="4"/>
      <c r="WXL8" s="4"/>
      <c r="WXM8" s="4"/>
      <c r="WXP8" s="34"/>
      <c r="WXQ8" s="34"/>
      <c r="WXS8" s="34"/>
      <c r="WXT8" s="72"/>
      <c r="WXU8" s="63"/>
      <c r="WXV8" s="34"/>
      <c r="WXW8" s="64"/>
      <c r="WXX8" s="4"/>
      <c r="WXY8" s="65"/>
      <c r="WXZ8" s="4"/>
      <c r="WYA8" s="4"/>
      <c r="WYB8" s="4"/>
      <c r="WYE8" s="34"/>
      <c r="WYF8" s="34"/>
      <c r="WYH8" s="34"/>
      <c r="WYI8" s="72"/>
      <c r="WYJ8" s="63"/>
      <c r="WYK8" s="34"/>
      <c r="WYL8" s="64"/>
      <c r="WYM8" s="4"/>
      <c r="WYN8" s="65"/>
      <c r="WYO8" s="4"/>
      <c r="WYP8" s="4"/>
      <c r="WYQ8" s="4"/>
      <c r="WYT8" s="34"/>
      <c r="WYU8" s="34"/>
      <c r="WYW8" s="34"/>
      <c r="WYX8" s="72"/>
      <c r="WYY8" s="63"/>
      <c r="WYZ8" s="34"/>
      <c r="WZA8" s="64"/>
      <c r="WZB8" s="4"/>
      <c r="WZC8" s="65"/>
      <c r="WZD8" s="4"/>
      <c r="WZE8" s="4"/>
      <c r="WZF8" s="4"/>
      <c r="WZI8" s="34"/>
      <c r="WZJ8" s="34"/>
      <c r="WZL8" s="34"/>
      <c r="WZM8" s="72"/>
      <c r="WZN8" s="63"/>
      <c r="WZO8" s="34"/>
      <c r="WZP8" s="64"/>
      <c r="WZQ8" s="4"/>
      <c r="WZR8" s="65"/>
      <c r="WZS8" s="4"/>
      <c r="WZT8" s="4"/>
      <c r="WZU8" s="4"/>
      <c r="WZX8" s="34"/>
      <c r="WZY8" s="34"/>
      <c r="XAA8" s="34"/>
      <c r="XAB8" s="72"/>
      <c r="XAC8" s="63"/>
      <c r="XAD8" s="34"/>
      <c r="XAE8" s="64"/>
      <c r="XAF8" s="4"/>
      <c r="XAG8" s="65"/>
      <c r="XAH8" s="4"/>
      <c r="XAI8" s="4"/>
      <c r="XAJ8" s="4"/>
      <c r="XAM8" s="34"/>
      <c r="XAN8" s="34"/>
      <c r="XAP8" s="34"/>
      <c r="XAQ8" s="72"/>
      <c r="XAR8" s="63"/>
      <c r="XAS8" s="34"/>
      <c r="XAT8" s="64"/>
      <c r="XAU8" s="4"/>
      <c r="XAV8" s="65"/>
      <c r="XAW8" s="4"/>
      <c r="XAX8" s="4"/>
      <c r="XAY8" s="4"/>
      <c r="XBB8" s="34"/>
      <c r="XBC8" s="34"/>
      <c r="XBE8" s="34"/>
      <c r="XBF8" s="72"/>
      <c r="XBG8" s="63"/>
      <c r="XBH8" s="34"/>
      <c r="XBI8" s="64"/>
      <c r="XBJ8" s="4"/>
      <c r="XBK8" s="65"/>
      <c r="XBL8" s="4"/>
      <c r="XBM8" s="4"/>
      <c r="XBN8" s="4"/>
      <c r="XBQ8" s="34"/>
      <c r="XBR8" s="34"/>
      <c r="XBT8" s="34"/>
      <c r="XBU8" s="72"/>
      <c r="XBV8" s="63"/>
      <c r="XBW8" s="34"/>
      <c r="XBX8" s="64"/>
      <c r="XBY8" s="4"/>
      <c r="XBZ8" s="65"/>
      <c r="XCA8" s="4"/>
      <c r="XCB8" s="4"/>
      <c r="XCC8" s="4"/>
      <c r="XCF8" s="34"/>
      <c r="XCG8" s="34"/>
      <c r="XCI8" s="34"/>
      <c r="XCJ8" s="72"/>
      <c r="XCK8" s="63"/>
      <c r="XCL8" s="34"/>
      <c r="XCM8" s="64"/>
      <c r="XCN8" s="4"/>
      <c r="XCO8" s="65"/>
      <c r="XCP8" s="4"/>
      <c r="XCQ8" s="4"/>
      <c r="XCR8" s="4"/>
      <c r="XCU8" s="34"/>
      <c r="XCV8" s="34"/>
      <c r="XCX8" s="34"/>
      <c r="XCY8" s="72"/>
      <c r="XCZ8" s="63"/>
      <c r="XDA8" s="34"/>
      <c r="XDB8" s="64"/>
      <c r="XDC8" s="4"/>
      <c r="XDD8" s="65"/>
      <c r="XDE8" s="4"/>
      <c r="XDF8" s="4"/>
      <c r="XDG8" s="4"/>
      <c r="XDJ8" s="34"/>
      <c r="XDK8" s="34"/>
      <c r="XDM8" s="34"/>
      <c r="XDN8" s="72"/>
      <c r="XDO8" s="63"/>
      <c r="XDP8" s="34"/>
      <c r="XDQ8" s="64"/>
      <c r="XDR8" s="4"/>
      <c r="XDS8" s="65"/>
      <c r="XDT8" s="4"/>
      <c r="XDU8" s="4"/>
      <c r="XDV8" s="4"/>
      <c r="XDY8" s="34"/>
      <c r="XDZ8" s="34"/>
      <c r="XEB8" s="34"/>
      <c r="XEC8" s="72"/>
      <c r="XED8" s="63"/>
      <c r="XEE8" s="34"/>
      <c r="XEF8" s="64"/>
      <c r="XEG8" s="4"/>
      <c r="XEH8" s="65"/>
      <c r="XEI8" s="4"/>
      <c r="XEJ8" s="4"/>
      <c r="XEK8" s="4"/>
      <c r="XEN8" s="34"/>
      <c r="XEO8" s="34"/>
      <c r="XEQ8" s="34"/>
      <c r="XER8" s="72"/>
      <c r="XES8" s="63"/>
      <c r="XET8" s="34"/>
      <c r="XEU8" s="64"/>
      <c r="XEV8" s="4"/>
      <c r="XEW8" s="65"/>
      <c r="XEX8" s="4"/>
      <c r="XEY8" s="4"/>
      <c r="XEZ8" s="4"/>
      <c r="XFC8" s="34"/>
      <c r="XFD8" s="34"/>
    </row>
    <row r="9" spans="1:1024 1026:4095 4098:5119 5121:8190 8193:15360 15363:16384" x14ac:dyDescent="0.3">
      <c r="A9">
        <v>0</v>
      </c>
      <c r="B9">
        <v>0</v>
      </c>
      <c r="C9" s="34">
        <v>0.2072798803795346</v>
      </c>
      <c r="D9" s="34">
        <v>0.21388101049301433</v>
      </c>
      <c r="E9">
        <v>6</v>
      </c>
      <c r="F9" s="63">
        <v>1.9300000000000001E-3</v>
      </c>
      <c r="G9" s="90">
        <v>-0.12306011962046556</v>
      </c>
      <c r="H9" s="34">
        <v>-0.12892508702243402</v>
      </c>
      <c r="I9" s="34">
        <v>0.52095808383233533</v>
      </c>
      <c r="J9" s="64">
        <v>0.52631578947368418</v>
      </c>
      <c r="K9" s="4">
        <v>0.58823529411764708</v>
      </c>
      <c r="L9" s="65">
        <v>0.55555555555555547</v>
      </c>
      <c r="M9" s="4">
        <v>0.51388888888888884</v>
      </c>
      <c r="N9" s="4">
        <v>0.45121951219512196</v>
      </c>
      <c r="O9" s="4">
        <v>0.48051948051948051</v>
      </c>
      <c r="R9" s="34"/>
      <c r="S9" s="34"/>
      <c r="U9" s="34"/>
      <c r="V9" s="72"/>
      <c r="W9" s="63"/>
      <c r="X9" s="34"/>
      <c r="Y9" s="64"/>
      <c r="Z9" s="4"/>
      <c r="AA9" s="65"/>
      <c r="AB9" s="4"/>
      <c r="AC9" s="4"/>
      <c r="AD9" s="4"/>
      <c r="AG9" s="34"/>
      <c r="AH9" s="34"/>
      <c r="AJ9" s="34"/>
      <c r="AK9" s="72"/>
      <c r="AL9" s="63"/>
      <c r="AM9" s="34"/>
      <c r="AN9" s="64"/>
      <c r="AO9" s="4"/>
      <c r="AP9" s="65"/>
      <c r="AQ9" s="4"/>
      <c r="AR9" s="4"/>
      <c r="AS9" s="4"/>
      <c r="AV9" s="34"/>
      <c r="AW9" s="34"/>
      <c r="AY9" s="34"/>
      <c r="AZ9" s="72"/>
      <c r="BA9" s="63"/>
      <c r="BB9" s="34"/>
      <c r="BC9" s="64"/>
      <c r="BD9" s="4"/>
      <c r="BE9" s="65"/>
      <c r="BF9" s="4"/>
      <c r="BG9" s="4"/>
      <c r="BH9" s="4"/>
      <c r="BK9" s="34"/>
      <c r="BL9" s="34"/>
      <c r="BN9" s="34"/>
      <c r="BO9" s="72"/>
      <c r="BP9" s="63"/>
      <c r="BQ9" s="34"/>
      <c r="BR9" s="64"/>
      <c r="BS9" s="4"/>
      <c r="BT9" s="65"/>
      <c r="BU9" s="4"/>
      <c r="BV9" s="4"/>
      <c r="BW9" s="4"/>
      <c r="BZ9" s="34"/>
      <c r="CA9" s="34"/>
      <c r="CC9" s="34"/>
      <c r="CD9" s="72"/>
      <c r="CE9" s="63"/>
      <c r="CF9" s="34"/>
      <c r="CG9" s="64"/>
      <c r="CH9" s="4"/>
      <c r="CI9" s="65"/>
      <c r="CJ9" s="4"/>
      <c r="CK9" s="4"/>
      <c r="CL9" s="4"/>
      <c r="CO9" s="34"/>
      <c r="CP9" s="34"/>
      <c r="CR9" s="34"/>
      <c r="CS9" s="72"/>
      <c r="CT9" s="63"/>
      <c r="CU9" s="34"/>
      <c r="CV9" s="64"/>
      <c r="CW9" s="4"/>
      <c r="CX9" s="65"/>
      <c r="CY9" s="4"/>
      <c r="CZ9" s="4"/>
      <c r="DA9" s="4"/>
      <c r="DD9" s="34"/>
      <c r="DE9" s="34"/>
      <c r="DG9" s="34"/>
      <c r="DH9" s="72"/>
      <c r="DI9" s="63"/>
      <c r="DJ9" s="34"/>
      <c r="DK9" s="64"/>
      <c r="DL9" s="4"/>
      <c r="DM9" s="65"/>
      <c r="DN9" s="4"/>
      <c r="DO9" s="4"/>
      <c r="DP9" s="4"/>
      <c r="DS9" s="34"/>
      <c r="DT9" s="34"/>
      <c r="DV9" s="34"/>
      <c r="DW9" s="72"/>
      <c r="DX9" s="63"/>
      <c r="DY9" s="34"/>
      <c r="DZ9" s="64"/>
      <c r="EA9" s="4"/>
      <c r="EB9" s="65"/>
      <c r="EC9" s="4"/>
      <c r="ED9" s="4"/>
      <c r="EE9" s="4"/>
      <c r="EH9" s="34"/>
      <c r="EI9" s="34"/>
      <c r="EK9" s="34"/>
      <c r="EL9" s="72"/>
      <c r="EM9" s="63"/>
      <c r="EN9" s="34"/>
      <c r="EO9" s="64"/>
      <c r="EP9" s="4"/>
      <c r="EQ9" s="65"/>
      <c r="ER9" s="4"/>
      <c r="ES9" s="4"/>
      <c r="ET9" s="4"/>
      <c r="EW9" s="34"/>
      <c r="EX9" s="34"/>
      <c r="EZ9" s="34"/>
      <c r="FA9" s="72"/>
      <c r="FB9" s="63"/>
      <c r="FC9" s="34"/>
      <c r="FD9" s="64"/>
      <c r="FE9" s="4"/>
      <c r="FF9" s="65"/>
      <c r="FG9" s="4"/>
      <c r="FH9" s="4"/>
      <c r="FI9" s="4"/>
      <c r="FL9" s="34"/>
      <c r="FM9" s="34"/>
      <c r="FO9" s="34"/>
      <c r="FP9" s="72"/>
      <c r="FQ9" s="63"/>
      <c r="FR9" s="34"/>
      <c r="FS9" s="64"/>
      <c r="FT9" s="4"/>
      <c r="FU9" s="65"/>
      <c r="FV9" s="4"/>
      <c r="FW9" s="4"/>
      <c r="FX9" s="4"/>
      <c r="GA9" s="34"/>
      <c r="GB9" s="34"/>
      <c r="GD9" s="34"/>
      <c r="GE9" s="72"/>
      <c r="GF9" s="63"/>
      <c r="GG9" s="34"/>
      <c r="GH9" s="64"/>
      <c r="GI9" s="4"/>
      <c r="GJ9" s="65"/>
      <c r="GK9" s="4"/>
      <c r="GL9" s="4"/>
      <c r="GM9" s="4"/>
      <c r="GP9" s="34"/>
      <c r="GQ9" s="34"/>
      <c r="GS9" s="34"/>
      <c r="GT9" s="72"/>
      <c r="GU9" s="63"/>
      <c r="GV9" s="34"/>
      <c r="GW9" s="64"/>
      <c r="GX9" s="4"/>
      <c r="GY9" s="65"/>
      <c r="GZ9" s="4"/>
      <c r="HA9" s="4"/>
      <c r="HB9" s="4"/>
      <c r="HE9" s="34"/>
      <c r="HF9" s="34"/>
      <c r="HH9" s="34"/>
      <c r="HI9" s="72"/>
      <c r="HJ9" s="63"/>
      <c r="HK9" s="34"/>
      <c r="HL9" s="64"/>
      <c r="HM9" s="4"/>
      <c r="HN9" s="65"/>
      <c r="HO9" s="4"/>
      <c r="HP9" s="4"/>
      <c r="HQ9" s="4"/>
      <c r="HT9" s="34"/>
      <c r="HU9" s="34"/>
      <c r="HW9" s="34"/>
      <c r="HX9" s="72"/>
      <c r="HY9" s="63"/>
      <c r="HZ9" s="34"/>
      <c r="IA9" s="64"/>
      <c r="IB9" s="4"/>
      <c r="IC9" s="65"/>
      <c r="ID9" s="4"/>
      <c r="IE9" s="4"/>
      <c r="IF9" s="4"/>
      <c r="II9" s="34"/>
      <c r="IJ9" s="34"/>
      <c r="IL9" s="34"/>
      <c r="IM9" s="72"/>
      <c r="IN9" s="63"/>
      <c r="IO9" s="34"/>
      <c r="IP9" s="64"/>
      <c r="IQ9" s="4"/>
      <c r="IR9" s="65"/>
      <c r="IS9" s="4"/>
      <c r="IT9" s="4"/>
      <c r="IU9" s="4"/>
      <c r="IX9" s="34"/>
      <c r="IY9" s="34"/>
      <c r="JA9" s="34"/>
      <c r="JB9" s="72"/>
      <c r="JC9" s="63"/>
      <c r="JD9" s="34"/>
      <c r="JE9" s="64"/>
      <c r="JF9" s="4"/>
      <c r="JG9" s="65"/>
      <c r="JH9" s="4"/>
      <c r="JI9" s="4"/>
      <c r="JJ9" s="4"/>
      <c r="JM9" s="34"/>
      <c r="JN9" s="34"/>
      <c r="JP9" s="34"/>
      <c r="JQ9" s="72"/>
      <c r="JR9" s="63"/>
      <c r="JS9" s="34"/>
      <c r="JT9" s="64"/>
      <c r="JU9" s="4"/>
      <c r="JV9" s="65"/>
      <c r="JW9" s="4"/>
      <c r="JX9" s="4"/>
      <c r="JY9" s="4"/>
      <c r="KB9" s="34"/>
      <c r="KC9" s="34"/>
      <c r="KE9" s="34"/>
      <c r="KF9" s="72"/>
      <c r="KG9" s="63"/>
      <c r="KH9" s="34"/>
      <c r="KI9" s="64"/>
      <c r="KJ9" s="4"/>
      <c r="KK9" s="65"/>
      <c r="KL9" s="4"/>
      <c r="KM9" s="4"/>
      <c r="KN9" s="4"/>
      <c r="KQ9" s="34"/>
      <c r="KR9" s="34"/>
      <c r="KT9" s="34"/>
      <c r="KU9" s="72"/>
      <c r="KV9" s="63"/>
      <c r="KW9" s="34"/>
      <c r="KX9" s="64"/>
      <c r="KY9" s="4"/>
      <c r="KZ9" s="65"/>
      <c r="LA9" s="4"/>
      <c r="LB9" s="4"/>
      <c r="LC9" s="4"/>
      <c r="LF9" s="34"/>
      <c r="LG9" s="34"/>
      <c r="LI9" s="34"/>
      <c r="LJ9" s="72"/>
      <c r="LK9" s="63"/>
      <c r="LL9" s="34"/>
      <c r="LM9" s="64"/>
      <c r="LN9" s="4"/>
      <c r="LO9" s="65"/>
      <c r="LP9" s="4"/>
      <c r="LQ9" s="4"/>
      <c r="LR9" s="4"/>
      <c r="LU9" s="34"/>
      <c r="LV9" s="34"/>
      <c r="LX9" s="34"/>
      <c r="LY9" s="72"/>
      <c r="LZ9" s="63"/>
      <c r="MA9" s="34"/>
      <c r="MB9" s="64"/>
      <c r="MC9" s="4"/>
      <c r="MD9" s="65"/>
      <c r="ME9" s="4"/>
      <c r="MF9" s="4"/>
      <c r="MG9" s="4"/>
      <c r="MJ9" s="34"/>
      <c r="MK9" s="34"/>
      <c r="MM9" s="34"/>
      <c r="MN9" s="72"/>
      <c r="MO9" s="63"/>
      <c r="MP9" s="34"/>
      <c r="MQ9" s="64"/>
      <c r="MR9" s="4"/>
      <c r="MS9" s="65"/>
      <c r="MT9" s="4"/>
      <c r="MU9" s="4"/>
      <c r="MV9" s="4"/>
      <c r="MY9" s="34"/>
      <c r="MZ9" s="34"/>
      <c r="NB9" s="34"/>
      <c r="NC9" s="72"/>
      <c r="ND9" s="63"/>
      <c r="NE9" s="34"/>
      <c r="NF9" s="64"/>
      <c r="NG9" s="4"/>
      <c r="NH9" s="65"/>
      <c r="NI9" s="4"/>
      <c r="NJ9" s="4"/>
      <c r="NK9" s="4"/>
      <c r="NN9" s="34"/>
      <c r="NO9" s="34"/>
      <c r="NQ9" s="34"/>
      <c r="NR9" s="72"/>
      <c r="NS9" s="63"/>
      <c r="NT9" s="34"/>
      <c r="NU9" s="64"/>
      <c r="NV9" s="4"/>
      <c r="NW9" s="65"/>
      <c r="NX9" s="4"/>
      <c r="NY9" s="4"/>
      <c r="NZ9" s="4"/>
      <c r="OC9" s="34"/>
      <c r="OD9" s="34"/>
      <c r="OF9" s="34"/>
      <c r="OG9" s="72"/>
      <c r="OH9" s="63"/>
      <c r="OI9" s="34"/>
      <c r="OJ9" s="64"/>
      <c r="OK9" s="4"/>
      <c r="OL9" s="65"/>
      <c r="OM9" s="4"/>
      <c r="ON9" s="4"/>
      <c r="OO9" s="4"/>
      <c r="OR9" s="34"/>
      <c r="OS9" s="34"/>
      <c r="OU9" s="34"/>
      <c r="OV9" s="72"/>
      <c r="OW9" s="63"/>
      <c r="OX9" s="34"/>
      <c r="OY9" s="64"/>
      <c r="OZ9" s="4"/>
      <c r="PA9" s="65"/>
      <c r="PB9" s="4"/>
      <c r="PC9" s="4"/>
      <c r="PD9" s="4"/>
      <c r="PG9" s="34"/>
      <c r="PH9" s="34"/>
      <c r="PJ9" s="34"/>
      <c r="PK9" s="72"/>
      <c r="PL9" s="63"/>
      <c r="PM9" s="34"/>
      <c r="PN9" s="64"/>
      <c r="PO9" s="4"/>
      <c r="PP9" s="65"/>
      <c r="PQ9" s="4"/>
      <c r="PR9" s="4"/>
      <c r="PS9" s="4"/>
      <c r="PV9" s="34"/>
      <c r="PW9" s="34"/>
      <c r="PY9" s="34"/>
      <c r="PZ9" s="72"/>
      <c r="QA9" s="63"/>
      <c r="QB9" s="34"/>
      <c r="QC9" s="64"/>
      <c r="QD9" s="4"/>
      <c r="QE9" s="65"/>
      <c r="QF9" s="4"/>
      <c r="QG9" s="4"/>
      <c r="QH9" s="4"/>
      <c r="QK9" s="34"/>
      <c r="QL9" s="34"/>
      <c r="QN9" s="34"/>
      <c r="QO9" s="72"/>
      <c r="QP9" s="63"/>
      <c r="QQ9" s="34"/>
      <c r="QR9" s="64"/>
      <c r="QS9" s="4"/>
      <c r="QT9" s="65"/>
      <c r="QU9" s="4"/>
      <c r="QV9" s="4"/>
      <c r="QW9" s="4"/>
      <c r="QZ9" s="34"/>
      <c r="RA9" s="34"/>
      <c r="RC9" s="34"/>
      <c r="RD9" s="72"/>
      <c r="RE9" s="63"/>
      <c r="RF9" s="34"/>
      <c r="RG9" s="64"/>
      <c r="RH9" s="4"/>
      <c r="RI9" s="65"/>
      <c r="RJ9" s="4"/>
      <c r="RK9" s="4"/>
      <c r="RL9" s="4"/>
      <c r="RO9" s="34"/>
      <c r="RP9" s="34"/>
      <c r="RR9" s="34"/>
      <c r="RS9" s="72"/>
      <c r="RT9" s="63"/>
      <c r="RU9" s="34"/>
      <c r="RV9" s="64"/>
      <c r="RW9" s="4"/>
      <c r="RX9" s="65"/>
      <c r="RY9" s="4"/>
      <c r="RZ9" s="4"/>
      <c r="SA9" s="4"/>
      <c r="SD9" s="34"/>
      <c r="SE9" s="34"/>
      <c r="SG9" s="34"/>
      <c r="SH9" s="72"/>
      <c r="SI9" s="63"/>
      <c r="SJ9" s="34"/>
      <c r="SK9" s="64"/>
      <c r="SL9" s="4"/>
      <c r="SM9" s="65"/>
      <c r="SN9" s="4"/>
      <c r="SO9" s="4"/>
      <c r="SP9" s="4"/>
      <c r="SS9" s="34"/>
      <c r="ST9" s="34"/>
      <c r="SV9" s="34"/>
      <c r="SW9" s="72"/>
      <c r="SX9" s="63"/>
      <c r="SY9" s="34"/>
      <c r="SZ9" s="64"/>
      <c r="TA9" s="4"/>
      <c r="TB9" s="65"/>
      <c r="TC9" s="4"/>
      <c r="TD9" s="4"/>
      <c r="TE9" s="4"/>
      <c r="TH9" s="34"/>
      <c r="TI9" s="34"/>
      <c r="TK9" s="34"/>
      <c r="TL9" s="72"/>
      <c r="TM9" s="63"/>
      <c r="TN9" s="34"/>
      <c r="TO9" s="64"/>
      <c r="TP9" s="4"/>
      <c r="TQ9" s="65"/>
      <c r="TR9" s="4"/>
      <c r="TS9" s="4"/>
      <c r="TT9" s="4"/>
      <c r="TW9" s="34"/>
      <c r="TX9" s="34"/>
      <c r="TZ9" s="34"/>
      <c r="UA9" s="72"/>
      <c r="UB9" s="63"/>
      <c r="UC9" s="34"/>
      <c r="UD9" s="64"/>
      <c r="UE9" s="4"/>
      <c r="UF9" s="65"/>
      <c r="UG9" s="4"/>
      <c r="UH9" s="4"/>
      <c r="UI9" s="4"/>
      <c r="UL9" s="34"/>
      <c r="UM9" s="34"/>
      <c r="UO9" s="34"/>
      <c r="UP9" s="72"/>
      <c r="UQ9" s="63"/>
      <c r="UR9" s="34"/>
      <c r="US9" s="64"/>
      <c r="UT9" s="4"/>
      <c r="UU9" s="65"/>
      <c r="UV9" s="4"/>
      <c r="UW9" s="4"/>
      <c r="UX9" s="4"/>
      <c r="VA9" s="34"/>
      <c r="VB9" s="34"/>
      <c r="VD9" s="34"/>
      <c r="VE9" s="72"/>
      <c r="VF9" s="63"/>
      <c r="VG9" s="34"/>
      <c r="VH9" s="64"/>
      <c r="VI9" s="4"/>
      <c r="VJ9" s="65"/>
      <c r="VK9" s="4"/>
      <c r="VL9" s="4"/>
      <c r="VM9" s="4"/>
      <c r="VP9" s="34"/>
      <c r="VQ9" s="34"/>
      <c r="VS9" s="34"/>
      <c r="VT9" s="72"/>
      <c r="VU9" s="63"/>
      <c r="VV9" s="34"/>
      <c r="VW9" s="64"/>
      <c r="VX9" s="4"/>
      <c r="VY9" s="65"/>
      <c r="VZ9" s="4"/>
      <c r="WA9" s="4"/>
      <c r="WB9" s="4"/>
      <c r="WE9" s="34"/>
      <c r="WF9" s="34"/>
      <c r="WH9" s="34"/>
      <c r="WI9" s="72"/>
      <c r="WJ9" s="63"/>
      <c r="WK9" s="34"/>
      <c r="WL9" s="64"/>
      <c r="WM9" s="4"/>
      <c r="WN9" s="65"/>
      <c r="WO9" s="4"/>
      <c r="WP9" s="4"/>
      <c r="WQ9" s="4"/>
      <c r="WT9" s="34"/>
      <c r="WU9" s="34"/>
      <c r="WW9" s="34"/>
      <c r="WX9" s="72"/>
      <c r="WY9" s="63"/>
      <c r="WZ9" s="34"/>
      <c r="XA9" s="64"/>
      <c r="XB9" s="4"/>
      <c r="XC9" s="65"/>
      <c r="XD9" s="4"/>
      <c r="XE9" s="4"/>
      <c r="XF9" s="4"/>
      <c r="XI9" s="34"/>
      <c r="XJ9" s="34"/>
      <c r="XL9" s="34"/>
      <c r="XM9" s="72"/>
      <c r="XN9" s="63"/>
      <c r="XO9" s="34"/>
      <c r="XP9" s="64"/>
      <c r="XQ9" s="4"/>
      <c r="XR9" s="65"/>
      <c r="XS9" s="4"/>
      <c r="XT9" s="4"/>
      <c r="XU9" s="4"/>
      <c r="XX9" s="34"/>
      <c r="XY9" s="34"/>
      <c r="YA9" s="34"/>
      <c r="YB9" s="72"/>
      <c r="YC9" s="63"/>
      <c r="YD9" s="34"/>
      <c r="YE9" s="64"/>
      <c r="YF9" s="4"/>
      <c r="YG9" s="65"/>
      <c r="YH9" s="4"/>
      <c r="YI9" s="4"/>
      <c r="YJ9" s="4"/>
      <c r="YM9" s="34"/>
      <c r="YN9" s="34"/>
      <c r="YP9" s="34"/>
      <c r="YQ9" s="72"/>
      <c r="YR9" s="63"/>
      <c r="YS9" s="34"/>
      <c r="YT9" s="64"/>
      <c r="YU9" s="4"/>
      <c r="YV9" s="65"/>
      <c r="YW9" s="4"/>
      <c r="YX9" s="4"/>
      <c r="YY9" s="4"/>
      <c r="ZB9" s="34"/>
      <c r="ZC9" s="34"/>
      <c r="ZE9" s="34"/>
      <c r="ZF9" s="72"/>
      <c r="ZG9" s="63"/>
      <c r="ZH9" s="34"/>
      <c r="ZI9" s="64"/>
      <c r="ZJ9" s="4"/>
      <c r="ZK9" s="65"/>
      <c r="ZL9" s="4"/>
      <c r="ZM9" s="4"/>
      <c r="ZN9" s="4"/>
      <c r="ZQ9" s="34"/>
      <c r="ZR9" s="34"/>
      <c r="ZT9" s="34"/>
      <c r="ZU9" s="72"/>
      <c r="ZV9" s="63"/>
      <c r="ZW9" s="34"/>
      <c r="ZX9" s="64"/>
      <c r="ZY9" s="4"/>
      <c r="ZZ9" s="65"/>
      <c r="AAA9" s="4"/>
      <c r="AAB9" s="4"/>
      <c r="AAC9" s="4"/>
      <c r="AAF9" s="34"/>
      <c r="AAG9" s="34"/>
      <c r="AAI9" s="34"/>
      <c r="AAJ9" s="72"/>
      <c r="AAK9" s="63"/>
      <c r="AAL9" s="34"/>
      <c r="AAM9" s="64"/>
      <c r="AAN9" s="4"/>
      <c r="AAO9" s="65"/>
      <c r="AAP9" s="4"/>
      <c r="AAQ9" s="4"/>
      <c r="AAR9" s="4"/>
      <c r="AAU9" s="34"/>
      <c r="AAV9" s="34"/>
      <c r="AAX9" s="34"/>
      <c r="AAY9" s="72"/>
      <c r="AAZ9" s="63"/>
      <c r="ABA9" s="34"/>
      <c r="ABB9" s="64"/>
      <c r="ABC9" s="4"/>
      <c r="ABD9" s="65"/>
      <c r="ABE9" s="4"/>
      <c r="ABF9" s="4"/>
      <c r="ABG9" s="4"/>
      <c r="ABJ9" s="34"/>
      <c r="ABK9" s="34"/>
      <c r="ABM9" s="34"/>
      <c r="ABN9" s="72"/>
      <c r="ABO9" s="63"/>
      <c r="ABP9" s="34"/>
      <c r="ABQ9" s="64"/>
      <c r="ABR9" s="4"/>
      <c r="ABS9" s="65"/>
      <c r="ABT9" s="4"/>
      <c r="ABU9" s="4"/>
      <c r="ABV9" s="4"/>
      <c r="ABY9" s="34"/>
      <c r="ABZ9" s="34"/>
      <c r="ACB9" s="34"/>
      <c r="ACC9" s="72"/>
      <c r="ACD9" s="63"/>
      <c r="ACE9" s="34"/>
      <c r="ACF9" s="64"/>
      <c r="ACG9" s="4"/>
      <c r="ACH9" s="65"/>
      <c r="ACI9" s="4"/>
      <c r="ACJ9" s="4"/>
      <c r="ACK9" s="4"/>
      <c r="ACN9" s="34"/>
      <c r="ACO9" s="34"/>
      <c r="ACQ9" s="34"/>
      <c r="ACR9" s="72"/>
      <c r="ACS9" s="63"/>
      <c r="ACT9" s="34"/>
      <c r="ACU9" s="64"/>
      <c r="ACV9" s="4"/>
      <c r="ACW9" s="65"/>
      <c r="ACX9" s="4"/>
      <c r="ACY9" s="4"/>
      <c r="ACZ9" s="4"/>
      <c r="ADC9" s="34"/>
      <c r="ADD9" s="34"/>
      <c r="ADF9" s="34"/>
      <c r="ADG9" s="72"/>
      <c r="ADH9" s="63"/>
      <c r="ADI9" s="34"/>
      <c r="ADJ9" s="64"/>
      <c r="ADK9" s="4"/>
      <c r="ADL9" s="65"/>
      <c r="ADM9" s="4"/>
      <c r="ADN9" s="4"/>
      <c r="ADO9" s="4"/>
      <c r="ADR9" s="34"/>
      <c r="ADS9" s="34"/>
      <c r="ADU9" s="34"/>
      <c r="ADV9" s="72"/>
      <c r="ADW9" s="63"/>
      <c r="ADX9" s="34"/>
      <c r="ADY9" s="64"/>
      <c r="ADZ9" s="4"/>
      <c r="AEA9" s="65"/>
      <c r="AEB9" s="4"/>
      <c r="AEC9" s="4"/>
      <c r="AED9" s="4"/>
      <c r="AEG9" s="34"/>
      <c r="AEH9" s="34"/>
      <c r="AEJ9" s="34"/>
      <c r="AEK9" s="72"/>
      <c r="AEL9" s="63"/>
      <c r="AEM9" s="34"/>
      <c r="AEN9" s="64"/>
      <c r="AEO9" s="4"/>
      <c r="AEP9" s="65"/>
      <c r="AEQ9" s="4"/>
      <c r="AER9" s="4"/>
      <c r="AES9" s="4"/>
      <c r="AEV9" s="34"/>
      <c r="AEW9" s="34"/>
      <c r="AEY9" s="34"/>
      <c r="AEZ9" s="72"/>
      <c r="AFA9" s="63"/>
      <c r="AFB9" s="34"/>
      <c r="AFC9" s="64"/>
      <c r="AFD9" s="4"/>
      <c r="AFE9" s="65"/>
      <c r="AFF9" s="4"/>
      <c r="AFG9" s="4"/>
      <c r="AFH9" s="4"/>
      <c r="AFK9" s="34"/>
      <c r="AFL9" s="34"/>
      <c r="AFN9" s="34"/>
      <c r="AFO9" s="72"/>
      <c r="AFP9" s="63"/>
      <c r="AFQ9" s="34"/>
      <c r="AFR9" s="64"/>
      <c r="AFS9" s="4"/>
      <c r="AFT9" s="65"/>
      <c r="AFU9" s="4"/>
      <c r="AFV9" s="4"/>
      <c r="AFW9" s="4"/>
      <c r="AFZ9" s="34"/>
      <c r="AGA9" s="34"/>
      <c r="AGC9" s="34"/>
      <c r="AGD9" s="72"/>
      <c r="AGE9" s="63"/>
      <c r="AGF9" s="34"/>
      <c r="AGG9" s="64"/>
      <c r="AGH9" s="4"/>
      <c r="AGI9" s="65"/>
      <c r="AGJ9" s="4"/>
      <c r="AGK9" s="4"/>
      <c r="AGL9" s="4"/>
      <c r="AGO9" s="34"/>
      <c r="AGP9" s="34"/>
      <c r="AGR9" s="34"/>
      <c r="AGS9" s="72"/>
      <c r="AGT9" s="63"/>
      <c r="AGU9" s="34"/>
      <c r="AGV9" s="64"/>
      <c r="AGW9" s="4"/>
      <c r="AGX9" s="65"/>
      <c r="AGY9" s="4"/>
      <c r="AGZ9" s="4"/>
      <c r="AHA9" s="4"/>
      <c r="AHD9" s="34"/>
      <c r="AHE9" s="34"/>
      <c r="AHG9" s="34"/>
      <c r="AHH9" s="72"/>
      <c r="AHI9" s="63"/>
      <c r="AHJ9" s="34"/>
      <c r="AHK9" s="64"/>
      <c r="AHL9" s="4"/>
      <c r="AHM9" s="65"/>
      <c r="AHN9" s="4"/>
      <c r="AHO9" s="4"/>
      <c r="AHP9" s="4"/>
      <c r="AHS9" s="34"/>
      <c r="AHT9" s="34"/>
      <c r="AHV9" s="34"/>
      <c r="AHW9" s="72"/>
      <c r="AHX9" s="63"/>
      <c r="AHY9" s="34"/>
      <c r="AHZ9" s="64"/>
      <c r="AIA9" s="4"/>
      <c r="AIB9" s="65"/>
      <c r="AIC9" s="4"/>
      <c r="AID9" s="4"/>
      <c r="AIE9" s="4"/>
      <c r="AIH9" s="34"/>
      <c r="AII9" s="34"/>
      <c r="AIK9" s="34"/>
      <c r="AIL9" s="72"/>
      <c r="AIM9" s="63"/>
      <c r="AIN9" s="34"/>
      <c r="AIO9" s="64"/>
      <c r="AIP9" s="4"/>
      <c r="AIQ9" s="65"/>
      <c r="AIR9" s="4"/>
      <c r="AIS9" s="4"/>
      <c r="AIT9" s="4"/>
      <c r="AIW9" s="34"/>
      <c r="AIX9" s="34"/>
      <c r="AIZ9" s="34"/>
      <c r="AJA9" s="72"/>
      <c r="AJB9" s="63"/>
      <c r="AJC9" s="34"/>
      <c r="AJD9" s="64"/>
      <c r="AJE9" s="4"/>
      <c r="AJF9" s="65"/>
      <c r="AJG9" s="4"/>
      <c r="AJH9" s="4"/>
      <c r="AJI9" s="4"/>
      <c r="AJL9" s="34"/>
      <c r="AJM9" s="34"/>
      <c r="AJO9" s="34"/>
      <c r="AJP9" s="72"/>
      <c r="AJQ9" s="63"/>
      <c r="AJR9" s="34"/>
      <c r="AJS9" s="64"/>
      <c r="AJT9" s="4"/>
      <c r="AJU9" s="65"/>
      <c r="AJV9" s="4"/>
      <c r="AJW9" s="4"/>
      <c r="AJX9" s="4"/>
      <c r="AKA9" s="34"/>
      <c r="AKB9" s="34"/>
      <c r="AKD9" s="34"/>
      <c r="AKE9" s="72"/>
      <c r="AKF9" s="63"/>
      <c r="AKG9" s="34"/>
      <c r="AKH9" s="64"/>
      <c r="AKI9" s="4"/>
      <c r="AKJ9" s="65"/>
      <c r="AKK9" s="4"/>
      <c r="AKL9" s="4"/>
      <c r="AKM9" s="4"/>
      <c r="AKP9" s="34"/>
      <c r="AKQ9" s="34"/>
      <c r="AKS9" s="34"/>
      <c r="AKT9" s="72"/>
      <c r="AKU9" s="63"/>
      <c r="AKV9" s="34"/>
      <c r="AKW9" s="64"/>
      <c r="AKX9" s="4"/>
      <c r="AKY9" s="65"/>
      <c r="AKZ9" s="4"/>
      <c r="ALA9" s="4"/>
      <c r="ALB9" s="4"/>
      <c r="ALE9" s="34"/>
      <c r="ALF9" s="34"/>
      <c r="ALH9" s="34"/>
      <c r="ALI9" s="72"/>
      <c r="ALJ9" s="63"/>
      <c r="ALK9" s="34"/>
      <c r="ALL9" s="64"/>
      <c r="ALM9" s="4"/>
      <c r="ALN9" s="65"/>
      <c r="ALO9" s="4"/>
      <c r="ALP9" s="4"/>
      <c r="ALQ9" s="4"/>
      <c r="ALT9" s="34"/>
      <c r="ALU9" s="34"/>
      <c r="ALW9" s="34"/>
      <c r="ALX9" s="72"/>
      <c r="ALY9" s="63"/>
      <c r="ALZ9" s="34"/>
      <c r="AMA9" s="64"/>
      <c r="AMB9" s="4"/>
      <c r="AMC9" s="65"/>
      <c r="AMD9" s="4"/>
      <c r="AME9" s="4"/>
      <c r="AMF9" s="4"/>
      <c r="AMI9" s="34"/>
      <c r="AMJ9" s="34"/>
      <c r="AML9" s="34"/>
      <c r="AMM9" s="72"/>
      <c r="AMN9" s="63"/>
      <c r="AMO9" s="34"/>
      <c r="AMP9" s="64"/>
      <c r="AMQ9" s="4"/>
      <c r="AMR9" s="65"/>
      <c r="AMS9" s="4"/>
      <c r="AMT9" s="4"/>
      <c r="AMU9" s="4"/>
      <c r="AMX9" s="34"/>
      <c r="AMY9" s="34"/>
      <c r="ANA9" s="34"/>
      <c r="ANB9" s="72"/>
      <c r="ANC9" s="63"/>
      <c r="AND9" s="34"/>
      <c r="ANE9" s="64"/>
      <c r="ANF9" s="4"/>
      <c r="ANG9" s="65"/>
      <c r="ANH9" s="4"/>
      <c r="ANI9" s="4"/>
      <c r="ANJ9" s="4"/>
      <c r="ANM9" s="34"/>
      <c r="ANN9" s="34"/>
      <c r="ANP9" s="34"/>
      <c r="ANQ9" s="72"/>
      <c r="ANR9" s="63"/>
      <c r="ANS9" s="34"/>
      <c r="ANT9" s="64"/>
      <c r="ANU9" s="4"/>
      <c r="ANV9" s="65"/>
      <c r="ANW9" s="4"/>
      <c r="ANX9" s="4"/>
      <c r="ANY9" s="4"/>
      <c r="AOB9" s="34"/>
      <c r="AOC9" s="34"/>
      <c r="AOE9" s="34"/>
      <c r="AOF9" s="72"/>
      <c r="AOG9" s="63"/>
      <c r="AOH9" s="34"/>
      <c r="AOI9" s="64"/>
      <c r="AOJ9" s="4"/>
      <c r="AOK9" s="65"/>
      <c r="AOL9" s="4"/>
      <c r="AOM9" s="4"/>
      <c r="AON9" s="4"/>
      <c r="AOQ9" s="34"/>
      <c r="AOR9" s="34"/>
      <c r="AOT9" s="34"/>
      <c r="AOU9" s="72"/>
      <c r="AOV9" s="63"/>
      <c r="AOW9" s="34"/>
      <c r="AOX9" s="64"/>
      <c r="AOY9" s="4"/>
      <c r="AOZ9" s="65"/>
      <c r="APA9" s="4"/>
      <c r="APB9" s="4"/>
      <c r="APC9" s="4"/>
      <c r="APF9" s="34"/>
      <c r="APG9" s="34"/>
      <c r="API9" s="34"/>
      <c r="APJ9" s="72"/>
      <c r="APK9" s="63"/>
      <c r="APL9" s="34"/>
      <c r="APM9" s="64"/>
      <c r="APN9" s="4"/>
      <c r="APO9" s="65"/>
      <c r="APP9" s="4"/>
      <c r="APQ9" s="4"/>
      <c r="APR9" s="4"/>
      <c r="APU9" s="34"/>
      <c r="APV9" s="34"/>
      <c r="APX9" s="34"/>
      <c r="APY9" s="72"/>
      <c r="APZ9" s="63"/>
      <c r="AQA9" s="34"/>
      <c r="AQB9" s="64"/>
      <c r="AQC9" s="4"/>
      <c r="AQD9" s="65"/>
      <c r="AQE9" s="4"/>
      <c r="AQF9" s="4"/>
      <c r="AQG9" s="4"/>
      <c r="AQJ9" s="34"/>
      <c r="AQK9" s="34"/>
      <c r="AQM9" s="34"/>
      <c r="AQN9" s="72"/>
      <c r="AQO9" s="63"/>
      <c r="AQP9" s="34"/>
      <c r="AQQ9" s="64"/>
      <c r="AQR9" s="4"/>
      <c r="AQS9" s="65"/>
      <c r="AQT9" s="4"/>
      <c r="AQU9" s="4"/>
      <c r="AQV9" s="4"/>
      <c r="AQY9" s="34"/>
      <c r="AQZ9" s="34"/>
      <c r="ARB9" s="34"/>
      <c r="ARC9" s="72"/>
      <c r="ARD9" s="63"/>
      <c r="ARE9" s="34"/>
      <c r="ARF9" s="64"/>
      <c r="ARG9" s="4"/>
      <c r="ARH9" s="65"/>
      <c r="ARI9" s="4"/>
      <c r="ARJ9" s="4"/>
      <c r="ARK9" s="4"/>
      <c r="ARN9" s="34"/>
      <c r="ARO9" s="34"/>
      <c r="ARQ9" s="34"/>
      <c r="ARR9" s="72"/>
      <c r="ARS9" s="63"/>
      <c r="ART9" s="34"/>
      <c r="ARU9" s="64"/>
      <c r="ARV9" s="4"/>
      <c r="ARW9" s="65"/>
      <c r="ARX9" s="4"/>
      <c r="ARY9" s="4"/>
      <c r="ARZ9" s="4"/>
      <c r="ASC9" s="34"/>
      <c r="ASD9" s="34"/>
      <c r="ASF9" s="34"/>
      <c r="ASG9" s="72"/>
      <c r="ASH9" s="63"/>
      <c r="ASI9" s="34"/>
      <c r="ASJ9" s="64"/>
      <c r="ASK9" s="4"/>
      <c r="ASL9" s="65"/>
      <c r="ASM9" s="4"/>
      <c r="ASN9" s="4"/>
      <c r="ASO9" s="4"/>
      <c r="ASR9" s="34"/>
      <c r="ASS9" s="34"/>
      <c r="ASU9" s="34"/>
      <c r="ASV9" s="72"/>
      <c r="ASW9" s="63"/>
      <c r="ASX9" s="34"/>
      <c r="ASY9" s="64"/>
      <c r="ASZ9" s="4"/>
      <c r="ATA9" s="65"/>
      <c r="ATB9" s="4"/>
      <c r="ATC9" s="4"/>
      <c r="ATD9" s="4"/>
      <c r="ATG9" s="34"/>
      <c r="ATH9" s="34"/>
      <c r="ATJ9" s="34"/>
      <c r="ATK9" s="72"/>
      <c r="ATL9" s="63"/>
      <c r="ATM9" s="34"/>
      <c r="ATN9" s="64"/>
      <c r="ATO9" s="4"/>
      <c r="ATP9" s="65"/>
      <c r="ATQ9" s="4"/>
      <c r="ATR9" s="4"/>
      <c r="ATS9" s="4"/>
      <c r="ATV9" s="34"/>
      <c r="ATW9" s="34"/>
      <c r="ATY9" s="34"/>
      <c r="ATZ9" s="72"/>
      <c r="AUA9" s="63"/>
      <c r="AUB9" s="34"/>
      <c r="AUC9" s="64"/>
      <c r="AUD9" s="4"/>
      <c r="AUE9" s="65"/>
      <c r="AUF9" s="4"/>
      <c r="AUG9" s="4"/>
      <c r="AUH9" s="4"/>
      <c r="AUK9" s="34"/>
      <c r="AUL9" s="34"/>
      <c r="AUN9" s="34"/>
      <c r="AUO9" s="72"/>
      <c r="AUP9" s="63"/>
      <c r="AUQ9" s="34"/>
      <c r="AUR9" s="64"/>
      <c r="AUS9" s="4"/>
      <c r="AUT9" s="65"/>
      <c r="AUU9" s="4"/>
      <c r="AUV9" s="4"/>
      <c r="AUW9" s="4"/>
      <c r="AUZ9" s="34"/>
      <c r="AVA9" s="34"/>
      <c r="AVC9" s="34"/>
      <c r="AVD9" s="72"/>
      <c r="AVE9" s="63"/>
      <c r="AVF9" s="34"/>
      <c r="AVG9" s="64"/>
      <c r="AVH9" s="4"/>
      <c r="AVI9" s="65"/>
      <c r="AVJ9" s="4"/>
      <c r="AVK9" s="4"/>
      <c r="AVL9" s="4"/>
      <c r="AVO9" s="34"/>
      <c r="AVP9" s="34"/>
      <c r="AVR9" s="34"/>
      <c r="AVS9" s="72"/>
      <c r="AVT9" s="63"/>
      <c r="AVU9" s="34"/>
      <c r="AVV9" s="64"/>
      <c r="AVW9" s="4"/>
      <c r="AVX9" s="65"/>
      <c r="AVY9" s="4"/>
      <c r="AVZ9" s="4"/>
      <c r="AWA9" s="4"/>
      <c r="AWD9" s="34"/>
      <c r="AWE9" s="34"/>
      <c r="AWG9" s="34"/>
      <c r="AWH9" s="72"/>
      <c r="AWI9" s="63"/>
      <c r="AWJ9" s="34"/>
      <c r="AWK9" s="64"/>
      <c r="AWL9" s="4"/>
      <c r="AWM9" s="65"/>
      <c r="AWN9" s="4"/>
      <c r="AWO9" s="4"/>
      <c r="AWP9" s="4"/>
      <c r="AWS9" s="34"/>
      <c r="AWT9" s="34"/>
      <c r="AWV9" s="34"/>
      <c r="AWW9" s="72"/>
      <c r="AWX9" s="63"/>
      <c r="AWY9" s="34"/>
      <c r="AWZ9" s="64"/>
      <c r="AXA9" s="4"/>
      <c r="AXB9" s="65"/>
      <c r="AXC9" s="4"/>
      <c r="AXD9" s="4"/>
      <c r="AXE9" s="4"/>
      <c r="AXH9" s="34"/>
      <c r="AXI9" s="34"/>
      <c r="AXK9" s="34"/>
      <c r="AXL9" s="72"/>
      <c r="AXM9" s="63"/>
      <c r="AXN9" s="34"/>
      <c r="AXO9" s="64"/>
      <c r="AXP9" s="4"/>
      <c r="AXQ9" s="65"/>
      <c r="AXR9" s="4"/>
      <c r="AXS9" s="4"/>
      <c r="AXT9" s="4"/>
      <c r="AXW9" s="34"/>
      <c r="AXX9" s="34"/>
      <c r="AXZ9" s="34"/>
      <c r="AYA9" s="72"/>
      <c r="AYB9" s="63"/>
      <c r="AYC9" s="34"/>
      <c r="AYD9" s="64"/>
      <c r="AYE9" s="4"/>
      <c r="AYF9" s="65"/>
      <c r="AYG9" s="4"/>
      <c r="AYH9" s="4"/>
      <c r="AYI9" s="4"/>
      <c r="AYL9" s="34"/>
      <c r="AYM9" s="34"/>
      <c r="AYO9" s="34"/>
      <c r="AYP9" s="72"/>
      <c r="AYQ9" s="63"/>
      <c r="AYR9" s="34"/>
      <c r="AYS9" s="64"/>
      <c r="AYT9" s="4"/>
      <c r="AYU9" s="65"/>
      <c r="AYV9" s="4"/>
      <c r="AYW9" s="4"/>
      <c r="AYX9" s="4"/>
      <c r="AZA9" s="34"/>
      <c r="AZB9" s="34"/>
      <c r="AZD9" s="34"/>
      <c r="AZE9" s="72"/>
      <c r="AZF9" s="63"/>
      <c r="AZG9" s="34"/>
      <c r="AZH9" s="64"/>
      <c r="AZI9" s="4"/>
      <c r="AZJ9" s="65"/>
      <c r="AZK9" s="4"/>
      <c r="AZL9" s="4"/>
      <c r="AZM9" s="4"/>
      <c r="AZP9" s="34"/>
      <c r="AZQ9" s="34"/>
      <c r="AZS9" s="34"/>
      <c r="AZT9" s="72"/>
      <c r="AZU9" s="63"/>
      <c r="AZV9" s="34"/>
      <c r="AZW9" s="64"/>
      <c r="AZX9" s="4"/>
      <c r="AZY9" s="65"/>
      <c r="AZZ9" s="4"/>
      <c r="BAA9" s="4"/>
      <c r="BAB9" s="4"/>
      <c r="BAE9" s="34"/>
      <c r="BAF9" s="34"/>
      <c r="BAH9" s="34"/>
      <c r="BAI9" s="72"/>
      <c r="BAJ9" s="63"/>
      <c r="BAK9" s="34"/>
      <c r="BAL9" s="64"/>
      <c r="BAM9" s="4"/>
      <c r="BAN9" s="65"/>
      <c r="BAO9" s="4"/>
      <c r="BAP9" s="4"/>
      <c r="BAQ9" s="4"/>
      <c r="BAT9" s="34"/>
      <c r="BAU9" s="34"/>
      <c r="BAW9" s="34"/>
      <c r="BAX9" s="72"/>
      <c r="BAY9" s="63"/>
      <c r="BAZ9" s="34"/>
      <c r="BBA9" s="64"/>
      <c r="BBB9" s="4"/>
      <c r="BBC9" s="65"/>
      <c r="BBD9" s="4"/>
      <c r="BBE9" s="4"/>
      <c r="BBF9" s="4"/>
      <c r="BBI9" s="34"/>
      <c r="BBJ9" s="34"/>
      <c r="BBL9" s="34"/>
      <c r="BBM9" s="72"/>
      <c r="BBN9" s="63"/>
      <c r="BBO9" s="34"/>
      <c r="BBP9" s="64"/>
      <c r="BBQ9" s="4"/>
      <c r="BBR9" s="65"/>
      <c r="BBS9" s="4"/>
      <c r="BBT9" s="4"/>
      <c r="BBU9" s="4"/>
      <c r="BBX9" s="34"/>
      <c r="BBY9" s="34"/>
      <c r="BCA9" s="34"/>
      <c r="BCB9" s="72"/>
      <c r="BCC9" s="63"/>
      <c r="BCD9" s="34"/>
      <c r="BCE9" s="64"/>
      <c r="BCF9" s="4"/>
      <c r="BCG9" s="65"/>
      <c r="BCH9" s="4"/>
      <c r="BCI9" s="4"/>
      <c r="BCJ9" s="4"/>
      <c r="BCM9" s="34"/>
      <c r="BCN9" s="34"/>
      <c r="BCP9" s="34"/>
      <c r="BCQ9" s="72"/>
      <c r="BCR9" s="63"/>
      <c r="BCS9" s="34"/>
      <c r="BCT9" s="64"/>
      <c r="BCU9" s="4"/>
      <c r="BCV9" s="65"/>
      <c r="BCW9" s="4"/>
      <c r="BCX9" s="4"/>
      <c r="BCY9" s="4"/>
      <c r="BDB9" s="34"/>
      <c r="BDC9" s="34"/>
      <c r="BDE9" s="34"/>
      <c r="BDF9" s="72"/>
      <c r="BDG9" s="63"/>
      <c r="BDH9" s="34"/>
      <c r="BDI9" s="64"/>
      <c r="BDJ9" s="4"/>
      <c r="BDK9" s="65"/>
      <c r="BDL9" s="4"/>
      <c r="BDM9" s="4"/>
      <c r="BDN9" s="4"/>
      <c r="BDQ9" s="34"/>
      <c r="BDR9" s="34"/>
      <c r="BDT9" s="34"/>
      <c r="BDU9" s="72"/>
      <c r="BDV9" s="63"/>
      <c r="BDW9" s="34"/>
      <c r="BDX9" s="64"/>
      <c r="BDY9" s="4"/>
      <c r="BDZ9" s="65"/>
      <c r="BEA9" s="4"/>
      <c r="BEB9" s="4"/>
      <c r="BEC9" s="4"/>
      <c r="BEF9" s="34"/>
      <c r="BEG9" s="34"/>
      <c r="BEI9" s="34"/>
      <c r="BEJ9" s="72"/>
      <c r="BEK9" s="63"/>
      <c r="BEL9" s="34"/>
      <c r="BEM9" s="64"/>
      <c r="BEN9" s="4"/>
      <c r="BEO9" s="65"/>
      <c r="BEP9" s="4"/>
      <c r="BEQ9" s="4"/>
      <c r="BER9" s="4"/>
      <c r="BEU9" s="34"/>
      <c r="BEV9" s="34"/>
      <c r="BEX9" s="34"/>
      <c r="BEY9" s="72"/>
      <c r="BEZ9" s="63"/>
      <c r="BFA9" s="34"/>
      <c r="BFB9" s="64"/>
      <c r="BFC9" s="4"/>
      <c r="BFD9" s="65"/>
      <c r="BFE9" s="4"/>
      <c r="BFF9" s="4"/>
      <c r="BFG9" s="4"/>
      <c r="BFJ9" s="34"/>
      <c r="BFK9" s="34"/>
      <c r="BFM9" s="34"/>
      <c r="BFN9" s="72"/>
      <c r="BFO9" s="63"/>
      <c r="BFP9" s="34"/>
      <c r="BFQ9" s="64"/>
      <c r="BFR9" s="4"/>
      <c r="BFS9" s="65"/>
      <c r="BFT9" s="4"/>
      <c r="BFU9" s="4"/>
      <c r="BFV9" s="4"/>
      <c r="BFY9" s="34"/>
      <c r="BFZ9" s="34"/>
      <c r="BGB9" s="34"/>
      <c r="BGC9" s="72"/>
      <c r="BGD9" s="63"/>
      <c r="BGE9" s="34"/>
      <c r="BGF9" s="64"/>
      <c r="BGG9" s="4"/>
      <c r="BGH9" s="65"/>
      <c r="BGI9" s="4"/>
      <c r="BGJ9" s="4"/>
      <c r="BGK9" s="4"/>
      <c r="BGN9" s="34"/>
      <c r="BGO9" s="34"/>
      <c r="BGQ9" s="34"/>
      <c r="BGR9" s="72"/>
      <c r="BGS9" s="63"/>
      <c r="BGT9" s="34"/>
      <c r="BGU9" s="64"/>
      <c r="BGV9" s="4"/>
      <c r="BGW9" s="65"/>
      <c r="BGX9" s="4"/>
      <c r="BGY9" s="4"/>
      <c r="BGZ9" s="4"/>
      <c r="BHC9" s="34"/>
      <c r="BHD9" s="34"/>
      <c r="BHF9" s="34"/>
      <c r="BHG9" s="72"/>
      <c r="BHH9" s="63"/>
      <c r="BHI9" s="34"/>
      <c r="BHJ9" s="64"/>
      <c r="BHK9" s="4"/>
      <c r="BHL9" s="65"/>
      <c r="BHM9" s="4"/>
      <c r="BHN9" s="4"/>
      <c r="BHO9" s="4"/>
      <c r="BHR9" s="34"/>
      <c r="BHS9" s="34"/>
      <c r="BHU9" s="34"/>
      <c r="BHV9" s="72"/>
      <c r="BHW9" s="63"/>
      <c r="BHX9" s="34"/>
      <c r="BHY9" s="64"/>
      <c r="BHZ9" s="4"/>
      <c r="BIA9" s="65"/>
      <c r="BIB9" s="4"/>
      <c r="BIC9" s="4"/>
      <c r="BID9" s="4"/>
      <c r="BIG9" s="34"/>
      <c r="BIH9" s="34"/>
      <c r="BIJ9" s="34"/>
      <c r="BIK9" s="72"/>
      <c r="BIL9" s="63"/>
      <c r="BIM9" s="34"/>
      <c r="BIN9" s="64"/>
      <c r="BIO9" s="4"/>
      <c r="BIP9" s="65"/>
      <c r="BIQ9" s="4"/>
      <c r="BIR9" s="4"/>
      <c r="BIS9" s="4"/>
      <c r="BIV9" s="34"/>
      <c r="BIW9" s="34"/>
      <c r="BIY9" s="34"/>
      <c r="BIZ9" s="72"/>
      <c r="BJA9" s="63"/>
      <c r="BJB9" s="34"/>
      <c r="BJC9" s="64"/>
      <c r="BJD9" s="4"/>
      <c r="BJE9" s="65"/>
      <c r="BJF9" s="4"/>
      <c r="BJG9" s="4"/>
      <c r="BJH9" s="4"/>
      <c r="BJK9" s="34"/>
      <c r="BJL9" s="34"/>
      <c r="BJN9" s="34"/>
      <c r="BJO9" s="72"/>
      <c r="BJP9" s="63"/>
      <c r="BJQ9" s="34"/>
      <c r="BJR9" s="64"/>
      <c r="BJS9" s="4"/>
      <c r="BJT9" s="65"/>
      <c r="BJU9" s="4"/>
      <c r="BJV9" s="4"/>
      <c r="BJW9" s="4"/>
      <c r="BJZ9" s="34"/>
      <c r="BKA9" s="34"/>
      <c r="BKC9" s="34"/>
      <c r="BKD9" s="72"/>
      <c r="BKE9" s="63"/>
      <c r="BKF9" s="34"/>
      <c r="BKG9" s="64"/>
      <c r="BKH9" s="4"/>
      <c r="BKI9" s="65"/>
      <c r="BKJ9" s="4"/>
      <c r="BKK9" s="4"/>
      <c r="BKL9" s="4"/>
      <c r="BKO9" s="34"/>
      <c r="BKP9" s="34"/>
      <c r="BKR9" s="34"/>
      <c r="BKS9" s="72"/>
      <c r="BKT9" s="63"/>
      <c r="BKU9" s="34"/>
      <c r="BKV9" s="64"/>
      <c r="BKW9" s="4"/>
      <c r="BKX9" s="65"/>
      <c r="BKY9" s="4"/>
      <c r="BKZ9" s="4"/>
      <c r="BLA9" s="4"/>
      <c r="BLD9" s="34"/>
      <c r="BLE9" s="34"/>
      <c r="BLG9" s="34"/>
      <c r="BLH9" s="72"/>
      <c r="BLI9" s="63"/>
      <c r="BLJ9" s="34"/>
      <c r="BLK9" s="64"/>
      <c r="BLL9" s="4"/>
      <c r="BLM9" s="65"/>
      <c r="BLN9" s="4"/>
      <c r="BLO9" s="4"/>
      <c r="BLP9" s="4"/>
      <c r="BLS9" s="34"/>
      <c r="BLT9" s="34"/>
      <c r="BLV9" s="34"/>
      <c r="BLW9" s="72"/>
      <c r="BLX9" s="63"/>
      <c r="BLY9" s="34"/>
      <c r="BLZ9" s="64"/>
      <c r="BMA9" s="4"/>
      <c r="BMB9" s="65"/>
      <c r="BMC9" s="4"/>
      <c r="BMD9" s="4"/>
      <c r="BME9" s="4"/>
      <c r="BMH9" s="34"/>
      <c r="BMI9" s="34"/>
      <c r="BMK9" s="34"/>
      <c r="BML9" s="72"/>
      <c r="BMM9" s="63"/>
      <c r="BMN9" s="34"/>
      <c r="BMO9" s="64"/>
      <c r="BMP9" s="4"/>
      <c r="BMQ9" s="65"/>
      <c r="BMR9" s="4"/>
      <c r="BMS9" s="4"/>
      <c r="BMT9" s="4"/>
      <c r="BMW9" s="34"/>
      <c r="BMX9" s="34"/>
      <c r="BMZ9" s="34"/>
      <c r="BNA9" s="72"/>
      <c r="BNB9" s="63"/>
      <c r="BNC9" s="34"/>
      <c r="BND9" s="64"/>
      <c r="BNE9" s="4"/>
      <c r="BNF9" s="65"/>
      <c r="BNG9" s="4"/>
      <c r="BNH9" s="4"/>
      <c r="BNI9" s="4"/>
      <c r="BNL9" s="34"/>
      <c r="BNM9" s="34"/>
      <c r="BNO9" s="34"/>
      <c r="BNP9" s="72"/>
      <c r="BNQ9" s="63"/>
      <c r="BNR9" s="34"/>
      <c r="BNS9" s="64"/>
      <c r="BNT9" s="4"/>
      <c r="BNU9" s="65"/>
      <c r="BNV9" s="4"/>
      <c r="BNW9" s="4"/>
      <c r="BNX9" s="4"/>
      <c r="BOA9" s="34"/>
      <c r="BOB9" s="34"/>
      <c r="BOD9" s="34"/>
      <c r="BOE9" s="72"/>
      <c r="BOF9" s="63"/>
      <c r="BOG9" s="34"/>
      <c r="BOH9" s="64"/>
      <c r="BOI9" s="4"/>
      <c r="BOJ9" s="65"/>
      <c r="BOK9" s="4"/>
      <c r="BOL9" s="4"/>
      <c r="BOM9" s="4"/>
      <c r="BOP9" s="34"/>
      <c r="BOQ9" s="34"/>
      <c r="BOS9" s="34"/>
      <c r="BOT9" s="72"/>
      <c r="BOU9" s="63"/>
      <c r="BOV9" s="34"/>
      <c r="BOW9" s="64"/>
      <c r="BOX9" s="4"/>
      <c r="BOY9" s="65"/>
      <c r="BOZ9" s="4"/>
      <c r="BPA9" s="4"/>
      <c r="BPB9" s="4"/>
      <c r="BPE9" s="34"/>
      <c r="BPF9" s="34"/>
      <c r="BPH9" s="34"/>
      <c r="BPI9" s="72"/>
      <c r="BPJ9" s="63"/>
      <c r="BPK9" s="34"/>
      <c r="BPL9" s="64"/>
      <c r="BPM9" s="4"/>
      <c r="BPN9" s="65"/>
      <c r="BPO9" s="4"/>
      <c r="BPP9" s="4"/>
      <c r="BPQ9" s="4"/>
      <c r="BPT9" s="34"/>
      <c r="BPU9" s="34"/>
      <c r="BPW9" s="34"/>
      <c r="BPX9" s="72"/>
      <c r="BPY9" s="63"/>
      <c r="BPZ9" s="34"/>
      <c r="BQA9" s="64"/>
      <c r="BQB9" s="4"/>
      <c r="BQC9" s="65"/>
      <c r="BQD9" s="4"/>
      <c r="BQE9" s="4"/>
      <c r="BQF9" s="4"/>
      <c r="BQI9" s="34"/>
      <c r="BQJ9" s="34"/>
      <c r="BQL9" s="34"/>
      <c r="BQM9" s="72"/>
      <c r="BQN9" s="63"/>
      <c r="BQO9" s="34"/>
      <c r="BQP9" s="64"/>
      <c r="BQQ9" s="4"/>
      <c r="BQR9" s="65"/>
      <c r="BQS9" s="4"/>
      <c r="BQT9" s="4"/>
      <c r="BQU9" s="4"/>
      <c r="BQX9" s="34"/>
      <c r="BQY9" s="34"/>
      <c r="BRA9" s="34"/>
      <c r="BRB9" s="72"/>
      <c r="BRC9" s="63"/>
      <c r="BRD9" s="34"/>
      <c r="BRE9" s="64"/>
      <c r="BRF9" s="4"/>
      <c r="BRG9" s="65"/>
      <c r="BRH9" s="4"/>
      <c r="BRI9" s="4"/>
      <c r="BRJ9" s="4"/>
      <c r="BRM9" s="34"/>
      <c r="BRN9" s="34"/>
      <c r="BRP9" s="34"/>
      <c r="BRQ9" s="72"/>
      <c r="BRR9" s="63"/>
      <c r="BRS9" s="34"/>
      <c r="BRT9" s="64"/>
      <c r="BRU9" s="4"/>
      <c r="BRV9" s="65"/>
      <c r="BRW9" s="4"/>
      <c r="BRX9" s="4"/>
      <c r="BRY9" s="4"/>
      <c r="BSB9" s="34"/>
      <c r="BSC9" s="34"/>
      <c r="BSE9" s="34"/>
      <c r="BSF9" s="72"/>
      <c r="BSG9" s="63"/>
      <c r="BSH9" s="34"/>
      <c r="BSI9" s="64"/>
      <c r="BSJ9" s="4"/>
      <c r="BSK9" s="65"/>
      <c r="BSL9" s="4"/>
      <c r="BSM9" s="4"/>
      <c r="BSN9" s="4"/>
      <c r="BSQ9" s="34"/>
      <c r="BSR9" s="34"/>
      <c r="BST9" s="34"/>
      <c r="BSU9" s="72"/>
      <c r="BSV9" s="63"/>
      <c r="BSW9" s="34"/>
      <c r="BSX9" s="64"/>
      <c r="BSY9" s="4"/>
      <c r="BSZ9" s="65"/>
      <c r="BTA9" s="4"/>
      <c r="BTB9" s="4"/>
      <c r="BTC9" s="4"/>
      <c r="BTF9" s="34"/>
      <c r="BTG9" s="34"/>
      <c r="BTI9" s="34"/>
      <c r="BTJ9" s="72"/>
      <c r="BTK9" s="63"/>
      <c r="BTL9" s="34"/>
      <c r="BTM9" s="64"/>
      <c r="BTN9" s="4"/>
      <c r="BTO9" s="65"/>
      <c r="BTP9" s="4"/>
      <c r="BTQ9" s="4"/>
      <c r="BTR9" s="4"/>
      <c r="BTU9" s="34"/>
      <c r="BTV9" s="34"/>
      <c r="BTX9" s="34"/>
      <c r="BTY9" s="72"/>
      <c r="BTZ9" s="63"/>
      <c r="BUA9" s="34"/>
      <c r="BUB9" s="64"/>
      <c r="BUC9" s="4"/>
      <c r="BUD9" s="65"/>
      <c r="BUE9" s="4"/>
      <c r="BUF9" s="4"/>
      <c r="BUG9" s="4"/>
      <c r="BUJ9" s="34"/>
      <c r="BUK9" s="34"/>
      <c r="BUM9" s="34"/>
      <c r="BUN9" s="72"/>
      <c r="BUO9" s="63"/>
      <c r="BUP9" s="34"/>
      <c r="BUQ9" s="64"/>
      <c r="BUR9" s="4"/>
      <c r="BUS9" s="65"/>
      <c r="BUT9" s="4"/>
      <c r="BUU9" s="4"/>
      <c r="BUV9" s="4"/>
      <c r="BUY9" s="34"/>
      <c r="BUZ9" s="34"/>
      <c r="BVB9" s="34"/>
      <c r="BVC9" s="72"/>
      <c r="BVD9" s="63"/>
      <c r="BVE9" s="34"/>
      <c r="BVF9" s="64"/>
      <c r="BVG9" s="4"/>
      <c r="BVH9" s="65"/>
      <c r="BVI9" s="4"/>
      <c r="BVJ9" s="4"/>
      <c r="BVK9" s="4"/>
      <c r="BVN9" s="34"/>
      <c r="BVO9" s="34"/>
      <c r="BVQ9" s="34"/>
      <c r="BVR9" s="72"/>
      <c r="BVS9" s="63"/>
      <c r="BVT9" s="34"/>
      <c r="BVU9" s="64"/>
      <c r="BVV9" s="4"/>
      <c r="BVW9" s="65"/>
      <c r="BVX9" s="4"/>
      <c r="BVY9" s="4"/>
      <c r="BVZ9" s="4"/>
      <c r="BWC9" s="34"/>
      <c r="BWD9" s="34"/>
      <c r="BWF9" s="34"/>
      <c r="BWG9" s="72"/>
      <c r="BWH9" s="63"/>
      <c r="BWI9" s="34"/>
      <c r="BWJ9" s="64"/>
      <c r="BWK9" s="4"/>
      <c r="BWL9" s="65"/>
      <c r="BWM9" s="4"/>
      <c r="BWN9" s="4"/>
      <c r="BWO9" s="4"/>
      <c r="BWR9" s="34"/>
      <c r="BWS9" s="34"/>
      <c r="BWU9" s="34"/>
      <c r="BWV9" s="72"/>
      <c r="BWW9" s="63"/>
      <c r="BWX9" s="34"/>
      <c r="BWY9" s="64"/>
      <c r="BWZ9" s="4"/>
      <c r="BXA9" s="65"/>
      <c r="BXB9" s="4"/>
      <c r="BXC9" s="4"/>
      <c r="BXD9" s="4"/>
      <c r="BXG9" s="34"/>
      <c r="BXH9" s="34"/>
      <c r="BXJ9" s="34"/>
      <c r="BXK9" s="72"/>
      <c r="BXL9" s="63"/>
      <c r="BXM9" s="34"/>
      <c r="BXN9" s="64"/>
      <c r="BXO9" s="4"/>
      <c r="BXP9" s="65"/>
      <c r="BXQ9" s="4"/>
      <c r="BXR9" s="4"/>
      <c r="BXS9" s="4"/>
      <c r="BXV9" s="34"/>
      <c r="BXW9" s="34"/>
      <c r="BXY9" s="34"/>
      <c r="BXZ9" s="72"/>
      <c r="BYA9" s="63"/>
      <c r="BYB9" s="34"/>
      <c r="BYC9" s="64"/>
      <c r="BYD9" s="4"/>
      <c r="BYE9" s="65"/>
      <c r="BYF9" s="4"/>
      <c r="BYG9" s="4"/>
      <c r="BYH9" s="4"/>
      <c r="BYK9" s="34"/>
      <c r="BYL9" s="34"/>
      <c r="BYN9" s="34"/>
      <c r="BYO9" s="72"/>
      <c r="BYP9" s="63"/>
      <c r="BYQ9" s="34"/>
      <c r="BYR9" s="64"/>
      <c r="BYS9" s="4"/>
      <c r="BYT9" s="65"/>
      <c r="BYU9" s="4"/>
      <c r="BYV9" s="4"/>
      <c r="BYW9" s="4"/>
      <c r="BYZ9" s="34"/>
      <c r="BZA9" s="34"/>
      <c r="BZC9" s="34"/>
      <c r="BZD9" s="72"/>
      <c r="BZE9" s="63"/>
      <c r="BZF9" s="34"/>
      <c r="BZG9" s="64"/>
      <c r="BZH9" s="4"/>
      <c r="BZI9" s="65"/>
      <c r="BZJ9" s="4"/>
      <c r="BZK9" s="4"/>
      <c r="BZL9" s="4"/>
      <c r="BZO9" s="34"/>
      <c r="BZP9" s="34"/>
      <c r="BZR9" s="34"/>
      <c r="BZS9" s="72"/>
      <c r="BZT9" s="63"/>
      <c r="BZU9" s="34"/>
      <c r="BZV9" s="64"/>
      <c r="BZW9" s="4"/>
      <c r="BZX9" s="65"/>
      <c r="BZY9" s="4"/>
      <c r="BZZ9" s="4"/>
      <c r="CAA9" s="4"/>
      <c r="CAD9" s="34"/>
      <c r="CAE9" s="34"/>
      <c r="CAG9" s="34"/>
      <c r="CAH9" s="72"/>
      <c r="CAI9" s="63"/>
      <c r="CAJ9" s="34"/>
      <c r="CAK9" s="64"/>
      <c r="CAL9" s="4"/>
      <c r="CAM9" s="65"/>
      <c r="CAN9" s="4"/>
      <c r="CAO9" s="4"/>
      <c r="CAP9" s="4"/>
      <c r="CAS9" s="34"/>
      <c r="CAT9" s="34"/>
      <c r="CAV9" s="34"/>
      <c r="CAW9" s="72"/>
      <c r="CAX9" s="63"/>
      <c r="CAY9" s="34"/>
      <c r="CAZ9" s="64"/>
      <c r="CBA9" s="4"/>
      <c r="CBB9" s="65"/>
      <c r="CBC9" s="4"/>
      <c r="CBD9" s="4"/>
      <c r="CBE9" s="4"/>
      <c r="CBH9" s="34"/>
      <c r="CBI9" s="34"/>
      <c r="CBK9" s="34"/>
      <c r="CBL9" s="72"/>
      <c r="CBM9" s="63"/>
      <c r="CBN9" s="34"/>
      <c r="CBO9" s="64"/>
      <c r="CBP9" s="4"/>
      <c r="CBQ9" s="65"/>
      <c r="CBR9" s="4"/>
      <c r="CBS9" s="4"/>
      <c r="CBT9" s="4"/>
      <c r="CBW9" s="34"/>
      <c r="CBX9" s="34"/>
      <c r="CBZ9" s="34"/>
      <c r="CCA9" s="72"/>
      <c r="CCB9" s="63"/>
      <c r="CCC9" s="34"/>
      <c r="CCD9" s="64"/>
      <c r="CCE9" s="4"/>
      <c r="CCF9" s="65"/>
      <c r="CCG9" s="4"/>
      <c r="CCH9" s="4"/>
      <c r="CCI9" s="4"/>
      <c r="CCL9" s="34"/>
      <c r="CCM9" s="34"/>
      <c r="CCO9" s="34"/>
      <c r="CCP9" s="72"/>
      <c r="CCQ9" s="63"/>
      <c r="CCR9" s="34"/>
      <c r="CCS9" s="64"/>
      <c r="CCT9" s="4"/>
      <c r="CCU9" s="65"/>
      <c r="CCV9" s="4"/>
      <c r="CCW9" s="4"/>
      <c r="CCX9" s="4"/>
      <c r="CDA9" s="34"/>
      <c r="CDB9" s="34"/>
      <c r="CDD9" s="34"/>
      <c r="CDE9" s="72"/>
      <c r="CDF9" s="63"/>
      <c r="CDG9" s="34"/>
      <c r="CDH9" s="64"/>
      <c r="CDI9" s="4"/>
      <c r="CDJ9" s="65"/>
      <c r="CDK9" s="4"/>
      <c r="CDL9" s="4"/>
      <c r="CDM9" s="4"/>
      <c r="CDP9" s="34"/>
      <c r="CDQ9" s="34"/>
      <c r="CDS9" s="34"/>
      <c r="CDT9" s="72"/>
      <c r="CDU9" s="63"/>
      <c r="CDV9" s="34"/>
      <c r="CDW9" s="64"/>
      <c r="CDX9" s="4"/>
      <c r="CDY9" s="65"/>
      <c r="CDZ9" s="4"/>
      <c r="CEA9" s="4"/>
      <c r="CEB9" s="4"/>
      <c r="CEE9" s="34"/>
      <c r="CEF9" s="34"/>
      <c r="CEH9" s="34"/>
      <c r="CEI9" s="72"/>
      <c r="CEJ9" s="63"/>
      <c r="CEK9" s="34"/>
      <c r="CEL9" s="64"/>
      <c r="CEM9" s="4"/>
      <c r="CEN9" s="65"/>
      <c r="CEO9" s="4"/>
      <c r="CEP9" s="4"/>
      <c r="CEQ9" s="4"/>
      <c r="CET9" s="34"/>
      <c r="CEU9" s="34"/>
      <c r="CEW9" s="34"/>
      <c r="CEX9" s="72"/>
      <c r="CEY9" s="63"/>
      <c r="CEZ9" s="34"/>
      <c r="CFA9" s="64"/>
      <c r="CFB9" s="4"/>
      <c r="CFC9" s="65"/>
      <c r="CFD9" s="4"/>
      <c r="CFE9" s="4"/>
      <c r="CFF9" s="4"/>
      <c r="CFI9" s="34"/>
      <c r="CFJ9" s="34"/>
      <c r="CFL9" s="34"/>
      <c r="CFM9" s="72"/>
      <c r="CFN9" s="63"/>
      <c r="CFO9" s="34"/>
      <c r="CFP9" s="64"/>
      <c r="CFQ9" s="4"/>
      <c r="CFR9" s="65"/>
      <c r="CFS9" s="4"/>
      <c r="CFT9" s="4"/>
      <c r="CFU9" s="4"/>
      <c r="CFX9" s="34"/>
      <c r="CFY9" s="34"/>
      <c r="CGA9" s="34"/>
      <c r="CGB9" s="72"/>
      <c r="CGC9" s="63"/>
      <c r="CGD9" s="34"/>
      <c r="CGE9" s="64"/>
      <c r="CGF9" s="4"/>
      <c r="CGG9" s="65"/>
      <c r="CGH9" s="4"/>
      <c r="CGI9" s="4"/>
      <c r="CGJ9" s="4"/>
      <c r="CGM9" s="34"/>
      <c r="CGN9" s="34"/>
      <c r="CGP9" s="34"/>
      <c r="CGQ9" s="72"/>
      <c r="CGR9" s="63"/>
      <c r="CGS9" s="34"/>
      <c r="CGT9" s="64"/>
      <c r="CGU9" s="4"/>
      <c r="CGV9" s="65"/>
      <c r="CGW9" s="4"/>
      <c r="CGX9" s="4"/>
      <c r="CGY9" s="4"/>
      <c r="CHB9" s="34"/>
      <c r="CHC9" s="34"/>
      <c r="CHE9" s="34"/>
      <c r="CHF9" s="72"/>
      <c r="CHG9" s="63"/>
      <c r="CHH9" s="34"/>
      <c r="CHI9" s="64"/>
      <c r="CHJ9" s="4"/>
      <c r="CHK9" s="65"/>
      <c r="CHL9" s="4"/>
      <c r="CHM9" s="4"/>
      <c r="CHN9" s="4"/>
      <c r="CHQ9" s="34"/>
      <c r="CHR9" s="34"/>
      <c r="CHT9" s="34"/>
      <c r="CHU9" s="72"/>
      <c r="CHV9" s="63"/>
      <c r="CHW9" s="34"/>
      <c r="CHX9" s="64"/>
      <c r="CHY9" s="4"/>
      <c r="CHZ9" s="65"/>
      <c r="CIA9" s="4"/>
      <c r="CIB9" s="4"/>
      <c r="CIC9" s="4"/>
      <c r="CIF9" s="34"/>
      <c r="CIG9" s="34"/>
      <c r="CII9" s="34"/>
      <c r="CIJ9" s="72"/>
      <c r="CIK9" s="63"/>
      <c r="CIL9" s="34"/>
      <c r="CIM9" s="64"/>
      <c r="CIN9" s="4"/>
      <c r="CIO9" s="65"/>
      <c r="CIP9" s="4"/>
      <c r="CIQ9" s="4"/>
      <c r="CIR9" s="4"/>
      <c r="CIU9" s="34"/>
      <c r="CIV9" s="34"/>
      <c r="CIX9" s="34"/>
      <c r="CIY9" s="72"/>
      <c r="CIZ9" s="63"/>
      <c r="CJA9" s="34"/>
      <c r="CJB9" s="64"/>
      <c r="CJC9" s="4"/>
      <c r="CJD9" s="65"/>
      <c r="CJE9" s="4"/>
      <c r="CJF9" s="4"/>
      <c r="CJG9" s="4"/>
      <c r="CJJ9" s="34"/>
      <c r="CJK9" s="34"/>
      <c r="CJM9" s="34"/>
      <c r="CJN9" s="72"/>
      <c r="CJO9" s="63"/>
      <c r="CJP9" s="34"/>
      <c r="CJQ9" s="64"/>
      <c r="CJR9" s="4"/>
      <c r="CJS9" s="65"/>
      <c r="CJT9" s="4"/>
      <c r="CJU9" s="4"/>
      <c r="CJV9" s="4"/>
      <c r="CJY9" s="34"/>
      <c r="CJZ9" s="34"/>
      <c r="CKB9" s="34"/>
      <c r="CKC9" s="72"/>
      <c r="CKD9" s="63"/>
      <c r="CKE9" s="34"/>
      <c r="CKF9" s="64"/>
      <c r="CKG9" s="4"/>
      <c r="CKH9" s="65"/>
      <c r="CKI9" s="4"/>
      <c r="CKJ9" s="4"/>
      <c r="CKK9" s="4"/>
      <c r="CKN9" s="34"/>
      <c r="CKO9" s="34"/>
      <c r="CKQ9" s="34"/>
      <c r="CKR9" s="72"/>
      <c r="CKS9" s="63"/>
      <c r="CKT9" s="34"/>
      <c r="CKU9" s="64"/>
      <c r="CKV9" s="4"/>
      <c r="CKW9" s="65"/>
      <c r="CKX9" s="4"/>
      <c r="CKY9" s="4"/>
      <c r="CKZ9" s="4"/>
      <c r="CLC9" s="34"/>
      <c r="CLD9" s="34"/>
      <c r="CLF9" s="34"/>
      <c r="CLG9" s="72"/>
      <c r="CLH9" s="63"/>
      <c r="CLI9" s="34"/>
      <c r="CLJ9" s="64"/>
      <c r="CLK9" s="4"/>
      <c r="CLL9" s="65"/>
      <c r="CLM9" s="4"/>
      <c r="CLN9" s="4"/>
      <c r="CLO9" s="4"/>
      <c r="CLR9" s="34"/>
      <c r="CLS9" s="34"/>
      <c r="CLU9" s="34"/>
      <c r="CLV9" s="72"/>
      <c r="CLW9" s="63"/>
      <c r="CLX9" s="34"/>
      <c r="CLY9" s="64"/>
      <c r="CLZ9" s="4"/>
      <c r="CMA9" s="65"/>
      <c r="CMB9" s="4"/>
      <c r="CMC9" s="4"/>
      <c r="CMD9" s="4"/>
      <c r="CMG9" s="34"/>
      <c r="CMH9" s="34"/>
      <c r="CMJ9" s="34"/>
      <c r="CMK9" s="72"/>
      <c r="CML9" s="63"/>
      <c r="CMM9" s="34"/>
      <c r="CMN9" s="64"/>
      <c r="CMO9" s="4"/>
      <c r="CMP9" s="65"/>
      <c r="CMQ9" s="4"/>
      <c r="CMR9" s="4"/>
      <c r="CMS9" s="4"/>
      <c r="CMV9" s="34"/>
      <c r="CMW9" s="34"/>
      <c r="CMY9" s="34"/>
      <c r="CMZ9" s="72"/>
      <c r="CNA9" s="63"/>
      <c r="CNB9" s="34"/>
      <c r="CNC9" s="64"/>
      <c r="CND9" s="4"/>
      <c r="CNE9" s="65"/>
      <c r="CNF9" s="4"/>
      <c r="CNG9" s="4"/>
      <c r="CNH9" s="4"/>
      <c r="CNK9" s="34"/>
      <c r="CNL9" s="34"/>
      <c r="CNN9" s="34"/>
      <c r="CNO9" s="72"/>
      <c r="CNP9" s="63"/>
      <c r="CNQ9" s="34"/>
      <c r="CNR9" s="64"/>
      <c r="CNS9" s="4"/>
      <c r="CNT9" s="65"/>
      <c r="CNU9" s="4"/>
      <c r="CNV9" s="4"/>
      <c r="CNW9" s="4"/>
      <c r="CNZ9" s="34"/>
      <c r="COA9" s="34"/>
      <c r="COC9" s="34"/>
      <c r="COD9" s="72"/>
      <c r="COE9" s="63"/>
      <c r="COF9" s="34"/>
      <c r="COG9" s="64"/>
      <c r="COH9" s="4"/>
      <c r="COI9" s="65"/>
      <c r="COJ9" s="4"/>
      <c r="COK9" s="4"/>
      <c r="COL9" s="4"/>
      <c r="COO9" s="34"/>
      <c r="COP9" s="34"/>
      <c r="COR9" s="34"/>
      <c r="COS9" s="72"/>
      <c r="COT9" s="63"/>
      <c r="COU9" s="34"/>
      <c r="COV9" s="64"/>
      <c r="COW9" s="4"/>
      <c r="COX9" s="65"/>
      <c r="COY9" s="4"/>
      <c r="COZ9" s="4"/>
      <c r="CPA9" s="4"/>
      <c r="CPD9" s="34"/>
      <c r="CPE9" s="34"/>
      <c r="CPG9" s="34"/>
      <c r="CPH9" s="72"/>
      <c r="CPI9" s="63"/>
      <c r="CPJ9" s="34"/>
      <c r="CPK9" s="64"/>
      <c r="CPL9" s="4"/>
      <c r="CPM9" s="65"/>
      <c r="CPN9" s="4"/>
      <c r="CPO9" s="4"/>
      <c r="CPP9" s="4"/>
      <c r="CPS9" s="34"/>
      <c r="CPT9" s="34"/>
      <c r="CPV9" s="34"/>
      <c r="CPW9" s="72"/>
      <c r="CPX9" s="63"/>
      <c r="CPY9" s="34"/>
      <c r="CPZ9" s="64"/>
      <c r="CQA9" s="4"/>
      <c r="CQB9" s="65"/>
      <c r="CQC9" s="4"/>
      <c r="CQD9" s="4"/>
      <c r="CQE9" s="4"/>
      <c r="CQH9" s="34"/>
      <c r="CQI9" s="34"/>
      <c r="CQK9" s="34"/>
      <c r="CQL9" s="72"/>
      <c r="CQM9" s="63"/>
      <c r="CQN9" s="34"/>
      <c r="CQO9" s="64"/>
      <c r="CQP9" s="4"/>
      <c r="CQQ9" s="65"/>
      <c r="CQR9" s="4"/>
      <c r="CQS9" s="4"/>
      <c r="CQT9" s="4"/>
      <c r="CQW9" s="34"/>
      <c r="CQX9" s="34"/>
      <c r="CQZ9" s="34"/>
      <c r="CRA9" s="72"/>
      <c r="CRB9" s="63"/>
      <c r="CRC9" s="34"/>
      <c r="CRD9" s="64"/>
      <c r="CRE9" s="4"/>
      <c r="CRF9" s="65"/>
      <c r="CRG9" s="4"/>
      <c r="CRH9" s="4"/>
      <c r="CRI9" s="4"/>
      <c r="CRL9" s="34"/>
      <c r="CRM9" s="34"/>
      <c r="CRO9" s="34"/>
      <c r="CRP9" s="72"/>
      <c r="CRQ9" s="63"/>
      <c r="CRR9" s="34"/>
      <c r="CRS9" s="64"/>
      <c r="CRT9" s="4"/>
      <c r="CRU9" s="65"/>
      <c r="CRV9" s="4"/>
      <c r="CRW9" s="4"/>
      <c r="CRX9" s="4"/>
      <c r="CSA9" s="34"/>
      <c r="CSB9" s="34"/>
      <c r="CSD9" s="34"/>
      <c r="CSE9" s="72"/>
      <c r="CSF9" s="63"/>
      <c r="CSG9" s="34"/>
      <c r="CSH9" s="64"/>
      <c r="CSI9" s="4"/>
      <c r="CSJ9" s="65"/>
      <c r="CSK9" s="4"/>
      <c r="CSL9" s="4"/>
      <c r="CSM9" s="4"/>
      <c r="CSP9" s="34"/>
      <c r="CSQ9" s="34"/>
      <c r="CSS9" s="34"/>
      <c r="CST9" s="72"/>
      <c r="CSU9" s="63"/>
      <c r="CSV9" s="34"/>
      <c r="CSW9" s="64"/>
      <c r="CSX9" s="4"/>
      <c r="CSY9" s="65"/>
      <c r="CSZ9" s="4"/>
      <c r="CTA9" s="4"/>
      <c r="CTB9" s="4"/>
      <c r="CTE9" s="34"/>
      <c r="CTF9" s="34"/>
      <c r="CTH9" s="34"/>
      <c r="CTI9" s="72"/>
      <c r="CTJ9" s="63"/>
      <c r="CTK9" s="34"/>
      <c r="CTL9" s="64"/>
      <c r="CTM9" s="4"/>
      <c r="CTN9" s="65"/>
      <c r="CTO9" s="4"/>
      <c r="CTP9" s="4"/>
      <c r="CTQ9" s="4"/>
      <c r="CTT9" s="34"/>
      <c r="CTU9" s="34"/>
      <c r="CTW9" s="34"/>
      <c r="CTX9" s="72"/>
      <c r="CTY9" s="63"/>
      <c r="CTZ9" s="34"/>
      <c r="CUA9" s="64"/>
      <c r="CUB9" s="4"/>
      <c r="CUC9" s="65"/>
      <c r="CUD9" s="4"/>
      <c r="CUE9" s="4"/>
      <c r="CUF9" s="4"/>
      <c r="CUI9" s="34"/>
      <c r="CUJ9" s="34"/>
      <c r="CUL9" s="34"/>
      <c r="CUM9" s="72"/>
      <c r="CUN9" s="63"/>
      <c r="CUO9" s="34"/>
      <c r="CUP9" s="64"/>
      <c r="CUQ9" s="4"/>
      <c r="CUR9" s="65"/>
      <c r="CUS9" s="4"/>
      <c r="CUT9" s="4"/>
      <c r="CUU9" s="4"/>
      <c r="CUX9" s="34"/>
      <c r="CUY9" s="34"/>
      <c r="CVA9" s="34"/>
      <c r="CVB9" s="72"/>
      <c r="CVC9" s="63"/>
      <c r="CVD9" s="34"/>
      <c r="CVE9" s="64"/>
      <c r="CVF9" s="4"/>
      <c r="CVG9" s="65"/>
      <c r="CVH9" s="4"/>
      <c r="CVI9" s="4"/>
      <c r="CVJ9" s="4"/>
      <c r="CVM9" s="34"/>
      <c r="CVN9" s="34"/>
      <c r="CVP9" s="34"/>
      <c r="CVQ9" s="72"/>
      <c r="CVR9" s="63"/>
      <c r="CVS9" s="34"/>
      <c r="CVT9" s="64"/>
      <c r="CVU9" s="4"/>
      <c r="CVV9" s="65"/>
      <c r="CVW9" s="4"/>
      <c r="CVX9" s="4"/>
      <c r="CVY9" s="4"/>
      <c r="CWB9" s="34"/>
      <c r="CWC9" s="34"/>
      <c r="CWE9" s="34"/>
      <c r="CWF9" s="72"/>
      <c r="CWG9" s="63"/>
      <c r="CWH9" s="34"/>
      <c r="CWI9" s="64"/>
      <c r="CWJ9" s="4"/>
      <c r="CWK9" s="65"/>
      <c r="CWL9" s="4"/>
      <c r="CWM9" s="4"/>
      <c r="CWN9" s="4"/>
      <c r="CWQ9" s="34"/>
      <c r="CWR9" s="34"/>
      <c r="CWT9" s="34"/>
      <c r="CWU9" s="72"/>
      <c r="CWV9" s="63"/>
      <c r="CWW9" s="34"/>
      <c r="CWX9" s="64"/>
      <c r="CWY9" s="4"/>
      <c r="CWZ9" s="65"/>
      <c r="CXA9" s="4"/>
      <c r="CXB9" s="4"/>
      <c r="CXC9" s="4"/>
      <c r="CXF9" s="34"/>
      <c r="CXG9" s="34"/>
      <c r="CXI9" s="34"/>
      <c r="CXJ9" s="72"/>
      <c r="CXK9" s="63"/>
      <c r="CXL9" s="34"/>
      <c r="CXM9" s="64"/>
      <c r="CXN9" s="4"/>
      <c r="CXO9" s="65"/>
      <c r="CXP9" s="4"/>
      <c r="CXQ9" s="4"/>
      <c r="CXR9" s="4"/>
      <c r="CXU9" s="34"/>
      <c r="CXV9" s="34"/>
      <c r="CXX9" s="34"/>
      <c r="CXY9" s="72"/>
      <c r="CXZ9" s="63"/>
      <c r="CYA9" s="34"/>
      <c r="CYB9" s="64"/>
      <c r="CYC9" s="4"/>
      <c r="CYD9" s="65"/>
      <c r="CYE9" s="4"/>
      <c r="CYF9" s="4"/>
      <c r="CYG9" s="4"/>
      <c r="CYJ9" s="34"/>
      <c r="CYK9" s="34"/>
      <c r="CYM9" s="34"/>
      <c r="CYN9" s="72"/>
      <c r="CYO9" s="63"/>
      <c r="CYP9" s="34"/>
      <c r="CYQ9" s="64"/>
      <c r="CYR9" s="4"/>
      <c r="CYS9" s="65"/>
      <c r="CYT9" s="4"/>
      <c r="CYU9" s="4"/>
      <c r="CYV9" s="4"/>
      <c r="CYY9" s="34"/>
      <c r="CYZ9" s="34"/>
      <c r="CZB9" s="34"/>
      <c r="CZC9" s="72"/>
      <c r="CZD9" s="63"/>
      <c r="CZE9" s="34"/>
      <c r="CZF9" s="64"/>
      <c r="CZG9" s="4"/>
      <c r="CZH9" s="65"/>
      <c r="CZI9" s="4"/>
      <c r="CZJ9" s="4"/>
      <c r="CZK9" s="4"/>
      <c r="CZN9" s="34"/>
      <c r="CZO9" s="34"/>
      <c r="CZQ9" s="34"/>
      <c r="CZR9" s="72"/>
      <c r="CZS9" s="63"/>
      <c r="CZT9" s="34"/>
      <c r="CZU9" s="64"/>
      <c r="CZV9" s="4"/>
      <c r="CZW9" s="65"/>
      <c r="CZX9" s="4"/>
      <c r="CZY9" s="4"/>
      <c r="CZZ9" s="4"/>
      <c r="DAC9" s="34"/>
      <c r="DAD9" s="34"/>
      <c r="DAF9" s="34"/>
      <c r="DAG9" s="72"/>
      <c r="DAH9" s="63"/>
      <c r="DAI9" s="34"/>
      <c r="DAJ9" s="64"/>
      <c r="DAK9" s="4"/>
      <c r="DAL9" s="65"/>
      <c r="DAM9" s="4"/>
      <c r="DAN9" s="4"/>
      <c r="DAO9" s="4"/>
      <c r="DAR9" s="34"/>
      <c r="DAS9" s="34"/>
      <c r="DAU9" s="34"/>
      <c r="DAV9" s="72"/>
      <c r="DAW9" s="63"/>
      <c r="DAX9" s="34"/>
      <c r="DAY9" s="64"/>
      <c r="DAZ9" s="4"/>
      <c r="DBA9" s="65"/>
      <c r="DBB9" s="4"/>
      <c r="DBC9" s="4"/>
      <c r="DBD9" s="4"/>
      <c r="DBG9" s="34"/>
      <c r="DBH9" s="34"/>
      <c r="DBJ9" s="34"/>
      <c r="DBK9" s="72"/>
      <c r="DBL9" s="63"/>
      <c r="DBM9" s="34"/>
      <c r="DBN9" s="64"/>
      <c r="DBO9" s="4"/>
      <c r="DBP9" s="65"/>
      <c r="DBQ9" s="4"/>
      <c r="DBR9" s="4"/>
      <c r="DBS9" s="4"/>
      <c r="DBV9" s="34"/>
      <c r="DBW9" s="34"/>
      <c r="DBY9" s="34"/>
      <c r="DBZ9" s="72"/>
      <c r="DCA9" s="63"/>
      <c r="DCB9" s="34"/>
      <c r="DCC9" s="64"/>
      <c r="DCD9" s="4"/>
      <c r="DCE9" s="65"/>
      <c r="DCF9" s="4"/>
      <c r="DCG9" s="4"/>
      <c r="DCH9" s="4"/>
      <c r="DCK9" s="34"/>
      <c r="DCL9" s="34"/>
      <c r="DCN9" s="34"/>
      <c r="DCO9" s="72"/>
      <c r="DCP9" s="63"/>
      <c r="DCQ9" s="34"/>
      <c r="DCR9" s="64"/>
      <c r="DCS9" s="4"/>
      <c r="DCT9" s="65"/>
      <c r="DCU9" s="4"/>
      <c r="DCV9" s="4"/>
      <c r="DCW9" s="4"/>
      <c r="DCZ9" s="34"/>
      <c r="DDA9" s="34"/>
      <c r="DDC9" s="34"/>
      <c r="DDD9" s="72"/>
      <c r="DDE9" s="63"/>
      <c r="DDF9" s="34"/>
      <c r="DDG9" s="64"/>
      <c r="DDH9" s="4"/>
      <c r="DDI9" s="65"/>
      <c r="DDJ9" s="4"/>
      <c r="DDK9" s="4"/>
      <c r="DDL9" s="4"/>
      <c r="DDO9" s="34"/>
      <c r="DDP9" s="34"/>
      <c r="DDR9" s="34"/>
      <c r="DDS9" s="72"/>
      <c r="DDT9" s="63"/>
      <c r="DDU9" s="34"/>
      <c r="DDV9" s="64"/>
      <c r="DDW9" s="4"/>
      <c r="DDX9" s="65"/>
      <c r="DDY9" s="4"/>
      <c r="DDZ9" s="4"/>
      <c r="DEA9" s="4"/>
      <c r="DED9" s="34"/>
      <c r="DEE9" s="34"/>
      <c r="DEG9" s="34"/>
      <c r="DEH9" s="72"/>
      <c r="DEI9" s="63"/>
      <c r="DEJ9" s="34"/>
      <c r="DEK9" s="64"/>
      <c r="DEL9" s="4"/>
      <c r="DEM9" s="65"/>
      <c r="DEN9" s="4"/>
      <c r="DEO9" s="4"/>
      <c r="DEP9" s="4"/>
      <c r="DES9" s="34"/>
      <c r="DET9" s="34"/>
      <c r="DEV9" s="34"/>
      <c r="DEW9" s="72"/>
      <c r="DEX9" s="63"/>
      <c r="DEY9" s="34"/>
      <c r="DEZ9" s="64"/>
      <c r="DFA9" s="4"/>
      <c r="DFB9" s="65"/>
      <c r="DFC9" s="4"/>
      <c r="DFD9" s="4"/>
      <c r="DFE9" s="4"/>
      <c r="DFH9" s="34"/>
      <c r="DFI9" s="34"/>
      <c r="DFK9" s="34"/>
      <c r="DFL9" s="72"/>
      <c r="DFM9" s="63"/>
      <c r="DFN9" s="34"/>
      <c r="DFO9" s="64"/>
      <c r="DFP9" s="4"/>
      <c r="DFQ9" s="65"/>
      <c r="DFR9" s="4"/>
      <c r="DFS9" s="4"/>
      <c r="DFT9" s="4"/>
      <c r="DFW9" s="34"/>
      <c r="DFX9" s="34"/>
      <c r="DFZ9" s="34"/>
      <c r="DGA9" s="72"/>
      <c r="DGB9" s="63"/>
      <c r="DGC9" s="34"/>
      <c r="DGD9" s="64"/>
      <c r="DGE9" s="4"/>
      <c r="DGF9" s="65"/>
      <c r="DGG9" s="4"/>
      <c r="DGH9" s="4"/>
      <c r="DGI9" s="4"/>
      <c r="DGL9" s="34"/>
      <c r="DGM9" s="34"/>
      <c r="DGO9" s="34"/>
      <c r="DGP9" s="72"/>
      <c r="DGQ9" s="63"/>
      <c r="DGR9" s="34"/>
      <c r="DGS9" s="64"/>
      <c r="DGT9" s="4"/>
      <c r="DGU9" s="65"/>
      <c r="DGV9" s="4"/>
      <c r="DGW9" s="4"/>
      <c r="DGX9" s="4"/>
      <c r="DHA9" s="34"/>
      <c r="DHB9" s="34"/>
      <c r="DHD9" s="34"/>
      <c r="DHE9" s="72"/>
      <c r="DHF9" s="63"/>
      <c r="DHG9" s="34"/>
      <c r="DHH9" s="64"/>
      <c r="DHI9" s="4"/>
      <c r="DHJ9" s="65"/>
      <c r="DHK9" s="4"/>
      <c r="DHL9" s="4"/>
      <c r="DHM9" s="4"/>
      <c r="DHP9" s="34"/>
      <c r="DHQ9" s="34"/>
      <c r="DHS9" s="34"/>
      <c r="DHT9" s="72"/>
      <c r="DHU9" s="63"/>
      <c r="DHV9" s="34"/>
      <c r="DHW9" s="64"/>
      <c r="DHX9" s="4"/>
      <c r="DHY9" s="65"/>
      <c r="DHZ9" s="4"/>
      <c r="DIA9" s="4"/>
      <c r="DIB9" s="4"/>
      <c r="DIE9" s="34"/>
      <c r="DIF9" s="34"/>
      <c r="DIH9" s="34"/>
      <c r="DII9" s="72"/>
      <c r="DIJ9" s="63"/>
      <c r="DIK9" s="34"/>
      <c r="DIL9" s="64"/>
      <c r="DIM9" s="4"/>
      <c r="DIN9" s="65"/>
      <c r="DIO9" s="4"/>
      <c r="DIP9" s="4"/>
      <c r="DIQ9" s="4"/>
      <c r="DIT9" s="34"/>
      <c r="DIU9" s="34"/>
      <c r="DIW9" s="34"/>
      <c r="DIX9" s="72"/>
      <c r="DIY9" s="63"/>
      <c r="DIZ9" s="34"/>
      <c r="DJA9" s="64"/>
      <c r="DJB9" s="4"/>
      <c r="DJC9" s="65"/>
      <c r="DJD9" s="4"/>
      <c r="DJE9" s="4"/>
      <c r="DJF9" s="4"/>
      <c r="DJI9" s="34"/>
      <c r="DJJ9" s="34"/>
      <c r="DJL9" s="34"/>
      <c r="DJM9" s="72"/>
      <c r="DJN9" s="63"/>
      <c r="DJO9" s="34"/>
      <c r="DJP9" s="64"/>
      <c r="DJQ9" s="4"/>
      <c r="DJR9" s="65"/>
      <c r="DJS9" s="4"/>
      <c r="DJT9" s="4"/>
      <c r="DJU9" s="4"/>
      <c r="DJX9" s="34"/>
      <c r="DJY9" s="34"/>
      <c r="DKA9" s="34"/>
      <c r="DKB9" s="72"/>
      <c r="DKC9" s="63"/>
      <c r="DKD9" s="34"/>
      <c r="DKE9" s="64"/>
      <c r="DKF9" s="4"/>
      <c r="DKG9" s="65"/>
      <c r="DKH9" s="4"/>
      <c r="DKI9" s="4"/>
      <c r="DKJ9" s="4"/>
      <c r="DKM9" s="34"/>
      <c r="DKN9" s="34"/>
      <c r="DKP9" s="34"/>
      <c r="DKQ9" s="72"/>
      <c r="DKR9" s="63"/>
      <c r="DKS9" s="34"/>
      <c r="DKT9" s="64"/>
      <c r="DKU9" s="4"/>
      <c r="DKV9" s="65"/>
      <c r="DKW9" s="4"/>
      <c r="DKX9" s="4"/>
      <c r="DKY9" s="4"/>
      <c r="DLB9" s="34"/>
      <c r="DLC9" s="34"/>
      <c r="DLE9" s="34"/>
      <c r="DLF9" s="72"/>
      <c r="DLG9" s="63"/>
      <c r="DLH9" s="34"/>
      <c r="DLI9" s="64"/>
      <c r="DLJ9" s="4"/>
      <c r="DLK9" s="65"/>
      <c r="DLL9" s="4"/>
      <c r="DLM9" s="4"/>
      <c r="DLN9" s="4"/>
      <c r="DLQ9" s="34"/>
      <c r="DLR9" s="34"/>
      <c r="DLT9" s="34"/>
      <c r="DLU9" s="72"/>
      <c r="DLV9" s="63"/>
      <c r="DLW9" s="34"/>
      <c r="DLX9" s="64"/>
      <c r="DLY9" s="4"/>
      <c r="DLZ9" s="65"/>
      <c r="DMA9" s="4"/>
      <c r="DMB9" s="4"/>
      <c r="DMC9" s="4"/>
      <c r="DMF9" s="34"/>
      <c r="DMG9" s="34"/>
      <c r="DMI9" s="34"/>
      <c r="DMJ9" s="72"/>
      <c r="DMK9" s="63"/>
      <c r="DML9" s="34"/>
      <c r="DMM9" s="64"/>
      <c r="DMN9" s="4"/>
      <c r="DMO9" s="65"/>
      <c r="DMP9" s="4"/>
      <c r="DMQ9" s="4"/>
      <c r="DMR9" s="4"/>
      <c r="DMU9" s="34"/>
      <c r="DMV9" s="34"/>
      <c r="DMX9" s="34"/>
      <c r="DMY9" s="72"/>
      <c r="DMZ9" s="63"/>
      <c r="DNA9" s="34"/>
      <c r="DNB9" s="64"/>
      <c r="DNC9" s="4"/>
      <c r="DND9" s="65"/>
      <c r="DNE9" s="4"/>
      <c r="DNF9" s="4"/>
      <c r="DNG9" s="4"/>
      <c r="DNJ9" s="34"/>
      <c r="DNK9" s="34"/>
      <c r="DNM9" s="34"/>
      <c r="DNN9" s="72"/>
      <c r="DNO9" s="63"/>
      <c r="DNP9" s="34"/>
      <c r="DNQ9" s="64"/>
      <c r="DNR9" s="4"/>
      <c r="DNS9" s="65"/>
      <c r="DNT9" s="4"/>
      <c r="DNU9" s="4"/>
      <c r="DNV9" s="4"/>
      <c r="DNY9" s="34"/>
      <c r="DNZ9" s="34"/>
      <c r="DOB9" s="34"/>
      <c r="DOC9" s="72"/>
      <c r="DOD9" s="63"/>
      <c r="DOE9" s="34"/>
      <c r="DOF9" s="64"/>
      <c r="DOG9" s="4"/>
      <c r="DOH9" s="65"/>
      <c r="DOI9" s="4"/>
      <c r="DOJ9" s="4"/>
      <c r="DOK9" s="4"/>
      <c r="DON9" s="34"/>
      <c r="DOO9" s="34"/>
      <c r="DOQ9" s="34"/>
      <c r="DOR9" s="72"/>
      <c r="DOS9" s="63"/>
      <c r="DOT9" s="34"/>
      <c r="DOU9" s="64"/>
      <c r="DOV9" s="4"/>
      <c r="DOW9" s="65"/>
      <c r="DOX9" s="4"/>
      <c r="DOY9" s="4"/>
      <c r="DOZ9" s="4"/>
      <c r="DPC9" s="34"/>
      <c r="DPD9" s="34"/>
      <c r="DPF9" s="34"/>
      <c r="DPG9" s="72"/>
      <c r="DPH9" s="63"/>
      <c r="DPI9" s="34"/>
      <c r="DPJ9" s="64"/>
      <c r="DPK9" s="4"/>
      <c r="DPL9" s="65"/>
      <c r="DPM9" s="4"/>
      <c r="DPN9" s="4"/>
      <c r="DPO9" s="4"/>
      <c r="DPR9" s="34"/>
      <c r="DPS9" s="34"/>
      <c r="DPU9" s="34"/>
      <c r="DPV9" s="72"/>
      <c r="DPW9" s="63"/>
      <c r="DPX9" s="34"/>
      <c r="DPY9" s="64"/>
      <c r="DPZ9" s="4"/>
      <c r="DQA9" s="65"/>
      <c r="DQB9" s="4"/>
      <c r="DQC9" s="4"/>
      <c r="DQD9" s="4"/>
      <c r="DQG9" s="34"/>
      <c r="DQH9" s="34"/>
      <c r="DQJ9" s="34"/>
      <c r="DQK9" s="72"/>
      <c r="DQL9" s="63"/>
      <c r="DQM9" s="34"/>
      <c r="DQN9" s="64"/>
      <c r="DQO9" s="4"/>
      <c r="DQP9" s="65"/>
      <c r="DQQ9" s="4"/>
      <c r="DQR9" s="4"/>
      <c r="DQS9" s="4"/>
      <c r="DQV9" s="34"/>
      <c r="DQW9" s="34"/>
      <c r="DQY9" s="34"/>
      <c r="DQZ9" s="72"/>
      <c r="DRA9" s="63"/>
      <c r="DRB9" s="34"/>
      <c r="DRC9" s="64"/>
      <c r="DRD9" s="4"/>
      <c r="DRE9" s="65"/>
      <c r="DRF9" s="4"/>
      <c r="DRG9" s="4"/>
      <c r="DRH9" s="4"/>
      <c r="DRK9" s="34"/>
      <c r="DRL9" s="34"/>
      <c r="DRN9" s="34"/>
      <c r="DRO9" s="72"/>
      <c r="DRP9" s="63"/>
      <c r="DRQ9" s="34"/>
      <c r="DRR9" s="64"/>
      <c r="DRS9" s="4"/>
      <c r="DRT9" s="65"/>
      <c r="DRU9" s="4"/>
      <c r="DRV9" s="4"/>
      <c r="DRW9" s="4"/>
      <c r="DRZ9" s="34"/>
      <c r="DSA9" s="34"/>
      <c r="DSC9" s="34"/>
      <c r="DSD9" s="72"/>
      <c r="DSE9" s="63"/>
      <c r="DSF9" s="34"/>
      <c r="DSG9" s="64"/>
      <c r="DSH9" s="4"/>
      <c r="DSI9" s="65"/>
      <c r="DSJ9" s="4"/>
      <c r="DSK9" s="4"/>
      <c r="DSL9" s="4"/>
      <c r="DSO9" s="34"/>
      <c r="DSP9" s="34"/>
      <c r="DSR9" s="34"/>
      <c r="DSS9" s="72"/>
      <c r="DST9" s="63"/>
      <c r="DSU9" s="34"/>
      <c r="DSV9" s="64"/>
      <c r="DSW9" s="4"/>
      <c r="DSX9" s="65"/>
      <c r="DSY9" s="4"/>
      <c r="DSZ9" s="4"/>
      <c r="DTA9" s="4"/>
      <c r="DTD9" s="34"/>
      <c r="DTE9" s="34"/>
      <c r="DTG9" s="34"/>
      <c r="DTH9" s="72"/>
      <c r="DTI9" s="63"/>
      <c r="DTJ9" s="34"/>
      <c r="DTK9" s="64"/>
      <c r="DTL9" s="4"/>
      <c r="DTM9" s="65"/>
      <c r="DTN9" s="4"/>
      <c r="DTO9" s="4"/>
      <c r="DTP9" s="4"/>
      <c r="DTS9" s="34"/>
      <c r="DTT9" s="34"/>
      <c r="DTV9" s="34"/>
      <c r="DTW9" s="72"/>
      <c r="DTX9" s="63"/>
      <c r="DTY9" s="34"/>
      <c r="DTZ9" s="64"/>
      <c r="DUA9" s="4"/>
      <c r="DUB9" s="65"/>
      <c r="DUC9" s="4"/>
      <c r="DUD9" s="4"/>
      <c r="DUE9" s="4"/>
      <c r="DUH9" s="34"/>
      <c r="DUI9" s="34"/>
      <c r="DUK9" s="34"/>
      <c r="DUL9" s="72"/>
      <c r="DUM9" s="63"/>
      <c r="DUN9" s="34"/>
      <c r="DUO9" s="64"/>
      <c r="DUP9" s="4"/>
      <c r="DUQ9" s="65"/>
      <c r="DUR9" s="4"/>
      <c r="DUS9" s="4"/>
      <c r="DUT9" s="4"/>
      <c r="DUW9" s="34"/>
      <c r="DUX9" s="34"/>
      <c r="DUZ9" s="34"/>
      <c r="DVA9" s="72"/>
      <c r="DVB9" s="63"/>
      <c r="DVC9" s="34"/>
      <c r="DVD9" s="64"/>
      <c r="DVE9" s="4"/>
      <c r="DVF9" s="65"/>
      <c r="DVG9" s="4"/>
      <c r="DVH9" s="4"/>
      <c r="DVI9" s="4"/>
      <c r="DVL9" s="34"/>
      <c r="DVM9" s="34"/>
      <c r="DVO9" s="34"/>
      <c r="DVP9" s="72"/>
      <c r="DVQ9" s="63"/>
      <c r="DVR9" s="34"/>
      <c r="DVS9" s="64"/>
      <c r="DVT9" s="4"/>
      <c r="DVU9" s="65"/>
      <c r="DVV9" s="4"/>
      <c r="DVW9" s="4"/>
      <c r="DVX9" s="4"/>
      <c r="DWA9" s="34"/>
      <c r="DWB9" s="34"/>
      <c r="DWD9" s="34"/>
      <c r="DWE9" s="72"/>
      <c r="DWF9" s="63"/>
      <c r="DWG9" s="34"/>
      <c r="DWH9" s="64"/>
      <c r="DWI9" s="4"/>
      <c r="DWJ9" s="65"/>
      <c r="DWK9" s="4"/>
      <c r="DWL9" s="4"/>
      <c r="DWM9" s="4"/>
      <c r="DWP9" s="34"/>
      <c r="DWQ9" s="34"/>
      <c r="DWS9" s="34"/>
      <c r="DWT9" s="72"/>
      <c r="DWU9" s="63"/>
      <c r="DWV9" s="34"/>
      <c r="DWW9" s="64"/>
      <c r="DWX9" s="4"/>
      <c r="DWY9" s="65"/>
      <c r="DWZ9" s="4"/>
      <c r="DXA9" s="4"/>
      <c r="DXB9" s="4"/>
      <c r="DXE9" s="34"/>
      <c r="DXF9" s="34"/>
      <c r="DXH9" s="34"/>
      <c r="DXI9" s="72"/>
      <c r="DXJ9" s="63"/>
      <c r="DXK9" s="34"/>
      <c r="DXL9" s="64"/>
      <c r="DXM9" s="4"/>
      <c r="DXN9" s="65"/>
      <c r="DXO9" s="4"/>
      <c r="DXP9" s="4"/>
      <c r="DXQ9" s="4"/>
      <c r="DXT9" s="34"/>
      <c r="DXU9" s="34"/>
      <c r="DXW9" s="34"/>
      <c r="DXX9" s="72"/>
      <c r="DXY9" s="63"/>
      <c r="DXZ9" s="34"/>
      <c r="DYA9" s="64"/>
      <c r="DYB9" s="4"/>
      <c r="DYC9" s="65"/>
      <c r="DYD9" s="4"/>
      <c r="DYE9" s="4"/>
      <c r="DYF9" s="4"/>
      <c r="DYI9" s="34"/>
      <c r="DYJ9" s="34"/>
      <c r="DYL9" s="34"/>
      <c r="DYM9" s="72"/>
      <c r="DYN9" s="63"/>
      <c r="DYO9" s="34"/>
      <c r="DYP9" s="64"/>
      <c r="DYQ9" s="4"/>
      <c r="DYR9" s="65"/>
      <c r="DYS9" s="4"/>
      <c r="DYT9" s="4"/>
      <c r="DYU9" s="4"/>
      <c r="DYX9" s="34"/>
      <c r="DYY9" s="34"/>
      <c r="DZA9" s="34"/>
      <c r="DZB9" s="72"/>
      <c r="DZC9" s="63"/>
      <c r="DZD9" s="34"/>
      <c r="DZE9" s="64"/>
      <c r="DZF9" s="4"/>
      <c r="DZG9" s="65"/>
      <c r="DZH9" s="4"/>
      <c r="DZI9" s="4"/>
      <c r="DZJ9" s="4"/>
      <c r="DZM9" s="34"/>
      <c r="DZN9" s="34"/>
      <c r="DZP9" s="34"/>
      <c r="DZQ9" s="72"/>
      <c r="DZR9" s="63"/>
      <c r="DZS9" s="34"/>
      <c r="DZT9" s="64"/>
      <c r="DZU9" s="4"/>
      <c r="DZV9" s="65"/>
      <c r="DZW9" s="4"/>
      <c r="DZX9" s="4"/>
      <c r="DZY9" s="4"/>
      <c r="EAB9" s="34"/>
      <c r="EAC9" s="34"/>
      <c r="EAE9" s="34"/>
      <c r="EAF9" s="72"/>
      <c r="EAG9" s="63"/>
      <c r="EAH9" s="34"/>
      <c r="EAI9" s="64"/>
      <c r="EAJ9" s="4"/>
      <c r="EAK9" s="65"/>
      <c r="EAL9" s="4"/>
      <c r="EAM9" s="4"/>
      <c r="EAN9" s="4"/>
      <c r="EAQ9" s="34"/>
      <c r="EAR9" s="34"/>
      <c r="EAT9" s="34"/>
      <c r="EAU9" s="72"/>
      <c r="EAV9" s="63"/>
      <c r="EAW9" s="34"/>
      <c r="EAX9" s="64"/>
      <c r="EAY9" s="4"/>
      <c r="EAZ9" s="65"/>
      <c r="EBA9" s="4"/>
      <c r="EBB9" s="4"/>
      <c r="EBC9" s="4"/>
      <c r="EBF9" s="34"/>
      <c r="EBG9" s="34"/>
      <c r="EBI9" s="34"/>
      <c r="EBJ9" s="72"/>
      <c r="EBK9" s="63"/>
      <c r="EBL9" s="34"/>
      <c r="EBM9" s="64"/>
      <c r="EBN9" s="4"/>
      <c r="EBO9" s="65"/>
      <c r="EBP9" s="4"/>
      <c r="EBQ9" s="4"/>
      <c r="EBR9" s="4"/>
      <c r="EBU9" s="34"/>
      <c r="EBV9" s="34"/>
      <c r="EBX9" s="34"/>
      <c r="EBY9" s="72"/>
      <c r="EBZ9" s="63"/>
      <c r="ECA9" s="34"/>
      <c r="ECB9" s="64"/>
      <c r="ECC9" s="4"/>
      <c r="ECD9" s="65"/>
      <c r="ECE9" s="4"/>
      <c r="ECF9" s="4"/>
      <c r="ECG9" s="4"/>
      <c r="ECJ9" s="34"/>
      <c r="ECK9" s="34"/>
      <c r="ECM9" s="34"/>
      <c r="ECN9" s="72"/>
      <c r="ECO9" s="63"/>
      <c r="ECP9" s="34"/>
      <c r="ECQ9" s="64"/>
      <c r="ECR9" s="4"/>
      <c r="ECS9" s="65"/>
      <c r="ECT9" s="4"/>
      <c r="ECU9" s="4"/>
      <c r="ECV9" s="4"/>
      <c r="ECY9" s="34"/>
      <c r="ECZ9" s="34"/>
      <c r="EDB9" s="34"/>
      <c r="EDC9" s="72"/>
      <c r="EDD9" s="63"/>
      <c r="EDE9" s="34"/>
      <c r="EDF9" s="64"/>
      <c r="EDG9" s="4"/>
      <c r="EDH9" s="65"/>
      <c r="EDI9" s="4"/>
      <c r="EDJ9" s="4"/>
      <c r="EDK9" s="4"/>
      <c r="EDN9" s="34"/>
      <c r="EDO9" s="34"/>
      <c r="EDQ9" s="34"/>
      <c r="EDR9" s="72"/>
      <c r="EDS9" s="63"/>
      <c r="EDT9" s="34"/>
      <c r="EDU9" s="64"/>
      <c r="EDV9" s="4"/>
      <c r="EDW9" s="65"/>
      <c r="EDX9" s="4"/>
      <c r="EDY9" s="4"/>
      <c r="EDZ9" s="4"/>
      <c r="EEC9" s="34"/>
      <c r="EED9" s="34"/>
      <c r="EEF9" s="34"/>
      <c r="EEG9" s="72"/>
      <c r="EEH9" s="63"/>
      <c r="EEI9" s="34"/>
      <c r="EEJ9" s="64"/>
      <c r="EEK9" s="4"/>
      <c r="EEL9" s="65"/>
      <c r="EEM9" s="4"/>
      <c r="EEN9" s="4"/>
      <c r="EEO9" s="4"/>
      <c r="EER9" s="34"/>
      <c r="EES9" s="34"/>
      <c r="EEU9" s="34"/>
      <c r="EEV9" s="72"/>
      <c r="EEW9" s="63"/>
      <c r="EEX9" s="34"/>
      <c r="EEY9" s="64"/>
      <c r="EEZ9" s="4"/>
      <c r="EFA9" s="65"/>
      <c r="EFB9" s="4"/>
      <c r="EFC9" s="4"/>
      <c r="EFD9" s="4"/>
      <c r="EFG9" s="34"/>
      <c r="EFH9" s="34"/>
      <c r="EFJ9" s="34"/>
      <c r="EFK9" s="72"/>
      <c r="EFL9" s="63"/>
      <c r="EFM9" s="34"/>
      <c r="EFN9" s="64"/>
      <c r="EFO9" s="4"/>
      <c r="EFP9" s="65"/>
      <c r="EFQ9" s="4"/>
      <c r="EFR9" s="4"/>
      <c r="EFS9" s="4"/>
      <c r="EFV9" s="34"/>
      <c r="EFW9" s="34"/>
      <c r="EFY9" s="34"/>
      <c r="EFZ9" s="72"/>
      <c r="EGA9" s="63"/>
      <c r="EGB9" s="34"/>
      <c r="EGC9" s="64"/>
      <c r="EGD9" s="4"/>
      <c r="EGE9" s="65"/>
      <c r="EGF9" s="4"/>
      <c r="EGG9" s="4"/>
      <c r="EGH9" s="4"/>
      <c r="EGK9" s="34"/>
      <c r="EGL9" s="34"/>
      <c r="EGN9" s="34"/>
      <c r="EGO9" s="72"/>
      <c r="EGP9" s="63"/>
      <c r="EGQ9" s="34"/>
      <c r="EGR9" s="64"/>
      <c r="EGS9" s="4"/>
      <c r="EGT9" s="65"/>
      <c r="EGU9" s="4"/>
      <c r="EGV9" s="4"/>
      <c r="EGW9" s="4"/>
      <c r="EGZ9" s="34"/>
      <c r="EHA9" s="34"/>
      <c r="EHC9" s="34"/>
      <c r="EHD9" s="72"/>
      <c r="EHE9" s="63"/>
      <c r="EHF9" s="34"/>
      <c r="EHG9" s="64"/>
      <c r="EHH9" s="4"/>
      <c r="EHI9" s="65"/>
      <c r="EHJ9" s="4"/>
      <c r="EHK9" s="4"/>
      <c r="EHL9" s="4"/>
      <c r="EHO9" s="34"/>
      <c r="EHP9" s="34"/>
      <c r="EHR9" s="34"/>
      <c r="EHS9" s="72"/>
      <c r="EHT9" s="63"/>
      <c r="EHU9" s="34"/>
      <c r="EHV9" s="64"/>
      <c r="EHW9" s="4"/>
      <c r="EHX9" s="65"/>
      <c r="EHY9" s="4"/>
      <c r="EHZ9" s="4"/>
      <c r="EIA9" s="4"/>
      <c r="EID9" s="34"/>
      <c r="EIE9" s="34"/>
      <c r="EIG9" s="34"/>
      <c r="EIH9" s="72"/>
      <c r="EII9" s="63"/>
      <c r="EIJ9" s="34"/>
      <c r="EIK9" s="64"/>
      <c r="EIL9" s="4"/>
      <c r="EIM9" s="65"/>
      <c r="EIN9" s="4"/>
      <c r="EIO9" s="4"/>
      <c r="EIP9" s="4"/>
      <c r="EIS9" s="34"/>
      <c r="EIT9" s="34"/>
      <c r="EIV9" s="34"/>
      <c r="EIW9" s="72"/>
      <c r="EIX9" s="63"/>
      <c r="EIY9" s="34"/>
      <c r="EIZ9" s="64"/>
      <c r="EJA9" s="4"/>
      <c r="EJB9" s="65"/>
      <c r="EJC9" s="4"/>
      <c r="EJD9" s="4"/>
      <c r="EJE9" s="4"/>
      <c r="EJH9" s="34"/>
      <c r="EJI9" s="34"/>
      <c r="EJK9" s="34"/>
      <c r="EJL9" s="72"/>
      <c r="EJM9" s="63"/>
      <c r="EJN9" s="34"/>
      <c r="EJO9" s="64"/>
      <c r="EJP9" s="4"/>
      <c r="EJQ9" s="65"/>
      <c r="EJR9" s="4"/>
      <c r="EJS9" s="4"/>
      <c r="EJT9" s="4"/>
      <c r="EJW9" s="34"/>
      <c r="EJX9" s="34"/>
      <c r="EJZ9" s="34"/>
      <c r="EKA9" s="72"/>
      <c r="EKB9" s="63"/>
      <c r="EKC9" s="34"/>
      <c r="EKD9" s="64"/>
      <c r="EKE9" s="4"/>
      <c r="EKF9" s="65"/>
      <c r="EKG9" s="4"/>
      <c r="EKH9" s="4"/>
      <c r="EKI9" s="4"/>
      <c r="EKL9" s="34"/>
      <c r="EKM9" s="34"/>
      <c r="EKO9" s="34"/>
      <c r="EKP9" s="72"/>
      <c r="EKQ9" s="63"/>
      <c r="EKR9" s="34"/>
      <c r="EKS9" s="64"/>
      <c r="EKT9" s="4"/>
      <c r="EKU9" s="65"/>
      <c r="EKV9" s="4"/>
      <c r="EKW9" s="4"/>
      <c r="EKX9" s="4"/>
      <c r="ELA9" s="34"/>
      <c r="ELB9" s="34"/>
      <c r="ELD9" s="34"/>
      <c r="ELE9" s="72"/>
      <c r="ELF9" s="63"/>
      <c r="ELG9" s="34"/>
      <c r="ELH9" s="64"/>
      <c r="ELI9" s="4"/>
      <c r="ELJ9" s="65"/>
      <c r="ELK9" s="4"/>
      <c r="ELL9" s="4"/>
      <c r="ELM9" s="4"/>
      <c r="ELP9" s="34"/>
      <c r="ELQ9" s="34"/>
      <c r="ELS9" s="34"/>
      <c r="ELT9" s="72"/>
      <c r="ELU9" s="63"/>
      <c r="ELV9" s="34"/>
      <c r="ELW9" s="64"/>
      <c r="ELX9" s="4"/>
      <c r="ELY9" s="65"/>
      <c r="ELZ9" s="4"/>
      <c r="EMA9" s="4"/>
      <c r="EMB9" s="4"/>
      <c r="EME9" s="34"/>
      <c r="EMF9" s="34"/>
      <c r="EMH9" s="34"/>
      <c r="EMI9" s="72"/>
      <c r="EMJ9" s="63"/>
      <c r="EMK9" s="34"/>
      <c r="EML9" s="64"/>
      <c r="EMM9" s="4"/>
      <c r="EMN9" s="65"/>
      <c r="EMO9" s="4"/>
      <c r="EMP9" s="4"/>
      <c r="EMQ9" s="4"/>
      <c r="EMT9" s="34"/>
      <c r="EMU9" s="34"/>
      <c r="EMW9" s="34"/>
      <c r="EMX9" s="72"/>
      <c r="EMY9" s="63"/>
      <c r="EMZ9" s="34"/>
      <c r="ENA9" s="64"/>
      <c r="ENB9" s="4"/>
      <c r="ENC9" s="65"/>
      <c r="END9" s="4"/>
      <c r="ENE9" s="4"/>
      <c r="ENF9" s="4"/>
      <c r="ENI9" s="34"/>
      <c r="ENJ9" s="34"/>
      <c r="ENL9" s="34"/>
      <c r="ENM9" s="72"/>
      <c r="ENN9" s="63"/>
      <c r="ENO9" s="34"/>
      <c r="ENP9" s="64"/>
      <c r="ENQ9" s="4"/>
      <c r="ENR9" s="65"/>
      <c r="ENS9" s="4"/>
      <c r="ENT9" s="4"/>
      <c r="ENU9" s="4"/>
      <c r="ENX9" s="34"/>
      <c r="ENY9" s="34"/>
      <c r="EOA9" s="34"/>
      <c r="EOB9" s="72"/>
      <c r="EOC9" s="63"/>
      <c r="EOD9" s="34"/>
      <c r="EOE9" s="64"/>
      <c r="EOF9" s="4"/>
      <c r="EOG9" s="65"/>
      <c r="EOH9" s="4"/>
      <c r="EOI9" s="4"/>
      <c r="EOJ9" s="4"/>
      <c r="EOM9" s="34"/>
      <c r="EON9" s="34"/>
      <c r="EOP9" s="34"/>
      <c r="EOQ9" s="72"/>
      <c r="EOR9" s="63"/>
      <c r="EOS9" s="34"/>
      <c r="EOT9" s="64"/>
      <c r="EOU9" s="4"/>
      <c r="EOV9" s="65"/>
      <c r="EOW9" s="4"/>
      <c r="EOX9" s="4"/>
      <c r="EOY9" s="4"/>
      <c r="EPB9" s="34"/>
      <c r="EPC9" s="34"/>
      <c r="EPE9" s="34"/>
      <c r="EPF9" s="72"/>
      <c r="EPG9" s="63"/>
      <c r="EPH9" s="34"/>
      <c r="EPI9" s="64"/>
      <c r="EPJ9" s="4"/>
      <c r="EPK9" s="65"/>
      <c r="EPL9" s="4"/>
      <c r="EPM9" s="4"/>
      <c r="EPN9" s="4"/>
      <c r="EPQ9" s="34"/>
      <c r="EPR9" s="34"/>
      <c r="EPT9" s="34"/>
      <c r="EPU9" s="72"/>
      <c r="EPV9" s="63"/>
      <c r="EPW9" s="34"/>
      <c r="EPX9" s="64"/>
      <c r="EPY9" s="4"/>
      <c r="EPZ9" s="65"/>
      <c r="EQA9" s="4"/>
      <c r="EQB9" s="4"/>
      <c r="EQC9" s="4"/>
      <c r="EQF9" s="34"/>
      <c r="EQG9" s="34"/>
      <c r="EQI9" s="34"/>
      <c r="EQJ9" s="72"/>
      <c r="EQK9" s="63"/>
      <c r="EQL9" s="34"/>
      <c r="EQM9" s="64"/>
      <c r="EQN9" s="4"/>
      <c r="EQO9" s="65"/>
      <c r="EQP9" s="4"/>
      <c r="EQQ9" s="4"/>
      <c r="EQR9" s="4"/>
      <c r="EQU9" s="34"/>
      <c r="EQV9" s="34"/>
      <c r="EQX9" s="34"/>
      <c r="EQY9" s="72"/>
      <c r="EQZ9" s="63"/>
      <c r="ERA9" s="34"/>
      <c r="ERB9" s="64"/>
      <c r="ERC9" s="4"/>
      <c r="ERD9" s="65"/>
      <c r="ERE9" s="4"/>
      <c r="ERF9" s="4"/>
      <c r="ERG9" s="4"/>
      <c r="ERJ9" s="34"/>
      <c r="ERK9" s="34"/>
      <c r="ERM9" s="34"/>
      <c r="ERN9" s="72"/>
      <c r="ERO9" s="63"/>
      <c r="ERP9" s="34"/>
      <c r="ERQ9" s="64"/>
      <c r="ERR9" s="4"/>
      <c r="ERS9" s="65"/>
      <c r="ERT9" s="4"/>
      <c r="ERU9" s="4"/>
      <c r="ERV9" s="4"/>
      <c r="ERY9" s="34"/>
      <c r="ERZ9" s="34"/>
      <c r="ESB9" s="34"/>
      <c r="ESC9" s="72"/>
      <c r="ESD9" s="63"/>
      <c r="ESE9" s="34"/>
      <c r="ESF9" s="64"/>
      <c r="ESG9" s="4"/>
      <c r="ESH9" s="65"/>
      <c r="ESI9" s="4"/>
      <c r="ESJ9" s="4"/>
      <c r="ESK9" s="4"/>
      <c r="ESN9" s="34"/>
      <c r="ESO9" s="34"/>
      <c r="ESQ9" s="34"/>
      <c r="ESR9" s="72"/>
      <c r="ESS9" s="63"/>
      <c r="EST9" s="34"/>
      <c r="ESU9" s="64"/>
      <c r="ESV9" s="4"/>
      <c r="ESW9" s="65"/>
      <c r="ESX9" s="4"/>
      <c r="ESY9" s="4"/>
      <c r="ESZ9" s="4"/>
      <c r="ETC9" s="34"/>
      <c r="ETD9" s="34"/>
      <c r="ETF9" s="34"/>
      <c r="ETG9" s="72"/>
      <c r="ETH9" s="63"/>
      <c r="ETI9" s="34"/>
      <c r="ETJ9" s="64"/>
      <c r="ETK9" s="4"/>
      <c r="ETL9" s="65"/>
      <c r="ETM9" s="4"/>
      <c r="ETN9" s="4"/>
      <c r="ETO9" s="4"/>
      <c r="ETR9" s="34"/>
      <c r="ETS9" s="34"/>
      <c r="ETU9" s="34"/>
      <c r="ETV9" s="72"/>
      <c r="ETW9" s="63"/>
      <c r="ETX9" s="34"/>
      <c r="ETY9" s="64"/>
      <c r="ETZ9" s="4"/>
      <c r="EUA9" s="65"/>
      <c r="EUB9" s="4"/>
      <c r="EUC9" s="4"/>
      <c r="EUD9" s="4"/>
      <c r="EUG9" s="34"/>
      <c r="EUH9" s="34"/>
      <c r="EUJ9" s="34"/>
      <c r="EUK9" s="72"/>
      <c r="EUL9" s="63"/>
      <c r="EUM9" s="34"/>
      <c r="EUN9" s="64"/>
      <c r="EUO9" s="4"/>
      <c r="EUP9" s="65"/>
      <c r="EUQ9" s="4"/>
      <c r="EUR9" s="4"/>
      <c r="EUS9" s="4"/>
      <c r="EUV9" s="34"/>
      <c r="EUW9" s="34"/>
      <c r="EUY9" s="34"/>
      <c r="EUZ9" s="72"/>
      <c r="EVA9" s="63"/>
      <c r="EVB9" s="34"/>
      <c r="EVC9" s="64"/>
      <c r="EVD9" s="4"/>
      <c r="EVE9" s="65"/>
      <c r="EVF9" s="4"/>
      <c r="EVG9" s="4"/>
      <c r="EVH9" s="4"/>
      <c r="EVK9" s="34"/>
      <c r="EVL9" s="34"/>
      <c r="EVN9" s="34"/>
      <c r="EVO9" s="72"/>
      <c r="EVP9" s="63"/>
      <c r="EVQ9" s="34"/>
      <c r="EVR9" s="64"/>
      <c r="EVS9" s="4"/>
      <c r="EVT9" s="65"/>
      <c r="EVU9" s="4"/>
      <c r="EVV9" s="4"/>
      <c r="EVW9" s="4"/>
      <c r="EVZ9" s="34"/>
      <c r="EWA9" s="34"/>
      <c r="EWC9" s="34"/>
      <c r="EWD9" s="72"/>
      <c r="EWE9" s="63"/>
      <c r="EWF9" s="34"/>
      <c r="EWG9" s="64"/>
      <c r="EWH9" s="4"/>
      <c r="EWI9" s="65"/>
      <c r="EWJ9" s="4"/>
      <c r="EWK9" s="4"/>
      <c r="EWL9" s="4"/>
      <c r="EWO9" s="34"/>
      <c r="EWP9" s="34"/>
      <c r="EWR9" s="34"/>
      <c r="EWS9" s="72"/>
      <c r="EWT9" s="63"/>
      <c r="EWU9" s="34"/>
      <c r="EWV9" s="64"/>
      <c r="EWW9" s="4"/>
      <c r="EWX9" s="65"/>
      <c r="EWY9" s="4"/>
      <c r="EWZ9" s="4"/>
      <c r="EXA9" s="4"/>
      <c r="EXD9" s="34"/>
      <c r="EXE9" s="34"/>
      <c r="EXG9" s="34"/>
      <c r="EXH9" s="72"/>
      <c r="EXI9" s="63"/>
      <c r="EXJ9" s="34"/>
      <c r="EXK9" s="64"/>
      <c r="EXL9" s="4"/>
      <c r="EXM9" s="65"/>
      <c r="EXN9" s="4"/>
      <c r="EXO9" s="4"/>
      <c r="EXP9" s="4"/>
      <c r="EXS9" s="34"/>
      <c r="EXT9" s="34"/>
      <c r="EXV9" s="34"/>
      <c r="EXW9" s="72"/>
      <c r="EXX9" s="63"/>
      <c r="EXY9" s="34"/>
      <c r="EXZ9" s="64"/>
      <c r="EYA9" s="4"/>
      <c r="EYB9" s="65"/>
      <c r="EYC9" s="4"/>
      <c r="EYD9" s="4"/>
      <c r="EYE9" s="4"/>
      <c r="EYH9" s="34"/>
      <c r="EYI9" s="34"/>
      <c r="EYK9" s="34"/>
      <c r="EYL9" s="72"/>
      <c r="EYM9" s="63"/>
      <c r="EYN9" s="34"/>
      <c r="EYO9" s="64"/>
      <c r="EYP9" s="4"/>
      <c r="EYQ9" s="65"/>
      <c r="EYR9" s="4"/>
      <c r="EYS9" s="4"/>
      <c r="EYT9" s="4"/>
      <c r="EYW9" s="34"/>
      <c r="EYX9" s="34"/>
      <c r="EYZ9" s="34"/>
      <c r="EZA9" s="72"/>
      <c r="EZB9" s="63"/>
      <c r="EZC9" s="34"/>
      <c r="EZD9" s="64"/>
      <c r="EZE9" s="4"/>
      <c r="EZF9" s="65"/>
      <c r="EZG9" s="4"/>
      <c r="EZH9" s="4"/>
      <c r="EZI9" s="4"/>
      <c r="EZL9" s="34"/>
      <c r="EZM9" s="34"/>
      <c r="EZO9" s="34"/>
      <c r="EZP9" s="72"/>
      <c r="EZQ9" s="63"/>
      <c r="EZR9" s="34"/>
      <c r="EZS9" s="64"/>
      <c r="EZT9" s="4"/>
      <c r="EZU9" s="65"/>
      <c r="EZV9" s="4"/>
      <c r="EZW9" s="4"/>
      <c r="EZX9" s="4"/>
      <c r="FAA9" s="34"/>
      <c r="FAB9" s="34"/>
      <c r="FAD9" s="34"/>
      <c r="FAE9" s="72"/>
      <c r="FAF9" s="63"/>
      <c r="FAG9" s="34"/>
      <c r="FAH9" s="64"/>
      <c r="FAI9" s="4"/>
      <c r="FAJ9" s="65"/>
      <c r="FAK9" s="4"/>
      <c r="FAL9" s="4"/>
      <c r="FAM9" s="4"/>
      <c r="FAP9" s="34"/>
      <c r="FAQ9" s="34"/>
      <c r="FAS9" s="34"/>
      <c r="FAT9" s="72"/>
      <c r="FAU9" s="63"/>
      <c r="FAV9" s="34"/>
      <c r="FAW9" s="64"/>
      <c r="FAX9" s="4"/>
      <c r="FAY9" s="65"/>
      <c r="FAZ9" s="4"/>
      <c r="FBA9" s="4"/>
      <c r="FBB9" s="4"/>
      <c r="FBE9" s="34"/>
      <c r="FBF9" s="34"/>
      <c r="FBH9" s="34"/>
      <c r="FBI9" s="72"/>
      <c r="FBJ9" s="63"/>
      <c r="FBK9" s="34"/>
      <c r="FBL9" s="64"/>
      <c r="FBM9" s="4"/>
      <c r="FBN9" s="65"/>
      <c r="FBO9" s="4"/>
      <c r="FBP9" s="4"/>
      <c r="FBQ9" s="4"/>
      <c r="FBT9" s="34"/>
      <c r="FBU9" s="34"/>
      <c r="FBW9" s="34"/>
      <c r="FBX9" s="72"/>
      <c r="FBY9" s="63"/>
      <c r="FBZ9" s="34"/>
      <c r="FCA9" s="64"/>
      <c r="FCB9" s="4"/>
      <c r="FCC9" s="65"/>
      <c r="FCD9" s="4"/>
      <c r="FCE9" s="4"/>
      <c r="FCF9" s="4"/>
      <c r="FCI9" s="34"/>
      <c r="FCJ9" s="34"/>
      <c r="FCL9" s="34"/>
      <c r="FCM9" s="72"/>
      <c r="FCN9" s="63"/>
      <c r="FCO9" s="34"/>
      <c r="FCP9" s="64"/>
      <c r="FCQ9" s="4"/>
      <c r="FCR9" s="65"/>
      <c r="FCS9" s="4"/>
      <c r="FCT9" s="4"/>
      <c r="FCU9" s="4"/>
      <c r="FCX9" s="34"/>
      <c r="FCY9" s="34"/>
      <c r="FDA9" s="34"/>
      <c r="FDB9" s="72"/>
      <c r="FDC9" s="63"/>
      <c r="FDD9" s="34"/>
      <c r="FDE9" s="64"/>
      <c r="FDF9" s="4"/>
      <c r="FDG9" s="65"/>
      <c r="FDH9" s="4"/>
      <c r="FDI9" s="4"/>
      <c r="FDJ9" s="4"/>
      <c r="FDM9" s="34"/>
      <c r="FDN9" s="34"/>
      <c r="FDP9" s="34"/>
      <c r="FDQ9" s="72"/>
      <c r="FDR9" s="63"/>
      <c r="FDS9" s="34"/>
      <c r="FDT9" s="64"/>
      <c r="FDU9" s="4"/>
      <c r="FDV9" s="65"/>
      <c r="FDW9" s="4"/>
      <c r="FDX9" s="4"/>
      <c r="FDY9" s="4"/>
      <c r="FEB9" s="34"/>
      <c r="FEC9" s="34"/>
      <c r="FEE9" s="34"/>
      <c r="FEF9" s="72"/>
      <c r="FEG9" s="63"/>
      <c r="FEH9" s="34"/>
      <c r="FEI9" s="64"/>
      <c r="FEJ9" s="4"/>
      <c r="FEK9" s="65"/>
      <c r="FEL9" s="4"/>
      <c r="FEM9" s="4"/>
      <c r="FEN9" s="4"/>
      <c r="FEQ9" s="34"/>
      <c r="FER9" s="34"/>
      <c r="FET9" s="34"/>
      <c r="FEU9" s="72"/>
      <c r="FEV9" s="63"/>
      <c r="FEW9" s="34"/>
      <c r="FEX9" s="64"/>
      <c r="FEY9" s="4"/>
      <c r="FEZ9" s="65"/>
      <c r="FFA9" s="4"/>
      <c r="FFB9" s="4"/>
      <c r="FFC9" s="4"/>
      <c r="FFF9" s="34"/>
      <c r="FFG9" s="34"/>
      <c r="FFI9" s="34"/>
      <c r="FFJ9" s="72"/>
      <c r="FFK9" s="63"/>
      <c r="FFL9" s="34"/>
      <c r="FFM9" s="64"/>
      <c r="FFN9" s="4"/>
      <c r="FFO9" s="65"/>
      <c r="FFP9" s="4"/>
      <c r="FFQ9" s="4"/>
      <c r="FFR9" s="4"/>
      <c r="FFU9" s="34"/>
      <c r="FFV9" s="34"/>
      <c r="FFX9" s="34"/>
      <c r="FFY9" s="72"/>
      <c r="FFZ9" s="63"/>
      <c r="FGA9" s="34"/>
      <c r="FGB9" s="64"/>
      <c r="FGC9" s="4"/>
      <c r="FGD9" s="65"/>
      <c r="FGE9" s="4"/>
      <c r="FGF9" s="4"/>
      <c r="FGG9" s="4"/>
      <c r="FGJ9" s="34"/>
      <c r="FGK9" s="34"/>
      <c r="FGM9" s="34"/>
      <c r="FGN9" s="72"/>
      <c r="FGO9" s="63"/>
      <c r="FGP9" s="34"/>
      <c r="FGQ9" s="64"/>
      <c r="FGR9" s="4"/>
      <c r="FGS9" s="65"/>
      <c r="FGT9" s="4"/>
      <c r="FGU9" s="4"/>
      <c r="FGV9" s="4"/>
      <c r="FGY9" s="34"/>
      <c r="FGZ9" s="34"/>
      <c r="FHB9" s="34"/>
      <c r="FHC9" s="72"/>
      <c r="FHD9" s="63"/>
      <c r="FHE9" s="34"/>
      <c r="FHF9" s="64"/>
      <c r="FHG9" s="4"/>
      <c r="FHH9" s="65"/>
      <c r="FHI9" s="4"/>
      <c r="FHJ9" s="4"/>
      <c r="FHK9" s="4"/>
      <c r="FHN9" s="34"/>
      <c r="FHO9" s="34"/>
      <c r="FHQ9" s="34"/>
      <c r="FHR9" s="72"/>
      <c r="FHS9" s="63"/>
      <c r="FHT9" s="34"/>
      <c r="FHU9" s="64"/>
      <c r="FHV9" s="4"/>
      <c r="FHW9" s="65"/>
      <c r="FHX9" s="4"/>
      <c r="FHY9" s="4"/>
      <c r="FHZ9" s="4"/>
      <c r="FIC9" s="34"/>
      <c r="FID9" s="34"/>
      <c r="FIF9" s="34"/>
      <c r="FIG9" s="72"/>
      <c r="FIH9" s="63"/>
      <c r="FII9" s="34"/>
      <c r="FIJ9" s="64"/>
      <c r="FIK9" s="4"/>
      <c r="FIL9" s="65"/>
      <c r="FIM9" s="4"/>
      <c r="FIN9" s="4"/>
      <c r="FIO9" s="4"/>
      <c r="FIR9" s="34"/>
      <c r="FIS9" s="34"/>
      <c r="FIU9" s="34"/>
      <c r="FIV9" s="72"/>
      <c r="FIW9" s="63"/>
      <c r="FIX9" s="34"/>
      <c r="FIY9" s="64"/>
      <c r="FIZ9" s="4"/>
      <c r="FJA9" s="65"/>
      <c r="FJB9" s="4"/>
      <c r="FJC9" s="4"/>
      <c r="FJD9" s="4"/>
      <c r="FJG9" s="34"/>
      <c r="FJH9" s="34"/>
      <c r="FJJ9" s="34"/>
      <c r="FJK9" s="72"/>
      <c r="FJL9" s="63"/>
      <c r="FJM9" s="34"/>
      <c r="FJN9" s="64"/>
      <c r="FJO9" s="4"/>
      <c r="FJP9" s="65"/>
      <c r="FJQ9" s="4"/>
      <c r="FJR9" s="4"/>
      <c r="FJS9" s="4"/>
      <c r="FJV9" s="34"/>
      <c r="FJW9" s="34"/>
      <c r="FJY9" s="34"/>
      <c r="FJZ9" s="72"/>
      <c r="FKA9" s="63"/>
      <c r="FKB9" s="34"/>
      <c r="FKC9" s="64"/>
      <c r="FKD9" s="4"/>
      <c r="FKE9" s="65"/>
      <c r="FKF9" s="4"/>
      <c r="FKG9" s="4"/>
      <c r="FKH9" s="4"/>
      <c r="FKK9" s="34"/>
      <c r="FKL9" s="34"/>
      <c r="FKN9" s="34"/>
      <c r="FKO9" s="72"/>
      <c r="FKP9" s="63"/>
      <c r="FKQ9" s="34"/>
      <c r="FKR9" s="64"/>
      <c r="FKS9" s="4"/>
      <c r="FKT9" s="65"/>
      <c r="FKU9" s="4"/>
      <c r="FKV9" s="4"/>
      <c r="FKW9" s="4"/>
      <c r="FKZ9" s="34"/>
      <c r="FLA9" s="34"/>
      <c r="FLC9" s="34"/>
      <c r="FLD9" s="72"/>
      <c r="FLE9" s="63"/>
      <c r="FLF9" s="34"/>
      <c r="FLG9" s="64"/>
      <c r="FLH9" s="4"/>
      <c r="FLI9" s="65"/>
      <c r="FLJ9" s="4"/>
      <c r="FLK9" s="4"/>
      <c r="FLL9" s="4"/>
      <c r="FLO9" s="34"/>
      <c r="FLP9" s="34"/>
      <c r="FLR9" s="34"/>
      <c r="FLS9" s="72"/>
      <c r="FLT9" s="63"/>
      <c r="FLU9" s="34"/>
      <c r="FLV9" s="64"/>
      <c r="FLW9" s="4"/>
      <c r="FLX9" s="65"/>
      <c r="FLY9" s="4"/>
      <c r="FLZ9" s="4"/>
      <c r="FMA9" s="4"/>
      <c r="FMD9" s="34"/>
      <c r="FME9" s="34"/>
      <c r="FMG9" s="34"/>
      <c r="FMH9" s="72"/>
      <c r="FMI9" s="63"/>
      <c r="FMJ9" s="34"/>
      <c r="FMK9" s="64"/>
      <c r="FML9" s="4"/>
      <c r="FMM9" s="65"/>
      <c r="FMN9" s="4"/>
      <c r="FMO9" s="4"/>
      <c r="FMP9" s="4"/>
      <c r="FMS9" s="34"/>
      <c r="FMT9" s="34"/>
      <c r="FMV9" s="34"/>
      <c r="FMW9" s="72"/>
      <c r="FMX9" s="63"/>
      <c r="FMY9" s="34"/>
      <c r="FMZ9" s="64"/>
      <c r="FNA9" s="4"/>
      <c r="FNB9" s="65"/>
      <c r="FNC9" s="4"/>
      <c r="FND9" s="4"/>
      <c r="FNE9" s="4"/>
      <c r="FNH9" s="34"/>
      <c r="FNI9" s="34"/>
      <c r="FNK9" s="34"/>
      <c r="FNL9" s="72"/>
      <c r="FNM9" s="63"/>
      <c r="FNN9" s="34"/>
      <c r="FNO9" s="64"/>
      <c r="FNP9" s="4"/>
      <c r="FNQ9" s="65"/>
      <c r="FNR9" s="4"/>
      <c r="FNS9" s="4"/>
      <c r="FNT9" s="4"/>
      <c r="FNW9" s="34"/>
      <c r="FNX9" s="34"/>
      <c r="FNZ9" s="34"/>
      <c r="FOA9" s="72"/>
      <c r="FOB9" s="63"/>
      <c r="FOC9" s="34"/>
      <c r="FOD9" s="64"/>
      <c r="FOE9" s="4"/>
      <c r="FOF9" s="65"/>
      <c r="FOG9" s="4"/>
      <c r="FOH9" s="4"/>
      <c r="FOI9" s="4"/>
      <c r="FOL9" s="34"/>
      <c r="FOM9" s="34"/>
      <c r="FOO9" s="34"/>
      <c r="FOP9" s="72"/>
      <c r="FOQ9" s="63"/>
      <c r="FOR9" s="34"/>
      <c r="FOS9" s="64"/>
      <c r="FOT9" s="4"/>
      <c r="FOU9" s="65"/>
      <c r="FOV9" s="4"/>
      <c r="FOW9" s="4"/>
      <c r="FOX9" s="4"/>
      <c r="FPA9" s="34"/>
      <c r="FPB9" s="34"/>
      <c r="FPD9" s="34"/>
      <c r="FPE9" s="72"/>
      <c r="FPF9" s="63"/>
      <c r="FPG9" s="34"/>
      <c r="FPH9" s="64"/>
      <c r="FPI9" s="4"/>
      <c r="FPJ9" s="65"/>
      <c r="FPK9" s="4"/>
      <c r="FPL9" s="4"/>
      <c r="FPM9" s="4"/>
      <c r="FPP9" s="34"/>
      <c r="FPQ9" s="34"/>
      <c r="FPS9" s="34"/>
      <c r="FPT9" s="72"/>
      <c r="FPU9" s="63"/>
      <c r="FPV9" s="34"/>
      <c r="FPW9" s="64"/>
      <c r="FPX9" s="4"/>
      <c r="FPY9" s="65"/>
      <c r="FPZ9" s="4"/>
      <c r="FQA9" s="4"/>
      <c r="FQB9" s="4"/>
      <c r="FQE9" s="34"/>
      <c r="FQF9" s="34"/>
      <c r="FQH9" s="34"/>
      <c r="FQI9" s="72"/>
      <c r="FQJ9" s="63"/>
      <c r="FQK9" s="34"/>
      <c r="FQL9" s="64"/>
      <c r="FQM9" s="4"/>
      <c r="FQN9" s="65"/>
      <c r="FQO9" s="4"/>
      <c r="FQP9" s="4"/>
      <c r="FQQ9" s="4"/>
      <c r="FQT9" s="34"/>
      <c r="FQU9" s="34"/>
      <c r="FQW9" s="34"/>
      <c r="FQX9" s="72"/>
      <c r="FQY9" s="63"/>
      <c r="FQZ9" s="34"/>
      <c r="FRA9" s="64"/>
      <c r="FRB9" s="4"/>
      <c r="FRC9" s="65"/>
      <c r="FRD9" s="4"/>
      <c r="FRE9" s="4"/>
      <c r="FRF9" s="4"/>
      <c r="FRI9" s="34"/>
      <c r="FRJ9" s="34"/>
      <c r="FRL9" s="34"/>
      <c r="FRM9" s="72"/>
      <c r="FRN9" s="63"/>
      <c r="FRO9" s="34"/>
      <c r="FRP9" s="64"/>
      <c r="FRQ9" s="4"/>
      <c r="FRR9" s="65"/>
      <c r="FRS9" s="4"/>
      <c r="FRT9" s="4"/>
      <c r="FRU9" s="4"/>
      <c r="FRX9" s="34"/>
      <c r="FRY9" s="34"/>
      <c r="FSA9" s="34"/>
      <c r="FSB9" s="72"/>
      <c r="FSC9" s="63"/>
      <c r="FSD9" s="34"/>
      <c r="FSE9" s="64"/>
      <c r="FSF9" s="4"/>
      <c r="FSG9" s="65"/>
      <c r="FSH9" s="4"/>
      <c r="FSI9" s="4"/>
      <c r="FSJ9" s="4"/>
      <c r="FSM9" s="34"/>
      <c r="FSN9" s="34"/>
      <c r="FSP9" s="34"/>
      <c r="FSQ9" s="72"/>
      <c r="FSR9" s="63"/>
      <c r="FSS9" s="34"/>
      <c r="FST9" s="64"/>
      <c r="FSU9" s="4"/>
      <c r="FSV9" s="65"/>
      <c r="FSW9" s="4"/>
      <c r="FSX9" s="4"/>
      <c r="FSY9" s="4"/>
      <c r="FTB9" s="34"/>
      <c r="FTC9" s="34"/>
      <c r="FTE9" s="34"/>
      <c r="FTF9" s="72"/>
      <c r="FTG9" s="63"/>
      <c r="FTH9" s="34"/>
      <c r="FTI9" s="64"/>
      <c r="FTJ9" s="4"/>
      <c r="FTK9" s="65"/>
      <c r="FTL9" s="4"/>
      <c r="FTM9" s="4"/>
      <c r="FTN9" s="4"/>
      <c r="FTQ9" s="34"/>
      <c r="FTR9" s="34"/>
      <c r="FTT9" s="34"/>
      <c r="FTU9" s="72"/>
      <c r="FTV9" s="63"/>
      <c r="FTW9" s="34"/>
      <c r="FTX9" s="64"/>
      <c r="FTY9" s="4"/>
      <c r="FTZ9" s="65"/>
      <c r="FUA9" s="4"/>
      <c r="FUB9" s="4"/>
      <c r="FUC9" s="4"/>
      <c r="FUF9" s="34"/>
      <c r="FUG9" s="34"/>
      <c r="FUI9" s="34"/>
      <c r="FUJ9" s="72"/>
      <c r="FUK9" s="63"/>
      <c r="FUL9" s="34"/>
      <c r="FUM9" s="64"/>
      <c r="FUN9" s="4"/>
      <c r="FUO9" s="65"/>
      <c r="FUP9" s="4"/>
      <c r="FUQ9" s="4"/>
      <c r="FUR9" s="4"/>
      <c r="FUU9" s="34"/>
      <c r="FUV9" s="34"/>
      <c r="FUX9" s="34"/>
      <c r="FUY9" s="72"/>
      <c r="FUZ9" s="63"/>
      <c r="FVA9" s="34"/>
      <c r="FVB9" s="64"/>
      <c r="FVC9" s="4"/>
      <c r="FVD9" s="65"/>
      <c r="FVE9" s="4"/>
      <c r="FVF9" s="4"/>
      <c r="FVG9" s="4"/>
      <c r="FVJ9" s="34"/>
      <c r="FVK9" s="34"/>
      <c r="FVM9" s="34"/>
      <c r="FVN9" s="72"/>
      <c r="FVO9" s="63"/>
      <c r="FVP9" s="34"/>
      <c r="FVQ9" s="64"/>
      <c r="FVR9" s="4"/>
      <c r="FVS9" s="65"/>
      <c r="FVT9" s="4"/>
      <c r="FVU9" s="4"/>
      <c r="FVV9" s="4"/>
      <c r="FVY9" s="34"/>
      <c r="FVZ9" s="34"/>
      <c r="FWB9" s="34"/>
      <c r="FWC9" s="72"/>
      <c r="FWD9" s="63"/>
      <c r="FWE9" s="34"/>
      <c r="FWF9" s="64"/>
      <c r="FWG9" s="4"/>
      <c r="FWH9" s="65"/>
      <c r="FWI9" s="4"/>
      <c r="FWJ9" s="4"/>
      <c r="FWK9" s="4"/>
      <c r="FWN9" s="34"/>
      <c r="FWO9" s="34"/>
      <c r="FWQ9" s="34"/>
      <c r="FWR9" s="72"/>
      <c r="FWS9" s="63"/>
      <c r="FWT9" s="34"/>
      <c r="FWU9" s="64"/>
      <c r="FWV9" s="4"/>
      <c r="FWW9" s="65"/>
      <c r="FWX9" s="4"/>
      <c r="FWY9" s="4"/>
      <c r="FWZ9" s="4"/>
      <c r="FXC9" s="34"/>
      <c r="FXD9" s="34"/>
      <c r="FXF9" s="34"/>
      <c r="FXG9" s="72"/>
      <c r="FXH9" s="63"/>
      <c r="FXI9" s="34"/>
      <c r="FXJ9" s="64"/>
      <c r="FXK9" s="4"/>
      <c r="FXL9" s="65"/>
      <c r="FXM9" s="4"/>
      <c r="FXN9" s="4"/>
      <c r="FXO9" s="4"/>
      <c r="FXR9" s="34"/>
      <c r="FXS9" s="34"/>
      <c r="FXU9" s="34"/>
      <c r="FXV9" s="72"/>
      <c r="FXW9" s="63"/>
      <c r="FXX9" s="34"/>
      <c r="FXY9" s="64"/>
      <c r="FXZ9" s="4"/>
      <c r="FYA9" s="65"/>
      <c r="FYB9" s="4"/>
      <c r="FYC9" s="4"/>
      <c r="FYD9" s="4"/>
      <c r="FYG9" s="34"/>
      <c r="FYH9" s="34"/>
      <c r="FYJ9" s="34"/>
      <c r="FYK9" s="72"/>
      <c r="FYL9" s="63"/>
      <c r="FYM9" s="34"/>
      <c r="FYN9" s="64"/>
      <c r="FYO9" s="4"/>
      <c r="FYP9" s="65"/>
      <c r="FYQ9" s="4"/>
      <c r="FYR9" s="4"/>
      <c r="FYS9" s="4"/>
      <c r="FYV9" s="34"/>
      <c r="FYW9" s="34"/>
      <c r="FYY9" s="34"/>
      <c r="FYZ9" s="72"/>
      <c r="FZA9" s="63"/>
      <c r="FZB9" s="34"/>
      <c r="FZC9" s="64"/>
      <c r="FZD9" s="4"/>
      <c r="FZE9" s="65"/>
      <c r="FZF9" s="4"/>
      <c r="FZG9" s="4"/>
      <c r="FZH9" s="4"/>
      <c r="FZK9" s="34"/>
      <c r="FZL9" s="34"/>
      <c r="FZN9" s="34"/>
      <c r="FZO9" s="72"/>
      <c r="FZP9" s="63"/>
      <c r="FZQ9" s="34"/>
      <c r="FZR9" s="64"/>
      <c r="FZS9" s="4"/>
      <c r="FZT9" s="65"/>
      <c r="FZU9" s="4"/>
      <c r="FZV9" s="4"/>
      <c r="FZW9" s="4"/>
      <c r="FZZ9" s="34"/>
      <c r="GAA9" s="34"/>
      <c r="GAC9" s="34"/>
      <c r="GAD9" s="72"/>
      <c r="GAE9" s="63"/>
      <c r="GAF9" s="34"/>
      <c r="GAG9" s="64"/>
      <c r="GAH9" s="4"/>
      <c r="GAI9" s="65"/>
      <c r="GAJ9" s="4"/>
      <c r="GAK9" s="4"/>
      <c r="GAL9" s="4"/>
      <c r="GAO9" s="34"/>
      <c r="GAP9" s="34"/>
      <c r="GAR9" s="34"/>
      <c r="GAS9" s="72"/>
      <c r="GAT9" s="63"/>
      <c r="GAU9" s="34"/>
      <c r="GAV9" s="64"/>
      <c r="GAW9" s="4"/>
      <c r="GAX9" s="65"/>
      <c r="GAY9" s="4"/>
      <c r="GAZ9" s="4"/>
      <c r="GBA9" s="4"/>
      <c r="GBD9" s="34"/>
      <c r="GBE9" s="34"/>
      <c r="GBG9" s="34"/>
      <c r="GBH9" s="72"/>
      <c r="GBI9" s="63"/>
      <c r="GBJ9" s="34"/>
      <c r="GBK9" s="64"/>
      <c r="GBL9" s="4"/>
      <c r="GBM9" s="65"/>
      <c r="GBN9" s="4"/>
      <c r="GBO9" s="4"/>
      <c r="GBP9" s="4"/>
      <c r="GBS9" s="34"/>
      <c r="GBT9" s="34"/>
      <c r="GBV9" s="34"/>
      <c r="GBW9" s="72"/>
      <c r="GBX9" s="63"/>
      <c r="GBY9" s="34"/>
      <c r="GBZ9" s="64"/>
      <c r="GCA9" s="4"/>
      <c r="GCB9" s="65"/>
      <c r="GCC9" s="4"/>
      <c r="GCD9" s="4"/>
      <c r="GCE9" s="4"/>
      <c r="GCH9" s="34"/>
      <c r="GCI9" s="34"/>
      <c r="GCK9" s="34"/>
      <c r="GCL9" s="72"/>
      <c r="GCM9" s="63"/>
      <c r="GCN9" s="34"/>
      <c r="GCO9" s="64"/>
      <c r="GCP9" s="4"/>
      <c r="GCQ9" s="65"/>
      <c r="GCR9" s="4"/>
      <c r="GCS9" s="4"/>
      <c r="GCT9" s="4"/>
      <c r="GCW9" s="34"/>
      <c r="GCX9" s="34"/>
      <c r="GCZ9" s="34"/>
      <c r="GDA9" s="72"/>
      <c r="GDB9" s="63"/>
      <c r="GDC9" s="34"/>
      <c r="GDD9" s="64"/>
      <c r="GDE9" s="4"/>
      <c r="GDF9" s="65"/>
      <c r="GDG9" s="4"/>
      <c r="GDH9" s="4"/>
      <c r="GDI9" s="4"/>
      <c r="GDL9" s="34"/>
      <c r="GDM9" s="34"/>
      <c r="GDO9" s="34"/>
      <c r="GDP9" s="72"/>
      <c r="GDQ9" s="63"/>
      <c r="GDR9" s="34"/>
      <c r="GDS9" s="64"/>
      <c r="GDT9" s="4"/>
      <c r="GDU9" s="65"/>
      <c r="GDV9" s="4"/>
      <c r="GDW9" s="4"/>
      <c r="GDX9" s="4"/>
      <c r="GEA9" s="34"/>
      <c r="GEB9" s="34"/>
      <c r="GED9" s="34"/>
      <c r="GEE9" s="72"/>
      <c r="GEF9" s="63"/>
      <c r="GEG9" s="34"/>
      <c r="GEH9" s="64"/>
      <c r="GEI9" s="4"/>
      <c r="GEJ9" s="65"/>
      <c r="GEK9" s="4"/>
      <c r="GEL9" s="4"/>
      <c r="GEM9" s="4"/>
      <c r="GEP9" s="34"/>
      <c r="GEQ9" s="34"/>
      <c r="GES9" s="34"/>
      <c r="GET9" s="72"/>
      <c r="GEU9" s="63"/>
      <c r="GEV9" s="34"/>
      <c r="GEW9" s="64"/>
      <c r="GEX9" s="4"/>
      <c r="GEY9" s="65"/>
      <c r="GEZ9" s="4"/>
      <c r="GFA9" s="4"/>
      <c r="GFB9" s="4"/>
      <c r="GFE9" s="34"/>
      <c r="GFF9" s="34"/>
      <c r="GFH9" s="34"/>
      <c r="GFI9" s="72"/>
      <c r="GFJ9" s="63"/>
      <c r="GFK9" s="34"/>
      <c r="GFL9" s="64"/>
      <c r="GFM9" s="4"/>
      <c r="GFN9" s="65"/>
      <c r="GFO9" s="4"/>
      <c r="GFP9" s="4"/>
      <c r="GFQ9" s="4"/>
      <c r="GFT9" s="34"/>
      <c r="GFU9" s="34"/>
      <c r="GFW9" s="34"/>
      <c r="GFX9" s="72"/>
      <c r="GFY9" s="63"/>
      <c r="GFZ9" s="34"/>
      <c r="GGA9" s="64"/>
      <c r="GGB9" s="4"/>
      <c r="GGC9" s="65"/>
      <c r="GGD9" s="4"/>
      <c r="GGE9" s="4"/>
      <c r="GGF9" s="4"/>
      <c r="GGI9" s="34"/>
      <c r="GGJ9" s="34"/>
      <c r="GGL9" s="34"/>
      <c r="GGM9" s="72"/>
      <c r="GGN9" s="63"/>
      <c r="GGO9" s="34"/>
      <c r="GGP9" s="64"/>
      <c r="GGQ9" s="4"/>
      <c r="GGR9" s="65"/>
      <c r="GGS9" s="4"/>
      <c r="GGT9" s="4"/>
      <c r="GGU9" s="4"/>
      <c r="GGX9" s="34"/>
      <c r="GGY9" s="34"/>
      <c r="GHA9" s="34"/>
      <c r="GHB9" s="72"/>
      <c r="GHC9" s="63"/>
      <c r="GHD9" s="34"/>
      <c r="GHE9" s="64"/>
      <c r="GHF9" s="4"/>
      <c r="GHG9" s="65"/>
      <c r="GHH9" s="4"/>
      <c r="GHI9" s="4"/>
      <c r="GHJ9" s="4"/>
      <c r="GHM9" s="34"/>
      <c r="GHN9" s="34"/>
      <c r="GHP9" s="34"/>
      <c r="GHQ9" s="72"/>
      <c r="GHR9" s="63"/>
      <c r="GHS9" s="34"/>
      <c r="GHT9" s="64"/>
      <c r="GHU9" s="4"/>
      <c r="GHV9" s="65"/>
      <c r="GHW9" s="4"/>
      <c r="GHX9" s="4"/>
      <c r="GHY9" s="4"/>
      <c r="GIB9" s="34"/>
      <c r="GIC9" s="34"/>
      <c r="GIE9" s="34"/>
      <c r="GIF9" s="72"/>
      <c r="GIG9" s="63"/>
      <c r="GIH9" s="34"/>
      <c r="GII9" s="64"/>
      <c r="GIJ9" s="4"/>
      <c r="GIK9" s="65"/>
      <c r="GIL9" s="4"/>
      <c r="GIM9" s="4"/>
      <c r="GIN9" s="4"/>
      <c r="GIQ9" s="34"/>
      <c r="GIR9" s="34"/>
      <c r="GIT9" s="34"/>
      <c r="GIU9" s="72"/>
      <c r="GIV9" s="63"/>
      <c r="GIW9" s="34"/>
      <c r="GIX9" s="64"/>
      <c r="GIY9" s="4"/>
      <c r="GIZ9" s="65"/>
      <c r="GJA9" s="4"/>
      <c r="GJB9" s="4"/>
      <c r="GJC9" s="4"/>
      <c r="GJF9" s="34"/>
      <c r="GJG9" s="34"/>
      <c r="GJI9" s="34"/>
      <c r="GJJ9" s="72"/>
      <c r="GJK9" s="63"/>
      <c r="GJL9" s="34"/>
      <c r="GJM9" s="64"/>
      <c r="GJN9" s="4"/>
      <c r="GJO9" s="65"/>
      <c r="GJP9" s="4"/>
      <c r="GJQ9" s="4"/>
      <c r="GJR9" s="4"/>
      <c r="GJU9" s="34"/>
      <c r="GJV9" s="34"/>
      <c r="GJX9" s="34"/>
      <c r="GJY9" s="72"/>
      <c r="GJZ9" s="63"/>
      <c r="GKA9" s="34"/>
      <c r="GKB9" s="64"/>
      <c r="GKC9" s="4"/>
      <c r="GKD9" s="65"/>
      <c r="GKE9" s="4"/>
      <c r="GKF9" s="4"/>
      <c r="GKG9" s="4"/>
      <c r="GKJ9" s="34"/>
      <c r="GKK9" s="34"/>
      <c r="GKM9" s="34"/>
      <c r="GKN9" s="72"/>
      <c r="GKO9" s="63"/>
      <c r="GKP9" s="34"/>
      <c r="GKQ9" s="64"/>
      <c r="GKR9" s="4"/>
      <c r="GKS9" s="65"/>
      <c r="GKT9" s="4"/>
      <c r="GKU9" s="4"/>
      <c r="GKV9" s="4"/>
      <c r="GKY9" s="34"/>
      <c r="GKZ9" s="34"/>
      <c r="GLB9" s="34"/>
      <c r="GLC9" s="72"/>
      <c r="GLD9" s="63"/>
      <c r="GLE9" s="34"/>
      <c r="GLF9" s="64"/>
      <c r="GLG9" s="4"/>
      <c r="GLH9" s="65"/>
      <c r="GLI9" s="4"/>
      <c r="GLJ9" s="4"/>
      <c r="GLK9" s="4"/>
      <c r="GLN9" s="34"/>
      <c r="GLO9" s="34"/>
      <c r="GLQ9" s="34"/>
      <c r="GLR9" s="72"/>
      <c r="GLS9" s="63"/>
      <c r="GLT9" s="34"/>
      <c r="GLU9" s="64"/>
      <c r="GLV9" s="4"/>
      <c r="GLW9" s="65"/>
      <c r="GLX9" s="4"/>
      <c r="GLY9" s="4"/>
      <c r="GLZ9" s="4"/>
      <c r="GMC9" s="34"/>
      <c r="GMD9" s="34"/>
      <c r="GMF9" s="34"/>
      <c r="GMG9" s="72"/>
      <c r="GMH9" s="63"/>
      <c r="GMI9" s="34"/>
      <c r="GMJ9" s="64"/>
      <c r="GMK9" s="4"/>
      <c r="GML9" s="65"/>
      <c r="GMM9" s="4"/>
      <c r="GMN9" s="4"/>
      <c r="GMO9" s="4"/>
      <c r="GMR9" s="34"/>
      <c r="GMS9" s="34"/>
      <c r="GMU9" s="34"/>
      <c r="GMV9" s="72"/>
      <c r="GMW9" s="63"/>
      <c r="GMX9" s="34"/>
      <c r="GMY9" s="64"/>
      <c r="GMZ9" s="4"/>
      <c r="GNA9" s="65"/>
      <c r="GNB9" s="4"/>
      <c r="GNC9" s="4"/>
      <c r="GND9" s="4"/>
      <c r="GNG9" s="34"/>
      <c r="GNH9" s="34"/>
      <c r="GNJ9" s="34"/>
      <c r="GNK9" s="72"/>
      <c r="GNL9" s="63"/>
      <c r="GNM9" s="34"/>
      <c r="GNN9" s="64"/>
      <c r="GNO9" s="4"/>
      <c r="GNP9" s="65"/>
      <c r="GNQ9" s="4"/>
      <c r="GNR9" s="4"/>
      <c r="GNS9" s="4"/>
      <c r="GNV9" s="34"/>
      <c r="GNW9" s="34"/>
      <c r="GNY9" s="34"/>
      <c r="GNZ9" s="72"/>
      <c r="GOA9" s="63"/>
      <c r="GOB9" s="34"/>
      <c r="GOC9" s="64"/>
      <c r="GOD9" s="4"/>
      <c r="GOE9" s="65"/>
      <c r="GOF9" s="4"/>
      <c r="GOG9" s="4"/>
      <c r="GOH9" s="4"/>
      <c r="GOK9" s="34"/>
      <c r="GOL9" s="34"/>
      <c r="GON9" s="34"/>
      <c r="GOO9" s="72"/>
      <c r="GOP9" s="63"/>
      <c r="GOQ9" s="34"/>
      <c r="GOR9" s="64"/>
      <c r="GOS9" s="4"/>
      <c r="GOT9" s="65"/>
      <c r="GOU9" s="4"/>
      <c r="GOV9" s="4"/>
      <c r="GOW9" s="4"/>
      <c r="GOZ9" s="34"/>
      <c r="GPA9" s="34"/>
      <c r="GPC9" s="34"/>
      <c r="GPD9" s="72"/>
      <c r="GPE9" s="63"/>
      <c r="GPF9" s="34"/>
      <c r="GPG9" s="64"/>
      <c r="GPH9" s="4"/>
      <c r="GPI9" s="65"/>
      <c r="GPJ9" s="4"/>
      <c r="GPK9" s="4"/>
      <c r="GPL9" s="4"/>
      <c r="GPO9" s="34"/>
      <c r="GPP9" s="34"/>
      <c r="GPR9" s="34"/>
      <c r="GPS9" s="72"/>
      <c r="GPT9" s="63"/>
      <c r="GPU9" s="34"/>
      <c r="GPV9" s="64"/>
      <c r="GPW9" s="4"/>
      <c r="GPX9" s="65"/>
      <c r="GPY9" s="4"/>
      <c r="GPZ9" s="4"/>
      <c r="GQA9" s="4"/>
      <c r="GQD9" s="34"/>
      <c r="GQE9" s="34"/>
      <c r="GQG9" s="34"/>
      <c r="GQH9" s="72"/>
      <c r="GQI9" s="63"/>
      <c r="GQJ9" s="34"/>
      <c r="GQK9" s="64"/>
      <c r="GQL9" s="4"/>
      <c r="GQM9" s="65"/>
      <c r="GQN9" s="4"/>
      <c r="GQO9" s="4"/>
      <c r="GQP9" s="4"/>
      <c r="GQS9" s="34"/>
      <c r="GQT9" s="34"/>
      <c r="GQV9" s="34"/>
      <c r="GQW9" s="72"/>
      <c r="GQX9" s="63"/>
      <c r="GQY9" s="34"/>
      <c r="GQZ9" s="64"/>
      <c r="GRA9" s="4"/>
      <c r="GRB9" s="65"/>
      <c r="GRC9" s="4"/>
      <c r="GRD9" s="4"/>
      <c r="GRE9" s="4"/>
      <c r="GRH9" s="34"/>
      <c r="GRI9" s="34"/>
      <c r="GRK9" s="34"/>
      <c r="GRL9" s="72"/>
      <c r="GRM9" s="63"/>
      <c r="GRN9" s="34"/>
      <c r="GRO9" s="64"/>
      <c r="GRP9" s="4"/>
      <c r="GRQ9" s="65"/>
      <c r="GRR9" s="4"/>
      <c r="GRS9" s="4"/>
      <c r="GRT9" s="4"/>
      <c r="GRW9" s="34"/>
      <c r="GRX9" s="34"/>
      <c r="GRZ9" s="34"/>
      <c r="GSA9" s="72"/>
      <c r="GSB9" s="63"/>
      <c r="GSC9" s="34"/>
      <c r="GSD9" s="64"/>
      <c r="GSE9" s="4"/>
      <c r="GSF9" s="65"/>
      <c r="GSG9" s="4"/>
      <c r="GSH9" s="4"/>
      <c r="GSI9" s="4"/>
      <c r="GSL9" s="34"/>
      <c r="GSM9" s="34"/>
      <c r="GSO9" s="34"/>
      <c r="GSP9" s="72"/>
      <c r="GSQ9" s="63"/>
      <c r="GSR9" s="34"/>
      <c r="GSS9" s="64"/>
      <c r="GST9" s="4"/>
      <c r="GSU9" s="65"/>
      <c r="GSV9" s="4"/>
      <c r="GSW9" s="4"/>
      <c r="GSX9" s="4"/>
      <c r="GTA9" s="34"/>
      <c r="GTB9" s="34"/>
      <c r="GTD9" s="34"/>
      <c r="GTE9" s="72"/>
      <c r="GTF9" s="63"/>
      <c r="GTG9" s="34"/>
      <c r="GTH9" s="64"/>
      <c r="GTI9" s="4"/>
      <c r="GTJ9" s="65"/>
      <c r="GTK9" s="4"/>
      <c r="GTL9" s="4"/>
      <c r="GTM9" s="4"/>
      <c r="GTP9" s="34"/>
      <c r="GTQ9" s="34"/>
      <c r="GTS9" s="34"/>
      <c r="GTT9" s="72"/>
      <c r="GTU9" s="63"/>
      <c r="GTV9" s="34"/>
      <c r="GTW9" s="64"/>
      <c r="GTX9" s="4"/>
      <c r="GTY9" s="65"/>
      <c r="GTZ9" s="4"/>
      <c r="GUA9" s="4"/>
      <c r="GUB9" s="4"/>
      <c r="GUE9" s="34"/>
      <c r="GUF9" s="34"/>
      <c r="GUH9" s="34"/>
      <c r="GUI9" s="72"/>
      <c r="GUJ9" s="63"/>
      <c r="GUK9" s="34"/>
      <c r="GUL9" s="64"/>
      <c r="GUM9" s="4"/>
      <c r="GUN9" s="65"/>
      <c r="GUO9" s="4"/>
      <c r="GUP9" s="4"/>
      <c r="GUQ9" s="4"/>
      <c r="GUT9" s="34"/>
      <c r="GUU9" s="34"/>
      <c r="GUW9" s="34"/>
      <c r="GUX9" s="72"/>
      <c r="GUY9" s="63"/>
      <c r="GUZ9" s="34"/>
      <c r="GVA9" s="64"/>
      <c r="GVB9" s="4"/>
      <c r="GVC9" s="65"/>
      <c r="GVD9" s="4"/>
      <c r="GVE9" s="4"/>
      <c r="GVF9" s="4"/>
      <c r="GVI9" s="34"/>
      <c r="GVJ9" s="34"/>
      <c r="GVL9" s="34"/>
      <c r="GVM9" s="72"/>
      <c r="GVN9" s="63"/>
      <c r="GVO9" s="34"/>
      <c r="GVP9" s="64"/>
      <c r="GVQ9" s="4"/>
      <c r="GVR9" s="65"/>
      <c r="GVS9" s="4"/>
      <c r="GVT9" s="4"/>
      <c r="GVU9" s="4"/>
      <c r="GVX9" s="34"/>
      <c r="GVY9" s="34"/>
      <c r="GWA9" s="34"/>
      <c r="GWB9" s="72"/>
      <c r="GWC9" s="63"/>
      <c r="GWD9" s="34"/>
      <c r="GWE9" s="64"/>
      <c r="GWF9" s="4"/>
      <c r="GWG9" s="65"/>
      <c r="GWH9" s="4"/>
      <c r="GWI9" s="4"/>
      <c r="GWJ9" s="4"/>
      <c r="GWM9" s="34"/>
      <c r="GWN9" s="34"/>
      <c r="GWP9" s="34"/>
      <c r="GWQ9" s="72"/>
      <c r="GWR9" s="63"/>
      <c r="GWS9" s="34"/>
      <c r="GWT9" s="64"/>
      <c r="GWU9" s="4"/>
      <c r="GWV9" s="65"/>
      <c r="GWW9" s="4"/>
      <c r="GWX9" s="4"/>
      <c r="GWY9" s="4"/>
      <c r="GXB9" s="34"/>
      <c r="GXC9" s="34"/>
      <c r="GXE9" s="34"/>
      <c r="GXF9" s="72"/>
      <c r="GXG9" s="63"/>
      <c r="GXH9" s="34"/>
      <c r="GXI9" s="64"/>
      <c r="GXJ9" s="4"/>
      <c r="GXK9" s="65"/>
      <c r="GXL9" s="4"/>
      <c r="GXM9" s="4"/>
      <c r="GXN9" s="4"/>
      <c r="GXQ9" s="34"/>
      <c r="GXR9" s="34"/>
      <c r="GXT9" s="34"/>
      <c r="GXU9" s="72"/>
      <c r="GXV9" s="63"/>
      <c r="GXW9" s="34"/>
      <c r="GXX9" s="64"/>
      <c r="GXY9" s="4"/>
      <c r="GXZ9" s="65"/>
      <c r="GYA9" s="4"/>
      <c r="GYB9" s="4"/>
      <c r="GYC9" s="4"/>
      <c r="GYF9" s="34"/>
      <c r="GYG9" s="34"/>
      <c r="GYI9" s="34"/>
      <c r="GYJ9" s="72"/>
      <c r="GYK9" s="63"/>
      <c r="GYL9" s="34"/>
      <c r="GYM9" s="64"/>
      <c r="GYN9" s="4"/>
      <c r="GYO9" s="65"/>
      <c r="GYP9" s="4"/>
      <c r="GYQ9" s="4"/>
      <c r="GYR9" s="4"/>
      <c r="GYU9" s="34"/>
      <c r="GYV9" s="34"/>
      <c r="GYX9" s="34"/>
      <c r="GYY9" s="72"/>
      <c r="GYZ9" s="63"/>
      <c r="GZA9" s="34"/>
      <c r="GZB9" s="64"/>
      <c r="GZC9" s="4"/>
      <c r="GZD9" s="65"/>
      <c r="GZE9" s="4"/>
      <c r="GZF9" s="4"/>
      <c r="GZG9" s="4"/>
      <c r="GZJ9" s="34"/>
      <c r="GZK9" s="34"/>
      <c r="GZM9" s="34"/>
      <c r="GZN9" s="72"/>
      <c r="GZO9" s="63"/>
      <c r="GZP9" s="34"/>
      <c r="GZQ9" s="64"/>
      <c r="GZR9" s="4"/>
      <c r="GZS9" s="65"/>
      <c r="GZT9" s="4"/>
      <c r="GZU9" s="4"/>
      <c r="GZV9" s="4"/>
      <c r="GZY9" s="34"/>
      <c r="GZZ9" s="34"/>
      <c r="HAB9" s="34"/>
      <c r="HAC9" s="72"/>
      <c r="HAD9" s="63"/>
      <c r="HAE9" s="34"/>
      <c r="HAF9" s="64"/>
      <c r="HAG9" s="4"/>
      <c r="HAH9" s="65"/>
      <c r="HAI9" s="4"/>
      <c r="HAJ9" s="4"/>
      <c r="HAK9" s="4"/>
      <c r="HAN9" s="34"/>
      <c r="HAO9" s="34"/>
      <c r="HAQ9" s="34"/>
      <c r="HAR9" s="72"/>
      <c r="HAS9" s="63"/>
      <c r="HAT9" s="34"/>
      <c r="HAU9" s="64"/>
      <c r="HAV9" s="4"/>
      <c r="HAW9" s="65"/>
      <c r="HAX9" s="4"/>
      <c r="HAY9" s="4"/>
      <c r="HAZ9" s="4"/>
      <c r="HBC9" s="34"/>
      <c r="HBD9" s="34"/>
      <c r="HBF9" s="34"/>
      <c r="HBG9" s="72"/>
      <c r="HBH9" s="63"/>
      <c r="HBI9" s="34"/>
      <c r="HBJ9" s="64"/>
      <c r="HBK9" s="4"/>
      <c r="HBL9" s="65"/>
      <c r="HBM9" s="4"/>
      <c r="HBN9" s="4"/>
      <c r="HBO9" s="4"/>
      <c r="HBR9" s="34"/>
      <c r="HBS9" s="34"/>
      <c r="HBU9" s="34"/>
      <c r="HBV9" s="72"/>
      <c r="HBW9" s="63"/>
      <c r="HBX9" s="34"/>
      <c r="HBY9" s="64"/>
      <c r="HBZ9" s="4"/>
      <c r="HCA9" s="65"/>
      <c r="HCB9" s="4"/>
      <c r="HCC9" s="4"/>
      <c r="HCD9" s="4"/>
      <c r="HCG9" s="34"/>
      <c r="HCH9" s="34"/>
      <c r="HCJ9" s="34"/>
      <c r="HCK9" s="72"/>
      <c r="HCL9" s="63"/>
      <c r="HCM9" s="34"/>
      <c r="HCN9" s="64"/>
      <c r="HCO9" s="4"/>
      <c r="HCP9" s="65"/>
      <c r="HCQ9" s="4"/>
      <c r="HCR9" s="4"/>
      <c r="HCS9" s="4"/>
      <c r="HCV9" s="34"/>
      <c r="HCW9" s="34"/>
      <c r="HCY9" s="34"/>
      <c r="HCZ9" s="72"/>
      <c r="HDA9" s="63"/>
      <c r="HDB9" s="34"/>
      <c r="HDC9" s="64"/>
      <c r="HDD9" s="4"/>
      <c r="HDE9" s="65"/>
      <c r="HDF9" s="4"/>
      <c r="HDG9" s="4"/>
      <c r="HDH9" s="4"/>
      <c r="HDK9" s="34"/>
      <c r="HDL9" s="34"/>
      <c r="HDN9" s="34"/>
      <c r="HDO9" s="72"/>
      <c r="HDP9" s="63"/>
      <c r="HDQ9" s="34"/>
      <c r="HDR9" s="64"/>
      <c r="HDS9" s="4"/>
      <c r="HDT9" s="65"/>
      <c r="HDU9" s="4"/>
      <c r="HDV9" s="4"/>
      <c r="HDW9" s="4"/>
      <c r="HDZ9" s="34"/>
      <c r="HEA9" s="34"/>
      <c r="HEC9" s="34"/>
      <c r="HED9" s="72"/>
      <c r="HEE9" s="63"/>
      <c r="HEF9" s="34"/>
      <c r="HEG9" s="64"/>
      <c r="HEH9" s="4"/>
      <c r="HEI9" s="65"/>
      <c r="HEJ9" s="4"/>
      <c r="HEK9" s="4"/>
      <c r="HEL9" s="4"/>
      <c r="HEO9" s="34"/>
      <c r="HEP9" s="34"/>
      <c r="HER9" s="34"/>
      <c r="HES9" s="72"/>
      <c r="HET9" s="63"/>
      <c r="HEU9" s="34"/>
      <c r="HEV9" s="64"/>
      <c r="HEW9" s="4"/>
      <c r="HEX9" s="65"/>
      <c r="HEY9" s="4"/>
      <c r="HEZ9" s="4"/>
      <c r="HFA9" s="4"/>
      <c r="HFD9" s="34"/>
      <c r="HFE9" s="34"/>
      <c r="HFG9" s="34"/>
      <c r="HFH9" s="72"/>
      <c r="HFI9" s="63"/>
      <c r="HFJ9" s="34"/>
      <c r="HFK9" s="64"/>
      <c r="HFL9" s="4"/>
      <c r="HFM9" s="65"/>
      <c r="HFN9" s="4"/>
      <c r="HFO9" s="4"/>
      <c r="HFP9" s="4"/>
      <c r="HFS9" s="34"/>
      <c r="HFT9" s="34"/>
      <c r="HFV9" s="34"/>
      <c r="HFW9" s="72"/>
      <c r="HFX9" s="63"/>
      <c r="HFY9" s="34"/>
      <c r="HFZ9" s="64"/>
      <c r="HGA9" s="4"/>
      <c r="HGB9" s="65"/>
      <c r="HGC9" s="4"/>
      <c r="HGD9" s="4"/>
      <c r="HGE9" s="4"/>
      <c r="HGH9" s="34"/>
      <c r="HGI9" s="34"/>
      <c r="HGK9" s="34"/>
      <c r="HGL9" s="72"/>
      <c r="HGM9" s="63"/>
      <c r="HGN9" s="34"/>
      <c r="HGO9" s="64"/>
      <c r="HGP9" s="4"/>
      <c r="HGQ9" s="65"/>
      <c r="HGR9" s="4"/>
      <c r="HGS9" s="4"/>
      <c r="HGT9" s="4"/>
      <c r="HGW9" s="34"/>
      <c r="HGX9" s="34"/>
      <c r="HGZ9" s="34"/>
      <c r="HHA9" s="72"/>
      <c r="HHB9" s="63"/>
      <c r="HHC9" s="34"/>
      <c r="HHD9" s="64"/>
      <c r="HHE9" s="4"/>
      <c r="HHF9" s="65"/>
      <c r="HHG9" s="4"/>
      <c r="HHH9" s="4"/>
      <c r="HHI9" s="4"/>
      <c r="HHL9" s="34"/>
      <c r="HHM9" s="34"/>
      <c r="HHO9" s="34"/>
      <c r="HHP9" s="72"/>
      <c r="HHQ9" s="63"/>
      <c r="HHR9" s="34"/>
      <c r="HHS9" s="64"/>
      <c r="HHT9" s="4"/>
      <c r="HHU9" s="65"/>
      <c r="HHV9" s="4"/>
      <c r="HHW9" s="4"/>
      <c r="HHX9" s="4"/>
      <c r="HIA9" s="34"/>
      <c r="HIB9" s="34"/>
      <c r="HID9" s="34"/>
      <c r="HIE9" s="72"/>
      <c r="HIF9" s="63"/>
      <c r="HIG9" s="34"/>
      <c r="HIH9" s="64"/>
      <c r="HII9" s="4"/>
      <c r="HIJ9" s="65"/>
      <c r="HIK9" s="4"/>
      <c r="HIL9" s="4"/>
      <c r="HIM9" s="4"/>
      <c r="HIP9" s="34"/>
      <c r="HIQ9" s="34"/>
      <c r="HIS9" s="34"/>
      <c r="HIT9" s="72"/>
      <c r="HIU9" s="63"/>
      <c r="HIV9" s="34"/>
      <c r="HIW9" s="64"/>
      <c r="HIX9" s="4"/>
      <c r="HIY9" s="65"/>
      <c r="HIZ9" s="4"/>
      <c r="HJA9" s="4"/>
      <c r="HJB9" s="4"/>
      <c r="HJE9" s="34"/>
      <c r="HJF9" s="34"/>
      <c r="HJH9" s="34"/>
      <c r="HJI9" s="72"/>
      <c r="HJJ9" s="63"/>
      <c r="HJK9" s="34"/>
      <c r="HJL9" s="64"/>
      <c r="HJM9" s="4"/>
      <c r="HJN9" s="65"/>
      <c r="HJO9" s="4"/>
      <c r="HJP9" s="4"/>
      <c r="HJQ9" s="4"/>
      <c r="HJT9" s="34"/>
      <c r="HJU9" s="34"/>
      <c r="HJW9" s="34"/>
      <c r="HJX9" s="72"/>
      <c r="HJY9" s="63"/>
      <c r="HJZ9" s="34"/>
      <c r="HKA9" s="64"/>
      <c r="HKB9" s="4"/>
      <c r="HKC9" s="65"/>
      <c r="HKD9" s="4"/>
      <c r="HKE9" s="4"/>
      <c r="HKF9" s="4"/>
      <c r="HKI9" s="34"/>
      <c r="HKJ9" s="34"/>
      <c r="HKL9" s="34"/>
      <c r="HKM9" s="72"/>
      <c r="HKN9" s="63"/>
      <c r="HKO9" s="34"/>
      <c r="HKP9" s="64"/>
      <c r="HKQ9" s="4"/>
      <c r="HKR9" s="65"/>
      <c r="HKS9" s="4"/>
      <c r="HKT9" s="4"/>
      <c r="HKU9" s="4"/>
      <c r="HKX9" s="34"/>
      <c r="HKY9" s="34"/>
      <c r="HLA9" s="34"/>
      <c r="HLB9" s="72"/>
      <c r="HLC9" s="63"/>
      <c r="HLD9" s="34"/>
      <c r="HLE9" s="64"/>
      <c r="HLF9" s="4"/>
      <c r="HLG9" s="65"/>
      <c r="HLH9" s="4"/>
      <c r="HLI9" s="4"/>
      <c r="HLJ9" s="4"/>
      <c r="HLM9" s="34"/>
      <c r="HLN9" s="34"/>
      <c r="HLP9" s="34"/>
      <c r="HLQ9" s="72"/>
      <c r="HLR9" s="63"/>
      <c r="HLS9" s="34"/>
      <c r="HLT9" s="64"/>
      <c r="HLU9" s="4"/>
      <c r="HLV9" s="65"/>
      <c r="HLW9" s="4"/>
      <c r="HLX9" s="4"/>
      <c r="HLY9" s="4"/>
      <c r="HMB9" s="34"/>
      <c r="HMC9" s="34"/>
      <c r="HME9" s="34"/>
      <c r="HMF9" s="72"/>
      <c r="HMG9" s="63"/>
      <c r="HMH9" s="34"/>
      <c r="HMI9" s="64"/>
      <c r="HMJ9" s="4"/>
      <c r="HMK9" s="65"/>
      <c r="HML9" s="4"/>
      <c r="HMM9" s="4"/>
      <c r="HMN9" s="4"/>
      <c r="HMQ9" s="34"/>
      <c r="HMR9" s="34"/>
      <c r="HMT9" s="34"/>
      <c r="HMU9" s="72"/>
      <c r="HMV9" s="63"/>
      <c r="HMW9" s="34"/>
      <c r="HMX9" s="64"/>
      <c r="HMY9" s="4"/>
      <c r="HMZ9" s="65"/>
      <c r="HNA9" s="4"/>
      <c r="HNB9" s="4"/>
      <c r="HNC9" s="4"/>
      <c r="HNF9" s="34"/>
      <c r="HNG9" s="34"/>
      <c r="HNI9" s="34"/>
      <c r="HNJ9" s="72"/>
      <c r="HNK9" s="63"/>
      <c r="HNL9" s="34"/>
      <c r="HNM9" s="64"/>
      <c r="HNN9" s="4"/>
      <c r="HNO9" s="65"/>
      <c r="HNP9" s="4"/>
      <c r="HNQ9" s="4"/>
      <c r="HNR9" s="4"/>
      <c r="HNU9" s="34"/>
      <c r="HNV9" s="34"/>
      <c r="HNX9" s="34"/>
      <c r="HNY9" s="72"/>
      <c r="HNZ9" s="63"/>
      <c r="HOA9" s="34"/>
      <c r="HOB9" s="64"/>
      <c r="HOC9" s="4"/>
      <c r="HOD9" s="65"/>
      <c r="HOE9" s="4"/>
      <c r="HOF9" s="4"/>
      <c r="HOG9" s="4"/>
      <c r="HOJ9" s="34"/>
      <c r="HOK9" s="34"/>
      <c r="HOM9" s="34"/>
      <c r="HON9" s="72"/>
      <c r="HOO9" s="63"/>
      <c r="HOP9" s="34"/>
      <c r="HOQ9" s="64"/>
      <c r="HOR9" s="4"/>
      <c r="HOS9" s="65"/>
      <c r="HOT9" s="4"/>
      <c r="HOU9" s="4"/>
      <c r="HOV9" s="4"/>
      <c r="HOY9" s="34"/>
      <c r="HOZ9" s="34"/>
      <c r="HPB9" s="34"/>
      <c r="HPC9" s="72"/>
      <c r="HPD9" s="63"/>
      <c r="HPE9" s="34"/>
      <c r="HPF9" s="64"/>
      <c r="HPG9" s="4"/>
      <c r="HPH9" s="65"/>
      <c r="HPI9" s="4"/>
      <c r="HPJ9" s="4"/>
      <c r="HPK9" s="4"/>
      <c r="HPN9" s="34"/>
      <c r="HPO9" s="34"/>
      <c r="HPQ9" s="34"/>
      <c r="HPR9" s="72"/>
      <c r="HPS9" s="63"/>
      <c r="HPT9" s="34"/>
      <c r="HPU9" s="64"/>
      <c r="HPV9" s="4"/>
      <c r="HPW9" s="65"/>
      <c r="HPX9" s="4"/>
      <c r="HPY9" s="4"/>
      <c r="HPZ9" s="4"/>
      <c r="HQC9" s="34"/>
      <c r="HQD9" s="34"/>
      <c r="HQF9" s="34"/>
      <c r="HQG9" s="72"/>
      <c r="HQH9" s="63"/>
      <c r="HQI9" s="34"/>
      <c r="HQJ9" s="64"/>
      <c r="HQK9" s="4"/>
      <c r="HQL9" s="65"/>
      <c r="HQM9" s="4"/>
      <c r="HQN9" s="4"/>
      <c r="HQO9" s="4"/>
      <c r="HQR9" s="34"/>
      <c r="HQS9" s="34"/>
      <c r="HQU9" s="34"/>
      <c r="HQV9" s="72"/>
      <c r="HQW9" s="63"/>
      <c r="HQX9" s="34"/>
      <c r="HQY9" s="64"/>
      <c r="HQZ9" s="4"/>
      <c r="HRA9" s="65"/>
      <c r="HRB9" s="4"/>
      <c r="HRC9" s="4"/>
      <c r="HRD9" s="4"/>
      <c r="HRG9" s="34"/>
      <c r="HRH9" s="34"/>
      <c r="HRJ9" s="34"/>
      <c r="HRK9" s="72"/>
      <c r="HRL9" s="63"/>
      <c r="HRM9" s="34"/>
      <c r="HRN9" s="64"/>
      <c r="HRO9" s="4"/>
      <c r="HRP9" s="65"/>
      <c r="HRQ9" s="4"/>
      <c r="HRR9" s="4"/>
      <c r="HRS9" s="4"/>
      <c r="HRV9" s="34"/>
      <c r="HRW9" s="34"/>
      <c r="HRY9" s="34"/>
      <c r="HRZ9" s="72"/>
      <c r="HSA9" s="63"/>
      <c r="HSB9" s="34"/>
      <c r="HSC9" s="64"/>
      <c r="HSD9" s="4"/>
      <c r="HSE9" s="65"/>
      <c r="HSF9" s="4"/>
      <c r="HSG9" s="4"/>
      <c r="HSH9" s="4"/>
      <c r="HSK9" s="34"/>
      <c r="HSL9" s="34"/>
      <c r="HSN9" s="34"/>
      <c r="HSO9" s="72"/>
      <c r="HSP9" s="63"/>
      <c r="HSQ9" s="34"/>
      <c r="HSR9" s="64"/>
      <c r="HSS9" s="4"/>
      <c r="HST9" s="65"/>
      <c r="HSU9" s="4"/>
      <c r="HSV9" s="4"/>
      <c r="HSW9" s="4"/>
      <c r="HSZ9" s="34"/>
      <c r="HTA9" s="34"/>
      <c r="HTC9" s="34"/>
      <c r="HTD9" s="72"/>
      <c r="HTE9" s="63"/>
      <c r="HTF9" s="34"/>
      <c r="HTG9" s="64"/>
      <c r="HTH9" s="4"/>
      <c r="HTI9" s="65"/>
      <c r="HTJ9" s="4"/>
      <c r="HTK9" s="4"/>
      <c r="HTL9" s="4"/>
      <c r="HTO9" s="34"/>
      <c r="HTP9" s="34"/>
      <c r="HTR9" s="34"/>
      <c r="HTS9" s="72"/>
      <c r="HTT9" s="63"/>
      <c r="HTU9" s="34"/>
      <c r="HTV9" s="64"/>
      <c r="HTW9" s="4"/>
      <c r="HTX9" s="65"/>
      <c r="HTY9" s="4"/>
      <c r="HTZ9" s="4"/>
      <c r="HUA9" s="4"/>
      <c r="HUD9" s="34"/>
      <c r="HUE9" s="34"/>
      <c r="HUG9" s="34"/>
      <c r="HUH9" s="72"/>
      <c r="HUI9" s="63"/>
      <c r="HUJ9" s="34"/>
      <c r="HUK9" s="64"/>
      <c r="HUL9" s="4"/>
      <c r="HUM9" s="65"/>
      <c r="HUN9" s="4"/>
      <c r="HUO9" s="4"/>
      <c r="HUP9" s="4"/>
      <c r="HUS9" s="34"/>
      <c r="HUT9" s="34"/>
      <c r="HUV9" s="34"/>
      <c r="HUW9" s="72"/>
      <c r="HUX9" s="63"/>
      <c r="HUY9" s="34"/>
      <c r="HUZ9" s="64"/>
      <c r="HVA9" s="4"/>
      <c r="HVB9" s="65"/>
      <c r="HVC9" s="4"/>
      <c r="HVD9" s="4"/>
      <c r="HVE9" s="4"/>
      <c r="HVH9" s="34"/>
      <c r="HVI9" s="34"/>
      <c r="HVK9" s="34"/>
      <c r="HVL9" s="72"/>
      <c r="HVM9" s="63"/>
      <c r="HVN9" s="34"/>
      <c r="HVO9" s="64"/>
      <c r="HVP9" s="4"/>
      <c r="HVQ9" s="65"/>
      <c r="HVR9" s="4"/>
      <c r="HVS9" s="4"/>
      <c r="HVT9" s="4"/>
      <c r="HVW9" s="34"/>
      <c r="HVX9" s="34"/>
      <c r="HVZ9" s="34"/>
      <c r="HWA9" s="72"/>
      <c r="HWB9" s="63"/>
      <c r="HWC9" s="34"/>
      <c r="HWD9" s="64"/>
      <c r="HWE9" s="4"/>
      <c r="HWF9" s="65"/>
      <c r="HWG9" s="4"/>
      <c r="HWH9" s="4"/>
      <c r="HWI9" s="4"/>
      <c r="HWL9" s="34"/>
      <c r="HWM9" s="34"/>
      <c r="HWO9" s="34"/>
      <c r="HWP9" s="72"/>
      <c r="HWQ9" s="63"/>
      <c r="HWR9" s="34"/>
      <c r="HWS9" s="64"/>
      <c r="HWT9" s="4"/>
      <c r="HWU9" s="65"/>
      <c r="HWV9" s="4"/>
      <c r="HWW9" s="4"/>
      <c r="HWX9" s="4"/>
      <c r="HXA9" s="34"/>
      <c r="HXB9" s="34"/>
      <c r="HXD9" s="34"/>
      <c r="HXE9" s="72"/>
      <c r="HXF9" s="63"/>
      <c r="HXG9" s="34"/>
      <c r="HXH9" s="64"/>
      <c r="HXI9" s="4"/>
      <c r="HXJ9" s="65"/>
      <c r="HXK9" s="4"/>
      <c r="HXL9" s="4"/>
      <c r="HXM9" s="4"/>
      <c r="HXP9" s="34"/>
      <c r="HXQ9" s="34"/>
      <c r="HXS9" s="34"/>
      <c r="HXT9" s="72"/>
      <c r="HXU9" s="63"/>
      <c r="HXV9" s="34"/>
      <c r="HXW9" s="64"/>
      <c r="HXX9" s="4"/>
      <c r="HXY9" s="65"/>
      <c r="HXZ9" s="4"/>
      <c r="HYA9" s="4"/>
      <c r="HYB9" s="4"/>
      <c r="HYE9" s="34"/>
      <c r="HYF9" s="34"/>
      <c r="HYH9" s="34"/>
      <c r="HYI9" s="72"/>
      <c r="HYJ9" s="63"/>
      <c r="HYK9" s="34"/>
      <c r="HYL9" s="64"/>
      <c r="HYM9" s="4"/>
      <c r="HYN9" s="65"/>
      <c r="HYO9" s="4"/>
      <c r="HYP9" s="4"/>
      <c r="HYQ9" s="4"/>
      <c r="HYT9" s="34"/>
      <c r="HYU9" s="34"/>
      <c r="HYW9" s="34"/>
      <c r="HYX9" s="72"/>
      <c r="HYY9" s="63"/>
      <c r="HYZ9" s="34"/>
      <c r="HZA9" s="64"/>
      <c r="HZB9" s="4"/>
      <c r="HZC9" s="65"/>
      <c r="HZD9" s="4"/>
      <c r="HZE9" s="4"/>
      <c r="HZF9" s="4"/>
      <c r="HZI9" s="34"/>
      <c r="HZJ9" s="34"/>
      <c r="HZL9" s="34"/>
      <c r="HZM9" s="72"/>
      <c r="HZN9" s="63"/>
      <c r="HZO9" s="34"/>
      <c r="HZP9" s="64"/>
      <c r="HZQ9" s="4"/>
      <c r="HZR9" s="65"/>
      <c r="HZS9" s="4"/>
      <c r="HZT9" s="4"/>
      <c r="HZU9" s="4"/>
      <c r="HZX9" s="34"/>
      <c r="HZY9" s="34"/>
      <c r="IAA9" s="34"/>
      <c r="IAB9" s="72"/>
      <c r="IAC9" s="63"/>
      <c r="IAD9" s="34"/>
      <c r="IAE9" s="64"/>
      <c r="IAF9" s="4"/>
      <c r="IAG9" s="65"/>
      <c r="IAH9" s="4"/>
      <c r="IAI9" s="4"/>
      <c r="IAJ9" s="4"/>
      <c r="IAM9" s="34"/>
      <c r="IAN9" s="34"/>
      <c r="IAP9" s="34"/>
      <c r="IAQ9" s="72"/>
      <c r="IAR9" s="63"/>
      <c r="IAS9" s="34"/>
      <c r="IAT9" s="64"/>
      <c r="IAU9" s="4"/>
      <c r="IAV9" s="65"/>
      <c r="IAW9" s="4"/>
      <c r="IAX9" s="4"/>
      <c r="IAY9" s="4"/>
      <c r="IBB9" s="34"/>
      <c r="IBC9" s="34"/>
      <c r="IBE9" s="34"/>
      <c r="IBF9" s="72"/>
      <c r="IBG9" s="63"/>
      <c r="IBH9" s="34"/>
      <c r="IBI9" s="64"/>
      <c r="IBJ9" s="4"/>
      <c r="IBK9" s="65"/>
      <c r="IBL9" s="4"/>
      <c r="IBM9" s="4"/>
      <c r="IBN9" s="4"/>
      <c r="IBQ9" s="34"/>
      <c r="IBR9" s="34"/>
      <c r="IBT9" s="34"/>
      <c r="IBU9" s="72"/>
      <c r="IBV9" s="63"/>
      <c r="IBW9" s="34"/>
      <c r="IBX9" s="64"/>
      <c r="IBY9" s="4"/>
      <c r="IBZ9" s="65"/>
      <c r="ICA9" s="4"/>
      <c r="ICB9" s="4"/>
      <c r="ICC9" s="4"/>
      <c r="ICF9" s="34"/>
      <c r="ICG9" s="34"/>
      <c r="ICI9" s="34"/>
      <c r="ICJ9" s="72"/>
      <c r="ICK9" s="63"/>
      <c r="ICL9" s="34"/>
      <c r="ICM9" s="64"/>
      <c r="ICN9" s="4"/>
      <c r="ICO9" s="65"/>
      <c r="ICP9" s="4"/>
      <c r="ICQ9" s="4"/>
      <c r="ICR9" s="4"/>
      <c r="ICU9" s="34"/>
      <c r="ICV9" s="34"/>
      <c r="ICX9" s="34"/>
      <c r="ICY9" s="72"/>
      <c r="ICZ9" s="63"/>
      <c r="IDA9" s="34"/>
      <c r="IDB9" s="64"/>
      <c r="IDC9" s="4"/>
      <c r="IDD9" s="65"/>
      <c r="IDE9" s="4"/>
      <c r="IDF9" s="4"/>
      <c r="IDG9" s="4"/>
      <c r="IDJ9" s="34"/>
      <c r="IDK9" s="34"/>
      <c r="IDM9" s="34"/>
      <c r="IDN9" s="72"/>
      <c r="IDO9" s="63"/>
      <c r="IDP9" s="34"/>
      <c r="IDQ9" s="64"/>
      <c r="IDR9" s="4"/>
      <c r="IDS9" s="65"/>
      <c r="IDT9" s="4"/>
      <c r="IDU9" s="4"/>
      <c r="IDV9" s="4"/>
      <c r="IDY9" s="34"/>
      <c r="IDZ9" s="34"/>
      <c r="IEB9" s="34"/>
      <c r="IEC9" s="72"/>
      <c r="IED9" s="63"/>
      <c r="IEE9" s="34"/>
      <c r="IEF9" s="64"/>
      <c r="IEG9" s="4"/>
      <c r="IEH9" s="65"/>
      <c r="IEI9" s="4"/>
      <c r="IEJ9" s="4"/>
      <c r="IEK9" s="4"/>
      <c r="IEN9" s="34"/>
      <c r="IEO9" s="34"/>
      <c r="IEQ9" s="34"/>
      <c r="IER9" s="72"/>
      <c r="IES9" s="63"/>
      <c r="IET9" s="34"/>
      <c r="IEU9" s="64"/>
      <c r="IEV9" s="4"/>
      <c r="IEW9" s="65"/>
      <c r="IEX9" s="4"/>
      <c r="IEY9" s="4"/>
      <c r="IEZ9" s="4"/>
      <c r="IFC9" s="34"/>
      <c r="IFD9" s="34"/>
      <c r="IFF9" s="34"/>
      <c r="IFG9" s="72"/>
      <c r="IFH9" s="63"/>
      <c r="IFI9" s="34"/>
      <c r="IFJ9" s="64"/>
      <c r="IFK9" s="4"/>
      <c r="IFL9" s="65"/>
      <c r="IFM9" s="4"/>
      <c r="IFN9" s="4"/>
      <c r="IFO9" s="4"/>
      <c r="IFR9" s="34"/>
      <c r="IFS9" s="34"/>
      <c r="IFU9" s="34"/>
      <c r="IFV9" s="72"/>
      <c r="IFW9" s="63"/>
      <c r="IFX9" s="34"/>
      <c r="IFY9" s="64"/>
      <c r="IFZ9" s="4"/>
      <c r="IGA9" s="65"/>
      <c r="IGB9" s="4"/>
      <c r="IGC9" s="4"/>
      <c r="IGD9" s="4"/>
      <c r="IGG9" s="34"/>
      <c r="IGH9" s="34"/>
      <c r="IGJ9" s="34"/>
      <c r="IGK9" s="72"/>
      <c r="IGL9" s="63"/>
      <c r="IGM9" s="34"/>
      <c r="IGN9" s="64"/>
      <c r="IGO9" s="4"/>
      <c r="IGP9" s="65"/>
      <c r="IGQ9" s="4"/>
      <c r="IGR9" s="4"/>
      <c r="IGS9" s="4"/>
      <c r="IGV9" s="34"/>
      <c r="IGW9" s="34"/>
      <c r="IGY9" s="34"/>
      <c r="IGZ9" s="72"/>
      <c r="IHA9" s="63"/>
      <c r="IHB9" s="34"/>
      <c r="IHC9" s="64"/>
      <c r="IHD9" s="4"/>
      <c r="IHE9" s="65"/>
      <c r="IHF9" s="4"/>
      <c r="IHG9" s="4"/>
      <c r="IHH9" s="4"/>
      <c r="IHK9" s="34"/>
      <c r="IHL9" s="34"/>
      <c r="IHN9" s="34"/>
      <c r="IHO9" s="72"/>
      <c r="IHP9" s="63"/>
      <c r="IHQ9" s="34"/>
      <c r="IHR9" s="64"/>
      <c r="IHS9" s="4"/>
      <c r="IHT9" s="65"/>
      <c r="IHU9" s="4"/>
      <c r="IHV9" s="4"/>
      <c r="IHW9" s="4"/>
      <c r="IHZ9" s="34"/>
      <c r="IIA9" s="34"/>
      <c r="IIC9" s="34"/>
      <c r="IID9" s="72"/>
      <c r="IIE9" s="63"/>
      <c r="IIF9" s="34"/>
      <c r="IIG9" s="64"/>
      <c r="IIH9" s="4"/>
      <c r="III9" s="65"/>
      <c r="IIJ9" s="4"/>
      <c r="IIK9" s="4"/>
      <c r="IIL9" s="4"/>
      <c r="IIO9" s="34"/>
      <c r="IIP9" s="34"/>
      <c r="IIR9" s="34"/>
      <c r="IIS9" s="72"/>
      <c r="IIT9" s="63"/>
      <c r="IIU9" s="34"/>
      <c r="IIV9" s="64"/>
      <c r="IIW9" s="4"/>
      <c r="IIX9" s="65"/>
      <c r="IIY9" s="4"/>
      <c r="IIZ9" s="4"/>
      <c r="IJA9" s="4"/>
      <c r="IJD9" s="34"/>
      <c r="IJE9" s="34"/>
      <c r="IJG9" s="34"/>
      <c r="IJH9" s="72"/>
      <c r="IJI9" s="63"/>
      <c r="IJJ9" s="34"/>
      <c r="IJK9" s="64"/>
      <c r="IJL9" s="4"/>
      <c r="IJM9" s="65"/>
      <c r="IJN9" s="4"/>
      <c r="IJO9" s="4"/>
      <c r="IJP9" s="4"/>
      <c r="IJS9" s="34"/>
      <c r="IJT9" s="34"/>
      <c r="IJV9" s="34"/>
      <c r="IJW9" s="72"/>
      <c r="IJX9" s="63"/>
      <c r="IJY9" s="34"/>
      <c r="IJZ9" s="64"/>
      <c r="IKA9" s="4"/>
      <c r="IKB9" s="65"/>
      <c r="IKC9" s="4"/>
      <c r="IKD9" s="4"/>
      <c r="IKE9" s="4"/>
      <c r="IKH9" s="34"/>
      <c r="IKI9" s="34"/>
      <c r="IKK9" s="34"/>
      <c r="IKL9" s="72"/>
      <c r="IKM9" s="63"/>
      <c r="IKN9" s="34"/>
      <c r="IKO9" s="64"/>
      <c r="IKP9" s="4"/>
      <c r="IKQ9" s="65"/>
      <c r="IKR9" s="4"/>
      <c r="IKS9" s="4"/>
      <c r="IKT9" s="4"/>
      <c r="IKW9" s="34"/>
      <c r="IKX9" s="34"/>
      <c r="IKZ9" s="34"/>
      <c r="ILA9" s="72"/>
      <c r="ILB9" s="63"/>
      <c r="ILC9" s="34"/>
      <c r="ILD9" s="64"/>
      <c r="ILE9" s="4"/>
      <c r="ILF9" s="65"/>
      <c r="ILG9" s="4"/>
      <c r="ILH9" s="4"/>
      <c r="ILI9" s="4"/>
      <c r="ILL9" s="34"/>
      <c r="ILM9" s="34"/>
      <c r="ILO9" s="34"/>
      <c r="ILP9" s="72"/>
      <c r="ILQ9" s="63"/>
      <c r="ILR9" s="34"/>
      <c r="ILS9" s="64"/>
      <c r="ILT9" s="4"/>
      <c r="ILU9" s="65"/>
      <c r="ILV9" s="4"/>
      <c r="ILW9" s="4"/>
      <c r="ILX9" s="4"/>
      <c r="IMA9" s="34"/>
      <c r="IMB9" s="34"/>
      <c r="IMD9" s="34"/>
      <c r="IME9" s="72"/>
      <c r="IMF9" s="63"/>
      <c r="IMG9" s="34"/>
      <c r="IMH9" s="64"/>
      <c r="IMI9" s="4"/>
      <c r="IMJ9" s="65"/>
      <c r="IMK9" s="4"/>
      <c r="IML9" s="4"/>
      <c r="IMM9" s="4"/>
      <c r="IMP9" s="34"/>
      <c r="IMQ9" s="34"/>
      <c r="IMS9" s="34"/>
      <c r="IMT9" s="72"/>
      <c r="IMU9" s="63"/>
      <c r="IMV9" s="34"/>
      <c r="IMW9" s="64"/>
      <c r="IMX9" s="4"/>
      <c r="IMY9" s="65"/>
      <c r="IMZ9" s="4"/>
      <c r="INA9" s="4"/>
      <c r="INB9" s="4"/>
      <c r="INE9" s="34"/>
      <c r="INF9" s="34"/>
      <c r="INH9" s="34"/>
      <c r="INI9" s="72"/>
      <c r="INJ9" s="63"/>
      <c r="INK9" s="34"/>
      <c r="INL9" s="64"/>
      <c r="INM9" s="4"/>
      <c r="INN9" s="65"/>
      <c r="INO9" s="4"/>
      <c r="INP9" s="4"/>
      <c r="INQ9" s="4"/>
      <c r="INT9" s="34"/>
      <c r="INU9" s="34"/>
      <c r="INW9" s="34"/>
      <c r="INX9" s="72"/>
      <c r="INY9" s="63"/>
      <c r="INZ9" s="34"/>
      <c r="IOA9" s="64"/>
      <c r="IOB9" s="4"/>
      <c r="IOC9" s="65"/>
      <c r="IOD9" s="4"/>
      <c r="IOE9" s="4"/>
      <c r="IOF9" s="4"/>
      <c r="IOI9" s="34"/>
      <c r="IOJ9" s="34"/>
      <c r="IOL9" s="34"/>
      <c r="IOM9" s="72"/>
      <c r="ION9" s="63"/>
      <c r="IOO9" s="34"/>
      <c r="IOP9" s="64"/>
      <c r="IOQ9" s="4"/>
      <c r="IOR9" s="65"/>
      <c r="IOS9" s="4"/>
      <c r="IOT9" s="4"/>
      <c r="IOU9" s="4"/>
      <c r="IOX9" s="34"/>
      <c r="IOY9" s="34"/>
      <c r="IPA9" s="34"/>
      <c r="IPB9" s="72"/>
      <c r="IPC9" s="63"/>
      <c r="IPD9" s="34"/>
      <c r="IPE9" s="64"/>
      <c r="IPF9" s="4"/>
      <c r="IPG9" s="65"/>
      <c r="IPH9" s="4"/>
      <c r="IPI9" s="4"/>
      <c r="IPJ9" s="4"/>
      <c r="IPM9" s="34"/>
      <c r="IPN9" s="34"/>
      <c r="IPP9" s="34"/>
      <c r="IPQ9" s="72"/>
      <c r="IPR9" s="63"/>
      <c r="IPS9" s="34"/>
      <c r="IPT9" s="64"/>
      <c r="IPU9" s="4"/>
      <c r="IPV9" s="65"/>
      <c r="IPW9" s="4"/>
      <c r="IPX9" s="4"/>
      <c r="IPY9" s="4"/>
      <c r="IQB9" s="34"/>
      <c r="IQC9" s="34"/>
      <c r="IQE9" s="34"/>
      <c r="IQF9" s="72"/>
      <c r="IQG9" s="63"/>
      <c r="IQH9" s="34"/>
      <c r="IQI9" s="64"/>
      <c r="IQJ9" s="4"/>
      <c r="IQK9" s="65"/>
      <c r="IQL9" s="4"/>
      <c r="IQM9" s="4"/>
      <c r="IQN9" s="4"/>
      <c r="IQQ9" s="34"/>
      <c r="IQR9" s="34"/>
      <c r="IQT9" s="34"/>
      <c r="IQU9" s="72"/>
      <c r="IQV9" s="63"/>
      <c r="IQW9" s="34"/>
      <c r="IQX9" s="64"/>
      <c r="IQY9" s="4"/>
      <c r="IQZ9" s="65"/>
      <c r="IRA9" s="4"/>
      <c r="IRB9" s="4"/>
      <c r="IRC9" s="4"/>
      <c r="IRF9" s="34"/>
      <c r="IRG9" s="34"/>
      <c r="IRI9" s="34"/>
      <c r="IRJ9" s="72"/>
      <c r="IRK9" s="63"/>
      <c r="IRL9" s="34"/>
      <c r="IRM9" s="64"/>
      <c r="IRN9" s="4"/>
      <c r="IRO9" s="65"/>
      <c r="IRP9" s="4"/>
      <c r="IRQ9" s="4"/>
      <c r="IRR9" s="4"/>
      <c r="IRU9" s="34"/>
      <c r="IRV9" s="34"/>
      <c r="IRX9" s="34"/>
      <c r="IRY9" s="72"/>
      <c r="IRZ9" s="63"/>
      <c r="ISA9" s="34"/>
      <c r="ISB9" s="64"/>
      <c r="ISC9" s="4"/>
      <c r="ISD9" s="65"/>
      <c r="ISE9" s="4"/>
      <c r="ISF9" s="4"/>
      <c r="ISG9" s="4"/>
      <c r="ISJ9" s="34"/>
      <c r="ISK9" s="34"/>
      <c r="ISM9" s="34"/>
      <c r="ISN9" s="72"/>
      <c r="ISO9" s="63"/>
      <c r="ISP9" s="34"/>
      <c r="ISQ9" s="64"/>
      <c r="ISR9" s="4"/>
      <c r="ISS9" s="65"/>
      <c r="IST9" s="4"/>
      <c r="ISU9" s="4"/>
      <c r="ISV9" s="4"/>
      <c r="ISY9" s="34"/>
      <c r="ISZ9" s="34"/>
      <c r="ITB9" s="34"/>
      <c r="ITC9" s="72"/>
      <c r="ITD9" s="63"/>
      <c r="ITE9" s="34"/>
      <c r="ITF9" s="64"/>
      <c r="ITG9" s="4"/>
      <c r="ITH9" s="65"/>
      <c r="ITI9" s="4"/>
      <c r="ITJ9" s="4"/>
      <c r="ITK9" s="4"/>
      <c r="ITN9" s="34"/>
      <c r="ITO9" s="34"/>
      <c r="ITQ9" s="34"/>
      <c r="ITR9" s="72"/>
      <c r="ITS9" s="63"/>
      <c r="ITT9" s="34"/>
      <c r="ITU9" s="64"/>
      <c r="ITV9" s="4"/>
      <c r="ITW9" s="65"/>
      <c r="ITX9" s="4"/>
      <c r="ITY9" s="4"/>
      <c r="ITZ9" s="4"/>
      <c r="IUC9" s="34"/>
      <c r="IUD9" s="34"/>
      <c r="IUF9" s="34"/>
      <c r="IUG9" s="72"/>
      <c r="IUH9" s="63"/>
      <c r="IUI9" s="34"/>
      <c r="IUJ9" s="64"/>
      <c r="IUK9" s="4"/>
      <c r="IUL9" s="65"/>
      <c r="IUM9" s="4"/>
      <c r="IUN9" s="4"/>
      <c r="IUO9" s="4"/>
      <c r="IUR9" s="34"/>
      <c r="IUS9" s="34"/>
      <c r="IUU9" s="34"/>
      <c r="IUV9" s="72"/>
      <c r="IUW9" s="63"/>
      <c r="IUX9" s="34"/>
      <c r="IUY9" s="64"/>
      <c r="IUZ9" s="4"/>
      <c r="IVA9" s="65"/>
      <c r="IVB9" s="4"/>
      <c r="IVC9" s="4"/>
      <c r="IVD9" s="4"/>
      <c r="IVG9" s="34"/>
      <c r="IVH9" s="34"/>
      <c r="IVJ9" s="34"/>
      <c r="IVK9" s="72"/>
      <c r="IVL9" s="63"/>
      <c r="IVM9" s="34"/>
      <c r="IVN9" s="64"/>
      <c r="IVO9" s="4"/>
      <c r="IVP9" s="65"/>
      <c r="IVQ9" s="4"/>
      <c r="IVR9" s="4"/>
      <c r="IVS9" s="4"/>
      <c r="IVV9" s="34"/>
      <c r="IVW9" s="34"/>
      <c r="IVY9" s="34"/>
      <c r="IVZ9" s="72"/>
      <c r="IWA9" s="63"/>
      <c r="IWB9" s="34"/>
      <c r="IWC9" s="64"/>
      <c r="IWD9" s="4"/>
      <c r="IWE9" s="65"/>
      <c r="IWF9" s="4"/>
      <c r="IWG9" s="4"/>
      <c r="IWH9" s="4"/>
      <c r="IWK9" s="34"/>
      <c r="IWL9" s="34"/>
      <c r="IWN9" s="34"/>
      <c r="IWO9" s="72"/>
      <c r="IWP9" s="63"/>
      <c r="IWQ9" s="34"/>
      <c r="IWR9" s="64"/>
      <c r="IWS9" s="4"/>
      <c r="IWT9" s="65"/>
      <c r="IWU9" s="4"/>
      <c r="IWV9" s="4"/>
      <c r="IWW9" s="4"/>
      <c r="IWZ9" s="34"/>
      <c r="IXA9" s="34"/>
      <c r="IXC9" s="34"/>
      <c r="IXD9" s="72"/>
      <c r="IXE9" s="63"/>
      <c r="IXF9" s="34"/>
      <c r="IXG9" s="64"/>
      <c r="IXH9" s="4"/>
      <c r="IXI9" s="65"/>
      <c r="IXJ9" s="4"/>
      <c r="IXK9" s="4"/>
      <c r="IXL9" s="4"/>
      <c r="IXO9" s="34"/>
      <c r="IXP9" s="34"/>
      <c r="IXR9" s="34"/>
      <c r="IXS9" s="72"/>
      <c r="IXT9" s="63"/>
      <c r="IXU9" s="34"/>
      <c r="IXV9" s="64"/>
      <c r="IXW9" s="4"/>
      <c r="IXX9" s="65"/>
      <c r="IXY9" s="4"/>
      <c r="IXZ9" s="4"/>
      <c r="IYA9" s="4"/>
      <c r="IYD9" s="34"/>
      <c r="IYE9" s="34"/>
      <c r="IYG9" s="34"/>
      <c r="IYH9" s="72"/>
      <c r="IYI9" s="63"/>
      <c r="IYJ9" s="34"/>
      <c r="IYK9" s="64"/>
      <c r="IYL9" s="4"/>
      <c r="IYM9" s="65"/>
      <c r="IYN9" s="4"/>
      <c r="IYO9" s="4"/>
      <c r="IYP9" s="4"/>
      <c r="IYS9" s="34"/>
      <c r="IYT9" s="34"/>
      <c r="IYV9" s="34"/>
      <c r="IYW9" s="72"/>
      <c r="IYX9" s="63"/>
      <c r="IYY9" s="34"/>
      <c r="IYZ9" s="64"/>
      <c r="IZA9" s="4"/>
      <c r="IZB9" s="65"/>
      <c r="IZC9" s="4"/>
      <c r="IZD9" s="4"/>
      <c r="IZE9" s="4"/>
      <c r="IZH9" s="34"/>
      <c r="IZI9" s="34"/>
      <c r="IZK9" s="34"/>
      <c r="IZL9" s="72"/>
      <c r="IZM9" s="63"/>
      <c r="IZN9" s="34"/>
      <c r="IZO9" s="64"/>
      <c r="IZP9" s="4"/>
      <c r="IZQ9" s="65"/>
      <c r="IZR9" s="4"/>
      <c r="IZS9" s="4"/>
      <c r="IZT9" s="4"/>
      <c r="IZW9" s="34"/>
      <c r="IZX9" s="34"/>
      <c r="IZZ9" s="34"/>
      <c r="JAA9" s="72"/>
      <c r="JAB9" s="63"/>
      <c r="JAC9" s="34"/>
      <c r="JAD9" s="64"/>
      <c r="JAE9" s="4"/>
      <c r="JAF9" s="65"/>
      <c r="JAG9" s="4"/>
      <c r="JAH9" s="4"/>
      <c r="JAI9" s="4"/>
      <c r="JAL9" s="34"/>
      <c r="JAM9" s="34"/>
      <c r="JAO9" s="34"/>
      <c r="JAP9" s="72"/>
      <c r="JAQ9" s="63"/>
      <c r="JAR9" s="34"/>
      <c r="JAS9" s="64"/>
      <c r="JAT9" s="4"/>
      <c r="JAU9" s="65"/>
      <c r="JAV9" s="4"/>
      <c r="JAW9" s="4"/>
      <c r="JAX9" s="4"/>
      <c r="JBA9" s="34"/>
      <c r="JBB9" s="34"/>
      <c r="JBD9" s="34"/>
      <c r="JBE9" s="72"/>
      <c r="JBF9" s="63"/>
      <c r="JBG9" s="34"/>
      <c r="JBH9" s="64"/>
      <c r="JBI9" s="4"/>
      <c r="JBJ9" s="65"/>
      <c r="JBK9" s="4"/>
      <c r="JBL9" s="4"/>
      <c r="JBM9" s="4"/>
      <c r="JBP9" s="34"/>
      <c r="JBQ9" s="34"/>
      <c r="JBS9" s="34"/>
      <c r="JBT9" s="72"/>
      <c r="JBU9" s="63"/>
      <c r="JBV9" s="34"/>
      <c r="JBW9" s="64"/>
      <c r="JBX9" s="4"/>
      <c r="JBY9" s="65"/>
      <c r="JBZ9" s="4"/>
      <c r="JCA9" s="4"/>
      <c r="JCB9" s="4"/>
      <c r="JCE9" s="34"/>
      <c r="JCF9" s="34"/>
      <c r="JCH9" s="34"/>
      <c r="JCI9" s="72"/>
      <c r="JCJ9" s="63"/>
      <c r="JCK9" s="34"/>
      <c r="JCL9" s="64"/>
      <c r="JCM9" s="4"/>
      <c r="JCN9" s="65"/>
      <c r="JCO9" s="4"/>
      <c r="JCP9" s="4"/>
      <c r="JCQ9" s="4"/>
      <c r="JCT9" s="34"/>
      <c r="JCU9" s="34"/>
      <c r="JCW9" s="34"/>
      <c r="JCX9" s="72"/>
      <c r="JCY9" s="63"/>
      <c r="JCZ9" s="34"/>
      <c r="JDA9" s="64"/>
      <c r="JDB9" s="4"/>
      <c r="JDC9" s="65"/>
      <c r="JDD9" s="4"/>
      <c r="JDE9" s="4"/>
      <c r="JDF9" s="4"/>
      <c r="JDI9" s="34"/>
      <c r="JDJ9" s="34"/>
      <c r="JDL9" s="34"/>
      <c r="JDM9" s="72"/>
      <c r="JDN9" s="63"/>
      <c r="JDO9" s="34"/>
      <c r="JDP9" s="64"/>
      <c r="JDQ9" s="4"/>
      <c r="JDR9" s="65"/>
      <c r="JDS9" s="4"/>
      <c r="JDT9" s="4"/>
      <c r="JDU9" s="4"/>
      <c r="JDX9" s="34"/>
      <c r="JDY9" s="34"/>
      <c r="JEA9" s="34"/>
      <c r="JEB9" s="72"/>
      <c r="JEC9" s="63"/>
      <c r="JED9" s="34"/>
      <c r="JEE9" s="64"/>
      <c r="JEF9" s="4"/>
      <c r="JEG9" s="65"/>
      <c r="JEH9" s="4"/>
      <c r="JEI9" s="4"/>
      <c r="JEJ9" s="4"/>
      <c r="JEM9" s="34"/>
      <c r="JEN9" s="34"/>
      <c r="JEP9" s="34"/>
      <c r="JEQ9" s="72"/>
      <c r="JER9" s="63"/>
      <c r="JES9" s="34"/>
      <c r="JET9" s="64"/>
      <c r="JEU9" s="4"/>
      <c r="JEV9" s="65"/>
      <c r="JEW9" s="4"/>
      <c r="JEX9" s="4"/>
      <c r="JEY9" s="4"/>
      <c r="JFB9" s="34"/>
      <c r="JFC9" s="34"/>
      <c r="JFE9" s="34"/>
      <c r="JFF9" s="72"/>
      <c r="JFG9" s="63"/>
      <c r="JFH9" s="34"/>
      <c r="JFI9" s="64"/>
      <c r="JFJ9" s="4"/>
      <c r="JFK9" s="65"/>
      <c r="JFL9" s="4"/>
      <c r="JFM9" s="4"/>
      <c r="JFN9" s="4"/>
      <c r="JFQ9" s="34"/>
      <c r="JFR9" s="34"/>
      <c r="JFT9" s="34"/>
      <c r="JFU9" s="72"/>
      <c r="JFV9" s="63"/>
      <c r="JFW9" s="34"/>
      <c r="JFX9" s="64"/>
      <c r="JFY9" s="4"/>
      <c r="JFZ9" s="65"/>
      <c r="JGA9" s="4"/>
      <c r="JGB9" s="4"/>
      <c r="JGC9" s="4"/>
      <c r="JGF9" s="34"/>
      <c r="JGG9" s="34"/>
      <c r="JGI9" s="34"/>
      <c r="JGJ9" s="72"/>
      <c r="JGK9" s="63"/>
      <c r="JGL9" s="34"/>
      <c r="JGM9" s="64"/>
      <c r="JGN9" s="4"/>
      <c r="JGO9" s="65"/>
      <c r="JGP9" s="4"/>
      <c r="JGQ9" s="4"/>
      <c r="JGR9" s="4"/>
      <c r="JGU9" s="34"/>
      <c r="JGV9" s="34"/>
      <c r="JGX9" s="34"/>
      <c r="JGY9" s="72"/>
      <c r="JGZ9" s="63"/>
      <c r="JHA9" s="34"/>
      <c r="JHB9" s="64"/>
      <c r="JHC9" s="4"/>
      <c r="JHD9" s="65"/>
      <c r="JHE9" s="4"/>
      <c r="JHF9" s="4"/>
      <c r="JHG9" s="4"/>
      <c r="JHJ9" s="34"/>
      <c r="JHK9" s="34"/>
      <c r="JHM9" s="34"/>
      <c r="JHN9" s="72"/>
      <c r="JHO9" s="63"/>
      <c r="JHP9" s="34"/>
      <c r="JHQ9" s="64"/>
      <c r="JHR9" s="4"/>
      <c r="JHS9" s="65"/>
      <c r="JHT9" s="4"/>
      <c r="JHU9" s="4"/>
      <c r="JHV9" s="4"/>
      <c r="JHY9" s="34"/>
      <c r="JHZ9" s="34"/>
      <c r="JIB9" s="34"/>
      <c r="JIC9" s="72"/>
      <c r="JID9" s="63"/>
      <c r="JIE9" s="34"/>
      <c r="JIF9" s="64"/>
      <c r="JIG9" s="4"/>
      <c r="JIH9" s="65"/>
      <c r="JII9" s="4"/>
      <c r="JIJ9" s="4"/>
      <c r="JIK9" s="4"/>
      <c r="JIN9" s="34"/>
      <c r="JIO9" s="34"/>
      <c r="JIQ9" s="34"/>
      <c r="JIR9" s="72"/>
      <c r="JIS9" s="63"/>
      <c r="JIT9" s="34"/>
      <c r="JIU9" s="64"/>
      <c r="JIV9" s="4"/>
      <c r="JIW9" s="65"/>
      <c r="JIX9" s="4"/>
      <c r="JIY9" s="4"/>
      <c r="JIZ9" s="4"/>
      <c r="JJC9" s="34"/>
      <c r="JJD9" s="34"/>
      <c r="JJF9" s="34"/>
      <c r="JJG9" s="72"/>
      <c r="JJH9" s="63"/>
      <c r="JJI9" s="34"/>
      <c r="JJJ9" s="64"/>
      <c r="JJK9" s="4"/>
      <c r="JJL9" s="65"/>
      <c r="JJM9" s="4"/>
      <c r="JJN9" s="4"/>
      <c r="JJO9" s="4"/>
      <c r="JJR9" s="34"/>
      <c r="JJS9" s="34"/>
      <c r="JJU9" s="34"/>
      <c r="JJV9" s="72"/>
      <c r="JJW9" s="63"/>
      <c r="JJX9" s="34"/>
      <c r="JJY9" s="64"/>
      <c r="JJZ9" s="4"/>
      <c r="JKA9" s="65"/>
      <c r="JKB9" s="4"/>
      <c r="JKC9" s="4"/>
      <c r="JKD9" s="4"/>
      <c r="JKG9" s="34"/>
      <c r="JKH9" s="34"/>
      <c r="JKJ9" s="34"/>
      <c r="JKK9" s="72"/>
      <c r="JKL9" s="63"/>
      <c r="JKM9" s="34"/>
      <c r="JKN9" s="64"/>
      <c r="JKO9" s="4"/>
      <c r="JKP9" s="65"/>
      <c r="JKQ9" s="4"/>
      <c r="JKR9" s="4"/>
      <c r="JKS9" s="4"/>
      <c r="JKV9" s="34"/>
      <c r="JKW9" s="34"/>
      <c r="JKY9" s="34"/>
      <c r="JKZ9" s="72"/>
      <c r="JLA9" s="63"/>
      <c r="JLB9" s="34"/>
      <c r="JLC9" s="64"/>
      <c r="JLD9" s="4"/>
      <c r="JLE9" s="65"/>
      <c r="JLF9" s="4"/>
      <c r="JLG9" s="4"/>
      <c r="JLH9" s="4"/>
      <c r="JLK9" s="34"/>
      <c r="JLL9" s="34"/>
      <c r="JLN9" s="34"/>
      <c r="JLO9" s="72"/>
      <c r="JLP9" s="63"/>
      <c r="JLQ9" s="34"/>
      <c r="JLR9" s="64"/>
      <c r="JLS9" s="4"/>
      <c r="JLT9" s="65"/>
      <c r="JLU9" s="4"/>
      <c r="JLV9" s="4"/>
      <c r="JLW9" s="4"/>
      <c r="JLZ9" s="34"/>
      <c r="JMA9" s="34"/>
      <c r="JMC9" s="34"/>
      <c r="JMD9" s="72"/>
      <c r="JME9" s="63"/>
      <c r="JMF9" s="34"/>
      <c r="JMG9" s="64"/>
      <c r="JMH9" s="4"/>
      <c r="JMI9" s="65"/>
      <c r="JMJ9" s="4"/>
      <c r="JMK9" s="4"/>
      <c r="JML9" s="4"/>
      <c r="JMO9" s="34"/>
      <c r="JMP9" s="34"/>
      <c r="JMR9" s="34"/>
      <c r="JMS9" s="72"/>
      <c r="JMT9" s="63"/>
      <c r="JMU9" s="34"/>
      <c r="JMV9" s="64"/>
      <c r="JMW9" s="4"/>
      <c r="JMX9" s="65"/>
      <c r="JMY9" s="4"/>
      <c r="JMZ9" s="4"/>
      <c r="JNA9" s="4"/>
      <c r="JND9" s="34"/>
      <c r="JNE9" s="34"/>
      <c r="JNG9" s="34"/>
      <c r="JNH9" s="72"/>
      <c r="JNI9" s="63"/>
      <c r="JNJ9" s="34"/>
      <c r="JNK9" s="64"/>
      <c r="JNL9" s="4"/>
      <c r="JNM9" s="65"/>
      <c r="JNN9" s="4"/>
      <c r="JNO9" s="4"/>
      <c r="JNP9" s="4"/>
      <c r="JNS9" s="34"/>
      <c r="JNT9" s="34"/>
      <c r="JNV9" s="34"/>
      <c r="JNW9" s="72"/>
      <c r="JNX9" s="63"/>
      <c r="JNY9" s="34"/>
      <c r="JNZ9" s="64"/>
      <c r="JOA9" s="4"/>
      <c r="JOB9" s="65"/>
      <c r="JOC9" s="4"/>
      <c r="JOD9" s="4"/>
      <c r="JOE9" s="4"/>
      <c r="JOH9" s="34"/>
      <c r="JOI9" s="34"/>
      <c r="JOK9" s="34"/>
      <c r="JOL9" s="72"/>
      <c r="JOM9" s="63"/>
      <c r="JON9" s="34"/>
      <c r="JOO9" s="64"/>
      <c r="JOP9" s="4"/>
      <c r="JOQ9" s="65"/>
      <c r="JOR9" s="4"/>
      <c r="JOS9" s="4"/>
      <c r="JOT9" s="4"/>
      <c r="JOW9" s="34"/>
      <c r="JOX9" s="34"/>
      <c r="JOZ9" s="34"/>
      <c r="JPA9" s="72"/>
      <c r="JPB9" s="63"/>
      <c r="JPC9" s="34"/>
      <c r="JPD9" s="64"/>
      <c r="JPE9" s="4"/>
      <c r="JPF9" s="65"/>
      <c r="JPG9" s="4"/>
      <c r="JPH9" s="4"/>
      <c r="JPI9" s="4"/>
      <c r="JPL9" s="34"/>
      <c r="JPM9" s="34"/>
      <c r="JPO9" s="34"/>
      <c r="JPP9" s="72"/>
      <c r="JPQ9" s="63"/>
      <c r="JPR9" s="34"/>
      <c r="JPS9" s="64"/>
      <c r="JPT9" s="4"/>
      <c r="JPU9" s="65"/>
      <c r="JPV9" s="4"/>
      <c r="JPW9" s="4"/>
      <c r="JPX9" s="4"/>
      <c r="JQA9" s="34"/>
      <c r="JQB9" s="34"/>
      <c r="JQD9" s="34"/>
      <c r="JQE9" s="72"/>
      <c r="JQF9" s="63"/>
      <c r="JQG9" s="34"/>
      <c r="JQH9" s="64"/>
      <c r="JQI9" s="4"/>
      <c r="JQJ9" s="65"/>
      <c r="JQK9" s="4"/>
      <c r="JQL9" s="4"/>
      <c r="JQM9" s="4"/>
      <c r="JQP9" s="34"/>
      <c r="JQQ9" s="34"/>
      <c r="JQS9" s="34"/>
      <c r="JQT9" s="72"/>
      <c r="JQU9" s="63"/>
      <c r="JQV9" s="34"/>
      <c r="JQW9" s="64"/>
      <c r="JQX9" s="4"/>
      <c r="JQY9" s="65"/>
      <c r="JQZ9" s="4"/>
      <c r="JRA9" s="4"/>
      <c r="JRB9" s="4"/>
      <c r="JRE9" s="34"/>
      <c r="JRF9" s="34"/>
      <c r="JRH9" s="34"/>
      <c r="JRI9" s="72"/>
      <c r="JRJ9" s="63"/>
      <c r="JRK9" s="34"/>
      <c r="JRL9" s="64"/>
      <c r="JRM9" s="4"/>
      <c r="JRN9" s="65"/>
      <c r="JRO9" s="4"/>
      <c r="JRP9" s="4"/>
      <c r="JRQ9" s="4"/>
      <c r="JRT9" s="34"/>
      <c r="JRU9" s="34"/>
      <c r="JRW9" s="34"/>
      <c r="JRX9" s="72"/>
      <c r="JRY9" s="63"/>
      <c r="JRZ9" s="34"/>
      <c r="JSA9" s="64"/>
      <c r="JSB9" s="4"/>
      <c r="JSC9" s="65"/>
      <c r="JSD9" s="4"/>
      <c r="JSE9" s="4"/>
      <c r="JSF9" s="4"/>
      <c r="JSI9" s="34"/>
      <c r="JSJ9" s="34"/>
      <c r="JSL9" s="34"/>
      <c r="JSM9" s="72"/>
      <c r="JSN9" s="63"/>
      <c r="JSO9" s="34"/>
      <c r="JSP9" s="64"/>
      <c r="JSQ9" s="4"/>
      <c r="JSR9" s="65"/>
      <c r="JSS9" s="4"/>
      <c r="JST9" s="4"/>
      <c r="JSU9" s="4"/>
      <c r="JSX9" s="34"/>
      <c r="JSY9" s="34"/>
      <c r="JTA9" s="34"/>
      <c r="JTB9" s="72"/>
      <c r="JTC9" s="63"/>
      <c r="JTD9" s="34"/>
      <c r="JTE9" s="64"/>
      <c r="JTF9" s="4"/>
      <c r="JTG9" s="65"/>
      <c r="JTH9" s="4"/>
      <c r="JTI9" s="4"/>
      <c r="JTJ9" s="4"/>
      <c r="JTM9" s="34"/>
      <c r="JTN9" s="34"/>
      <c r="JTP9" s="34"/>
      <c r="JTQ9" s="72"/>
      <c r="JTR9" s="63"/>
      <c r="JTS9" s="34"/>
      <c r="JTT9" s="64"/>
      <c r="JTU9" s="4"/>
      <c r="JTV9" s="65"/>
      <c r="JTW9" s="4"/>
      <c r="JTX9" s="4"/>
      <c r="JTY9" s="4"/>
      <c r="JUB9" s="34"/>
      <c r="JUC9" s="34"/>
      <c r="JUE9" s="34"/>
      <c r="JUF9" s="72"/>
      <c r="JUG9" s="63"/>
      <c r="JUH9" s="34"/>
      <c r="JUI9" s="64"/>
      <c r="JUJ9" s="4"/>
      <c r="JUK9" s="65"/>
      <c r="JUL9" s="4"/>
      <c r="JUM9" s="4"/>
      <c r="JUN9" s="4"/>
      <c r="JUQ9" s="34"/>
      <c r="JUR9" s="34"/>
      <c r="JUT9" s="34"/>
      <c r="JUU9" s="72"/>
      <c r="JUV9" s="63"/>
      <c r="JUW9" s="34"/>
      <c r="JUX9" s="64"/>
      <c r="JUY9" s="4"/>
      <c r="JUZ9" s="65"/>
      <c r="JVA9" s="4"/>
      <c r="JVB9" s="4"/>
      <c r="JVC9" s="4"/>
      <c r="JVF9" s="34"/>
      <c r="JVG9" s="34"/>
      <c r="JVI9" s="34"/>
      <c r="JVJ9" s="72"/>
      <c r="JVK9" s="63"/>
      <c r="JVL9" s="34"/>
      <c r="JVM9" s="64"/>
      <c r="JVN9" s="4"/>
      <c r="JVO9" s="65"/>
      <c r="JVP9" s="4"/>
      <c r="JVQ9" s="4"/>
      <c r="JVR9" s="4"/>
      <c r="JVU9" s="34"/>
      <c r="JVV9" s="34"/>
      <c r="JVX9" s="34"/>
      <c r="JVY9" s="72"/>
      <c r="JVZ9" s="63"/>
      <c r="JWA9" s="34"/>
      <c r="JWB9" s="64"/>
      <c r="JWC9" s="4"/>
      <c r="JWD9" s="65"/>
      <c r="JWE9" s="4"/>
      <c r="JWF9" s="4"/>
      <c r="JWG9" s="4"/>
      <c r="JWJ9" s="34"/>
      <c r="JWK9" s="34"/>
      <c r="JWM9" s="34"/>
      <c r="JWN9" s="72"/>
      <c r="JWO9" s="63"/>
      <c r="JWP9" s="34"/>
      <c r="JWQ9" s="64"/>
      <c r="JWR9" s="4"/>
      <c r="JWS9" s="65"/>
      <c r="JWT9" s="4"/>
      <c r="JWU9" s="4"/>
      <c r="JWV9" s="4"/>
      <c r="JWY9" s="34"/>
      <c r="JWZ9" s="34"/>
      <c r="JXB9" s="34"/>
      <c r="JXC9" s="72"/>
      <c r="JXD9" s="63"/>
      <c r="JXE9" s="34"/>
      <c r="JXF9" s="64"/>
      <c r="JXG9" s="4"/>
      <c r="JXH9" s="65"/>
      <c r="JXI9" s="4"/>
      <c r="JXJ9" s="4"/>
      <c r="JXK9" s="4"/>
      <c r="JXN9" s="34"/>
      <c r="JXO9" s="34"/>
      <c r="JXQ9" s="34"/>
      <c r="JXR9" s="72"/>
      <c r="JXS9" s="63"/>
      <c r="JXT9" s="34"/>
      <c r="JXU9" s="64"/>
      <c r="JXV9" s="4"/>
      <c r="JXW9" s="65"/>
      <c r="JXX9" s="4"/>
      <c r="JXY9" s="4"/>
      <c r="JXZ9" s="4"/>
      <c r="JYC9" s="34"/>
      <c r="JYD9" s="34"/>
      <c r="JYF9" s="34"/>
      <c r="JYG9" s="72"/>
      <c r="JYH9" s="63"/>
      <c r="JYI9" s="34"/>
      <c r="JYJ9" s="64"/>
      <c r="JYK9" s="4"/>
      <c r="JYL9" s="65"/>
      <c r="JYM9" s="4"/>
      <c r="JYN9" s="4"/>
      <c r="JYO9" s="4"/>
      <c r="JYR9" s="34"/>
      <c r="JYS9" s="34"/>
      <c r="JYU9" s="34"/>
      <c r="JYV9" s="72"/>
      <c r="JYW9" s="63"/>
      <c r="JYX9" s="34"/>
      <c r="JYY9" s="64"/>
      <c r="JYZ9" s="4"/>
      <c r="JZA9" s="65"/>
      <c r="JZB9" s="4"/>
      <c r="JZC9" s="4"/>
      <c r="JZD9" s="4"/>
      <c r="JZG9" s="34"/>
      <c r="JZH9" s="34"/>
      <c r="JZJ9" s="34"/>
      <c r="JZK9" s="72"/>
      <c r="JZL9" s="63"/>
      <c r="JZM9" s="34"/>
      <c r="JZN9" s="64"/>
      <c r="JZO9" s="4"/>
      <c r="JZP9" s="65"/>
      <c r="JZQ9" s="4"/>
      <c r="JZR9" s="4"/>
      <c r="JZS9" s="4"/>
      <c r="JZV9" s="34"/>
      <c r="JZW9" s="34"/>
      <c r="JZY9" s="34"/>
      <c r="JZZ9" s="72"/>
      <c r="KAA9" s="63"/>
      <c r="KAB9" s="34"/>
      <c r="KAC9" s="64"/>
      <c r="KAD9" s="4"/>
      <c r="KAE9" s="65"/>
      <c r="KAF9" s="4"/>
      <c r="KAG9" s="4"/>
      <c r="KAH9" s="4"/>
      <c r="KAK9" s="34"/>
      <c r="KAL9" s="34"/>
      <c r="KAN9" s="34"/>
      <c r="KAO9" s="72"/>
      <c r="KAP9" s="63"/>
      <c r="KAQ9" s="34"/>
      <c r="KAR9" s="64"/>
      <c r="KAS9" s="4"/>
      <c r="KAT9" s="65"/>
      <c r="KAU9" s="4"/>
      <c r="KAV9" s="4"/>
      <c r="KAW9" s="4"/>
      <c r="KAZ9" s="34"/>
      <c r="KBA9" s="34"/>
      <c r="KBC9" s="34"/>
      <c r="KBD9" s="72"/>
      <c r="KBE9" s="63"/>
      <c r="KBF9" s="34"/>
      <c r="KBG9" s="64"/>
      <c r="KBH9" s="4"/>
      <c r="KBI9" s="65"/>
      <c r="KBJ9" s="4"/>
      <c r="KBK9" s="4"/>
      <c r="KBL9" s="4"/>
      <c r="KBO9" s="34"/>
      <c r="KBP9" s="34"/>
      <c r="KBR9" s="34"/>
      <c r="KBS9" s="72"/>
      <c r="KBT9" s="63"/>
      <c r="KBU9" s="34"/>
      <c r="KBV9" s="64"/>
      <c r="KBW9" s="4"/>
      <c r="KBX9" s="65"/>
      <c r="KBY9" s="4"/>
      <c r="KBZ9" s="4"/>
      <c r="KCA9" s="4"/>
      <c r="KCD9" s="34"/>
      <c r="KCE9" s="34"/>
      <c r="KCG9" s="34"/>
      <c r="KCH9" s="72"/>
      <c r="KCI9" s="63"/>
      <c r="KCJ9" s="34"/>
      <c r="KCK9" s="64"/>
      <c r="KCL9" s="4"/>
      <c r="KCM9" s="65"/>
      <c r="KCN9" s="4"/>
      <c r="KCO9" s="4"/>
      <c r="KCP9" s="4"/>
      <c r="KCS9" s="34"/>
      <c r="KCT9" s="34"/>
      <c r="KCV9" s="34"/>
      <c r="KCW9" s="72"/>
      <c r="KCX9" s="63"/>
      <c r="KCY9" s="34"/>
      <c r="KCZ9" s="64"/>
      <c r="KDA9" s="4"/>
      <c r="KDB9" s="65"/>
      <c r="KDC9" s="4"/>
      <c r="KDD9" s="4"/>
      <c r="KDE9" s="4"/>
      <c r="KDH9" s="34"/>
      <c r="KDI9" s="34"/>
      <c r="KDK9" s="34"/>
      <c r="KDL9" s="72"/>
      <c r="KDM9" s="63"/>
      <c r="KDN9" s="34"/>
      <c r="KDO9" s="64"/>
      <c r="KDP9" s="4"/>
      <c r="KDQ9" s="65"/>
      <c r="KDR9" s="4"/>
      <c r="KDS9" s="4"/>
      <c r="KDT9" s="4"/>
      <c r="KDW9" s="34"/>
      <c r="KDX9" s="34"/>
      <c r="KDZ9" s="34"/>
      <c r="KEA9" s="72"/>
      <c r="KEB9" s="63"/>
      <c r="KEC9" s="34"/>
      <c r="KED9" s="64"/>
      <c r="KEE9" s="4"/>
      <c r="KEF9" s="65"/>
      <c r="KEG9" s="4"/>
      <c r="KEH9" s="4"/>
      <c r="KEI9" s="4"/>
      <c r="KEL9" s="34"/>
      <c r="KEM9" s="34"/>
      <c r="KEO9" s="34"/>
      <c r="KEP9" s="72"/>
      <c r="KEQ9" s="63"/>
      <c r="KER9" s="34"/>
      <c r="KES9" s="64"/>
      <c r="KET9" s="4"/>
      <c r="KEU9" s="65"/>
      <c r="KEV9" s="4"/>
      <c r="KEW9" s="4"/>
      <c r="KEX9" s="4"/>
      <c r="KFA9" s="34"/>
      <c r="KFB9" s="34"/>
      <c r="KFD9" s="34"/>
      <c r="KFE9" s="72"/>
      <c r="KFF9" s="63"/>
      <c r="KFG9" s="34"/>
      <c r="KFH9" s="64"/>
      <c r="KFI9" s="4"/>
      <c r="KFJ9" s="65"/>
      <c r="KFK9" s="4"/>
      <c r="KFL9" s="4"/>
      <c r="KFM9" s="4"/>
      <c r="KFP9" s="34"/>
      <c r="KFQ9" s="34"/>
      <c r="KFS9" s="34"/>
      <c r="KFT9" s="72"/>
      <c r="KFU9" s="63"/>
      <c r="KFV9" s="34"/>
      <c r="KFW9" s="64"/>
      <c r="KFX9" s="4"/>
      <c r="KFY9" s="65"/>
      <c r="KFZ9" s="4"/>
      <c r="KGA9" s="4"/>
      <c r="KGB9" s="4"/>
      <c r="KGE9" s="34"/>
      <c r="KGF9" s="34"/>
      <c r="KGH9" s="34"/>
      <c r="KGI9" s="72"/>
      <c r="KGJ9" s="63"/>
      <c r="KGK9" s="34"/>
      <c r="KGL9" s="64"/>
      <c r="KGM9" s="4"/>
      <c r="KGN9" s="65"/>
      <c r="KGO9" s="4"/>
      <c r="KGP9" s="4"/>
      <c r="KGQ9" s="4"/>
      <c r="KGT9" s="34"/>
      <c r="KGU9" s="34"/>
      <c r="KGW9" s="34"/>
      <c r="KGX9" s="72"/>
      <c r="KGY9" s="63"/>
      <c r="KGZ9" s="34"/>
      <c r="KHA9" s="64"/>
      <c r="KHB9" s="4"/>
      <c r="KHC9" s="65"/>
      <c r="KHD9" s="4"/>
      <c r="KHE9" s="4"/>
      <c r="KHF9" s="4"/>
      <c r="KHI9" s="34"/>
      <c r="KHJ9" s="34"/>
      <c r="KHL9" s="34"/>
      <c r="KHM9" s="72"/>
      <c r="KHN9" s="63"/>
      <c r="KHO9" s="34"/>
      <c r="KHP9" s="64"/>
      <c r="KHQ9" s="4"/>
      <c r="KHR9" s="65"/>
      <c r="KHS9" s="4"/>
      <c r="KHT9" s="4"/>
      <c r="KHU9" s="4"/>
      <c r="KHX9" s="34"/>
      <c r="KHY9" s="34"/>
      <c r="KIA9" s="34"/>
      <c r="KIB9" s="72"/>
      <c r="KIC9" s="63"/>
      <c r="KID9" s="34"/>
      <c r="KIE9" s="64"/>
      <c r="KIF9" s="4"/>
      <c r="KIG9" s="65"/>
      <c r="KIH9" s="4"/>
      <c r="KII9" s="4"/>
      <c r="KIJ9" s="4"/>
      <c r="KIM9" s="34"/>
      <c r="KIN9" s="34"/>
      <c r="KIP9" s="34"/>
      <c r="KIQ9" s="72"/>
      <c r="KIR9" s="63"/>
      <c r="KIS9" s="34"/>
      <c r="KIT9" s="64"/>
      <c r="KIU9" s="4"/>
      <c r="KIV9" s="65"/>
      <c r="KIW9" s="4"/>
      <c r="KIX9" s="4"/>
      <c r="KIY9" s="4"/>
      <c r="KJB9" s="34"/>
      <c r="KJC9" s="34"/>
      <c r="KJE9" s="34"/>
      <c r="KJF9" s="72"/>
      <c r="KJG9" s="63"/>
      <c r="KJH9" s="34"/>
      <c r="KJI9" s="64"/>
      <c r="KJJ9" s="4"/>
      <c r="KJK9" s="65"/>
      <c r="KJL9" s="4"/>
      <c r="KJM9" s="4"/>
      <c r="KJN9" s="4"/>
      <c r="KJQ9" s="34"/>
      <c r="KJR9" s="34"/>
      <c r="KJT9" s="34"/>
      <c r="KJU9" s="72"/>
      <c r="KJV9" s="63"/>
      <c r="KJW9" s="34"/>
      <c r="KJX9" s="64"/>
      <c r="KJY9" s="4"/>
      <c r="KJZ9" s="65"/>
      <c r="KKA9" s="4"/>
      <c r="KKB9" s="4"/>
      <c r="KKC9" s="4"/>
      <c r="KKF9" s="34"/>
      <c r="KKG9" s="34"/>
      <c r="KKI9" s="34"/>
      <c r="KKJ9" s="72"/>
      <c r="KKK9" s="63"/>
      <c r="KKL9" s="34"/>
      <c r="KKM9" s="64"/>
      <c r="KKN9" s="4"/>
      <c r="KKO9" s="65"/>
      <c r="KKP9" s="4"/>
      <c r="KKQ9" s="4"/>
      <c r="KKR9" s="4"/>
      <c r="KKU9" s="34"/>
      <c r="KKV9" s="34"/>
      <c r="KKX9" s="34"/>
      <c r="KKY9" s="72"/>
      <c r="KKZ9" s="63"/>
      <c r="KLA9" s="34"/>
      <c r="KLB9" s="64"/>
      <c r="KLC9" s="4"/>
      <c r="KLD9" s="65"/>
      <c r="KLE9" s="4"/>
      <c r="KLF9" s="4"/>
      <c r="KLG9" s="4"/>
      <c r="KLJ9" s="34"/>
      <c r="KLK9" s="34"/>
      <c r="KLM9" s="34"/>
      <c r="KLN9" s="72"/>
      <c r="KLO9" s="63"/>
      <c r="KLP9" s="34"/>
      <c r="KLQ9" s="64"/>
      <c r="KLR9" s="4"/>
      <c r="KLS9" s="65"/>
      <c r="KLT9" s="4"/>
      <c r="KLU9" s="4"/>
      <c r="KLV9" s="4"/>
      <c r="KLY9" s="34"/>
      <c r="KLZ9" s="34"/>
      <c r="KMB9" s="34"/>
      <c r="KMC9" s="72"/>
      <c r="KMD9" s="63"/>
      <c r="KME9" s="34"/>
      <c r="KMF9" s="64"/>
      <c r="KMG9" s="4"/>
      <c r="KMH9" s="65"/>
      <c r="KMI9" s="4"/>
      <c r="KMJ9" s="4"/>
      <c r="KMK9" s="4"/>
      <c r="KMN9" s="34"/>
      <c r="KMO9" s="34"/>
      <c r="KMQ9" s="34"/>
      <c r="KMR9" s="72"/>
      <c r="KMS9" s="63"/>
      <c r="KMT9" s="34"/>
      <c r="KMU9" s="64"/>
      <c r="KMV9" s="4"/>
      <c r="KMW9" s="65"/>
      <c r="KMX9" s="4"/>
      <c r="KMY9" s="4"/>
      <c r="KMZ9" s="4"/>
      <c r="KNC9" s="34"/>
      <c r="KND9" s="34"/>
      <c r="KNF9" s="34"/>
      <c r="KNG9" s="72"/>
      <c r="KNH9" s="63"/>
      <c r="KNI9" s="34"/>
      <c r="KNJ9" s="64"/>
      <c r="KNK9" s="4"/>
      <c r="KNL9" s="65"/>
      <c r="KNM9" s="4"/>
      <c r="KNN9" s="4"/>
      <c r="KNO9" s="4"/>
      <c r="KNR9" s="34"/>
      <c r="KNS9" s="34"/>
      <c r="KNU9" s="34"/>
      <c r="KNV9" s="72"/>
      <c r="KNW9" s="63"/>
      <c r="KNX9" s="34"/>
      <c r="KNY9" s="64"/>
      <c r="KNZ9" s="4"/>
      <c r="KOA9" s="65"/>
      <c r="KOB9" s="4"/>
      <c r="KOC9" s="4"/>
      <c r="KOD9" s="4"/>
      <c r="KOG9" s="34"/>
      <c r="KOH9" s="34"/>
      <c r="KOJ9" s="34"/>
      <c r="KOK9" s="72"/>
      <c r="KOL9" s="63"/>
      <c r="KOM9" s="34"/>
      <c r="KON9" s="64"/>
      <c r="KOO9" s="4"/>
      <c r="KOP9" s="65"/>
      <c r="KOQ9" s="4"/>
      <c r="KOR9" s="4"/>
      <c r="KOS9" s="4"/>
      <c r="KOV9" s="34"/>
      <c r="KOW9" s="34"/>
      <c r="KOY9" s="34"/>
      <c r="KOZ9" s="72"/>
      <c r="KPA9" s="63"/>
      <c r="KPB9" s="34"/>
      <c r="KPC9" s="64"/>
      <c r="KPD9" s="4"/>
      <c r="KPE9" s="65"/>
      <c r="KPF9" s="4"/>
      <c r="KPG9" s="4"/>
      <c r="KPH9" s="4"/>
      <c r="KPK9" s="34"/>
      <c r="KPL9" s="34"/>
      <c r="KPN9" s="34"/>
      <c r="KPO9" s="72"/>
      <c r="KPP9" s="63"/>
      <c r="KPQ9" s="34"/>
      <c r="KPR9" s="64"/>
      <c r="KPS9" s="4"/>
      <c r="KPT9" s="65"/>
      <c r="KPU9" s="4"/>
      <c r="KPV9" s="4"/>
      <c r="KPW9" s="4"/>
      <c r="KPZ9" s="34"/>
      <c r="KQA9" s="34"/>
      <c r="KQC9" s="34"/>
      <c r="KQD9" s="72"/>
      <c r="KQE9" s="63"/>
      <c r="KQF9" s="34"/>
      <c r="KQG9" s="64"/>
      <c r="KQH9" s="4"/>
      <c r="KQI9" s="65"/>
      <c r="KQJ9" s="4"/>
      <c r="KQK9" s="4"/>
      <c r="KQL9" s="4"/>
      <c r="KQO9" s="34"/>
      <c r="KQP9" s="34"/>
      <c r="KQR9" s="34"/>
      <c r="KQS9" s="72"/>
      <c r="KQT9" s="63"/>
      <c r="KQU9" s="34"/>
      <c r="KQV9" s="64"/>
      <c r="KQW9" s="4"/>
      <c r="KQX9" s="65"/>
      <c r="KQY9" s="4"/>
      <c r="KQZ9" s="4"/>
      <c r="KRA9" s="4"/>
      <c r="KRD9" s="34"/>
      <c r="KRE9" s="34"/>
      <c r="KRG9" s="34"/>
      <c r="KRH9" s="72"/>
      <c r="KRI9" s="63"/>
      <c r="KRJ9" s="34"/>
      <c r="KRK9" s="64"/>
      <c r="KRL9" s="4"/>
      <c r="KRM9" s="65"/>
      <c r="KRN9" s="4"/>
      <c r="KRO9" s="4"/>
      <c r="KRP9" s="4"/>
      <c r="KRS9" s="34"/>
      <c r="KRT9" s="34"/>
      <c r="KRV9" s="34"/>
      <c r="KRW9" s="72"/>
      <c r="KRX9" s="63"/>
      <c r="KRY9" s="34"/>
      <c r="KRZ9" s="64"/>
      <c r="KSA9" s="4"/>
      <c r="KSB9" s="65"/>
      <c r="KSC9" s="4"/>
      <c r="KSD9" s="4"/>
      <c r="KSE9" s="4"/>
      <c r="KSH9" s="34"/>
      <c r="KSI9" s="34"/>
      <c r="KSK9" s="34"/>
      <c r="KSL9" s="72"/>
      <c r="KSM9" s="63"/>
      <c r="KSN9" s="34"/>
      <c r="KSO9" s="64"/>
      <c r="KSP9" s="4"/>
      <c r="KSQ9" s="65"/>
      <c r="KSR9" s="4"/>
      <c r="KSS9" s="4"/>
      <c r="KST9" s="4"/>
      <c r="KSW9" s="34"/>
      <c r="KSX9" s="34"/>
      <c r="KSZ9" s="34"/>
      <c r="KTA9" s="72"/>
      <c r="KTB9" s="63"/>
      <c r="KTC9" s="34"/>
      <c r="KTD9" s="64"/>
      <c r="KTE9" s="4"/>
      <c r="KTF9" s="65"/>
      <c r="KTG9" s="4"/>
      <c r="KTH9" s="4"/>
      <c r="KTI9" s="4"/>
      <c r="KTL9" s="34"/>
      <c r="KTM9" s="34"/>
      <c r="KTO9" s="34"/>
      <c r="KTP9" s="72"/>
      <c r="KTQ9" s="63"/>
      <c r="KTR9" s="34"/>
      <c r="KTS9" s="64"/>
      <c r="KTT9" s="4"/>
      <c r="KTU9" s="65"/>
      <c r="KTV9" s="4"/>
      <c r="KTW9" s="4"/>
      <c r="KTX9" s="4"/>
      <c r="KUA9" s="34"/>
      <c r="KUB9" s="34"/>
      <c r="KUD9" s="34"/>
      <c r="KUE9" s="72"/>
      <c r="KUF9" s="63"/>
      <c r="KUG9" s="34"/>
      <c r="KUH9" s="64"/>
      <c r="KUI9" s="4"/>
      <c r="KUJ9" s="65"/>
      <c r="KUK9" s="4"/>
      <c r="KUL9" s="4"/>
      <c r="KUM9" s="4"/>
      <c r="KUP9" s="34"/>
      <c r="KUQ9" s="34"/>
      <c r="KUS9" s="34"/>
      <c r="KUT9" s="72"/>
      <c r="KUU9" s="63"/>
      <c r="KUV9" s="34"/>
      <c r="KUW9" s="64"/>
      <c r="KUX9" s="4"/>
      <c r="KUY9" s="65"/>
      <c r="KUZ9" s="4"/>
      <c r="KVA9" s="4"/>
      <c r="KVB9" s="4"/>
      <c r="KVE9" s="34"/>
      <c r="KVF9" s="34"/>
      <c r="KVH9" s="34"/>
      <c r="KVI9" s="72"/>
      <c r="KVJ9" s="63"/>
      <c r="KVK9" s="34"/>
      <c r="KVL9" s="64"/>
      <c r="KVM9" s="4"/>
      <c r="KVN9" s="65"/>
      <c r="KVO9" s="4"/>
      <c r="KVP9" s="4"/>
      <c r="KVQ9" s="4"/>
      <c r="KVT9" s="34"/>
      <c r="KVU9" s="34"/>
      <c r="KVW9" s="34"/>
      <c r="KVX9" s="72"/>
      <c r="KVY9" s="63"/>
      <c r="KVZ9" s="34"/>
      <c r="KWA9" s="64"/>
      <c r="KWB9" s="4"/>
      <c r="KWC9" s="65"/>
      <c r="KWD9" s="4"/>
      <c r="KWE9" s="4"/>
      <c r="KWF9" s="4"/>
      <c r="KWI9" s="34"/>
      <c r="KWJ9" s="34"/>
      <c r="KWL9" s="34"/>
      <c r="KWM9" s="72"/>
      <c r="KWN9" s="63"/>
      <c r="KWO9" s="34"/>
      <c r="KWP9" s="64"/>
      <c r="KWQ9" s="4"/>
      <c r="KWR9" s="65"/>
      <c r="KWS9" s="4"/>
      <c r="KWT9" s="4"/>
      <c r="KWU9" s="4"/>
      <c r="KWX9" s="34"/>
      <c r="KWY9" s="34"/>
      <c r="KXA9" s="34"/>
      <c r="KXB9" s="72"/>
      <c r="KXC9" s="63"/>
      <c r="KXD9" s="34"/>
      <c r="KXE9" s="64"/>
      <c r="KXF9" s="4"/>
      <c r="KXG9" s="65"/>
      <c r="KXH9" s="4"/>
      <c r="KXI9" s="4"/>
      <c r="KXJ9" s="4"/>
      <c r="KXM9" s="34"/>
      <c r="KXN9" s="34"/>
      <c r="KXP9" s="34"/>
      <c r="KXQ9" s="72"/>
      <c r="KXR9" s="63"/>
      <c r="KXS9" s="34"/>
      <c r="KXT9" s="64"/>
      <c r="KXU9" s="4"/>
      <c r="KXV9" s="65"/>
      <c r="KXW9" s="4"/>
      <c r="KXX9" s="4"/>
      <c r="KXY9" s="4"/>
      <c r="KYB9" s="34"/>
      <c r="KYC9" s="34"/>
      <c r="KYE9" s="34"/>
      <c r="KYF9" s="72"/>
      <c r="KYG9" s="63"/>
      <c r="KYH9" s="34"/>
      <c r="KYI9" s="64"/>
      <c r="KYJ9" s="4"/>
      <c r="KYK9" s="65"/>
      <c r="KYL9" s="4"/>
      <c r="KYM9" s="4"/>
      <c r="KYN9" s="4"/>
      <c r="KYQ9" s="34"/>
      <c r="KYR9" s="34"/>
      <c r="KYT9" s="34"/>
      <c r="KYU9" s="72"/>
      <c r="KYV9" s="63"/>
      <c r="KYW9" s="34"/>
      <c r="KYX9" s="64"/>
      <c r="KYY9" s="4"/>
      <c r="KYZ9" s="65"/>
      <c r="KZA9" s="4"/>
      <c r="KZB9" s="4"/>
      <c r="KZC9" s="4"/>
      <c r="KZF9" s="34"/>
      <c r="KZG9" s="34"/>
      <c r="KZI9" s="34"/>
      <c r="KZJ9" s="72"/>
      <c r="KZK9" s="63"/>
      <c r="KZL9" s="34"/>
      <c r="KZM9" s="64"/>
      <c r="KZN9" s="4"/>
      <c r="KZO9" s="65"/>
      <c r="KZP9" s="4"/>
      <c r="KZQ9" s="4"/>
      <c r="KZR9" s="4"/>
      <c r="KZU9" s="34"/>
      <c r="KZV9" s="34"/>
      <c r="KZX9" s="34"/>
      <c r="KZY9" s="72"/>
      <c r="KZZ9" s="63"/>
      <c r="LAA9" s="34"/>
      <c r="LAB9" s="64"/>
      <c r="LAC9" s="4"/>
      <c r="LAD9" s="65"/>
      <c r="LAE9" s="4"/>
      <c r="LAF9" s="4"/>
      <c r="LAG9" s="4"/>
      <c r="LAJ9" s="34"/>
      <c r="LAK9" s="34"/>
      <c r="LAM9" s="34"/>
      <c r="LAN9" s="72"/>
      <c r="LAO9" s="63"/>
      <c r="LAP9" s="34"/>
      <c r="LAQ9" s="64"/>
      <c r="LAR9" s="4"/>
      <c r="LAS9" s="65"/>
      <c r="LAT9" s="4"/>
      <c r="LAU9" s="4"/>
      <c r="LAV9" s="4"/>
      <c r="LAY9" s="34"/>
      <c r="LAZ9" s="34"/>
      <c r="LBB9" s="34"/>
      <c r="LBC9" s="72"/>
      <c r="LBD9" s="63"/>
      <c r="LBE9" s="34"/>
      <c r="LBF9" s="64"/>
      <c r="LBG9" s="4"/>
      <c r="LBH9" s="65"/>
      <c r="LBI9" s="4"/>
      <c r="LBJ9" s="4"/>
      <c r="LBK9" s="4"/>
      <c r="LBN9" s="34"/>
      <c r="LBO9" s="34"/>
      <c r="LBQ9" s="34"/>
      <c r="LBR9" s="72"/>
      <c r="LBS9" s="63"/>
      <c r="LBT9" s="34"/>
      <c r="LBU9" s="64"/>
      <c r="LBV9" s="4"/>
      <c r="LBW9" s="65"/>
      <c r="LBX9" s="4"/>
      <c r="LBY9" s="4"/>
      <c r="LBZ9" s="4"/>
      <c r="LCC9" s="34"/>
      <c r="LCD9" s="34"/>
      <c r="LCF9" s="34"/>
      <c r="LCG9" s="72"/>
      <c r="LCH9" s="63"/>
      <c r="LCI9" s="34"/>
      <c r="LCJ9" s="64"/>
      <c r="LCK9" s="4"/>
      <c r="LCL9" s="65"/>
      <c r="LCM9" s="4"/>
      <c r="LCN9" s="4"/>
      <c r="LCO9" s="4"/>
      <c r="LCR9" s="34"/>
      <c r="LCS9" s="34"/>
      <c r="LCU9" s="34"/>
      <c r="LCV9" s="72"/>
      <c r="LCW9" s="63"/>
      <c r="LCX9" s="34"/>
      <c r="LCY9" s="64"/>
      <c r="LCZ9" s="4"/>
      <c r="LDA9" s="65"/>
      <c r="LDB9" s="4"/>
      <c r="LDC9" s="4"/>
      <c r="LDD9" s="4"/>
      <c r="LDG9" s="34"/>
      <c r="LDH9" s="34"/>
      <c r="LDJ9" s="34"/>
      <c r="LDK9" s="72"/>
      <c r="LDL9" s="63"/>
      <c r="LDM9" s="34"/>
      <c r="LDN9" s="64"/>
      <c r="LDO9" s="4"/>
      <c r="LDP9" s="65"/>
      <c r="LDQ9" s="4"/>
      <c r="LDR9" s="4"/>
      <c r="LDS9" s="4"/>
      <c r="LDV9" s="34"/>
      <c r="LDW9" s="34"/>
      <c r="LDY9" s="34"/>
      <c r="LDZ9" s="72"/>
      <c r="LEA9" s="63"/>
      <c r="LEB9" s="34"/>
      <c r="LEC9" s="64"/>
      <c r="LED9" s="4"/>
      <c r="LEE9" s="65"/>
      <c r="LEF9" s="4"/>
      <c r="LEG9" s="4"/>
      <c r="LEH9" s="4"/>
      <c r="LEK9" s="34"/>
      <c r="LEL9" s="34"/>
      <c r="LEN9" s="34"/>
      <c r="LEO9" s="72"/>
      <c r="LEP9" s="63"/>
      <c r="LEQ9" s="34"/>
      <c r="LER9" s="64"/>
      <c r="LES9" s="4"/>
      <c r="LET9" s="65"/>
      <c r="LEU9" s="4"/>
      <c r="LEV9" s="4"/>
      <c r="LEW9" s="4"/>
      <c r="LEZ9" s="34"/>
      <c r="LFA9" s="34"/>
      <c r="LFC9" s="34"/>
      <c r="LFD9" s="72"/>
      <c r="LFE9" s="63"/>
      <c r="LFF9" s="34"/>
      <c r="LFG9" s="64"/>
      <c r="LFH9" s="4"/>
      <c r="LFI9" s="65"/>
      <c r="LFJ9" s="4"/>
      <c r="LFK9" s="4"/>
      <c r="LFL9" s="4"/>
      <c r="LFO9" s="34"/>
      <c r="LFP9" s="34"/>
      <c r="LFR9" s="34"/>
      <c r="LFS9" s="72"/>
      <c r="LFT9" s="63"/>
      <c r="LFU9" s="34"/>
      <c r="LFV9" s="64"/>
      <c r="LFW9" s="4"/>
      <c r="LFX9" s="65"/>
      <c r="LFY9" s="4"/>
      <c r="LFZ9" s="4"/>
      <c r="LGA9" s="4"/>
      <c r="LGD9" s="34"/>
      <c r="LGE9" s="34"/>
      <c r="LGG9" s="34"/>
      <c r="LGH9" s="72"/>
      <c r="LGI9" s="63"/>
      <c r="LGJ9" s="34"/>
      <c r="LGK9" s="64"/>
      <c r="LGL9" s="4"/>
      <c r="LGM9" s="65"/>
      <c r="LGN9" s="4"/>
      <c r="LGO9" s="4"/>
      <c r="LGP9" s="4"/>
      <c r="LGS9" s="34"/>
      <c r="LGT9" s="34"/>
      <c r="LGV9" s="34"/>
      <c r="LGW9" s="72"/>
      <c r="LGX9" s="63"/>
      <c r="LGY9" s="34"/>
      <c r="LGZ9" s="64"/>
      <c r="LHA9" s="4"/>
      <c r="LHB9" s="65"/>
      <c r="LHC9" s="4"/>
      <c r="LHD9" s="4"/>
      <c r="LHE9" s="4"/>
      <c r="LHH9" s="34"/>
      <c r="LHI9" s="34"/>
      <c r="LHK9" s="34"/>
      <c r="LHL9" s="72"/>
      <c r="LHM9" s="63"/>
      <c r="LHN9" s="34"/>
      <c r="LHO9" s="64"/>
      <c r="LHP9" s="4"/>
      <c r="LHQ9" s="65"/>
      <c r="LHR9" s="4"/>
      <c r="LHS9" s="4"/>
      <c r="LHT9" s="4"/>
      <c r="LHW9" s="34"/>
      <c r="LHX9" s="34"/>
      <c r="LHZ9" s="34"/>
      <c r="LIA9" s="72"/>
      <c r="LIB9" s="63"/>
      <c r="LIC9" s="34"/>
      <c r="LID9" s="64"/>
      <c r="LIE9" s="4"/>
      <c r="LIF9" s="65"/>
      <c r="LIG9" s="4"/>
      <c r="LIH9" s="4"/>
      <c r="LII9" s="4"/>
      <c r="LIL9" s="34"/>
      <c r="LIM9" s="34"/>
      <c r="LIO9" s="34"/>
      <c r="LIP9" s="72"/>
      <c r="LIQ9" s="63"/>
      <c r="LIR9" s="34"/>
      <c r="LIS9" s="64"/>
      <c r="LIT9" s="4"/>
      <c r="LIU9" s="65"/>
      <c r="LIV9" s="4"/>
      <c r="LIW9" s="4"/>
      <c r="LIX9" s="4"/>
      <c r="LJA9" s="34"/>
      <c r="LJB9" s="34"/>
      <c r="LJD9" s="34"/>
      <c r="LJE9" s="72"/>
      <c r="LJF9" s="63"/>
      <c r="LJG9" s="34"/>
      <c r="LJH9" s="64"/>
      <c r="LJI9" s="4"/>
      <c r="LJJ9" s="65"/>
      <c r="LJK9" s="4"/>
      <c r="LJL9" s="4"/>
      <c r="LJM9" s="4"/>
      <c r="LJP9" s="34"/>
      <c r="LJQ9" s="34"/>
      <c r="LJS9" s="34"/>
      <c r="LJT9" s="72"/>
      <c r="LJU9" s="63"/>
      <c r="LJV9" s="34"/>
      <c r="LJW9" s="64"/>
      <c r="LJX9" s="4"/>
      <c r="LJY9" s="65"/>
      <c r="LJZ9" s="4"/>
      <c r="LKA9" s="4"/>
      <c r="LKB9" s="4"/>
      <c r="LKE9" s="34"/>
      <c r="LKF9" s="34"/>
      <c r="LKH9" s="34"/>
      <c r="LKI9" s="72"/>
      <c r="LKJ9" s="63"/>
      <c r="LKK9" s="34"/>
      <c r="LKL9" s="64"/>
      <c r="LKM9" s="4"/>
      <c r="LKN9" s="65"/>
      <c r="LKO9" s="4"/>
      <c r="LKP9" s="4"/>
      <c r="LKQ9" s="4"/>
      <c r="LKT9" s="34"/>
      <c r="LKU9" s="34"/>
      <c r="LKW9" s="34"/>
      <c r="LKX9" s="72"/>
      <c r="LKY9" s="63"/>
      <c r="LKZ9" s="34"/>
      <c r="LLA9" s="64"/>
      <c r="LLB9" s="4"/>
      <c r="LLC9" s="65"/>
      <c r="LLD9" s="4"/>
      <c r="LLE9" s="4"/>
      <c r="LLF9" s="4"/>
      <c r="LLI9" s="34"/>
      <c r="LLJ9" s="34"/>
      <c r="LLL9" s="34"/>
      <c r="LLM9" s="72"/>
      <c r="LLN9" s="63"/>
      <c r="LLO9" s="34"/>
      <c r="LLP9" s="64"/>
      <c r="LLQ9" s="4"/>
      <c r="LLR9" s="65"/>
      <c r="LLS9" s="4"/>
      <c r="LLT9" s="4"/>
      <c r="LLU9" s="4"/>
      <c r="LLX9" s="34"/>
      <c r="LLY9" s="34"/>
      <c r="LMA9" s="34"/>
      <c r="LMB9" s="72"/>
      <c r="LMC9" s="63"/>
      <c r="LMD9" s="34"/>
      <c r="LME9" s="64"/>
      <c r="LMF9" s="4"/>
      <c r="LMG9" s="65"/>
      <c r="LMH9" s="4"/>
      <c r="LMI9" s="4"/>
      <c r="LMJ9" s="4"/>
      <c r="LMM9" s="34"/>
      <c r="LMN9" s="34"/>
      <c r="LMP9" s="34"/>
      <c r="LMQ9" s="72"/>
      <c r="LMR9" s="63"/>
      <c r="LMS9" s="34"/>
      <c r="LMT9" s="64"/>
      <c r="LMU9" s="4"/>
      <c r="LMV9" s="65"/>
      <c r="LMW9" s="4"/>
      <c r="LMX9" s="4"/>
      <c r="LMY9" s="4"/>
      <c r="LNB9" s="34"/>
      <c r="LNC9" s="34"/>
      <c r="LNE9" s="34"/>
      <c r="LNF9" s="72"/>
      <c r="LNG9" s="63"/>
      <c r="LNH9" s="34"/>
      <c r="LNI9" s="64"/>
      <c r="LNJ9" s="4"/>
      <c r="LNK9" s="65"/>
      <c r="LNL9" s="4"/>
      <c r="LNM9" s="4"/>
      <c r="LNN9" s="4"/>
      <c r="LNQ9" s="34"/>
      <c r="LNR9" s="34"/>
      <c r="LNT9" s="34"/>
      <c r="LNU9" s="72"/>
      <c r="LNV9" s="63"/>
      <c r="LNW9" s="34"/>
      <c r="LNX9" s="64"/>
      <c r="LNY9" s="4"/>
      <c r="LNZ9" s="65"/>
      <c r="LOA9" s="4"/>
      <c r="LOB9" s="4"/>
      <c r="LOC9" s="4"/>
      <c r="LOF9" s="34"/>
      <c r="LOG9" s="34"/>
      <c r="LOI9" s="34"/>
      <c r="LOJ9" s="72"/>
      <c r="LOK9" s="63"/>
      <c r="LOL9" s="34"/>
      <c r="LOM9" s="64"/>
      <c r="LON9" s="4"/>
      <c r="LOO9" s="65"/>
      <c r="LOP9" s="4"/>
      <c r="LOQ9" s="4"/>
      <c r="LOR9" s="4"/>
      <c r="LOU9" s="34"/>
      <c r="LOV9" s="34"/>
      <c r="LOX9" s="34"/>
      <c r="LOY9" s="72"/>
      <c r="LOZ9" s="63"/>
      <c r="LPA9" s="34"/>
      <c r="LPB9" s="64"/>
      <c r="LPC9" s="4"/>
      <c r="LPD9" s="65"/>
      <c r="LPE9" s="4"/>
      <c r="LPF9" s="4"/>
      <c r="LPG9" s="4"/>
      <c r="LPJ9" s="34"/>
      <c r="LPK9" s="34"/>
      <c r="LPM9" s="34"/>
      <c r="LPN9" s="72"/>
      <c r="LPO9" s="63"/>
      <c r="LPP9" s="34"/>
      <c r="LPQ9" s="64"/>
      <c r="LPR9" s="4"/>
      <c r="LPS9" s="65"/>
      <c r="LPT9" s="4"/>
      <c r="LPU9" s="4"/>
      <c r="LPV9" s="4"/>
      <c r="LPY9" s="34"/>
      <c r="LPZ9" s="34"/>
      <c r="LQB9" s="34"/>
      <c r="LQC9" s="72"/>
      <c r="LQD9" s="63"/>
      <c r="LQE9" s="34"/>
      <c r="LQF9" s="64"/>
      <c r="LQG9" s="4"/>
      <c r="LQH9" s="65"/>
      <c r="LQI9" s="4"/>
      <c r="LQJ9" s="4"/>
      <c r="LQK9" s="4"/>
      <c r="LQN9" s="34"/>
      <c r="LQO9" s="34"/>
      <c r="LQQ9" s="34"/>
      <c r="LQR9" s="72"/>
      <c r="LQS9" s="63"/>
      <c r="LQT9" s="34"/>
      <c r="LQU9" s="64"/>
      <c r="LQV9" s="4"/>
      <c r="LQW9" s="65"/>
      <c r="LQX9" s="4"/>
      <c r="LQY9" s="4"/>
      <c r="LQZ9" s="4"/>
      <c r="LRC9" s="34"/>
      <c r="LRD9" s="34"/>
      <c r="LRF9" s="34"/>
      <c r="LRG9" s="72"/>
      <c r="LRH9" s="63"/>
      <c r="LRI9" s="34"/>
      <c r="LRJ9" s="64"/>
      <c r="LRK9" s="4"/>
      <c r="LRL9" s="65"/>
      <c r="LRM9" s="4"/>
      <c r="LRN9" s="4"/>
      <c r="LRO9" s="4"/>
      <c r="LRR9" s="34"/>
      <c r="LRS9" s="34"/>
      <c r="LRU9" s="34"/>
      <c r="LRV9" s="72"/>
      <c r="LRW9" s="63"/>
      <c r="LRX9" s="34"/>
      <c r="LRY9" s="64"/>
      <c r="LRZ9" s="4"/>
      <c r="LSA9" s="65"/>
      <c r="LSB9" s="4"/>
      <c r="LSC9" s="4"/>
      <c r="LSD9" s="4"/>
      <c r="LSG9" s="34"/>
      <c r="LSH9" s="34"/>
      <c r="LSJ9" s="34"/>
      <c r="LSK9" s="72"/>
      <c r="LSL9" s="63"/>
      <c r="LSM9" s="34"/>
      <c r="LSN9" s="64"/>
      <c r="LSO9" s="4"/>
      <c r="LSP9" s="65"/>
      <c r="LSQ9" s="4"/>
      <c r="LSR9" s="4"/>
      <c r="LSS9" s="4"/>
      <c r="LSV9" s="34"/>
      <c r="LSW9" s="34"/>
      <c r="LSY9" s="34"/>
      <c r="LSZ9" s="72"/>
      <c r="LTA9" s="63"/>
      <c r="LTB9" s="34"/>
      <c r="LTC9" s="64"/>
      <c r="LTD9" s="4"/>
      <c r="LTE9" s="65"/>
      <c r="LTF9" s="4"/>
      <c r="LTG9" s="4"/>
      <c r="LTH9" s="4"/>
      <c r="LTK9" s="34"/>
      <c r="LTL9" s="34"/>
      <c r="LTN9" s="34"/>
      <c r="LTO9" s="72"/>
      <c r="LTP9" s="63"/>
      <c r="LTQ9" s="34"/>
      <c r="LTR9" s="64"/>
      <c r="LTS9" s="4"/>
      <c r="LTT9" s="65"/>
      <c r="LTU9" s="4"/>
      <c r="LTV9" s="4"/>
      <c r="LTW9" s="4"/>
      <c r="LTZ9" s="34"/>
      <c r="LUA9" s="34"/>
      <c r="LUC9" s="34"/>
      <c r="LUD9" s="72"/>
      <c r="LUE9" s="63"/>
      <c r="LUF9" s="34"/>
      <c r="LUG9" s="64"/>
      <c r="LUH9" s="4"/>
      <c r="LUI9" s="65"/>
      <c r="LUJ9" s="4"/>
      <c r="LUK9" s="4"/>
      <c r="LUL9" s="4"/>
      <c r="LUO9" s="34"/>
      <c r="LUP9" s="34"/>
      <c r="LUR9" s="34"/>
      <c r="LUS9" s="72"/>
      <c r="LUT9" s="63"/>
      <c r="LUU9" s="34"/>
      <c r="LUV9" s="64"/>
      <c r="LUW9" s="4"/>
      <c r="LUX9" s="65"/>
      <c r="LUY9" s="4"/>
      <c r="LUZ9" s="4"/>
      <c r="LVA9" s="4"/>
      <c r="LVD9" s="34"/>
      <c r="LVE9" s="34"/>
      <c r="LVG9" s="34"/>
      <c r="LVH9" s="72"/>
      <c r="LVI9" s="63"/>
      <c r="LVJ9" s="34"/>
      <c r="LVK9" s="64"/>
      <c r="LVL9" s="4"/>
      <c r="LVM9" s="65"/>
      <c r="LVN9" s="4"/>
      <c r="LVO9" s="4"/>
      <c r="LVP9" s="4"/>
      <c r="LVS9" s="34"/>
      <c r="LVT9" s="34"/>
      <c r="LVV9" s="34"/>
      <c r="LVW9" s="72"/>
      <c r="LVX9" s="63"/>
      <c r="LVY9" s="34"/>
      <c r="LVZ9" s="64"/>
      <c r="LWA9" s="4"/>
      <c r="LWB9" s="65"/>
      <c r="LWC9" s="4"/>
      <c r="LWD9" s="4"/>
      <c r="LWE9" s="4"/>
      <c r="LWH9" s="34"/>
      <c r="LWI9" s="34"/>
      <c r="LWK9" s="34"/>
      <c r="LWL9" s="72"/>
      <c r="LWM9" s="63"/>
      <c r="LWN9" s="34"/>
      <c r="LWO9" s="64"/>
      <c r="LWP9" s="4"/>
      <c r="LWQ9" s="65"/>
      <c r="LWR9" s="4"/>
      <c r="LWS9" s="4"/>
      <c r="LWT9" s="4"/>
      <c r="LWW9" s="34"/>
      <c r="LWX9" s="34"/>
      <c r="LWZ9" s="34"/>
      <c r="LXA9" s="72"/>
      <c r="LXB9" s="63"/>
      <c r="LXC9" s="34"/>
      <c r="LXD9" s="64"/>
      <c r="LXE9" s="4"/>
      <c r="LXF9" s="65"/>
      <c r="LXG9" s="4"/>
      <c r="LXH9" s="4"/>
      <c r="LXI9" s="4"/>
      <c r="LXL9" s="34"/>
      <c r="LXM9" s="34"/>
      <c r="LXO9" s="34"/>
      <c r="LXP9" s="72"/>
      <c r="LXQ9" s="63"/>
      <c r="LXR9" s="34"/>
      <c r="LXS9" s="64"/>
      <c r="LXT9" s="4"/>
      <c r="LXU9" s="65"/>
      <c r="LXV9" s="4"/>
      <c r="LXW9" s="4"/>
      <c r="LXX9" s="4"/>
      <c r="LYA9" s="34"/>
      <c r="LYB9" s="34"/>
      <c r="LYD9" s="34"/>
      <c r="LYE9" s="72"/>
      <c r="LYF9" s="63"/>
      <c r="LYG9" s="34"/>
      <c r="LYH9" s="64"/>
      <c r="LYI9" s="4"/>
      <c r="LYJ9" s="65"/>
      <c r="LYK9" s="4"/>
      <c r="LYL9" s="4"/>
      <c r="LYM9" s="4"/>
      <c r="LYP9" s="34"/>
      <c r="LYQ9" s="34"/>
      <c r="LYS9" s="34"/>
      <c r="LYT9" s="72"/>
      <c r="LYU9" s="63"/>
      <c r="LYV9" s="34"/>
      <c r="LYW9" s="64"/>
      <c r="LYX9" s="4"/>
      <c r="LYY9" s="65"/>
      <c r="LYZ9" s="4"/>
      <c r="LZA9" s="4"/>
      <c r="LZB9" s="4"/>
      <c r="LZE9" s="34"/>
      <c r="LZF9" s="34"/>
      <c r="LZH9" s="34"/>
      <c r="LZI9" s="72"/>
      <c r="LZJ9" s="63"/>
      <c r="LZK9" s="34"/>
      <c r="LZL9" s="64"/>
      <c r="LZM9" s="4"/>
      <c r="LZN9" s="65"/>
      <c r="LZO9" s="4"/>
      <c r="LZP9" s="4"/>
      <c r="LZQ9" s="4"/>
      <c r="LZT9" s="34"/>
      <c r="LZU9" s="34"/>
      <c r="LZW9" s="34"/>
      <c r="LZX9" s="72"/>
      <c r="LZY9" s="63"/>
      <c r="LZZ9" s="34"/>
      <c r="MAA9" s="64"/>
      <c r="MAB9" s="4"/>
      <c r="MAC9" s="65"/>
      <c r="MAD9" s="4"/>
      <c r="MAE9" s="4"/>
      <c r="MAF9" s="4"/>
      <c r="MAI9" s="34"/>
      <c r="MAJ9" s="34"/>
      <c r="MAL9" s="34"/>
      <c r="MAM9" s="72"/>
      <c r="MAN9" s="63"/>
      <c r="MAO9" s="34"/>
      <c r="MAP9" s="64"/>
      <c r="MAQ9" s="4"/>
      <c r="MAR9" s="65"/>
      <c r="MAS9" s="4"/>
      <c r="MAT9" s="4"/>
      <c r="MAU9" s="4"/>
      <c r="MAX9" s="34"/>
      <c r="MAY9" s="34"/>
      <c r="MBA9" s="34"/>
      <c r="MBB9" s="72"/>
      <c r="MBC9" s="63"/>
      <c r="MBD9" s="34"/>
      <c r="MBE9" s="64"/>
      <c r="MBF9" s="4"/>
      <c r="MBG9" s="65"/>
      <c r="MBH9" s="4"/>
      <c r="MBI9" s="4"/>
      <c r="MBJ9" s="4"/>
      <c r="MBM9" s="34"/>
      <c r="MBN9" s="34"/>
      <c r="MBP9" s="34"/>
      <c r="MBQ9" s="72"/>
      <c r="MBR9" s="63"/>
      <c r="MBS9" s="34"/>
      <c r="MBT9" s="64"/>
      <c r="MBU9" s="4"/>
      <c r="MBV9" s="65"/>
      <c r="MBW9" s="4"/>
      <c r="MBX9" s="4"/>
      <c r="MBY9" s="4"/>
      <c r="MCB9" s="34"/>
      <c r="MCC9" s="34"/>
      <c r="MCE9" s="34"/>
      <c r="MCF9" s="72"/>
      <c r="MCG9" s="63"/>
      <c r="MCH9" s="34"/>
      <c r="MCI9" s="64"/>
      <c r="MCJ9" s="4"/>
      <c r="MCK9" s="65"/>
      <c r="MCL9" s="4"/>
      <c r="MCM9" s="4"/>
      <c r="MCN9" s="4"/>
      <c r="MCQ9" s="34"/>
      <c r="MCR9" s="34"/>
      <c r="MCT9" s="34"/>
      <c r="MCU9" s="72"/>
      <c r="MCV9" s="63"/>
      <c r="MCW9" s="34"/>
      <c r="MCX9" s="64"/>
      <c r="MCY9" s="4"/>
      <c r="MCZ9" s="65"/>
      <c r="MDA9" s="4"/>
      <c r="MDB9" s="4"/>
      <c r="MDC9" s="4"/>
      <c r="MDF9" s="34"/>
      <c r="MDG9" s="34"/>
      <c r="MDI9" s="34"/>
      <c r="MDJ9" s="72"/>
      <c r="MDK9" s="63"/>
      <c r="MDL9" s="34"/>
      <c r="MDM9" s="64"/>
      <c r="MDN9" s="4"/>
      <c r="MDO9" s="65"/>
      <c r="MDP9" s="4"/>
      <c r="MDQ9" s="4"/>
      <c r="MDR9" s="4"/>
      <c r="MDU9" s="34"/>
      <c r="MDV9" s="34"/>
      <c r="MDX9" s="34"/>
      <c r="MDY9" s="72"/>
      <c r="MDZ9" s="63"/>
      <c r="MEA9" s="34"/>
      <c r="MEB9" s="64"/>
      <c r="MEC9" s="4"/>
      <c r="MED9" s="65"/>
      <c r="MEE9" s="4"/>
      <c r="MEF9" s="4"/>
      <c r="MEG9" s="4"/>
      <c r="MEJ9" s="34"/>
      <c r="MEK9" s="34"/>
      <c r="MEM9" s="34"/>
      <c r="MEN9" s="72"/>
      <c r="MEO9" s="63"/>
      <c r="MEP9" s="34"/>
      <c r="MEQ9" s="64"/>
      <c r="MER9" s="4"/>
      <c r="MES9" s="65"/>
      <c r="MET9" s="4"/>
      <c r="MEU9" s="4"/>
      <c r="MEV9" s="4"/>
      <c r="MEY9" s="34"/>
      <c r="MEZ9" s="34"/>
      <c r="MFB9" s="34"/>
      <c r="MFC9" s="72"/>
      <c r="MFD9" s="63"/>
      <c r="MFE9" s="34"/>
      <c r="MFF9" s="64"/>
      <c r="MFG9" s="4"/>
      <c r="MFH9" s="65"/>
      <c r="MFI9" s="4"/>
      <c r="MFJ9" s="4"/>
      <c r="MFK9" s="4"/>
      <c r="MFN9" s="34"/>
      <c r="MFO9" s="34"/>
      <c r="MFQ9" s="34"/>
      <c r="MFR9" s="72"/>
      <c r="MFS9" s="63"/>
      <c r="MFT9" s="34"/>
      <c r="MFU9" s="64"/>
      <c r="MFV9" s="4"/>
      <c r="MFW9" s="65"/>
      <c r="MFX9" s="4"/>
      <c r="MFY9" s="4"/>
      <c r="MFZ9" s="4"/>
      <c r="MGC9" s="34"/>
      <c r="MGD9" s="34"/>
      <c r="MGF9" s="34"/>
      <c r="MGG9" s="72"/>
      <c r="MGH9" s="63"/>
      <c r="MGI9" s="34"/>
      <c r="MGJ9" s="64"/>
      <c r="MGK9" s="4"/>
      <c r="MGL9" s="65"/>
      <c r="MGM9" s="4"/>
      <c r="MGN9" s="4"/>
      <c r="MGO9" s="4"/>
      <c r="MGR9" s="34"/>
      <c r="MGS9" s="34"/>
      <c r="MGU9" s="34"/>
      <c r="MGV9" s="72"/>
      <c r="MGW9" s="63"/>
      <c r="MGX9" s="34"/>
      <c r="MGY9" s="64"/>
      <c r="MGZ9" s="4"/>
      <c r="MHA9" s="65"/>
      <c r="MHB9" s="4"/>
      <c r="MHC9" s="4"/>
      <c r="MHD9" s="4"/>
      <c r="MHG9" s="34"/>
      <c r="MHH9" s="34"/>
      <c r="MHJ9" s="34"/>
      <c r="MHK9" s="72"/>
      <c r="MHL9" s="63"/>
      <c r="MHM9" s="34"/>
      <c r="MHN9" s="64"/>
      <c r="MHO9" s="4"/>
      <c r="MHP9" s="65"/>
      <c r="MHQ9" s="4"/>
      <c r="MHR9" s="4"/>
      <c r="MHS9" s="4"/>
      <c r="MHV9" s="34"/>
      <c r="MHW9" s="34"/>
      <c r="MHY9" s="34"/>
      <c r="MHZ9" s="72"/>
      <c r="MIA9" s="63"/>
      <c r="MIB9" s="34"/>
      <c r="MIC9" s="64"/>
      <c r="MID9" s="4"/>
      <c r="MIE9" s="65"/>
      <c r="MIF9" s="4"/>
      <c r="MIG9" s="4"/>
      <c r="MIH9" s="4"/>
      <c r="MIK9" s="34"/>
      <c r="MIL9" s="34"/>
      <c r="MIN9" s="34"/>
      <c r="MIO9" s="72"/>
      <c r="MIP9" s="63"/>
      <c r="MIQ9" s="34"/>
      <c r="MIR9" s="64"/>
      <c r="MIS9" s="4"/>
      <c r="MIT9" s="65"/>
      <c r="MIU9" s="4"/>
      <c r="MIV9" s="4"/>
      <c r="MIW9" s="4"/>
      <c r="MIZ9" s="34"/>
      <c r="MJA9" s="34"/>
      <c r="MJC9" s="34"/>
      <c r="MJD9" s="72"/>
      <c r="MJE9" s="63"/>
      <c r="MJF9" s="34"/>
      <c r="MJG9" s="64"/>
      <c r="MJH9" s="4"/>
      <c r="MJI9" s="65"/>
      <c r="MJJ9" s="4"/>
      <c r="MJK9" s="4"/>
      <c r="MJL9" s="4"/>
      <c r="MJO9" s="34"/>
      <c r="MJP9" s="34"/>
      <c r="MJR9" s="34"/>
      <c r="MJS9" s="72"/>
      <c r="MJT9" s="63"/>
      <c r="MJU9" s="34"/>
      <c r="MJV9" s="64"/>
      <c r="MJW9" s="4"/>
      <c r="MJX9" s="65"/>
      <c r="MJY9" s="4"/>
      <c r="MJZ9" s="4"/>
      <c r="MKA9" s="4"/>
      <c r="MKD9" s="34"/>
      <c r="MKE9" s="34"/>
      <c r="MKG9" s="34"/>
      <c r="MKH9" s="72"/>
      <c r="MKI9" s="63"/>
      <c r="MKJ9" s="34"/>
      <c r="MKK9" s="64"/>
      <c r="MKL9" s="4"/>
      <c r="MKM9" s="65"/>
      <c r="MKN9" s="4"/>
      <c r="MKO9" s="4"/>
      <c r="MKP9" s="4"/>
      <c r="MKS9" s="34"/>
      <c r="MKT9" s="34"/>
      <c r="MKV9" s="34"/>
      <c r="MKW9" s="72"/>
      <c r="MKX9" s="63"/>
      <c r="MKY9" s="34"/>
      <c r="MKZ9" s="64"/>
      <c r="MLA9" s="4"/>
      <c r="MLB9" s="65"/>
      <c r="MLC9" s="4"/>
      <c r="MLD9" s="4"/>
      <c r="MLE9" s="4"/>
      <c r="MLH9" s="34"/>
      <c r="MLI9" s="34"/>
      <c r="MLK9" s="34"/>
      <c r="MLL9" s="72"/>
      <c r="MLM9" s="63"/>
      <c r="MLN9" s="34"/>
      <c r="MLO9" s="64"/>
      <c r="MLP9" s="4"/>
      <c r="MLQ9" s="65"/>
      <c r="MLR9" s="4"/>
      <c r="MLS9" s="4"/>
      <c r="MLT9" s="4"/>
      <c r="MLW9" s="34"/>
      <c r="MLX9" s="34"/>
      <c r="MLZ9" s="34"/>
      <c r="MMA9" s="72"/>
      <c r="MMB9" s="63"/>
      <c r="MMC9" s="34"/>
      <c r="MMD9" s="64"/>
      <c r="MME9" s="4"/>
      <c r="MMF9" s="65"/>
      <c r="MMG9" s="4"/>
      <c r="MMH9" s="4"/>
      <c r="MMI9" s="4"/>
      <c r="MML9" s="34"/>
      <c r="MMM9" s="34"/>
      <c r="MMO9" s="34"/>
      <c r="MMP9" s="72"/>
      <c r="MMQ9" s="63"/>
      <c r="MMR9" s="34"/>
      <c r="MMS9" s="64"/>
      <c r="MMT9" s="4"/>
      <c r="MMU9" s="65"/>
      <c r="MMV9" s="4"/>
      <c r="MMW9" s="4"/>
      <c r="MMX9" s="4"/>
      <c r="MNA9" s="34"/>
      <c r="MNB9" s="34"/>
      <c r="MND9" s="34"/>
      <c r="MNE9" s="72"/>
      <c r="MNF9" s="63"/>
      <c r="MNG9" s="34"/>
      <c r="MNH9" s="64"/>
      <c r="MNI9" s="4"/>
      <c r="MNJ9" s="65"/>
      <c r="MNK9" s="4"/>
      <c r="MNL9" s="4"/>
      <c r="MNM9" s="4"/>
      <c r="MNP9" s="34"/>
      <c r="MNQ9" s="34"/>
      <c r="MNS9" s="34"/>
      <c r="MNT9" s="72"/>
      <c r="MNU9" s="63"/>
      <c r="MNV9" s="34"/>
      <c r="MNW9" s="64"/>
      <c r="MNX9" s="4"/>
      <c r="MNY9" s="65"/>
      <c r="MNZ9" s="4"/>
      <c r="MOA9" s="4"/>
      <c r="MOB9" s="4"/>
      <c r="MOE9" s="34"/>
      <c r="MOF9" s="34"/>
      <c r="MOH9" s="34"/>
      <c r="MOI9" s="72"/>
      <c r="MOJ9" s="63"/>
      <c r="MOK9" s="34"/>
      <c r="MOL9" s="64"/>
      <c r="MOM9" s="4"/>
      <c r="MON9" s="65"/>
      <c r="MOO9" s="4"/>
      <c r="MOP9" s="4"/>
      <c r="MOQ9" s="4"/>
      <c r="MOT9" s="34"/>
      <c r="MOU9" s="34"/>
      <c r="MOW9" s="34"/>
      <c r="MOX9" s="72"/>
      <c r="MOY9" s="63"/>
      <c r="MOZ9" s="34"/>
      <c r="MPA9" s="64"/>
      <c r="MPB9" s="4"/>
      <c r="MPC9" s="65"/>
      <c r="MPD9" s="4"/>
      <c r="MPE9" s="4"/>
      <c r="MPF9" s="4"/>
      <c r="MPI9" s="34"/>
      <c r="MPJ9" s="34"/>
      <c r="MPL9" s="34"/>
      <c r="MPM9" s="72"/>
      <c r="MPN9" s="63"/>
      <c r="MPO9" s="34"/>
      <c r="MPP9" s="64"/>
      <c r="MPQ9" s="4"/>
      <c r="MPR9" s="65"/>
      <c r="MPS9" s="4"/>
      <c r="MPT9" s="4"/>
      <c r="MPU9" s="4"/>
      <c r="MPX9" s="34"/>
      <c r="MPY9" s="34"/>
      <c r="MQA9" s="34"/>
      <c r="MQB9" s="72"/>
      <c r="MQC9" s="63"/>
      <c r="MQD9" s="34"/>
      <c r="MQE9" s="64"/>
      <c r="MQF9" s="4"/>
      <c r="MQG9" s="65"/>
      <c r="MQH9" s="4"/>
      <c r="MQI9" s="4"/>
      <c r="MQJ9" s="4"/>
      <c r="MQM9" s="34"/>
      <c r="MQN9" s="34"/>
      <c r="MQP9" s="34"/>
      <c r="MQQ9" s="72"/>
      <c r="MQR9" s="63"/>
      <c r="MQS9" s="34"/>
      <c r="MQT9" s="64"/>
      <c r="MQU9" s="4"/>
      <c r="MQV9" s="65"/>
      <c r="MQW9" s="4"/>
      <c r="MQX9" s="4"/>
      <c r="MQY9" s="4"/>
      <c r="MRB9" s="34"/>
      <c r="MRC9" s="34"/>
      <c r="MRE9" s="34"/>
      <c r="MRF9" s="72"/>
      <c r="MRG9" s="63"/>
      <c r="MRH9" s="34"/>
      <c r="MRI9" s="64"/>
      <c r="MRJ9" s="4"/>
      <c r="MRK9" s="65"/>
      <c r="MRL9" s="4"/>
      <c r="MRM9" s="4"/>
      <c r="MRN9" s="4"/>
      <c r="MRQ9" s="34"/>
      <c r="MRR9" s="34"/>
      <c r="MRT9" s="34"/>
      <c r="MRU9" s="72"/>
      <c r="MRV9" s="63"/>
      <c r="MRW9" s="34"/>
      <c r="MRX9" s="64"/>
      <c r="MRY9" s="4"/>
      <c r="MRZ9" s="65"/>
      <c r="MSA9" s="4"/>
      <c r="MSB9" s="4"/>
      <c r="MSC9" s="4"/>
      <c r="MSF9" s="34"/>
      <c r="MSG9" s="34"/>
      <c r="MSI9" s="34"/>
      <c r="MSJ9" s="72"/>
      <c r="MSK9" s="63"/>
      <c r="MSL9" s="34"/>
      <c r="MSM9" s="64"/>
      <c r="MSN9" s="4"/>
      <c r="MSO9" s="65"/>
      <c r="MSP9" s="4"/>
      <c r="MSQ9" s="4"/>
      <c r="MSR9" s="4"/>
      <c r="MSU9" s="34"/>
      <c r="MSV9" s="34"/>
      <c r="MSX9" s="34"/>
      <c r="MSY9" s="72"/>
      <c r="MSZ9" s="63"/>
      <c r="MTA9" s="34"/>
      <c r="MTB9" s="64"/>
      <c r="MTC9" s="4"/>
      <c r="MTD9" s="65"/>
      <c r="MTE9" s="4"/>
      <c r="MTF9" s="4"/>
      <c r="MTG9" s="4"/>
      <c r="MTJ9" s="34"/>
      <c r="MTK9" s="34"/>
      <c r="MTM9" s="34"/>
      <c r="MTN9" s="72"/>
      <c r="MTO9" s="63"/>
      <c r="MTP9" s="34"/>
      <c r="MTQ9" s="64"/>
      <c r="MTR9" s="4"/>
      <c r="MTS9" s="65"/>
      <c r="MTT9" s="4"/>
      <c r="MTU9" s="4"/>
      <c r="MTV9" s="4"/>
      <c r="MTY9" s="34"/>
      <c r="MTZ9" s="34"/>
      <c r="MUB9" s="34"/>
      <c r="MUC9" s="72"/>
      <c r="MUD9" s="63"/>
      <c r="MUE9" s="34"/>
      <c r="MUF9" s="64"/>
      <c r="MUG9" s="4"/>
      <c r="MUH9" s="65"/>
      <c r="MUI9" s="4"/>
      <c r="MUJ9" s="4"/>
      <c r="MUK9" s="4"/>
      <c r="MUN9" s="34"/>
      <c r="MUO9" s="34"/>
      <c r="MUQ9" s="34"/>
      <c r="MUR9" s="72"/>
      <c r="MUS9" s="63"/>
      <c r="MUT9" s="34"/>
      <c r="MUU9" s="64"/>
      <c r="MUV9" s="4"/>
      <c r="MUW9" s="65"/>
      <c r="MUX9" s="4"/>
      <c r="MUY9" s="4"/>
      <c r="MUZ9" s="4"/>
      <c r="MVC9" s="34"/>
      <c r="MVD9" s="34"/>
      <c r="MVF9" s="34"/>
      <c r="MVG9" s="72"/>
      <c r="MVH9" s="63"/>
      <c r="MVI9" s="34"/>
      <c r="MVJ9" s="64"/>
      <c r="MVK9" s="4"/>
      <c r="MVL9" s="65"/>
      <c r="MVM9" s="4"/>
      <c r="MVN9" s="4"/>
      <c r="MVO9" s="4"/>
      <c r="MVR9" s="34"/>
      <c r="MVS9" s="34"/>
      <c r="MVU9" s="34"/>
      <c r="MVV9" s="72"/>
      <c r="MVW9" s="63"/>
      <c r="MVX9" s="34"/>
      <c r="MVY9" s="64"/>
      <c r="MVZ9" s="4"/>
      <c r="MWA9" s="65"/>
      <c r="MWB9" s="4"/>
      <c r="MWC9" s="4"/>
      <c r="MWD9" s="4"/>
      <c r="MWG9" s="34"/>
      <c r="MWH9" s="34"/>
      <c r="MWJ9" s="34"/>
      <c r="MWK9" s="72"/>
      <c r="MWL9" s="63"/>
      <c r="MWM9" s="34"/>
      <c r="MWN9" s="64"/>
      <c r="MWO9" s="4"/>
      <c r="MWP9" s="65"/>
      <c r="MWQ9" s="4"/>
      <c r="MWR9" s="4"/>
      <c r="MWS9" s="4"/>
      <c r="MWV9" s="34"/>
      <c r="MWW9" s="34"/>
      <c r="MWY9" s="34"/>
      <c r="MWZ9" s="72"/>
      <c r="MXA9" s="63"/>
      <c r="MXB9" s="34"/>
      <c r="MXC9" s="64"/>
      <c r="MXD9" s="4"/>
      <c r="MXE9" s="65"/>
      <c r="MXF9" s="4"/>
      <c r="MXG9" s="4"/>
      <c r="MXH9" s="4"/>
      <c r="MXK9" s="34"/>
      <c r="MXL9" s="34"/>
      <c r="MXN9" s="34"/>
      <c r="MXO9" s="72"/>
      <c r="MXP9" s="63"/>
      <c r="MXQ9" s="34"/>
      <c r="MXR9" s="64"/>
      <c r="MXS9" s="4"/>
      <c r="MXT9" s="65"/>
      <c r="MXU9" s="4"/>
      <c r="MXV9" s="4"/>
      <c r="MXW9" s="4"/>
      <c r="MXZ9" s="34"/>
      <c r="MYA9" s="34"/>
      <c r="MYC9" s="34"/>
      <c r="MYD9" s="72"/>
      <c r="MYE9" s="63"/>
      <c r="MYF9" s="34"/>
      <c r="MYG9" s="64"/>
      <c r="MYH9" s="4"/>
      <c r="MYI9" s="65"/>
      <c r="MYJ9" s="4"/>
      <c r="MYK9" s="4"/>
      <c r="MYL9" s="4"/>
      <c r="MYO9" s="34"/>
      <c r="MYP9" s="34"/>
      <c r="MYR9" s="34"/>
      <c r="MYS9" s="72"/>
      <c r="MYT9" s="63"/>
      <c r="MYU9" s="34"/>
      <c r="MYV9" s="64"/>
      <c r="MYW9" s="4"/>
      <c r="MYX9" s="65"/>
      <c r="MYY9" s="4"/>
      <c r="MYZ9" s="4"/>
      <c r="MZA9" s="4"/>
      <c r="MZD9" s="34"/>
      <c r="MZE9" s="34"/>
      <c r="MZG9" s="34"/>
      <c r="MZH9" s="72"/>
      <c r="MZI9" s="63"/>
      <c r="MZJ9" s="34"/>
      <c r="MZK9" s="64"/>
      <c r="MZL9" s="4"/>
      <c r="MZM9" s="65"/>
      <c r="MZN9" s="4"/>
      <c r="MZO9" s="4"/>
      <c r="MZP9" s="4"/>
      <c r="MZS9" s="34"/>
      <c r="MZT9" s="34"/>
      <c r="MZV9" s="34"/>
      <c r="MZW9" s="72"/>
      <c r="MZX9" s="63"/>
      <c r="MZY9" s="34"/>
      <c r="MZZ9" s="64"/>
      <c r="NAA9" s="4"/>
      <c r="NAB9" s="65"/>
      <c r="NAC9" s="4"/>
      <c r="NAD9" s="4"/>
      <c r="NAE9" s="4"/>
      <c r="NAH9" s="34"/>
      <c r="NAI9" s="34"/>
      <c r="NAK9" s="34"/>
      <c r="NAL9" s="72"/>
      <c r="NAM9" s="63"/>
      <c r="NAN9" s="34"/>
      <c r="NAO9" s="64"/>
      <c r="NAP9" s="4"/>
      <c r="NAQ9" s="65"/>
      <c r="NAR9" s="4"/>
      <c r="NAS9" s="4"/>
      <c r="NAT9" s="4"/>
      <c r="NAW9" s="34"/>
      <c r="NAX9" s="34"/>
      <c r="NAZ9" s="34"/>
      <c r="NBA9" s="72"/>
      <c r="NBB9" s="63"/>
      <c r="NBC9" s="34"/>
      <c r="NBD9" s="64"/>
      <c r="NBE9" s="4"/>
      <c r="NBF9" s="65"/>
      <c r="NBG9" s="4"/>
      <c r="NBH9" s="4"/>
      <c r="NBI9" s="4"/>
      <c r="NBL9" s="34"/>
      <c r="NBM9" s="34"/>
      <c r="NBO9" s="34"/>
      <c r="NBP9" s="72"/>
      <c r="NBQ9" s="63"/>
      <c r="NBR9" s="34"/>
      <c r="NBS9" s="64"/>
      <c r="NBT9" s="4"/>
      <c r="NBU9" s="65"/>
      <c r="NBV9" s="4"/>
      <c r="NBW9" s="4"/>
      <c r="NBX9" s="4"/>
      <c r="NCA9" s="34"/>
      <c r="NCB9" s="34"/>
      <c r="NCD9" s="34"/>
      <c r="NCE9" s="72"/>
      <c r="NCF9" s="63"/>
      <c r="NCG9" s="34"/>
      <c r="NCH9" s="64"/>
      <c r="NCI9" s="4"/>
      <c r="NCJ9" s="65"/>
      <c r="NCK9" s="4"/>
      <c r="NCL9" s="4"/>
      <c r="NCM9" s="4"/>
      <c r="NCP9" s="34"/>
      <c r="NCQ9" s="34"/>
      <c r="NCS9" s="34"/>
      <c r="NCT9" s="72"/>
      <c r="NCU9" s="63"/>
      <c r="NCV9" s="34"/>
      <c r="NCW9" s="64"/>
      <c r="NCX9" s="4"/>
      <c r="NCY9" s="65"/>
      <c r="NCZ9" s="4"/>
      <c r="NDA9" s="4"/>
      <c r="NDB9" s="4"/>
      <c r="NDE9" s="34"/>
      <c r="NDF9" s="34"/>
      <c r="NDH9" s="34"/>
      <c r="NDI9" s="72"/>
      <c r="NDJ9" s="63"/>
      <c r="NDK9" s="34"/>
      <c r="NDL9" s="64"/>
      <c r="NDM9" s="4"/>
      <c r="NDN9" s="65"/>
      <c r="NDO9" s="4"/>
      <c r="NDP9" s="4"/>
      <c r="NDQ9" s="4"/>
      <c r="NDT9" s="34"/>
      <c r="NDU9" s="34"/>
      <c r="NDW9" s="34"/>
      <c r="NDX9" s="72"/>
      <c r="NDY9" s="63"/>
      <c r="NDZ9" s="34"/>
      <c r="NEA9" s="64"/>
      <c r="NEB9" s="4"/>
      <c r="NEC9" s="65"/>
      <c r="NED9" s="4"/>
      <c r="NEE9" s="4"/>
      <c r="NEF9" s="4"/>
      <c r="NEI9" s="34"/>
      <c r="NEJ9" s="34"/>
      <c r="NEL9" s="34"/>
      <c r="NEM9" s="72"/>
      <c r="NEN9" s="63"/>
      <c r="NEO9" s="34"/>
      <c r="NEP9" s="64"/>
      <c r="NEQ9" s="4"/>
      <c r="NER9" s="65"/>
      <c r="NES9" s="4"/>
      <c r="NET9" s="4"/>
      <c r="NEU9" s="4"/>
      <c r="NEX9" s="34"/>
      <c r="NEY9" s="34"/>
      <c r="NFA9" s="34"/>
      <c r="NFB9" s="72"/>
      <c r="NFC9" s="63"/>
      <c r="NFD9" s="34"/>
      <c r="NFE9" s="64"/>
      <c r="NFF9" s="4"/>
      <c r="NFG9" s="65"/>
      <c r="NFH9" s="4"/>
      <c r="NFI9" s="4"/>
      <c r="NFJ9" s="4"/>
      <c r="NFM9" s="34"/>
      <c r="NFN9" s="34"/>
      <c r="NFP9" s="34"/>
      <c r="NFQ9" s="72"/>
      <c r="NFR9" s="63"/>
      <c r="NFS9" s="34"/>
      <c r="NFT9" s="64"/>
      <c r="NFU9" s="4"/>
      <c r="NFV9" s="65"/>
      <c r="NFW9" s="4"/>
      <c r="NFX9" s="4"/>
      <c r="NFY9" s="4"/>
      <c r="NGB9" s="34"/>
      <c r="NGC9" s="34"/>
      <c r="NGE9" s="34"/>
      <c r="NGF9" s="72"/>
      <c r="NGG9" s="63"/>
      <c r="NGH9" s="34"/>
      <c r="NGI9" s="64"/>
      <c r="NGJ9" s="4"/>
      <c r="NGK9" s="65"/>
      <c r="NGL9" s="4"/>
      <c r="NGM9" s="4"/>
      <c r="NGN9" s="4"/>
      <c r="NGQ9" s="34"/>
      <c r="NGR9" s="34"/>
      <c r="NGT9" s="34"/>
      <c r="NGU9" s="72"/>
      <c r="NGV9" s="63"/>
      <c r="NGW9" s="34"/>
      <c r="NGX9" s="64"/>
      <c r="NGY9" s="4"/>
      <c r="NGZ9" s="65"/>
      <c r="NHA9" s="4"/>
      <c r="NHB9" s="4"/>
      <c r="NHC9" s="4"/>
      <c r="NHF9" s="34"/>
      <c r="NHG9" s="34"/>
      <c r="NHI9" s="34"/>
      <c r="NHJ9" s="72"/>
      <c r="NHK9" s="63"/>
      <c r="NHL9" s="34"/>
      <c r="NHM9" s="64"/>
      <c r="NHN9" s="4"/>
      <c r="NHO9" s="65"/>
      <c r="NHP9" s="4"/>
      <c r="NHQ9" s="4"/>
      <c r="NHR9" s="4"/>
      <c r="NHU9" s="34"/>
      <c r="NHV9" s="34"/>
      <c r="NHX9" s="34"/>
      <c r="NHY9" s="72"/>
      <c r="NHZ9" s="63"/>
      <c r="NIA9" s="34"/>
      <c r="NIB9" s="64"/>
      <c r="NIC9" s="4"/>
      <c r="NID9" s="65"/>
      <c r="NIE9" s="4"/>
      <c r="NIF9" s="4"/>
      <c r="NIG9" s="4"/>
      <c r="NIJ9" s="34"/>
      <c r="NIK9" s="34"/>
      <c r="NIM9" s="34"/>
      <c r="NIN9" s="72"/>
      <c r="NIO9" s="63"/>
      <c r="NIP9" s="34"/>
      <c r="NIQ9" s="64"/>
      <c r="NIR9" s="4"/>
      <c r="NIS9" s="65"/>
      <c r="NIT9" s="4"/>
      <c r="NIU9" s="4"/>
      <c r="NIV9" s="4"/>
      <c r="NIY9" s="34"/>
      <c r="NIZ9" s="34"/>
      <c r="NJB9" s="34"/>
      <c r="NJC9" s="72"/>
      <c r="NJD9" s="63"/>
      <c r="NJE9" s="34"/>
      <c r="NJF9" s="64"/>
      <c r="NJG9" s="4"/>
      <c r="NJH9" s="65"/>
      <c r="NJI9" s="4"/>
      <c r="NJJ9" s="4"/>
      <c r="NJK9" s="4"/>
      <c r="NJN9" s="34"/>
      <c r="NJO9" s="34"/>
      <c r="NJQ9" s="34"/>
      <c r="NJR9" s="72"/>
      <c r="NJS9" s="63"/>
      <c r="NJT9" s="34"/>
      <c r="NJU9" s="64"/>
      <c r="NJV9" s="4"/>
      <c r="NJW9" s="65"/>
      <c r="NJX9" s="4"/>
      <c r="NJY9" s="4"/>
      <c r="NJZ9" s="4"/>
      <c r="NKC9" s="34"/>
      <c r="NKD9" s="34"/>
      <c r="NKF9" s="34"/>
      <c r="NKG9" s="72"/>
      <c r="NKH9" s="63"/>
      <c r="NKI9" s="34"/>
      <c r="NKJ9" s="64"/>
      <c r="NKK9" s="4"/>
      <c r="NKL9" s="65"/>
      <c r="NKM9" s="4"/>
      <c r="NKN9" s="4"/>
      <c r="NKO9" s="4"/>
      <c r="NKR9" s="34"/>
      <c r="NKS9" s="34"/>
      <c r="NKU9" s="34"/>
      <c r="NKV9" s="72"/>
      <c r="NKW9" s="63"/>
      <c r="NKX9" s="34"/>
      <c r="NKY9" s="64"/>
      <c r="NKZ9" s="4"/>
      <c r="NLA9" s="65"/>
      <c r="NLB9" s="4"/>
      <c r="NLC9" s="4"/>
      <c r="NLD9" s="4"/>
      <c r="NLG9" s="34"/>
      <c r="NLH9" s="34"/>
      <c r="NLJ9" s="34"/>
      <c r="NLK9" s="72"/>
      <c r="NLL9" s="63"/>
      <c r="NLM9" s="34"/>
      <c r="NLN9" s="64"/>
      <c r="NLO9" s="4"/>
      <c r="NLP9" s="65"/>
      <c r="NLQ9" s="4"/>
      <c r="NLR9" s="4"/>
      <c r="NLS9" s="4"/>
      <c r="NLV9" s="34"/>
      <c r="NLW9" s="34"/>
      <c r="NLY9" s="34"/>
      <c r="NLZ9" s="72"/>
      <c r="NMA9" s="63"/>
      <c r="NMB9" s="34"/>
      <c r="NMC9" s="64"/>
      <c r="NMD9" s="4"/>
      <c r="NME9" s="65"/>
      <c r="NMF9" s="4"/>
      <c r="NMG9" s="4"/>
      <c r="NMH9" s="4"/>
      <c r="NMK9" s="34"/>
      <c r="NML9" s="34"/>
      <c r="NMN9" s="34"/>
      <c r="NMO9" s="72"/>
      <c r="NMP9" s="63"/>
      <c r="NMQ9" s="34"/>
      <c r="NMR9" s="64"/>
      <c r="NMS9" s="4"/>
      <c r="NMT9" s="65"/>
      <c r="NMU9" s="4"/>
      <c r="NMV9" s="4"/>
      <c r="NMW9" s="4"/>
      <c r="NMZ9" s="34"/>
      <c r="NNA9" s="34"/>
      <c r="NNC9" s="34"/>
      <c r="NND9" s="72"/>
      <c r="NNE9" s="63"/>
      <c r="NNF9" s="34"/>
      <c r="NNG9" s="64"/>
      <c r="NNH9" s="4"/>
      <c r="NNI9" s="65"/>
      <c r="NNJ9" s="4"/>
      <c r="NNK9" s="4"/>
      <c r="NNL9" s="4"/>
      <c r="NNO9" s="34"/>
      <c r="NNP9" s="34"/>
      <c r="NNR9" s="34"/>
      <c r="NNS9" s="72"/>
      <c r="NNT9" s="63"/>
      <c r="NNU9" s="34"/>
      <c r="NNV9" s="64"/>
      <c r="NNW9" s="4"/>
      <c r="NNX9" s="65"/>
      <c r="NNY9" s="4"/>
      <c r="NNZ9" s="4"/>
      <c r="NOA9" s="4"/>
      <c r="NOD9" s="34"/>
      <c r="NOE9" s="34"/>
      <c r="NOG9" s="34"/>
      <c r="NOH9" s="72"/>
      <c r="NOI9" s="63"/>
      <c r="NOJ9" s="34"/>
      <c r="NOK9" s="64"/>
      <c r="NOL9" s="4"/>
      <c r="NOM9" s="65"/>
      <c r="NON9" s="4"/>
      <c r="NOO9" s="4"/>
      <c r="NOP9" s="4"/>
      <c r="NOS9" s="34"/>
      <c r="NOT9" s="34"/>
      <c r="NOV9" s="34"/>
      <c r="NOW9" s="72"/>
      <c r="NOX9" s="63"/>
      <c r="NOY9" s="34"/>
      <c r="NOZ9" s="64"/>
      <c r="NPA9" s="4"/>
      <c r="NPB9" s="65"/>
      <c r="NPC9" s="4"/>
      <c r="NPD9" s="4"/>
      <c r="NPE9" s="4"/>
      <c r="NPH9" s="34"/>
      <c r="NPI9" s="34"/>
      <c r="NPK9" s="34"/>
      <c r="NPL9" s="72"/>
      <c r="NPM9" s="63"/>
      <c r="NPN9" s="34"/>
      <c r="NPO9" s="64"/>
      <c r="NPP9" s="4"/>
      <c r="NPQ9" s="65"/>
      <c r="NPR9" s="4"/>
      <c r="NPS9" s="4"/>
      <c r="NPT9" s="4"/>
      <c r="NPW9" s="34"/>
      <c r="NPX9" s="34"/>
      <c r="NPZ9" s="34"/>
      <c r="NQA9" s="72"/>
      <c r="NQB9" s="63"/>
      <c r="NQC9" s="34"/>
      <c r="NQD9" s="64"/>
      <c r="NQE9" s="4"/>
      <c r="NQF9" s="65"/>
      <c r="NQG9" s="4"/>
      <c r="NQH9" s="4"/>
      <c r="NQI9" s="4"/>
      <c r="NQL9" s="34"/>
      <c r="NQM9" s="34"/>
      <c r="NQO9" s="34"/>
      <c r="NQP9" s="72"/>
      <c r="NQQ9" s="63"/>
      <c r="NQR9" s="34"/>
      <c r="NQS9" s="64"/>
      <c r="NQT9" s="4"/>
      <c r="NQU9" s="65"/>
      <c r="NQV9" s="4"/>
      <c r="NQW9" s="4"/>
      <c r="NQX9" s="4"/>
      <c r="NRA9" s="34"/>
      <c r="NRB9" s="34"/>
      <c r="NRD9" s="34"/>
      <c r="NRE9" s="72"/>
      <c r="NRF9" s="63"/>
      <c r="NRG9" s="34"/>
      <c r="NRH9" s="64"/>
      <c r="NRI9" s="4"/>
      <c r="NRJ9" s="65"/>
      <c r="NRK9" s="4"/>
      <c r="NRL9" s="4"/>
      <c r="NRM9" s="4"/>
      <c r="NRP9" s="34"/>
      <c r="NRQ9" s="34"/>
      <c r="NRS9" s="34"/>
      <c r="NRT9" s="72"/>
      <c r="NRU9" s="63"/>
      <c r="NRV9" s="34"/>
      <c r="NRW9" s="64"/>
      <c r="NRX9" s="4"/>
      <c r="NRY9" s="65"/>
      <c r="NRZ9" s="4"/>
      <c r="NSA9" s="4"/>
      <c r="NSB9" s="4"/>
      <c r="NSE9" s="34"/>
      <c r="NSF9" s="34"/>
      <c r="NSH9" s="34"/>
      <c r="NSI9" s="72"/>
      <c r="NSJ9" s="63"/>
      <c r="NSK9" s="34"/>
      <c r="NSL9" s="64"/>
      <c r="NSM9" s="4"/>
      <c r="NSN9" s="65"/>
      <c r="NSO9" s="4"/>
      <c r="NSP9" s="4"/>
      <c r="NSQ9" s="4"/>
      <c r="NST9" s="34"/>
      <c r="NSU9" s="34"/>
      <c r="NSW9" s="34"/>
      <c r="NSX9" s="72"/>
      <c r="NSY9" s="63"/>
      <c r="NSZ9" s="34"/>
      <c r="NTA9" s="64"/>
      <c r="NTB9" s="4"/>
      <c r="NTC9" s="65"/>
      <c r="NTD9" s="4"/>
      <c r="NTE9" s="4"/>
      <c r="NTF9" s="4"/>
      <c r="NTI9" s="34"/>
      <c r="NTJ9" s="34"/>
      <c r="NTL9" s="34"/>
      <c r="NTM9" s="72"/>
      <c r="NTN9" s="63"/>
      <c r="NTO9" s="34"/>
      <c r="NTP9" s="64"/>
      <c r="NTQ9" s="4"/>
      <c r="NTR9" s="65"/>
      <c r="NTS9" s="4"/>
      <c r="NTT9" s="4"/>
      <c r="NTU9" s="4"/>
      <c r="NTX9" s="34"/>
      <c r="NTY9" s="34"/>
      <c r="NUA9" s="34"/>
      <c r="NUB9" s="72"/>
      <c r="NUC9" s="63"/>
      <c r="NUD9" s="34"/>
      <c r="NUE9" s="64"/>
      <c r="NUF9" s="4"/>
      <c r="NUG9" s="65"/>
      <c r="NUH9" s="4"/>
      <c r="NUI9" s="4"/>
      <c r="NUJ9" s="4"/>
      <c r="NUM9" s="34"/>
      <c r="NUN9" s="34"/>
      <c r="NUP9" s="34"/>
      <c r="NUQ9" s="72"/>
      <c r="NUR9" s="63"/>
      <c r="NUS9" s="34"/>
      <c r="NUT9" s="64"/>
      <c r="NUU9" s="4"/>
      <c r="NUV9" s="65"/>
      <c r="NUW9" s="4"/>
      <c r="NUX9" s="4"/>
      <c r="NUY9" s="4"/>
      <c r="NVB9" s="34"/>
      <c r="NVC9" s="34"/>
      <c r="NVE9" s="34"/>
      <c r="NVF9" s="72"/>
      <c r="NVG9" s="63"/>
      <c r="NVH9" s="34"/>
      <c r="NVI9" s="64"/>
      <c r="NVJ9" s="4"/>
      <c r="NVK9" s="65"/>
      <c r="NVL9" s="4"/>
      <c r="NVM9" s="4"/>
      <c r="NVN9" s="4"/>
      <c r="NVQ9" s="34"/>
      <c r="NVR9" s="34"/>
      <c r="NVT9" s="34"/>
      <c r="NVU9" s="72"/>
      <c r="NVV9" s="63"/>
      <c r="NVW9" s="34"/>
      <c r="NVX9" s="64"/>
      <c r="NVY9" s="4"/>
      <c r="NVZ9" s="65"/>
      <c r="NWA9" s="4"/>
      <c r="NWB9" s="4"/>
      <c r="NWC9" s="4"/>
      <c r="NWF9" s="34"/>
      <c r="NWG9" s="34"/>
      <c r="NWI9" s="34"/>
      <c r="NWJ9" s="72"/>
      <c r="NWK9" s="63"/>
      <c r="NWL9" s="34"/>
      <c r="NWM9" s="64"/>
      <c r="NWN9" s="4"/>
      <c r="NWO9" s="65"/>
      <c r="NWP9" s="4"/>
      <c r="NWQ9" s="4"/>
      <c r="NWR9" s="4"/>
      <c r="NWU9" s="34"/>
      <c r="NWV9" s="34"/>
      <c r="NWX9" s="34"/>
      <c r="NWY9" s="72"/>
      <c r="NWZ9" s="63"/>
      <c r="NXA9" s="34"/>
      <c r="NXB9" s="64"/>
      <c r="NXC9" s="4"/>
      <c r="NXD9" s="65"/>
      <c r="NXE9" s="4"/>
      <c r="NXF9" s="4"/>
      <c r="NXG9" s="4"/>
      <c r="NXJ9" s="34"/>
      <c r="NXK9" s="34"/>
      <c r="NXM9" s="34"/>
      <c r="NXN9" s="72"/>
      <c r="NXO9" s="63"/>
      <c r="NXP9" s="34"/>
      <c r="NXQ9" s="64"/>
      <c r="NXR9" s="4"/>
      <c r="NXS9" s="65"/>
      <c r="NXT9" s="4"/>
      <c r="NXU9" s="4"/>
      <c r="NXV9" s="4"/>
      <c r="NXY9" s="34"/>
      <c r="NXZ9" s="34"/>
      <c r="NYB9" s="34"/>
      <c r="NYC9" s="72"/>
      <c r="NYD9" s="63"/>
      <c r="NYE9" s="34"/>
      <c r="NYF9" s="64"/>
      <c r="NYG9" s="4"/>
      <c r="NYH9" s="65"/>
      <c r="NYI9" s="4"/>
      <c r="NYJ9" s="4"/>
      <c r="NYK9" s="4"/>
      <c r="NYN9" s="34"/>
      <c r="NYO9" s="34"/>
      <c r="NYQ9" s="34"/>
      <c r="NYR9" s="72"/>
      <c r="NYS9" s="63"/>
      <c r="NYT9" s="34"/>
      <c r="NYU9" s="64"/>
      <c r="NYV9" s="4"/>
      <c r="NYW9" s="65"/>
      <c r="NYX9" s="4"/>
      <c r="NYY9" s="4"/>
      <c r="NYZ9" s="4"/>
      <c r="NZC9" s="34"/>
      <c r="NZD9" s="34"/>
      <c r="NZF9" s="34"/>
      <c r="NZG9" s="72"/>
      <c r="NZH9" s="63"/>
      <c r="NZI9" s="34"/>
      <c r="NZJ9" s="64"/>
      <c r="NZK9" s="4"/>
      <c r="NZL9" s="65"/>
      <c r="NZM9" s="4"/>
      <c r="NZN9" s="4"/>
      <c r="NZO9" s="4"/>
      <c r="NZR9" s="34"/>
      <c r="NZS9" s="34"/>
      <c r="NZU9" s="34"/>
      <c r="NZV9" s="72"/>
      <c r="NZW9" s="63"/>
      <c r="NZX9" s="34"/>
      <c r="NZY9" s="64"/>
      <c r="NZZ9" s="4"/>
      <c r="OAA9" s="65"/>
      <c r="OAB9" s="4"/>
      <c r="OAC9" s="4"/>
      <c r="OAD9" s="4"/>
      <c r="OAG9" s="34"/>
      <c r="OAH9" s="34"/>
      <c r="OAJ9" s="34"/>
      <c r="OAK9" s="72"/>
      <c r="OAL9" s="63"/>
      <c r="OAM9" s="34"/>
      <c r="OAN9" s="64"/>
      <c r="OAO9" s="4"/>
      <c r="OAP9" s="65"/>
      <c r="OAQ9" s="4"/>
      <c r="OAR9" s="4"/>
      <c r="OAS9" s="4"/>
      <c r="OAV9" s="34"/>
      <c r="OAW9" s="34"/>
      <c r="OAY9" s="34"/>
      <c r="OAZ9" s="72"/>
      <c r="OBA9" s="63"/>
      <c r="OBB9" s="34"/>
      <c r="OBC9" s="64"/>
      <c r="OBD9" s="4"/>
      <c r="OBE9" s="65"/>
      <c r="OBF9" s="4"/>
      <c r="OBG9" s="4"/>
      <c r="OBH9" s="4"/>
      <c r="OBK9" s="34"/>
      <c r="OBL9" s="34"/>
      <c r="OBN9" s="34"/>
      <c r="OBO9" s="72"/>
      <c r="OBP9" s="63"/>
      <c r="OBQ9" s="34"/>
      <c r="OBR9" s="64"/>
      <c r="OBS9" s="4"/>
      <c r="OBT9" s="65"/>
      <c r="OBU9" s="4"/>
      <c r="OBV9" s="4"/>
      <c r="OBW9" s="4"/>
      <c r="OBZ9" s="34"/>
      <c r="OCA9" s="34"/>
      <c r="OCC9" s="34"/>
      <c r="OCD9" s="72"/>
      <c r="OCE9" s="63"/>
      <c r="OCF9" s="34"/>
      <c r="OCG9" s="64"/>
      <c r="OCH9" s="4"/>
      <c r="OCI9" s="65"/>
      <c r="OCJ9" s="4"/>
      <c r="OCK9" s="4"/>
      <c r="OCL9" s="4"/>
      <c r="OCO9" s="34"/>
      <c r="OCP9" s="34"/>
      <c r="OCR9" s="34"/>
      <c r="OCS9" s="72"/>
      <c r="OCT9" s="63"/>
      <c r="OCU9" s="34"/>
      <c r="OCV9" s="64"/>
      <c r="OCW9" s="4"/>
      <c r="OCX9" s="65"/>
      <c r="OCY9" s="4"/>
      <c r="OCZ9" s="4"/>
      <c r="ODA9" s="4"/>
      <c r="ODD9" s="34"/>
      <c r="ODE9" s="34"/>
      <c r="ODG9" s="34"/>
      <c r="ODH9" s="72"/>
      <c r="ODI9" s="63"/>
      <c r="ODJ9" s="34"/>
      <c r="ODK9" s="64"/>
      <c r="ODL9" s="4"/>
      <c r="ODM9" s="65"/>
      <c r="ODN9" s="4"/>
      <c r="ODO9" s="4"/>
      <c r="ODP9" s="4"/>
      <c r="ODS9" s="34"/>
      <c r="ODT9" s="34"/>
      <c r="ODV9" s="34"/>
      <c r="ODW9" s="72"/>
      <c r="ODX9" s="63"/>
      <c r="ODY9" s="34"/>
      <c r="ODZ9" s="64"/>
      <c r="OEA9" s="4"/>
      <c r="OEB9" s="65"/>
      <c r="OEC9" s="4"/>
      <c r="OED9" s="4"/>
      <c r="OEE9" s="4"/>
      <c r="OEH9" s="34"/>
      <c r="OEI9" s="34"/>
      <c r="OEK9" s="34"/>
      <c r="OEL9" s="72"/>
      <c r="OEM9" s="63"/>
      <c r="OEN9" s="34"/>
      <c r="OEO9" s="64"/>
      <c r="OEP9" s="4"/>
      <c r="OEQ9" s="65"/>
      <c r="OER9" s="4"/>
      <c r="OES9" s="4"/>
      <c r="OET9" s="4"/>
      <c r="OEW9" s="34"/>
      <c r="OEX9" s="34"/>
      <c r="OEZ9" s="34"/>
      <c r="OFA9" s="72"/>
      <c r="OFB9" s="63"/>
      <c r="OFC9" s="34"/>
      <c r="OFD9" s="64"/>
      <c r="OFE9" s="4"/>
      <c r="OFF9" s="65"/>
      <c r="OFG9" s="4"/>
      <c r="OFH9" s="4"/>
      <c r="OFI9" s="4"/>
      <c r="OFL9" s="34"/>
      <c r="OFM9" s="34"/>
      <c r="OFO9" s="34"/>
      <c r="OFP9" s="72"/>
      <c r="OFQ9" s="63"/>
      <c r="OFR9" s="34"/>
      <c r="OFS9" s="64"/>
      <c r="OFT9" s="4"/>
      <c r="OFU9" s="65"/>
      <c r="OFV9" s="4"/>
      <c r="OFW9" s="4"/>
      <c r="OFX9" s="4"/>
      <c r="OGA9" s="34"/>
      <c r="OGB9" s="34"/>
      <c r="OGD9" s="34"/>
      <c r="OGE9" s="72"/>
      <c r="OGF9" s="63"/>
      <c r="OGG9" s="34"/>
      <c r="OGH9" s="64"/>
      <c r="OGI9" s="4"/>
      <c r="OGJ9" s="65"/>
      <c r="OGK9" s="4"/>
      <c r="OGL9" s="4"/>
      <c r="OGM9" s="4"/>
      <c r="OGP9" s="34"/>
      <c r="OGQ9" s="34"/>
      <c r="OGS9" s="34"/>
      <c r="OGT9" s="72"/>
      <c r="OGU9" s="63"/>
      <c r="OGV9" s="34"/>
      <c r="OGW9" s="64"/>
      <c r="OGX9" s="4"/>
      <c r="OGY9" s="65"/>
      <c r="OGZ9" s="4"/>
      <c r="OHA9" s="4"/>
      <c r="OHB9" s="4"/>
      <c r="OHE9" s="34"/>
      <c r="OHF9" s="34"/>
      <c r="OHH9" s="34"/>
      <c r="OHI9" s="72"/>
      <c r="OHJ9" s="63"/>
      <c r="OHK9" s="34"/>
      <c r="OHL9" s="64"/>
      <c r="OHM9" s="4"/>
      <c r="OHN9" s="65"/>
      <c r="OHO9" s="4"/>
      <c r="OHP9" s="4"/>
      <c r="OHQ9" s="4"/>
      <c r="OHT9" s="34"/>
      <c r="OHU9" s="34"/>
      <c r="OHW9" s="34"/>
      <c r="OHX9" s="72"/>
      <c r="OHY9" s="63"/>
      <c r="OHZ9" s="34"/>
      <c r="OIA9" s="64"/>
      <c r="OIB9" s="4"/>
      <c r="OIC9" s="65"/>
      <c r="OID9" s="4"/>
      <c r="OIE9" s="4"/>
      <c r="OIF9" s="4"/>
      <c r="OII9" s="34"/>
      <c r="OIJ9" s="34"/>
      <c r="OIL9" s="34"/>
      <c r="OIM9" s="72"/>
      <c r="OIN9" s="63"/>
      <c r="OIO9" s="34"/>
      <c r="OIP9" s="64"/>
      <c r="OIQ9" s="4"/>
      <c r="OIR9" s="65"/>
      <c r="OIS9" s="4"/>
      <c r="OIT9" s="4"/>
      <c r="OIU9" s="4"/>
      <c r="OIX9" s="34"/>
      <c r="OIY9" s="34"/>
      <c r="OJA9" s="34"/>
      <c r="OJB9" s="72"/>
      <c r="OJC9" s="63"/>
      <c r="OJD9" s="34"/>
      <c r="OJE9" s="64"/>
      <c r="OJF9" s="4"/>
      <c r="OJG9" s="65"/>
      <c r="OJH9" s="4"/>
      <c r="OJI9" s="4"/>
      <c r="OJJ9" s="4"/>
      <c r="OJM9" s="34"/>
      <c r="OJN9" s="34"/>
      <c r="OJP9" s="34"/>
      <c r="OJQ9" s="72"/>
      <c r="OJR9" s="63"/>
      <c r="OJS9" s="34"/>
      <c r="OJT9" s="64"/>
      <c r="OJU9" s="4"/>
      <c r="OJV9" s="65"/>
      <c r="OJW9" s="4"/>
      <c r="OJX9" s="4"/>
      <c r="OJY9" s="4"/>
      <c r="OKB9" s="34"/>
      <c r="OKC9" s="34"/>
      <c r="OKE9" s="34"/>
      <c r="OKF9" s="72"/>
      <c r="OKG9" s="63"/>
      <c r="OKH9" s="34"/>
      <c r="OKI9" s="64"/>
      <c r="OKJ9" s="4"/>
      <c r="OKK9" s="65"/>
      <c r="OKL9" s="4"/>
      <c r="OKM9" s="4"/>
      <c r="OKN9" s="4"/>
      <c r="OKQ9" s="34"/>
      <c r="OKR9" s="34"/>
      <c r="OKT9" s="34"/>
      <c r="OKU9" s="72"/>
      <c r="OKV9" s="63"/>
      <c r="OKW9" s="34"/>
      <c r="OKX9" s="64"/>
      <c r="OKY9" s="4"/>
      <c r="OKZ9" s="65"/>
      <c r="OLA9" s="4"/>
      <c r="OLB9" s="4"/>
      <c r="OLC9" s="4"/>
      <c r="OLF9" s="34"/>
      <c r="OLG9" s="34"/>
      <c r="OLI9" s="34"/>
      <c r="OLJ9" s="72"/>
      <c r="OLK9" s="63"/>
      <c r="OLL9" s="34"/>
      <c r="OLM9" s="64"/>
      <c r="OLN9" s="4"/>
      <c r="OLO9" s="65"/>
      <c r="OLP9" s="4"/>
      <c r="OLQ9" s="4"/>
      <c r="OLR9" s="4"/>
      <c r="OLU9" s="34"/>
      <c r="OLV9" s="34"/>
      <c r="OLX9" s="34"/>
      <c r="OLY9" s="72"/>
      <c r="OLZ9" s="63"/>
      <c r="OMA9" s="34"/>
      <c r="OMB9" s="64"/>
      <c r="OMC9" s="4"/>
      <c r="OMD9" s="65"/>
      <c r="OME9" s="4"/>
      <c r="OMF9" s="4"/>
      <c r="OMG9" s="4"/>
      <c r="OMJ9" s="34"/>
      <c r="OMK9" s="34"/>
      <c r="OMM9" s="34"/>
      <c r="OMN9" s="72"/>
      <c r="OMO9" s="63"/>
      <c r="OMP9" s="34"/>
      <c r="OMQ9" s="64"/>
      <c r="OMR9" s="4"/>
      <c r="OMS9" s="65"/>
      <c r="OMT9" s="4"/>
      <c r="OMU9" s="4"/>
      <c r="OMV9" s="4"/>
      <c r="OMY9" s="34"/>
      <c r="OMZ9" s="34"/>
      <c r="ONB9" s="34"/>
      <c r="ONC9" s="72"/>
      <c r="OND9" s="63"/>
      <c r="ONE9" s="34"/>
      <c r="ONF9" s="64"/>
      <c r="ONG9" s="4"/>
      <c r="ONH9" s="65"/>
      <c r="ONI9" s="4"/>
      <c r="ONJ9" s="4"/>
      <c r="ONK9" s="4"/>
      <c r="ONN9" s="34"/>
      <c r="ONO9" s="34"/>
      <c r="ONQ9" s="34"/>
      <c r="ONR9" s="72"/>
      <c r="ONS9" s="63"/>
      <c r="ONT9" s="34"/>
      <c r="ONU9" s="64"/>
      <c r="ONV9" s="4"/>
      <c r="ONW9" s="65"/>
      <c r="ONX9" s="4"/>
      <c r="ONY9" s="4"/>
      <c r="ONZ9" s="4"/>
      <c r="OOC9" s="34"/>
      <c r="OOD9" s="34"/>
      <c r="OOF9" s="34"/>
      <c r="OOG9" s="72"/>
      <c r="OOH9" s="63"/>
      <c r="OOI9" s="34"/>
      <c r="OOJ9" s="64"/>
      <c r="OOK9" s="4"/>
      <c r="OOL9" s="65"/>
      <c r="OOM9" s="4"/>
      <c r="OON9" s="4"/>
      <c r="OOO9" s="4"/>
      <c r="OOR9" s="34"/>
      <c r="OOS9" s="34"/>
      <c r="OOU9" s="34"/>
      <c r="OOV9" s="72"/>
      <c r="OOW9" s="63"/>
      <c r="OOX9" s="34"/>
      <c r="OOY9" s="64"/>
      <c r="OOZ9" s="4"/>
      <c r="OPA9" s="65"/>
      <c r="OPB9" s="4"/>
      <c r="OPC9" s="4"/>
      <c r="OPD9" s="4"/>
      <c r="OPG9" s="34"/>
      <c r="OPH9" s="34"/>
      <c r="OPJ9" s="34"/>
      <c r="OPK9" s="72"/>
      <c r="OPL9" s="63"/>
      <c r="OPM9" s="34"/>
      <c r="OPN9" s="64"/>
      <c r="OPO9" s="4"/>
      <c r="OPP9" s="65"/>
      <c r="OPQ9" s="4"/>
      <c r="OPR9" s="4"/>
      <c r="OPS9" s="4"/>
      <c r="OPV9" s="34"/>
      <c r="OPW9" s="34"/>
      <c r="OPY9" s="34"/>
      <c r="OPZ9" s="72"/>
      <c r="OQA9" s="63"/>
      <c r="OQB9" s="34"/>
      <c r="OQC9" s="64"/>
      <c r="OQD9" s="4"/>
      <c r="OQE9" s="65"/>
      <c r="OQF9" s="4"/>
      <c r="OQG9" s="4"/>
      <c r="OQH9" s="4"/>
      <c r="OQK9" s="34"/>
      <c r="OQL9" s="34"/>
      <c r="OQN9" s="34"/>
      <c r="OQO9" s="72"/>
      <c r="OQP9" s="63"/>
      <c r="OQQ9" s="34"/>
      <c r="OQR9" s="64"/>
      <c r="OQS9" s="4"/>
      <c r="OQT9" s="65"/>
      <c r="OQU9" s="4"/>
      <c r="OQV9" s="4"/>
      <c r="OQW9" s="4"/>
      <c r="OQZ9" s="34"/>
      <c r="ORA9" s="34"/>
      <c r="ORC9" s="34"/>
      <c r="ORD9" s="72"/>
      <c r="ORE9" s="63"/>
      <c r="ORF9" s="34"/>
      <c r="ORG9" s="64"/>
      <c r="ORH9" s="4"/>
      <c r="ORI9" s="65"/>
      <c r="ORJ9" s="4"/>
      <c r="ORK9" s="4"/>
      <c r="ORL9" s="4"/>
      <c r="ORO9" s="34"/>
      <c r="ORP9" s="34"/>
      <c r="ORR9" s="34"/>
      <c r="ORS9" s="72"/>
      <c r="ORT9" s="63"/>
      <c r="ORU9" s="34"/>
      <c r="ORV9" s="64"/>
      <c r="ORW9" s="4"/>
      <c r="ORX9" s="65"/>
      <c r="ORY9" s="4"/>
      <c r="ORZ9" s="4"/>
      <c r="OSA9" s="4"/>
      <c r="OSD9" s="34"/>
      <c r="OSE9" s="34"/>
      <c r="OSG9" s="34"/>
      <c r="OSH9" s="72"/>
      <c r="OSI9" s="63"/>
      <c r="OSJ9" s="34"/>
      <c r="OSK9" s="64"/>
      <c r="OSL9" s="4"/>
      <c r="OSM9" s="65"/>
      <c r="OSN9" s="4"/>
      <c r="OSO9" s="4"/>
      <c r="OSP9" s="4"/>
      <c r="OSS9" s="34"/>
      <c r="OST9" s="34"/>
      <c r="OSV9" s="34"/>
      <c r="OSW9" s="72"/>
      <c r="OSX9" s="63"/>
      <c r="OSY9" s="34"/>
      <c r="OSZ9" s="64"/>
      <c r="OTA9" s="4"/>
      <c r="OTB9" s="65"/>
      <c r="OTC9" s="4"/>
      <c r="OTD9" s="4"/>
      <c r="OTE9" s="4"/>
      <c r="OTH9" s="34"/>
      <c r="OTI9" s="34"/>
      <c r="OTK9" s="34"/>
      <c r="OTL9" s="72"/>
      <c r="OTM9" s="63"/>
      <c r="OTN9" s="34"/>
      <c r="OTO9" s="64"/>
      <c r="OTP9" s="4"/>
      <c r="OTQ9" s="65"/>
      <c r="OTR9" s="4"/>
      <c r="OTS9" s="4"/>
      <c r="OTT9" s="4"/>
      <c r="OTW9" s="34"/>
      <c r="OTX9" s="34"/>
      <c r="OTZ9" s="34"/>
      <c r="OUA9" s="72"/>
      <c r="OUB9" s="63"/>
      <c r="OUC9" s="34"/>
      <c r="OUD9" s="64"/>
      <c r="OUE9" s="4"/>
      <c r="OUF9" s="65"/>
      <c r="OUG9" s="4"/>
      <c r="OUH9" s="4"/>
      <c r="OUI9" s="4"/>
      <c r="OUL9" s="34"/>
      <c r="OUM9" s="34"/>
      <c r="OUO9" s="34"/>
      <c r="OUP9" s="72"/>
      <c r="OUQ9" s="63"/>
      <c r="OUR9" s="34"/>
      <c r="OUS9" s="64"/>
      <c r="OUT9" s="4"/>
      <c r="OUU9" s="65"/>
      <c r="OUV9" s="4"/>
      <c r="OUW9" s="4"/>
      <c r="OUX9" s="4"/>
      <c r="OVA9" s="34"/>
      <c r="OVB9" s="34"/>
      <c r="OVD9" s="34"/>
      <c r="OVE9" s="72"/>
      <c r="OVF9" s="63"/>
      <c r="OVG9" s="34"/>
      <c r="OVH9" s="64"/>
      <c r="OVI9" s="4"/>
      <c r="OVJ9" s="65"/>
      <c r="OVK9" s="4"/>
      <c r="OVL9" s="4"/>
      <c r="OVM9" s="4"/>
      <c r="OVP9" s="34"/>
      <c r="OVQ9" s="34"/>
      <c r="OVS9" s="34"/>
      <c r="OVT9" s="72"/>
      <c r="OVU9" s="63"/>
      <c r="OVV9" s="34"/>
      <c r="OVW9" s="64"/>
      <c r="OVX9" s="4"/>
      <c r="OVY9" s="65"/>
      <c r="OVZ9" s="4"/>
      <c r="OWA9" s="4"/>
      <c r="OWB9" s="4"/>
      <c r="OWE9" s="34"/>
      <c r="OWF9" s="34"/>
      <c r="OWH9" s="34"/>
      <c r="OWI9" s="72"/>
      <c r="OWJ9" s="63"/>
      <c r="OWK9" s="34"/>
      <c r="OWL9" s="64"/>
      <c r="OWM9" s="4"/>
      <c r="OWN9" s="65"/>
      <c r="OWO9" s="4"/>
      <c r="OWP9" s="4"/>
      <c r="OWQ9" s="4"/>
      <c r="OWT9" s="34"/>
      <c r="OWU9" s="34"/>
      <c r="OWW9" s="34"/>
      <c r="OWX9" s="72"/>
      <c r="OWY9" s="63"/>
      <c r="OWZ9" s="34"/>
      <c r="OXA9" s="64"/>
      <c r="OXB9" s="4"/>
      <c r="OXC9" s="65"/>
      <c r="OXD9" s="4"/>
      <c r="OXE9" s="4"/>
      <c r="OXF9" s="4"/>
      <c r="OXI9" s="34"/>
      <c r="OXJ9" s="34"/>
      <c r="OXL9" s="34"/>
      <c r="OXM9" s="72"/>
      <c r="OXN9" s="63"/>
      <c r="OXO9" s="34"/>
      <c r="OXP9" s="64"/>
      <c r="OXQ9" s="4"/>
      <c r="OXR9" s="65"/>
      <c r="OXS9" s="4"/>
      <c r="OXT9" s="4"/>
      <c r="OXU9" s="4"/>
      <c r="OXX9" s="34"/>
      <c r="OXY9" s="34"/>
      <c r="OYA9" s="34"/>
      <c r="OYB9" s="72"/>
      <c r="OYC9" s="63"/>
      <c r="OYD9" s="34"/>
      <c r="OYE9" s="64"/>
      <c r="OYF9" s="4"/>
      <c r="OYG9" s="65"/>
      <c r="OYH9" s="4"/>
      <c r="OYI9" s="4"/>
      <c r="OYJ9" s="4"/>
      <c r="OYM9" s="34"/>
      <c r="OYN9" s="34"/>
      <c r="OYP9" s="34"/>
      <c r="OYQ9" s="72"/>
      <c r="OYR9" s="63"/>
      <c r="OYS9" s="34"/>
      <c r="OYT9" s="64"/>
      <c r="OYU9" s="4"/>
      <c r="OYV9" s="65"/>
      <c r="OYW9" s="4"/>
      <c r="OYX9" s="4"/>
      <c r="OYY9" s="4"/>
      <c r="OZB9" s="34"/>
      <c r="OZC9" s="34"/>
      <c r="OZE9" s="34"/>
      <c r="OZF9" s="72"/>
      <c r="OZG9" s="63"/>
      <c r="OZH9" s="34"/>
      <c r="OZI9" s="64"/>
      <c r="OZJ9" s="4"/>
      <c r="OZK9" s="65"/>
      <c r="OZL9" s="4"/>
      <c r="OZM9" s="4"/>
      <c r="OZN9" s="4"/>
      <c r="OZQ9" s="34"/>
      <c r="OZR9" s="34"/>
      <c r="OZT9" s="34"/>
      <c r="OZU9" s="72"/>
      <c r="OZV9" s="63"/>
      <c r="OZW9" s="34"/>
      <c r="OZX9" s="64"/>
      <c r="OZY9" s="4"/>
      <c r="OZZ9" s="65"/>
      <c r="PAA9" s="4"/>
      <c r="PAB9" s="4"/>
      <c r="PAC9" s="4"/>
      <c r="PAF9" s="34"/>
      <c r="PAG9" s="34"/>
      <c r="PAI9" s="34"/>
      <c r="PAJ9" s="72"/>
      <c r="PAK9" s="63"/>
      <c r="PAL9" s="34"/>
      <c r="PAM9" s="64"/>
      <c r="PAN9" s="4"/>
      <c r="PAO9" s="65"/>
      <c r="PAP9" s="4"/>
      <c r="PAQ9" s="4"/>
      <c r="PAR9" s="4"/>
      <c r="PAU9" s="34"/>
      <c r="PAV9" s="34"/>
      <c r="PAX9" s="34"/>
      <c r="PAY9" s="72"/>
      <c r="PAZ9" s="63"/>
      <c r="PBA9" s="34"/>
      <c r="PBB9" s="64"/>
      <c r="PBC9" s="4"/>
      <c r="PBD9" s="65"/>
      <c r="PBE9" s="4"/>
      <c r="PBF9" s="4"/>
      <c r="PBG9" s="4"/>
      <c r="PBJ9" s="34"/>
      <c r="PBK9" s="34"/>
      <c r="PBM9" s="34"/>
      <c r="PBN9" s="72"/>
      <c r="PBO9" s="63"/>
      <c r="PBP9" s="34"/>
      <c r="PBQ9" s="64"/>
      <c r="PBR9" s="4"/>
      <c r="PBS9" s="65"/>
      <c r="PBT9" s="4"/>
      <c r="PBU9" s="4"/>
      <c r="PBV9" s="4"/>
      <c r="PBY9" s="34"/>
      <c r="PBZ9" s="34"/>
      <c r="PCB9" s="34"/>
      <c r="PCC9" s="72"/>
      <c r="PCD9" s="63"/>
      <c r="PCE9" s="34"/>
      <c r="PCF9" s="64"/>
      <c r="PCG9" s="4"/>
      <c r="PCH9" s="65"/>
      <c r="PCI9" s="4"/>
      <c r="PCJ9" s="4"/>
      <c r="PCK9" s="4"/>
      <c r="PCN9" s="34"/>
      <c r="PCO9" s="34"/>
      <c r="PCQ9" s="34"/>
      <c r="PCR9" s="72"/>
      <c r="PCS9" s="63"/>
      <c r="PCT9" s="34"/>
      <c r="PCU9" s="64"/>
      <c r="PCV9" s="4"/>
      <c r="PCW9" s="65"/>
      <c r="PCX9" s="4"/>
      <c r="PCY9" s="4"/>
      <c r="PCZ9" s="4"/>
      <c r="PDC9" s="34"/>
      <c r="PDD9" s="34"/>
      <c r="PDF9" s="34"/>
      <c r="PDG9" s="72"/>
      <c r="PDH9" s="63"/>
      <c r="PDI9" s="34"/>
      <c r="PDJ9" s="64"/>
      <c r="PDK9" s="4"/>
      <c r="PDL9" s="65"/>
      <c r="PDM9" s="4"/>
      <c r="PDN9" s="4"/>
      <c r="PDO9" s="4"/>
      <c r="PDR9" s="34"/>
      <c r="PDS9" s="34"/>
      <c r="PDU9" s="34"/>
      <c r="PDV9" s="72"/>
      <c r="PDW9" s="63"/>
      <c r="PDX9" s="34"/>
      <c r="PDY9" s="64"/>
      <c r="PDZ9" s="4"/>
      <c r="PEA9" s="65"/>
      <c r="PEB9" s="4"/>
      <c r="PEC9" s="4"/>
      <c r="PED9" s="4"/>
      <c r="PEG9" s="34"/>
      <c r="PEH9" s="34"/>
      <c r="PEJ9" s="34"/>
      <c r="PEK9" s="72"/>
      <c r="PEL9" s="63"/>
      <c r="PEM9" s="34"/>
      <c r="PEN9" s="64"/>
      <c r="PEO9" s="4"/>
      <c r="PEP9" s="65"/>
      <c r="PEQ9" s="4"/>
      <c r="PER9" s="4"/>
      <c r="PES9" s="4"/>
      <c r="PEV9" s="34"/>
      <c r="PEW9" s="34"/>
      <c r="PEY9" s="34"/>
      <c r="PEZ9" s="72"/>
      <c r="PFA9" s="63"/>
      <c r="PFB9" s="34"/>
      <c r="PFC9" s="64"/>
      <c r="PFD9" s="4"/>
      <c r="PFE9" s="65"/>
      <c r="PFF9" s="4"/>
      <c r="PFG9" s="4"/>
      <c r="PFH9" s="4"/>
      <c r="PFK9" s="34"/>
      <c r="PFL9" s="34"/>
      <c r="PFN9" s="34"/>
      <c r="PFO9" s="72"/>
      <c r="PFP9" s="63"/>
      <c r="PFQ9" s="34"/>
      <c r="PFR9" s="64"/>
      <c r="PFS9" s="4"/>
      <c r="PFT9" s="65"/>
      <c r="PFU9" s="4"/>
      <c r="PFV9" s="4"/>
      <c r="PFW9" s="4"/>
      <c r="PFZ9" s="34"/>
      <c r="PGA9" s="34"/>
      <c r="PGC9" s="34"/>
      <c r="PGD9" s="72"/>
      <c r="PGE9" s="63"/>
      <c r="PGF9" s="34"/>
      <c r="PGG9" s="64"/>
      <c r="PGH9" s="4"/>
      <c r="PGI9" s="65"/>
      <c r="PGJ9" s="4"/>
      <c r="PGK9" s="4"/>
      <c r="PGL9" s="4"/>
      <c r="PGO9" s="34"/>
      <c r="PGP9" s="34"/>
      <c r="PGR9" s="34"/>
      <c r="PGS9" s="72"/>
      <c r="PGT9" s="63"/>
      <c r="PGU9" s="34"/>
      <c r="PGV9" s="64"/>
      <c r="PGW9" s="4"/>
      <c r="PGX9" s="65"/>
      <c r="PGY9" s="4"/>
      <c r="PGZ9" s="4"/>
      <c r="PHA9" s="4"/>
      <c r="PHD9" s="34"/>
      <c r="PHE9" s="34"/>
      <c r="PHG9" s="34"/>
      <c r="PHH9" s="72"/>
      <c r="PHI9" s="63"/>
      <c r="PHJ9" s="34"/>
      <c r="PHK9" s="64"/>
      <c r="PHL9" s="4"/>
      <c r="PHM9" s="65"/>
      <c r="PHN9" s="4"/>
      <c r="PHO9" s="4"/>
      <c r="PHP9" s="4"/>
      <c r="PHS9" s="34"/>
      <c r="PHT9" s="34"/>
      <c r="PHV9" s="34"/>
      <c r="PHW9" s="72"/>
      <c r="PHX9" s="63"/>
      <c r="PHY9" s="34"/>
      <c r="PHZ9" s="64"/>
      <c r="PIA9" s="4"/>
      <c r="PIB9" s="65"/>
      <c r="PIC9" s="4"/>
      <c r="PID9" s="4"/>
      <c r="PIE9" s="4"/>
      <c r="PIH9" s="34"/>
      <c r="PII9" s="34"/>
      <c r="PIK9" s="34"/>
      <c r="PIL9" s="72"/>
      <c r="PIM9" s="63"/>
      <c r="PIN9" s="34"/>
      <c r="PIO9" s="64"/>
      <c r="PIP9" s="4"/>
      <c r="PIQ9" s="65"/>
      <c r="PIR9" s="4"/>
      <c r="PIS9" s="4"/>
      <c r="PIT9" s="4"/>
      <c r="PIW9" s="34"/>
      <c r="PIX9" s="34"/>
      <c r="PIZ9" s="34"/>
      <c r="PJA9" s="72"/>
      <c r="PJB9" s="63"/>
      <c r="PJC9" s="34"/>
      <c r="PJD9" s="64"/>
      <c r="PJE9" s="4"/>
      <c r="PJF9" s="65"/>
      <c r="PJG9" s="4"/>
      <c r="PJH9" s="4"/>
      <c r="PJI9" s="4"/>
      <c r="PJL9" s="34"/>
      <c r="PJM9" s="34"/>
      <c r="PJO9" s="34"/>
      <c r="PJP9" s="72"/>
      <c r="PJQ9" s="63"/>
      <c r="PJR9" s="34"/>
      <c r="PJS9" s="64"/>
      <c r="PJT9" s="4"/>
      <c r="PJU9" s="65"/>
      <c r="PJV9" s="4"/>
      <c r="PJW9" s="4"/>
      <c r="PJX9" s="4"/>
      <c r="PKA9" s="34"/>
      <c r="PKB9" s="34"/>
      <c r="PKD9" s="34"/>
      <c r="PKE9" s="72"/>
      <c r="PKF9" s="63"/>
      <c r="PKG9" s="34"/>
      <c r="PKH9" s="64"/>
      <c r="PKI9" s="4"/>
      <c r="PKJ9" s="65"/>
      <c r="PKK9" s="4"/>
      <c r="PKL9" s="4"/>
      <c r="PKM9" s="4"/>
      <c r="PKP9" s="34"/>
      <c r="PKQ9" s="34"/>
      <c r="PKS9" s="34"/>
      <c r="PKT9" s="72"/>
      <c r="PKU9" s="63"/>
      <c r="PKV9" s="34"/>
      <c r="PKW9" s="64"/>
      <c r="PKX9" s="4"/>
      <c r="PKY9" s="65"/>
      <c r="PKZ9" s="4"/>
      <c r="PLA9" s="4"/>
      <c r="PLB9" s="4"/>
      <c r="PLE9" s="34"/>
      <c r="PLF9" s="34"/>
      <c r="PLH9" s="34"/>
      <c r="PLI9" s="72"/>
      <c r="PLJ9" s="63"/>
      <c r="PLK9" s="34"/>
      <c r="PLL9" s="64"/>
      <c r="PLM9" s="4"/>
      <c r="PLN9" s="65"/>
      <c r="PLO9" s="4"/>
      <c r="PLP9" s="4"/>
      <c r="PLQ9" s="4"/>
      <c r="PLT9" s="34"/>
      <c r="PLU9" s="34"/>
      <c r="PLW9" s="34"/>
      <c r="PLX9" s="72"/>
      <c r="PLY9" s="63"/>
      <c r="PLZ9" s="34"/>
      <c r="PMA9" s="64"/>
      <c r="PMB9" s="4"/>
      <c r="PMC9" s="65"/>
      <c r="PMD9" s="4"/>
      <c r="PME9" s="4"/>
      <c r="PMF9" s="4"/>
      <c r="PMI9" s="34"/>
      <c r="PMJ9" s="34"/>
      <c r="PML9" s="34"/>
      <c r="PMM9" s="72"/>
      <c r="PMN9" s="63"/>
      <c r="PMO9" s="34"/>
      <c r="PMP9" s="64"/>
      <c r="PMQ9" s="4"/>
      <c r="PMR9" s="65"/>
      <c r="PMS9" s="4"/>
      <c r="PMT9" s="4"/>
      <c r="PMU9" s="4"/>
      <c r="PMX9" s="34"/>
      <c r="PMY9" s="34"/>
      <c r="PNA9" s="34"/>
      <c r="PNB9" s="72"/>
      <c r="PNC9" s="63"/>
      <c r="PND9" s="34"/>
      <c r="PNE9" s="64"/>
      <c r="PNF9" s="4"/>
      <c r="PNG9" s="65"/>
      <c r="PNH9" s="4"/>
      <c r="PNI9" s="4"/>
      <c r="PNJ9" s="4"/>
      <c r="PNM9" s="34"/>
      <c r="PNN9" s="34"/>
      <c r="PNP9" s="34"/>
      <c r="PNQ9" s="72"/>
      <c r="PNR9" s="63"/>
      <c r="PNS9" s="34"/>
      <c r="PNT9" s="64"/>
      <c r="PNU9" s="4"/>
      <c r="PNV9" s="65"/>
      <c r="PNW9" s="4"/>
      <c r="PNX9" s="4"/>
      <c r="PNY9" s="4"/>
      <c r="POB9" s="34"/>
      <c r="POC9" s="34"/>
      <c r="POE9" s="34"/>
      <c r="POF9" s="72"/>
      <c r="POG9" s="63"/>
      <c r="POH9" s="34"/>
      <c r="POI9" s="64"/>
      <c r="POJ9" s="4"/>
      <c r="POK9" s="65"/>
      <c r="POL9" s="4"/>
      <c r="POM9" s="4"/>
      <c r="PON9" s="4"/>
      <c r="POQ9" s="34"/>
      <c r="POR9" s="34"/>
      <c r="POT9" s="34"/>
      <c r="POU9" s="72"/>
      <c r="POV9" s="63"/>
      <c r="POW9" s="34"/>
      <c r="POX9" s="64"/>
      <c r="POY9" s="4"/>
      <c r="POZ9" s="65"/>
      <c r="PPA9" s="4"/>
      <c r="PPB9" s="4"/>
      <c r="PPC9" s="4"/>
      <c r="PPF9" s="34"/>
      <c r="PPG9" s="34"/>
      <c r="PPI9" s="34"/>
      <c r="PPJ9" s="72"/>
      <c r="PPK9" s="63"/>
      <c r="PPL9" s="34"/>
      <c r="PPM9" s="64"/>
      <c r="PPN9" s="4"/>
      <c r="PPO9" s="65"/>
      <c r="PPP9" s="4"/>
      <c r="PPQ9" s="4"/>
      <c r="PPR9" s="4"/>
      <c r="PPU9" s="34"/>
      <c r="PPV9" s="34"/>
      <c r="PPX9" s="34"/>
      <c r="PPY9" s="72"/>
      <c r="PPZ9" s="63"/>
      <c r="PQA9" s="34"/>
      <c r="PQB9" s="64"/>
      <c r="PQC9" s="4"/>
      <c r="PQD9" s="65"/>
      <c r="PQE9" s="4"/>
      <c r="PQF9" s="4"/>
      <c r="PQG9" s="4"/>
      <c r="PQJ9" s="34"/>
      <c r="PQK9" s="34"/>
      <c r="PQM9" s="34"/>
      <c r="PQN9" s="72"/>
      <c r="PQO9" s="63"/>
      <c r="PQP9" s="34"/>
      <c r="PQQ9" s="64"/>
      <c r="PQR9" s="4"/>
      <c r="PQS9" s="65"/>
      <c r="PQT9" s="4"/>
      <c r="PQU9" s="4"/>
      <c r="PQV9" s="4"/>
      <c r="PQY9" s="34"/>
      <c r="PQZ9" s="34"/>
      <c r="PRB9" s="34"/>
      <c r="PRC9" s="72"/>
      <c r="PRD9" s="63"/>
      <c r="PRE9" s="34"/>
      <c r="PRF9" s="64"/>
      <c r="PRG9" s="4"/>
      <c r="PRH9" s="65"/>
      <c r="PRI9" s="4"/>
      <c r="PRJ9" s="4"/>
      <c r="PRK9" s="4"/>
      <c r="PRN9" s="34"/>
      <c r="PRO9" s="34"/>
      <c r="PRQ9" s="34"/>
      <c r="PRR9" s="72"/>
      <c r="PRS9" s="63"/>
      <c r="PRT9" s="34"/>
      <c r="PRU9" s="64"/>
      <c r="PRV9" s="4"/>
      <c r="PRW9" s="65"/>
      <c r="PRX9" s="4"/>
      <c r="PRY9" s="4"/>
      <c r="PRZ9" s="4"/>
      <c r="PSC9" s="34"/>
      <c r="PSD9" s="34"/>
      <c r="PSF9" s="34"/>
      <c r="PSG9" s="72"/>
      <c r="PSH9" s="63"/>
      <c r="PSI9" s="34"/>
      <c r="PSJ9" s="64"/>
      <c r="PSK9" s="4"/>
      <c r="PSL9" s="65"/>
      <c r="PSM9" s="4"/>
      <c r="PSN9" s="4"/>
      <c r="PSO9" s="4"/>
      <c r="PSR9" s="34"/>
      <c r="PSS9" s="34"/>
      <c r="PSU9" s="34"/>
      <c r="PSV9" s="72"/>
      <c r="PSW9" s="63"/>
      <c r="PSX9" s="34"/>
      <c r="PSY9" s="64"/>
      <c r="PSZ9" s="4"/>
      <c r="PTA9" s="65"/>
      <c r="PTB9" s="4"/>
      <c r="PTC9" s="4"/>
      <c r="PTD9" s="4"/>
      <c r="PTG9" s="34"/>
      <c r="PTH9" s="34"/>
      <c r="PTJ9" s="34"/>
      <c r="PTK9" s="72"/>
      <c r="PTL9" s="63"/>
      <c r="PTM9" s="34"/>
      <c r="PTN9" s="64"/>
      <c r="PTO9" s="4"/>
      <c r="PTP9" s="65"/>
      <c r="PTQ9" s="4"/>
      <c r="PTR9" s="4"/>
      <c r="PTS9" s="4"/>
      <c r="PTV9" s="34"/>
      <c r="PTW9" s="34"/>
      <c r="PTY9" s="34"/>
      <c r="PTZ9" s="72"/>
      <c r="PUA9" s="63"/>
      <c r="PUB9" s="34"/>
      <c r="PUC9" s="64"/>
      <c r="PUD9" s="4"/>
      <c r="PUE9" s="65"/>
      <c r="PUF9" s="4"/>
      <c r="PUG9" s="4"/>
      <c r="PUH9" s="4"/>
      <c r="PUK9" s="34"/>
      <c r="PUL9" s="34"/>
      <c r="PUN9" s="34"/>
      <c r="PUO9" s="72"/>
      <c r="PUP9" s="63"/>
      <c r="PUQ9" s="34"/>
      <c r="PUR9" s="64"/>
      <c r="PUS9" s="4"/>
      <c r="PUT9" s="65"/>
      <c r="PUU9" s="4"/>
      <c r="PUV9" s="4"/>
      <c r="PUW9" s="4"/>
      <c r="PUZ9" s="34"/>
      <c r="PVA9" s="34"/>
      <c r="PVC9" s="34"/>
      <c r="PVD9" s="72"/>
      <c r="PVE9" s="63"/>
      <c r="PVF9" s="34"/>
      <c r="PVG9" s="64"/>
      <c r="PVH9" s="4"/>
      <c r="PVI9" s="65"/>
      <c r="PVJ9" s="4"/>
      <c r="PVK9" s="4"/>
      <c r="PVL9" s="4"/>
      <c r="PVO9" s="34"/>
      <c r="PVP9" s="34"/>
      <c r="PVR9" s="34"/>
      <c r="PVS9" s="72"/>
      <c r="PVT9" s="63"/>
      <c r="PVU9" s="34"/>
      <c r="PVV9" s="64"/>
      <c r="PVW9" s="4"/>
      <c r="PVX9" s="65"/>
      <c r="PVY9" s="4"/>
      <c r="PVZ9" s="4"/>
      <c r="PWA9" s="4"/>
      <c r="PWD9" s="34"/>
      <c r="PWE9" s="34"/>
      <c r="PWG9" s="34"/>
      <c r="PWH9" s="72"/>
      <c r="PWI9" s="63"/>
      <c r="PWJ9" s="34"/>
      <c r="PWK9" s="64"/>
      <c r="PWL9" s="4"/>
      <c r="PWM9" s="65"/>
      <c r="PWN9" s="4"/>
      <c r="PWO9" s="4"/>
      <c r="PWP9" s="4"/>
      <c r="PWS9" s="34"/>
      <c r="PWT9" s="34"/>
      <c r="PWV9" s="34"/>
      <c r="PWW9" s="72"/>
      <c r="PWX9" s="63"/>
      <c r="PWY9" s="34"/>
      <c r="PWZ9" s="64"/>
      <c r="PXA9" s="4"/>
      <c r="PXB9" s="65"/>
      <c r="PXC9" s="4"/>
      <c r="PXD9" s="4"/>
      <c r="PXE9" s="4"/>
      <c r="PXH9" s="34"/>
      <c r="PXI9" s="34"/>
      <c r="PXK9" s="34"/>
      <c r="PXL9" s="72"/>
      <c r="PXM9" s="63"/>
      <c r="PXN9" s="34"/>
      <c r="PXO9" s="64"/>
      <c r="PXP9" s="4"/>
      <c r="PXQ9" s="65"/>
      <c r="PXR9" s="4"/>
      <c r="PXS9" s="4"/>
      <c r="PXT9" s="4"/>
      <c r="PXW9" s="34"/>
      <c r="PXX9" s="34"/>
      <c r="PXZ9" s="34"/>
      <c r="PYA9" s="72"/>
      <c r="PYB9" s="63"/>
      <c r="PYC9" s="34"/>
      <c r="PYD9" s="64"/>
      <c r="PYE9" s="4"/>
      <c r="PYF9" s="65"/>
      <c r="PYG9" s="4"/>
      <c r="PYH9" s="4"/>
      <c r="PYI9" s="4"/>
      <c r="PYL9" s="34"/>
      <c r="PYM9" s="34"/>
      <c r="PYO9" s="34"/>
      <c r="PYP9" s="72"/>
      <c r="PYQ9" s="63"/>
      <c r="PYR9" s="34"/>
      <c r="PYS9" s="64"/>
      <c r="PYT9" s="4"/>
      <c r="PYU9" s="65"/>
      <c r="PYV9" s="4"/>
      <c r="PYW9" s="4"/>
      <c r="PYX9" s="4"/>
      <c r="PZA9" s="34"/>
      <c r="PZB9" s="34"/>
      <c r="PZD9" s="34"/>
      <c r="PZE9" s="72"/>
      <c r="PZF9" s="63"/>
      <c r="PZG9" s="34"/>
      <c r="PZH9" s="64"/>
      <c r="PZI9" s="4"/>
      <c r="PZJ9" s="65"/>
      <c r="PZK9" s="4"/>
      <c r="PZL9" s="4"/>
      <c r="PZM9" s="4"/>
      <c r="PZP9" s="34"/>
      <c r="PZQ9" s="34"/>
      <c r="PZS9" s="34"/>
      <c r="PZT9" s="72"/>
      <c r="PZU9" s="63"/>
      <c r="PZV9" s="34"/>
      <c r="PZW9" s="64"/>
      <c r="PZX9" s="4"/>
      <c r="PZY9" s="65"/>
      <c r="PZZ9" s="4"/>
      <c r="QAA9" s="4"/>
      <c r="QAB9" s="4"/>
      <c r="QAE9" s="34"/>
      <c r="QAF9" s="34"/>
      <c r="QAH9" s="34"/>
      <c r="QAI9" s="72"/>
      <c r="QAJ9" s="63"/>
      <c r="QAK9" s="34"/>
      <c r="QAL9" s="64"/>
      <c r="QAM9" s="4"/>
      <c r="QAN9" s="65"/>
      <c r="QAO9" s="4"/>
      <c r="QAP9" s="4"/>
      <c r="QAQ9" s="4"/>
      <c r="QAT9" s="34"/>
      <c r="QAU9" s="34"/>
      <c r="QAW9" s="34"/>
      <c r="QAX9" s="72"/>
      <c r="QAY9" s="63"/>
      <c r="QAZ9" s="34"/>
      <c r="QBA9" s="64"/>
      <c r="QBB9" s="4"/>
      <c r="QBC9" s="65"/>
      <c r="QBD9" s="4"/>
      <c r="QBE9" s="4"/>
      <c r="QBF9" s="4"/>
      <c r="QBI9" s="34"/>
      <c r="QBJ9" s="34"/>
      <c r="QBL9" s="34"/>
      <c r="QBM9" s="72"/>
      <c r="QBN9" s="63"/>
      <c r="QBO9" s="34"/>
      <c r="QBP9" s="64"/>
      <c r="QBQ9" s="4"/>
      <c r="QBR9" s="65"/>
      <c r="QBS9" s="4"/>
      <c r="QBT9" s="4"/>
      <c r="QBU9" s="4"/>
      <c r="QBX9" s="34"/>
      <c r="QBY9" s="34"/>
      <c r="QCA9" s="34"/>
      <c r="QCB9" s="72"/>
      <c r="QCC9" s="63"/>
      <c r="QCD9" s="34"/>
      <c r="QCE9" s="64"/>
      <c r="QCF9" s="4"/>
      <c r="QCG9" s="65"/>
      <c r="QCH9" s="4"/>
      <c r="QCI9" s="4"/>
      <c r="QCJ9" s="4"/>
      <c r="QCM9" s="34"/>
      <c r="QCN9" s="34"/>
      <c r="QCP9" s="34"/>
      <c r="QCQ9" s="72"/>
      <c r="QCR9" s="63"/>
      <c r="QCS9" s="34"/>
      <c r="QCT9" s="64"/>
      <c r="QCU9" s="4"/>
      <c r="QCV9" s="65"/>
      <c r="QCW9" s="4"/>
      <c r="QCX9" s="4"/>
      <c r="QCY9" s="4"/>
      <c r="QDB9" s="34"/>
      <c r="QDC9" s="34"/>
      <c r="QDE9" s="34"/>
      <c r="QDF9" s="72"/>
      <c r="QDG9" s="63"/>
      <c r="QDH9" s="34"/>
      <c r="QDI9" s="64"/>
      <c r="QDJ9" s="4"/>
      <c r="QDK9" s="65"/>
      <c r="QDL9" s="4"/>
      <c r="QDM9" s="4"/>
      <c r="QDN9" s="4"/>
      <c r="QDQ9" s="34"/>
      <c r="QDR9" s="34"/>
      <c r="QDT9" s="34"/>
      <c r="QDU9" s="72"/>
      <c r="QDV9" s="63"/>
      <c r="QDW9" s="34"/>
      <c r="QDX9" s="64"/>
      <c r="QDY9" s="4"/>
      <c r="QDZ9" s="65"/>
      <c r="QEA9" s="4"/>
      <c r="QEB9" s="4"/>
      <c r="QEC9" s="4"/>
      <c r="QEF9" s="34"/>
      <c r="QEG9" s="34"/>
      <c r="QEI9" s="34"/>
      <c r="QEJ9" s="72"/>
      <c r="QEK9" s="63"/>
      <c r="QEL9" s="34"/>
      <c r="QEM9" s="64"/>
      <c r="QEN9" s="4"/>
      <c r="QEO9" s="65"/>
      <c r="QEP9" s="4"/>
      <c r="QEQ9" s="4"/>
      <c r="QER9" s="4"/>
      <c r="QEU9" s="34"/>
      <c r="QEV9" s="34"/>
      <c r="QEX9" s="34"/>
      <c r="QEY9" s="72"/>
      <c r="QEZ9" s="63"/>
      <c r="QFA9" s="34"/>
      <c r="QFB9" s="64"/>
      <c r="QFC9" s="4"/>
      <c r="QFD9" s="65"/>
      <c r="QFE9" s="4"/>
      <c r="QFF9" s="4"/>
      <c r="QFG9" s="4"/>
      <c r="QFJ9" s="34"/>
      <c r="QFK9" s="34"/>
      <c r="QFM9" s="34"/>
      <c r="QFN9" s="72"/>
      <c r="QFO9" s="63"/>
      <c r="QFP9" s="34"/>
      <c r="QFQ9" s="64"/>
      <c r="QFR9" s="4"/>
      <c r="QFS9" s="65"/>
      <c r="QFT9" s="4"/>
      <c r="QFU9" s="4"/>
      <c r="QFV9" s="4"/>
      <c r="QFY9" s="34"/>
      <c r="QFZ9" s="34"/>
      <c r="QGB9" s="34"/>
      <c r="QGC9" s="72"/>
      <c r="QGD9" s="63"/>
      <c r="QGE9" s="34"/>
      <c r="QGF9" s="64"/>
      <c r="QGG9" s="4"/>
      <c r="QGH9" s="65"/>
      <c r="QGI9" s="4"/>
      <c r="QGJ9" s="4"/>
      <c r="QGK9" s="4"/>
      <c r="QGN9" s="34"/>
      <c r="QGO9" s="34"/>
      <c r="QGQ9" s="34"/>
      <c r="QGR9" s="72"/>
      <c r="QGS9" s="63"/>
      <c r="QGT9" s="34"/>
      <c r="QGU9" s="64"/>
      <c r="QGV9" s="4"/>
      <c r="QGW9" s="65"/>
      <c r="QGX9" s="4"/>
      <c r="QGY9" s="4"/>
      <c r="QGZ9" s="4"/>
      <c r="QHC9" s="34"/>
      <c r="QHD9" s="34"/>
      <c r="QHF9" s="34"/>
      <c r="QHG9" s="72"/>
      <c r="QHH9" s="63"/>
      <c r="QHI9" s="34"/>
      <c r="QHJ9" s="64"/>
      <c r="QHK9" s="4"/>
      <c r="QHL9" s="65"/>
      <c r="QHM9" s="4"/>
      <c r="QHN9" s="4"/>
      <c r="QHO9" s="4"/>
      <c r="QHR9" s="34"/>
      <c r="QHS9" s="34"/>
      <c r="QHU9" s="34"/>
      <c r="QHV9" s="72"/>
      <c r="QHW9" s="63"/>
      <c r="QHX9" s="34"/>
      <c r="QHY9" s="64"/>
      <c r="QHZ9" s="4"/>
      <c r="QIA9" s="65"/>
      <c r="QIB9" s="4"/>
      <c r="QIC9" s="4"/>
      <c r="QID9" s="4"/>
      <c r="QIG9" s="34"/>
      <c r="QIH9" s="34"/>
      <c r="QIJ9" s="34"/>
      <c r="QIK9" s="72"/>
      <c r="QIL9" s="63"/>
      <c r="QIM9" s="34"/>
      <c r="QIN9" s="64"/>
      <c r="QIO9" s="4"/>
      <c r="QIP9" s="65"/>
      <c r="QIQ9" s="4"/>
      <c r="QIR9" s="4"/>
      <c r="QIS9" s="4"/>
      <c r="QIV9" s="34"/>
      <c r="QIW9" s="34"/>
      <c r="QIY9" s="34"/>
      <c r="QIZ9" s="72"/>
      <c r="QJA9" s="63"/>
      <c r="QJB9" s="34"/>
      <c r="QJC9" s="64"/>
      <c r="QJD9" s="4"/>
      <c r="QJE9" s="65"/>
      <c r="QJF9" s="4"/>
      <c r="QJG9" s="4"/>
      <c r="QJH9" s="4"/>
      <c r="QJK9" s="34"/>
      <c r="QJL9" s="34"/>
      <c r="QJN9" s="34"/>
      <c r="QJO9" s="72"/>
      <c r="QJP9" s="63"/>
      <c r="QJQ9" s="34"/>
      <c r="QJR9" s="64"/>
      <c r="QJS9" s="4"/>
      <c r="QJT9" s="65"/>
      <c r="QJU9" s="4"/>
      <c r="QJV9" s="4"/>
      <c r="QJW9" s="4"/>
      <c r="QJZ9" s="34"/>
      <c r="QKA9" s="34"/>
      <c r="QKC9" s="34"/>
      <c r="QKD9" s="72"/>
      <c r="QKE9" s="63"/>
      <c r="QKF9" s="34"/>
      <c r="QKG9" s="64"/>
      <c r="QKH9" s="4"/>
      <c r="QKI9" s="65"/>
      <c r="QKJ9" s="4"/>
      <c r="QKK9" s="4"/>
      <c r="QKL9" s="4"/>
      <c r="QKO9" s="34"/>
      <c r="QKP9" s="34"/>
      <c r="QKR9" s="34"/>
      <c r="QKS9" s="72"/>
      <c r="QKT9" s="63"/>
      <c r="QKU9" s="34"/>
      <c r="QKV9" s="64"/>
      <c r="QKW9" s="4"/>
      <c r="QKX9" s="65"/>
      <c r="QKY9" s="4"/>
      <c r="QKZ9" s="4"/>
      <c r="QLA9" s="4"/>
      <c r="QLD9" s="34"/>
      <c r="QLE9" s="34"/>
      <c r="QLG9" s="34"/>
      <c r="QLH9" s="72"/>
      <c r="QLI9" s="63"/>
      <c r="QLJ9" s="34"/>
      <c r="QLK9" s="64"/>
      <c r="QLL9" s="4"/>
      <c r="QLM9" s="65"/>
      <c r="QLN9" s="4"/>
      <c r="QLO9" s="4"/>
      <c r="QLP9" s="4"/>
      <c r="QLS9" s="34"/>
      <c r="QLT9" s="34"/>
      <c r="QLV9" s="34"/>
      <c r="QLW9" s="72"/>
      <c r="QLX9" s="63"/>
      <c r="QLY9" s="34"/>
      <c r="QLZ9" s="64"/>
      <c r="QMA9" s="4"/>
      <c r="QMB9" s="65"/>
      <c r="QMC9" s="4"/>
      <c r="QMD9" s="4"/>
      <c r="QME9" s="4"/>
      <c r="QMH9" s="34"/>
      <c r="QMI9" s="34"/>
      <c r="QMK9" s="34"/>
      <c r="QML9" s="72"/>
      <c r="QMM9" s="63"/>
      <c r="QMN9" s="34"/>
      <c r="QMO9" s="64"/>
      <c r="QMP9" s="4"/>
      <c r="QMQ9" s="65"/>
      <c r="QMR9" s="4"/>
      <c r="QMS9" s="4"/>
      <c r="QMT9" s="4"/>
      <c r="QMW9" s="34"/>
      <c r="QMX9" s="34"/>
      <c r="QMZ9" s="34"/>
      <c r="QNA9" s="72"/>
      <c r="QNB9" s="63"/>
      <c r="QNC9" s="34"/>
      <c r="QND9" s="64"/>
      <c r="QNE9" s="4"/>
      <c r="QNF9" s="65"/>
      <c r="QNG9" s="4"/>
      <c r="QNH9" s="4"/>
      <c r="QNI9" s="4"/>
      <c r="QNL9" s="34"/>
      <c r="QNM9" s="34"/>
      <c r="QNO9" s="34"/>
      <c r="QNP9" s="72"/>
      <c r="QNQ9" s="63"/>
      <c r="QNR9" s="34"/>
      <c r="QNS9" s="64"/>
      <c r="QNT9" s="4"/>
      <c r="QNU9" s="65"/>
      <c r="QNV9" s="4"/>
      <c r="QNW9" s="4"/>
      <c r="QNX9" s="4"/>
      <c r="QOA9" s="34"/>
      <c r="QOB9" s="34"/>
      <c r="QOD9" s="34"/>
      <c r="QOE9" s="72"/>
      <c r="QOF9" s="63"/>
      <c r="QOG9" s="34"/>
      <c r="QOH9" s="64"/>
      <c r="QOI9" s="4"/>
      <c r="QOJ9" s="65"/>
      <c r="QOK9" s="4"/>
      <c r="QOL9" s="4"/>
      <c r="QOM9" s="4"/>
      <c r="QOP9" s="34"/>
      <c r="QOQ9" s="34"/>
      <c r="QOS9" s="34"/>
      <c r="QOT9" s="72"/>
      <c r="QOU9" s="63"/>
      <c r="QOV9" s="34"/>
      <c r="QOW9" s="64"/>
      <c r="QOX9" s="4"/>
      <c r="QOY9" s="65"/>
      <c r="QOZ9" s="4"/>
      <c r="QPA9" s="4"/>
      <c r="QPB9" s="4"/>
      <c r="QPE9" s="34"/>
      <c r="QPF9" s="34"/>
      <c r="QPH9" s="34"/>
      <c r="QPI9" s="72"/>
      <c r="QPJ9" s="63"/>
      <c r="QPK9" s="34"/>
      <c r="QPL9" s="64"/>
      <c r="QPM9" s="4"/>
      <c r="QPN9" s="65"/>
      <c r="QPO9" s="4"/>
      <c r="QPP9" s="4"/>
      <c r="QPQ9" s="4"/>
      <c r="QPT9" s="34"/>
      <c r="QPU9" s="34"/>
      <c r="QPW9" s="34"/>
      <c r="QPX9" s="72"/>
      <c r="QPY9" s="63"/>
      <c r="QPZ9" s="34"/>
      <c r="QQA9" s="64"/>
      <c r="QQB9" s="4"/>
      <c r="QQC9" s="65"/>
      <c r="QQD9" s="4"/>
      <c r="QQE9" s="4"/>
      <c r="QQF9" s="4"/>
      <c r="QQI9" s="34"/>
      <c r="QQJ9" s="34"/>
      <c r="QQL9" s="34"/>
      <c r="QQM9" s="72"/>
      <c r="QQN9" s="63"/>
      <c r="QQO9" s="34"/>
      <c r="QQP9" s="64"/>
      <c r="QQQ9" s="4"/>
      <c r="QQR9" s="65"/>
      <c r="QQS9" s="4"/>
      <c r="QQT9" s="4"/>
      <c r="QQU9" s="4"/>
      <c r="QQX9" s="34"/>
      <c r="QQY9" s="34"/>
      <c r="QRA9" s="34"/>
      <c r="QRB9" s="72"/>
      <c r="QRC9" s="63"/>
      <c r="QRD9" s="34"/>
      <c r="QRE9" s="64"/>
      <c r="QRF9" s="4"/>
      <c r="QRG9" s="65"/>
      <c r="QRH9" s="4"/>
      <c r="QRI9" s="4"/>
      <c r="QRJ9" s="4"/>
      <c r="QRM9" s="34"/>
      <c r="QRN9" s="34"/>
      <c r="QRP9" s="34"/>
      <c r="QRQ9" s="72"/>
      <c r="QRR9" s="63"/>
      <c r="QRS9" s="34"/>
      <c r="QRT9" s="64"/>
      <c r="QRU9" s="4"/>
      <c r="QRV9" s="65"/>
      <c r="QRW9" s="4"/>
      <c r="QRX9" s="4"/>
      <c r="QRY9" s="4"/>
      <c r="QSB9" s="34"/>
      <c r="QSC9" s="34"/>
      <c r="QSE9" s="34"/>
      <c r="QSF9" s="72"/>
      <c r="QSG9" s="63"/>
      <c r="QSH9" s="34"/>
      <c r="QSI9" s="64"/>
      <c r="QSJ9" s="4"/>
      <c r="QSK9" s="65"/>
      <c r="QSL9" s="4"/>
      <c r="QSM9" s="4"/>
      <c r="QSN9" s="4"/>
      <c r="QSQ9" s="34"/>
      <c r="QSR9" s="34"/>
      <c r="QST9" s="34"/>
      <c r="QSU9" s="72"/>
      <c r="QSV9" s="63"/>
      <c r="QSW9" s="34"/>
      <c r="QSX9" s="64"/>
      <c r="QSY9" s="4"/>
      <c r="QSZ9" s="65"/>
      <c r="QTA9" s="4"/>
      <c r="QTB9" s="4"/>
      <c r="QTC9" s="4"/>
      <c r="QTF9" s="34"/>
      <c r="QTG9" s="34"/>
      <c r="QTI9" s="34"/>
      <c r="QTJ9" s="72"/>
      <c r="QTK9" s="63"/>
      <c r="QTL9" s="34"/>
      <c r="QTM9" s="64"/>
      <c r="QTN9" s="4"/>
      <c r="QTO9" s="65"/>
      <c r="QTP9" s="4"/>
      <c r="QTQ9" s="4"/>
      <c r="QTR9" s="4"/>
      <c r="QTU9" s="34"/>
      <c r="QTV9" s="34"/>
      <c r="QTX9" s="34"/>
      <c r="QTY9" s="72"/>
      <c r="QTZ9" s="63"/>
      <c r="QUA9" s="34"/>
      <c r="QUB9" s="64"/>
      <c r="QUC9" s="4"/>
      <c r="QUD9" s="65"/>
      <c r="QUE9" s="4"/>
      <c r="QUF9" s="4"/>
      <c r="QUG9" s="4"/>
      <c r="QUJ9" s="34"/>
      <c r="QUK9" s="34"/>
      <c r="QUM9" s="34"/>
      <c r="QUN9" s="72"/>
      <c r="QUO9" s="63"/>
      <c r="QUP9" s="34"/>
      <c r="QUQ9" s="64"/>
      <c r="QUR9" s="4"/>
      <c r="QUS9" s="65"/>
      <c r="QUT9" s="4"/>
      <c r="QUU9" s="4"/>
      <c r="QUV9" s="4"/>
      <c r="QUY9" s="34"/>
      <c r="QUZ9" s="34"/>
      <c r="QVB9" s="34"/>
      <c r="QVC9" s="72"/>
      <c r="QVD9" s="63"/>
      <c r="QVE9" s="34"/>
      <c r="QVF9" s="64"/>
      <c r="QVG9" s="4"/>
      <c r="QVH9" s="65"/>
      <c r="QVI9" s="4"/>
      <c r="QVJ9" s="4"/>
      <c r="QVK9" s="4"/>
      <c r="QVN9" s="34"/>
      <c r="QVO9" s="34"/>
      <c r="QVQ9" s="34"/>
      <c r="QVR9" s="72"/>
      <c r="QVS9" s="63"/>
      <c r="QVT9" s="34"/>
      <c r="QVU9" s="64"/>
      <c r="QVV9" s="4"/>
      <c r="QVW9" s="65"/>
      <c r="QVX9" s="4"/>
      <c r="QVY9" s="4"/>
      <c r="QVZ9" s="4"/>
      <c r="QWC9" s="34"/>
      <c r="QWD9" s="34"/>
      <c r="QWF9" s="34"/>
      <c r="QWG9" s="72"/>
      <c r="QWH9" s="63"/>
      <c r="QWI9" s="34"/>
      <c r="QWJ9" s="64"/>
      <c r="QWK9" s="4"/>
      <c r="QWL9" s="65"/>
      <c r="QWM9" s="4"/>
      <c r="QWN9" s="4"/>
      <c r="QWO9" s="4"/>
      <c r="QWR9" s="34"/>
      <c r="QWS9" s="34"/>
      <c r="QWU9" s="34"/>
      <c r="QWV9" s="72"/>
      <c r="QWW9" s="63"/>
      <c r="QWX9" s="34"/>
      <c r="QWY9" s="64"/>
      <c r="QWZ9" s="4"/>
      <c r="QXA9" s="65"/>
      <c r="QXB9" s="4"/>
      <c r="QXC9" s="4"/>
      <c r="QXD9" s="4"/>
      <c r="QXG9" s="34"/>
      <c r="QXH9" s="34"/>
      <c r="QXJ9" s="34"/>
      <c r="QXK9" s="72"/>
      <c r="QXL9" s="63"/>
      <c r="QXM9" s="34"/>
      <c r="QXN9" s="64"/>
      <c r="QXO9" s="4"/>
      <c r="QXP9" s="65"/>
      <c r="QXQ9" s="4"/>
      <c r="QXR9" s="4"/>
      <c r="QXS9" s="4"/>
      <c r="QXV9" s="34"/>
      <c r="QXW9" s="34"/>
      <c r="QXY9" s="34"/>
      <c r="QXZ9" s="72"/>
      <c r="QYA9" s="63"/>
      <c r="QYB9" s="34"/>
      <c r="QYC9" s="64"/>
      <c r="QYD9" s="4"/>
      <c r="QYE9" s="65"/>
      <c r="QYF9" s="4"/>
      <c r="QYG9" s="4"/>
      <c r="QYH9" s="4"/>
      <c r="QYK9" s="34"/>
      <c r="QYL9" s="34"/>
      <c r="QYN9" s="34"/>
      <c r="QYO9" s="72"/>
      <c r="QYP9" s="63"/>
      <c r="QYQ9" s="34"/>
      <c r="QYR9" s="64"/>
      <c r="QYS9" s="4"/>
      <c r="QYT9" s="65"/>
      <c r="QYU9" s="4"/>
      <c r="QYV9" s="4"/>
      <c r="QYW9" s="4"/>
      <c r="QYZ9" s="34"/>
      <c r="QZA9" s="34"/>
      <c r="QZC9" s="34"/>
      <c r="QZD9" s="72"/>
      <c r="QZE9" s="63"/>
      <c r="QZF9" s="34"/>
      <c r="QZG9" s="64"/>
      <c r="QZH9" s="4"/>
      <c r="QZI9" s="65"/>
      <c r="QZJ9" s="4"/>
      <c r="QZK9" s="4"/>
      <c r="QZL9" s="4"/>
      <c r="QZO9" s="34"/>
      <c r="QZP9" s="34"/>
      <c r="QZR9" s="34"/>
      <c r="QZS9" s="72"/>
      <c r="QZT9" s="63"/>
      <c r="QZU9" s="34"/>
      <c r="QZV9" s="64"/>
      <c r="QZW9" s="4"/>
      <c r="QZX9" s="65"/>
      <c r="QZY9" s="4"/>
      <c r="QZZ9" s="4"/>
      <c r="RAA9" s="4"/>
      <c r="RAD9" s="34"/>
      <c r="RAE9" s="34"/>
      <c r="RAG9" s="34"/>
      <c r="RAH9" s="72"/>
      <c r="RAI9" s="63"/>
      <c r="RAJ9" s="34"/>
      <c r="RAK9" s="64"/>
      <c r="RAL9" s="4"/>
      <c r="RAM9" s="65"/>
      <c r="RAN9" s="4"/>
      <c r="RAO9" s="4"/>
      <c r="RAP9" s="4"/>
      <c r="RAS9" s="34"/>
      <c r="RAT9" s="34"/>
      <c r="RAV9" s="34"/>
      <c r="RAW9" s="72"/>
      <c r="RAX9" s="63"/>
      <c r="RAY9" s="34"/>
      <c r="RAZ9" s="64"/>
      <c r="RBA9" s="4"/>
      <c r="RBB9" s="65"/>
      <c r="RBC9" s="4"/>
      <c r="RBD9" s="4"/>
      <c r="RBE9" s="4"/>
      <c r="RBH9" s="34"/>
      <c r="RBI9" s="34"/>
      <c r="RBK9" s="34"/>
      <c r="RBL9" s="72"/>
      <c r="RBM9" s="63"/>
      <c r="RBN9" s="34"/>
      <c r="RBO9" s="64"/>
      <c r="RBP9" s="4"/>
      <c r="RBQ9" s="65"/>
      <c r="RBR9" s="4"/>
      <c r="RBS9" s="4"/>
      <c r="RBT9" s="4"/>
      <c r="RBW9" s="34"/>
      <c r="RBX9" s="34"/>
      <c r="RBZ9" s="34"/>
      <c r="RCA9" s="72"/>
      <c r="RCB9" s="63"/>
      <c r="RCC9" s="34"/>
      <c r="RCD9" s="64"/>
      <c r="RCE9" s="4"/>
      <c r="RCF9" s="65"/>
      <c r="RCG9" s="4"/>
      <c r="RCH9" s="4"/>
      <c r="RCI9" s="4"/>
      <c r="RCL9" s="34"/>
      <c r="RCM9" s="34"/>
      <c r="RCO9" s="34"/>
      <c r="RCP9" s="72"/>
      <c r="RCQ9" s="63"/>
      <c r="RCR9" s="34"/>
      <c r="RCS9" s="64"/>
      <c r="RCT9" s="4"/>
      <c r="RCU9" s="65"/>
      <c r="RCV9" s="4"/>
      <c r="RCW9" s="4"/>
      <c r="RCX9" s="4"/>
      <c r="RDA9" s="34"/>
      <c r="RDB9" s="34"/>
      <c r="RDD9" s="34"/>
      <c r="RDE9" s="72"/>
      <c r="RDF9" s="63"/>
      <c r="RDG9" s="34"/>
      <c r="RDH9" s="64"/>
      <c r="RDI9" s="4"/>
      <c r="RDJ9" s="65"/>
      <c r="RDK9" s="4"/>
      <c r="RDL9" s="4"/>
      <c r="RDM9" s="4"/>
      <c r="RDP9" s="34"/>
      <c r="RDQ9" s="34"/>
      <c r="RDS9" s="34"/>
      <c r="RDT9" s="72"/>
      <c r="RDU9" s="63"/>
      <c r="RDV9" s="34"/>
      <c r="RDW9" s="64"/>
      <c r="RDX9" s="4"/>
      <c r="RDY9" s="65"/>
      <c r="RDZ9" s="4"/>
      <c r="REA9" s="4"/>
      <c r="REB9" s="4"/>
      <c r="REE9" s="34"/>
      <c r="REF9" s="34"/>
      <c r="REH9" s="34"/>
      <c r="REI9" s="72"/>
      <c r="REJ9" s="63"/>
      <c r="REK9" s="34"/>
      <c r="REL9" s="64"/>
      <c r="REM9" s="4"/>
      <c r="REN9" s="65"/>
      <c r="REO9" s="4"/>
      <c r="REP9" s="4"/>
      <c r="REQ9" s="4"/>
      <c r="RET9" s="34"/>
      <c r="REU9" s="34"/>
      <c r="REW9" s="34"/>
      <c r="REX9" s="72"/>
      <c r="REY9" s="63"/>
      <c r="REZ9" s="34"/>
      <c r="RFA9" s="64"/>
      <c r="RFB9" s="4"/>
      <c r="RFC9" s="65"/>
      <c r="RFD9" s="4"/>
      <c r="RFE9" s="4"/>
      <c r="RFF9" s="4"/>
      <c r="RFI9" s="34"/>
      <c r="RFJ9" s="34"/>
      <c r="RFL9" s="34"/>
      <c r="RFM9" s="72"/>
      <c r="RFN9" s="63"/>
      <c r="RFO9" s="34"/>
      <c r="RFP9" s="64"/>
      <c r="RFQ9" s="4"/>
      <c r="RFR9" s="65"/>
      <c r="RFS9" s="4"/>
      <c r="RFT9" s="4"/>
      <c r="RFU9" s="4"/>
      <c r="RFX9" s="34"/>
      <c r="RFY9" s="34"/>
      <c r="RGA9" s="34"/>
      <c r="RGB9" s="72"/>
      <c r="RGC9" s="63"/>
      <c r="RGD9" s="34"/>
      <c r="RGE9" s="64"/>
      <c r="RGF9" s="4"/>
      <c r="RGG9" s="65"/>
      <c r="RGH9" s="4"/>
      <c r="RGI9" s="4"/>
      <c r="RGJ9" s="4"/>
      <c r="RGM9" s="34"/>
      <c r="RGN9" s="34"/>
      <c r="RGP9" s="34"/>
      <c r="RGQ9" s="72"/>
      <c r="RGR9" s="63"/>
      <c r="RGS9" s="34"/>
      <c r="RGT9" s="64"/>
      <c r="RGU9" s="4"/>
      <c r="RGV9" s="65"/>
      <c r="RGW9" s="4"/>
      <c r="RGX9" s="4"/>
      <c r="RGY9" s="4"/>
      <c r="RHB9" s="34"/>
      <c r="RHC9" s="34"/>
      <c r="RHE9" s="34"/>
      <c r="RHF9" s="72"/>
      <c r="RHG9" s="63"/>
      <c r="RHH9" s="34"/>
      <c r="RHI9" s="64"/>
      <c r="RHJ9" s="4"/>
      <c r="RHK9" s="65"/>
      <c r="RHL9" s="4"/>
      <c r="RHM9" s="4"/>
      <c r="RHN9" s="4"/>
      <c r="RHQ9" s="34"/>
      <c r="RHR9" s="34"/>
      <c r="RHT9" s="34"/>
      <c r="RHU9" s="72"/>
      <c r="RHV9" s="63"/>
      <c r="RHW9" s="34"/>
      <c r="RHX9" s="64"/>
      <c r="RHY9" s="4"/>
      <c r="RHZ9" s="65"/>
      <c r="RIA9" s="4"/>
      <c r="RIB9" s="4"/>
      <c r="RIC9" s="4"/>
      <c r="RIF9" s="34"/>
      <c r="RIG9" s="34"/>
      <c r="RII9" s="34"/>
      <c r="RIJ9" s="72"/>
      <c r="RIK9" s="63"/>
      <c r="RIL9" s="34"/>
      <c r="RIM9" s="64"/>
      <c r="RIN9" s="4"/>
      <c r="RIO9" s="65"/>
      <c r="RIP9" s="4"/>
      <c r="RIQ9" s="4"/>
      <c r="RIR9" s="4"/>
      <c r="RIU9" s="34"/>
      <c r="RIV9" s="34"/>
      <c r="RIX9" s="34"/>
      <c r="RIY9" s="72"/>
      <c r="RIZ9" s="63"/>
      <c r="RJA9" s="34"/>
      <c r="RJB9" s="64"/>
      <c r="RJC9" s="4"/>
      <c r="RJD9" s="65"/>
      <c r="RJE9" s="4"/>
      <c r="RJF9" s="4"/>
      <c r="RJG9" s="4"/>
      <c r="RJJ9" s="34"/>
      <c r="RJK9" s="34"/>
      <c r="RJM9" s="34"/>
      <c r="RJN9" s="72"/>
      <c r="RJO9" s="63"/>
      <c r="RJP9" s="34"/>
      <c r="RJQ9" s="64"/>
      <c r="RJR9" s="4"/>
      <c r="RJS9" s="65"/>
      <c r="RJT9" s="4"/>
      <c r="RJU9" s="4"/>
      <c r="RJV9" s="4"/>
      <c r="RJY9" s="34"/>
      <c r="RJZ9" s="34"/>
      <c r="RKB9" s="34"/>
      <c r="RKC9" s="72"/>
      <c r="RKD9" s="63"/>
      <c r="RKE9" s="34"/>
      <c r="RKF9" s="64"/>
      <c r="RKG9" s="4"/>
      <c r="RKH9" s="65"/>
      <c r="RKI9" s="4"/>
      <c r="RKJ9" s="4"/>
      <c r="RKK9" s="4"/>
      <c r="RKN9" s="34"/>
      <c r="RKO9" s="34"/>
      <c r="RKQ9" s="34"/>
      <c r="RKR9" s="72"/>
      <c r="RKS9" s="63"/>
      <c r="RKT9" s="34"/>
      <c r="RKU9" s="64"/>
      <c r="RKV9" s="4"/>
      <c r="RKW9" s="65"/>
      <c r="RKX9" s="4"/>
      <c r="RKY9" s="4"/>
      <c r="RKZ9" s="4"/>
      <c r="RLC9" s="34"/>
      <c r="RLD9" s="34"/>
      <c r="RLF9" s="34"/>
      <c r="RLG9" s="72"/>
      <c r="RLH9" s="63"/>
      <c r="RLI9" s="34"/>
      <c r="RLJ9" s="64"/>
      <c r="RLK9" s="4"/>
      <c r="RLL9" s="65"/>
      <c r="RLM9" s="4"/>
      <c r="RLN9" s="4"/>
      <c r="RLO9" s="4"/>
      <c r="RLR9" s="34"/>
      <c r="RLS9" s="34"/>
      <c r="RLU9" s="34"/>
      <c r="RLV9" s="72"/>
      <c r="RLW9" s="63"/>
      <c r="RLX9" s="34"/>
      <c r="RLY9" s="64"/>
      <c r="RLZ9" s="4"/>
      <c r="RMA9" s="65"/>
      <c r="RMB9" s="4"/>
      <c r="RMC9" s="4"/>
      <c r="RMD9" s="4"/>
      <c r="RMG9" s="34"/>
      <c r="RMH9" s="34"/>
      <c r="RMJ9" s="34"/>
      <c r="RMK9" s="72"/>
      <c r="RML9" s="63"/>
      <c r="RMM9" s="34"/>
      <c r="RMN9" s="64"/>
      <c r="RMO9" s="4"/>
      <c r="RMP9" s="65"/>
      <c r="RMQ9" s="4"/>
      <c r="RMR9" s="4"/>
      <c r="RMS9" s="4"/>
      <c r="RMV9" s="34"/>
      <c r="RMW9" s="34"/>
      <c r="RMY9" s="34"/>
      <c r="RMZ9" s="72"/>
      <c r="RNA9" s="63"/>
      <c r="RNB9" s="34"/>
      <c r="RNC9" s="64"/>
      <c r="RND9" s="4"/>
      <c r="RNE9" s="65"/>
      <c r="RNF9" s="4"/>
      <c r="RNG9" s="4"/>
      <c r="RNH9" s="4"/>
      <c r="RNK9" s="34"/>
      <c r="RNL9" s="34"/>
      <c r="RNN9" s="34"/>
      <c r="RNO9" s="72"/>
      <c r="RNP9" s="63"/>
      <c r="RNQ9" s="34"/>
      <c r="RNR9" s="64"/>
      <c r="RNS9" s="4"/>
      <c r="RNT9" s="65"/>
      <c r="RNU9" s="4"/>
      <c r="RNV9" s="4"/>
      <c r="RNW9" s="4"/>
      <c r="RNZ9" s="34"/>
      <c r="ROA9" s="34"/>
      <c r="ROC9" s="34"/>
      <c r="ROD9" s="72"/>
      <c r="ROE9" s="63"/>
      <c r="ROF9" s="34"/>
      <c r="ROG9" s="64"/>
      <c r="ROH9" s="4"/>
      <c r="ROI9" s="65"/>
      <c r="ROJ9" s="4"/>
      <c r="ROK9" s="4"/>
      <c r="ROL9" s="4"/>
      <c r="ROO9" s="34"/>
      <c r="ROP9" s="34"/>
      <c r="ROR9" s="34"/>
      <c r="ROS9" s="72"/>
      <c r="ROT9" s="63"/>
      <c r="ROU9" s="34"/>
      <c r="ROV9" s="64"/>
      <c r="ROW9" s="4"/>
      <c r="ROX9" s="65"/>
      <c r="ROY9" s="4"/>
      <c r="ROZ9" s="4"/>
      <c r="RPA9" s="4"/>
      <c r="RPD9" s="34"/>
      <c r="RPE9" s="34"/>
      <c r="RPG9" s="34"/>
      <c r="RPH9" s="72"/>
      <c r="RPI9" s="63"/>
      <c r="RPJ9" s="34"/>
      <c r="RPK9" s="64"/>
      <c r="RPL9" s="4"/>
      <c r="RPM9" s="65"/>
      <c r="RPN9" s="4"/>
      <c r="RPO9" s="4"/>
      <c r="RPP9" s="4"/>
      <c r="RPS9" s="34"/>
      <c r="RPT9" s="34"/>
      <c r="RPV9" s="34"/>
      <c r="RPW9" s="72"/>
      <c r="RPX9" s="63"/>
      <c r="RPY9" s="34"/>
      <c r="RPZ9" s="64"/>
      <c r="RQA9" s="4"/>
      <c r="RQB9" s="65"/>
      <c r="RQC9" s="4"/>
      <c r="RQD9" s="4"/>
      <c r="RQE9" s="4"/>
      <c r="RQH9" s="34"/>
      <c r="RQI9" s="34"/>
      <c r="RQK9" s="34"/>
      <c r="RQL9" s="72"/>
      <c r="RQM9" s="63"/>
      <c r="RQN9" s="34"/>
      <c r="RQO9" s="64"/>
      <c r="RQP9" s="4"/>
      <c r="RQQ9" s="65"/>
      <c r="RQR9" s="4"/>
      <c r="RQS9" s="4"/>
      <c r="RQT9" s="4"/>
      <c r="RQW9" s="34"/>
      <c r="RQX9" s="34"/>
      <c r="RQZ9" s="34"/>
      <c r="RRA9" s="72"/>
      <c r="RRB9" s="63"/>
      <c r="RRC9" s="34"/>
      <c r="RRD9" s="64"/>
      <c r="RRE9" s="4"/>
      <c r="RRF9" s="65"/>
      <c r="RRG9" s="4"/>
      <c r="RRH9" s="4"/>
      <c r="RRI9" s="4"/>
      <c r="RRL9" s="34"/>
      <c r="RRM9" s="34"/>
      <c r="RRO9" s="34"/>
      <c r="RRP9" s="72"/>
      <c r="RRQ9" s="63"/>
      <c r="RRR9" s="34"/>
      <c r="RRS9" s="64"/>
      <c r="RRT9" s="4"/>
      <c r="RRU9" s="65"/>
      <c r="RRV9" s="4"/>
      <c r="RRW9" s="4"/>
      <c r="RRX9" s="4"/>
      <c r="RSA9" s="34"/>
      <c r="RSB9" s="34"/>
      <c r="RSD9" s="34"/>
      <c r="RSE9" s="72"/>
      <c r="RSF9" s="63"/>
      <c r="RSG9" s="34"/>
      <c r="RSH9" s="64"/>
      <c r="RSI9" s="4"/>
      <c r="RSJ9" s="65"/>
      <c r="RSK9" s="4"/>
      <c r="RSL9" s="4"/>
      <c r="RSM9" s="4"/>
      <c r="RSP9" s="34"/>
      <c r="RSQ9" s="34"/>
      <c r="RSS9" s="34"/>
      <c r="RST9" s="72"/>
      <c r="RSU9" s="63"/>
      <c r="RSV9" s="34"/>
      <c r="RSW9" s="64"/>
      <c r="RSX9" s="4"/>
      <c r="RSY9" s="65"/>
      <c r="RSZ9" s="4"/>
      <c r="RTA9" s="4"/>
      <c r="RTB9" s="4"/>
      <c r="RTE9" s="34"/>
      <c r="RTF9" s="34"/>
      <c r="RTH9" s="34"/>
      <c r="RTI9" s="72"/>
      <c r="RTJ9" s="63"/>
      <c r="RTK9" s="34"/>
      <c r="RTL9" s="64"/>
      <c r="RTM9" s="4"/>
      <c r="RTN9" s="65"/>
      <c r="RTO9" s="4"/>
      <c r="RTP9" s="4"/>
      <c r="RTQ9" s="4"/>
      <c r="RTT9" s="34"/>
      <c r="RTU9" s="34"/>
      <c r="RTW9" s="34"/>
      <c r="RTX9" s="72"/>
      <c r="RTY9" s="63"/>
      <c r="RTZ9" s="34"/>
      <c r="RUA9" s="64"/>
      <c r="RUB9" s="4"/>
      <c r="RUC9" s="65"/>
      <c r="RUD9" s="4"/>
      <c r="RUE9" s="4"/>
      <c r="RUF9" s="4"/>
      <c r="RUI9" s="34"/>
      <c r="RUJ9" s="34"/>
      <c r="RUL9" s="34"/>
      <c r="RUM9" s="72"/>
      <c r="RUN9" s="63"/>
      <c r="RUO9" s="34"/>
      <c r="RUP9" s="64"/>
      <c r="RUQ9" s="4"/>
      <c r="RUR9" s="65"/>
      <c r="RUS9" s="4"/>
      <c r="RUT9" s="4"/>
      <c r="RUU9" s="4"/>
      <c r="RUX9" s="34"/>
      <c r="RUY9" s="34"/>
      <c r="RVA9" s="34"/>
      <c r="RVB9" s="72"/>
      <c r="RVC9" s="63"/>
      <c r="RVD9" s="34"/>
      <c r="RVE9" s="64"/>
      <c r="RVF9" s="4"/>
      <c r="RVG9" s="65"/>
      <c r="RVH9" s="4"/>
      <c r="RVI9" s="4"/>
      <c r="RVJ9" s="4"/>
      <c r="RVM9" s="34"/>
      <c r="RVN9" s="34"/>
      <c r="RVP9" s="34"/>
      <c r="RVQ9" s="72"/>
      <c r="RVR9" s="63"/>
      <c r="RVS9" s="34"/>
      <c r="RVT9" s="64"/>
      <c r="RVU9" s="4"/>
      <c r="RVV9" s="65"/>
      <c r="RVW9" s="4"/>
      <c r="RVX9" s="4"/>
      <c r="RVY9" s="4"/>
      <c r="RWB9" s="34"/>
      <c r="RWC9" s="34"/>
      <c r="RWE9" s="34"/>
      <c r="RWF9" s="72"/>
      <c r="RWG9" s="63"/>
      <c r="RWH9" s="34"/>
      <c r="RWI9" s="64"/>
      <c r="RWJ9" s="4"/>
      <c r="RWK9" s="65"/>
      <c r="RWL9" s="4"/>
      <c r="RWM9" s="4"/>
      <c r="RWN9" s="4"/>
      <c r="RWQ9" s="34"/>
      <c r="RWR9" s="34"/>
      <c r="RWT9" s="34"/>
      <c r="RWU9" s="72"/>
      <c r="RWV9" s="63"/>
      <c r="RWW9" s="34"/>
      <c r="RWX9" s="64"/>
      <c r="RWY9" s="4"/>
      <c r="RWZ9" s="65"/>
      <c r="RXA9" s="4"/>
      <c r="RXB9" s="4"/>
      <c r="RXC9" s="4"/>
      <c r="RXF9" s="34"/>
      <c r="RXG9" s="34"/>
      <c r="RXI9" s="34"/>
      <c r="RXJ9" s="72"/>
      <c r="RXK9" s="63"/>
      <c r="RXL9" s="34"/>
      <c r="RXM9" s="64"/>
      <c r="RXN9" s="4"/>
      <c r="RXO9" s="65"/>
      <c r="RXP9" s="4"/>
      <c r="RXQ9" s="4"/>
      <c r="RXR9" s="4"/>
      <c r="RXU9" s="34"/>
      <c r="RXV9" s="34"/>
      <c r="RXX9" s="34"/>
      <c r="RXY9" s="72"/>
      <c r="RXZ9" s="63"/>
      <c r="RYA9" s="34"/>
      <c r="RYB9" s="64"/>
      <c r="RYC9" s="4"/>
      <c r="RYD9" s="65"/>
      <c r="RYE9" s="4"/>
      <c r="RYF9" s="4"/>
      <c r="RYG9" s="4"/>
      <c r="RYJ9" s="34"/>
      <c r="RYK9" s="34"/>
      <c r="RYM9" s="34"/>
      <c r="RYN9" s="72"/>
      <c r="RYO9" s="63"/>
      <c r="RYP9" s="34"/>
      <c r="RYQ9" s="64"/>
      <c r="RYR9" s="4"/>
      <c r="RYS9" s="65"/>
      <c r="RYT9" s="4"/>
      <c r="RYU9" s="4"/>
      <c r="RYV9" s="4"/>
      <c r="RYY9" s="34"/>
      <c r="RYZ9" s="34"/>
      <c r="RZB9" s="34"/>
      <c r="RZC9" s="72"/>
      <c r="RZD9" s="63"/>
      <c r="RZE9" s="34"/>
      <c r="RZF9" s="64"/>
      <c r="RZG9" s="4"/>
      <c r="RZH9" s="65"/>
      <c r="RZI9" s="4"/>
      <c r="RZJ9" s="4"/>
      <c r="RZK9" s="4"/>
      <c r="RZN9" s="34"/>
      <c r="RZO9" s="34"/>
      <c r="RZQ9" s="34"/>
      <c r="RZR9" s="72"/>
      <c r="RZS9" s="63"/>
      <c r="RZT9" s="34"/>
      <c r="RZU9" s="64"/>
      <c r="RZV9" s="4"/>
      <c r="RZW9" s="65"/>
      <c r="RZX9" s="4"/>
      <c r="RZY9" s="4"/>
      <c r="RZZ9" s="4"/>
      <c r="SAC9" s="34"/>
      <c r="SAD9" s="34"/>
      <c r="SAF9" s="34"/>
      <c r="SAG9" s="72"/>
      <c r="SAH9" s="63"/>
      <c r="SAI9" s="34"/>
      <c r="SAJ9" s="64"/>
      <c r="SAK9" s="4"/>
      <c r="SAL9" s="65"/>
      <c r="SAM9" s="4"/>
      <c r="SAN9" s="4"/>
      <c r="SAO9" s="4"/>
      <c r="SAR9" s="34"/>
      <c r="SAS9" s="34"/>
      <c r="SAU9" s="34"/>
      <c r="SAV9" s="72"/>
      <c r="SAW9" s="63"/>
      <c r="SAX9" s="34"/>
      <c r="SAY9" s="64"/>
      <c r="SAZ9" s="4"/>
      <c r="SBA9" s="65"/>
      <c r="SBB9" s="4"/>
      <c r="SBC9" s="4"/>
      <c r="SBD9" s="4"/>
      <c r="SBG9" s="34"/>
      <c r="SBH9" s="34"/>
      <c r="SBJ9" s="34"/>
      <c r="SBK9" s="72"/>
      <c r="SBL9" s="63"/>
      <c r="SBM9" s="34"/>
      <c r="SBN9" s="64"/>
      <c r="SBO9" s="4"/>
      <c r="SBP9" s="65"/>
      <c r="SBQ9" s="4"/>
      <c r="SBR9" s="4"/>
      <c r="SBS9" s="4"/>
      <c r="SBV9" s="34"/>
      <c r="SBW9" s="34"/>
      <c r="SBY9" s="34"/>
      <c r="SBZ9" s="72"/>
      <c r="SCA9" s="63"/>
      <c r="SCB9" s="34"/>
      <c r="SCC9" s="64"/>
      <c r="SCD9" s="4"/>
      <c r="SCE9" s="65"/>
      <c r="SCF9" s="4"/>
      <c r="SCG9" s="4"/>
      <c r="SCH9" s="4"/>
      <c r="SCK9" s="34"/>
      <c r="SCL9" s="34"/>
      <c r="SCN9" s="34"/>
      <c r="SCO9" s="72"/>
      <c r="SCP9" s="63"/>
      <c r="SCQ9" s="34"/>
      <c r="SCR9" s="64"/>
      <c r="SCS9" s="4"/>
      <c r="SCT9" s="65"/>
      <c r="SCU9" s="4"/>
      <c r="SCV9" s="4"/>
      <c r="SCW9" s="4"/>
      <c r="SCZ9" s="34"/>
      <c r="SDA9" s="34"/>
      <c r="SDC9" s="34"/>
      <c r="SDD9" s="72"/>
      <c r="SDE9" s="63"/>
      <c r="SDF9" s="34"/>
      <c r="SDG9" s="64"/>
      <c r="SDH9" s="4"/>
      <c r="SDI9" s="65"/>
      <c r="SDJ9" s="4"/>
      <c r="SDK9" s="4"/>
      <c r="SDL9" s="4"/>
      <c r="SDO9" s="34"/>
      <c r="SDP9" s="34"/>
      <c r="SDR9" s="34"/>
      <c r="SDS9" s="72"/>
      <c r="SDT9" s="63"/>
      <c r="SDU9" s="34"/>
      <c r="SDV9" s="64"/>
      <c r="SDW9" s="4"/>
      <c r="SDX9" s="65"/>
      <c r="SDY9" s="4"/>
      <c r="SDZ9" s="4"/>
      <c r="SEA9" s="4"/>
      <c r="SED9" s="34"/>
      <c r="SEE9" s="34"/>
      <c r="SEG9" s="34"/>
      <c r="SEH9" s="72"/>
      <c r="SEI9" s="63"/>
      <c r="SEJ9" s="34"/>
      <c r="SEK9" s="64"/>
      <c r="SEL9" s="4"/>
      <c r="SEM9" s="65"/>
      <c r="SEN9" s="4"/>
      <c r="SEO9" s="4"/>
      <c r="SEP9" s="4"/>
      <c r="SES9" s="34"/>
      <c r="SET9" s="34"/>
      <c r="SEV9" s="34"/>
      <c r="SEW9" s="72"/>
      <c r="SEX9" s="63"/>
      <c r="SEY9" s="34"/>
      <c r="SEZ9" s="64"/>
      <c r="SFA9" s="4"/>
      <c r="SFB9" s="65"/>
      <c r="SFC9" s="4"/>
      <c r="SFD9" s="4"/>
      <c r="SFE9" s="4"/>
      <c r="SFH9" s="34"/>
      <c r="SFI9" s="34"/>
      <c r="SFK9" s="34"/>
      <c r="SFL9" s="72"/>
      <c r="SFM9" s="63"/>
      <c r="SFN9" s="34"/>
      <c r="SFO9" s="64"/>
      <c r="SFP9" s="4"/>
      <c r="SFQ9" s="65"/>
      <c r="SFR9" s="4"/>
      <c r="SFS9" s="4"/>
      <c r="SFT9" s="4"/>
      <c r="SFW9" s="34"/>
      <c r="SFX9" s="34"/>
      <c r="SFZ9" s="34"/>
      <c r="SGA9" s="72"/>
      <c r="SGB9" s="63"/>
      <c r="SGC9" s="34"/>
      <c r="SGD9" s="64"/>
      <c r="SGE9" s="4"/>
      <c r="SGF9" s="65"/>
      <c r="SGG9" s="4"/>
      <c r="SGH9" s="4"/>
      <c r="SGI9" s="4"/>
      <c r="SGL9" s="34"/>
      <c r="SGM9" s="34"/>
      <c r="SGO9" s="34"/>
      <c r="SGP9" s="72"/>
      <c r="SGQ9" s="63"/>
      <c r="SGR9" s="34"/>
      <c r="SGS9" s="64"/>
      <c r="SGT9" s="4"/>
      <c r="SGU9" s="65"/>
      <c r="SGV9" s="4"/>
      <c r="SGW9" s="4"/>
      <c r="SGX9" s="4"/>
      <c r="SHA9" s="34"/>
      <c r="SHB9" s="34"/>
      <c r="SHD9" s="34"/>
      <c r="SHE9" s="72"/>
      <c r="SHF9" s="63"/>
      <c r="SHG9" s="34"/>
      <c r="SHH9" s="64"/>
      <c r="SHI9" s="4"/>
      <c r="SHJ9" s="65"/>
      <c r="SHK9" s="4"/>
      <c r="SHL9" s="4"/>
      <c r="SHM9" s="4"/>
      <c r="SHP9" s="34"/>
      <c r="SHQ9" s="34"/>
      <c r="SHS9" s="34"/>
      <c r="SHT9" s="72"/>
      <c r="SHU9" s="63"/>
      <c r="SHV9" s="34"/>
      <c r="SHW9" s="64"/>
      <c r="SHX9" s="4"/>
      <c r="SHY9" s="65"/>
      <c r="SHZ9" s="4"/>
      <c r="SIA9" s="4"/>
      <c r="SIB9" s="4"/>
      <c r="SIE9" s="34"/>
      <c r="SIF9" s="34"/>
      <c r="SIH9" s="34"/>
      <c r="SII9" s="72"/>
      <c r="SIJ9" s="63"/>
      <c r="SIK9" s="34"/>
      <c r="SIL9" s="64"/>
      <c r="SIM9" s="4"/>
      <c r="SIN9" s="65"/>
      <c r="SIO9" s="4"/>
      <c r="SIP9" s="4"/>
      <c r="SIQ9" s="4"/>
      <c r="SIT9" s="34"/>
      <c r="SIU9" s="34"/>
      <c r="SIW9" s="34"/>
      <c r="SIX9" s="72"/>
      <c r="SIY9" s="63"/>
      <c r="SIZ9" s="34"/>
      <c r="SJA9" s="64"/>
      <c r="SJB9" s="4"/>
      <c r="SJC9" s="65"/>
      <c r="SJD9" s="4"/>
      <c r="SJE9" s="4"/>
      <c r="SJF9" s="4"/>
      <c r="SJI9" s="34"/>
      <c r="SJJ9" s="34"/>
      <c r="SJL9" s="34"/>
      <c r="SJM9" s="72"/>
      <c r="SJN9" s="63"/>
      <c r="SJO9" s="34"/>
      <c r="SJP9" s="64"/>
      <c r="SJQ9" s="4"/>
      <c r="SJR9" s="65"/>
      <c r="SJS9" s="4"/>
      <c r="SJT9" s="4"/>
      <c r="SJU9" s="4"/>
      <c r="SJX9" s="34"/>
      <c r="SJY9" s="34"/>
      <c r="SKA9" s="34"/>
      <c r="SKB9" s="72"/>
      <c r="SKC9" s="63"/>
      <c r="SKD9" s="34"/>
      <c r="SKE9" s="64"/>
      <c r="SKF9" s="4"/>
      <c r="SKG9" s="65"/>
      <c r="SKH9" s="4"/>
      <c r="SKI9" s="4"/>
      <c r="SKJ9" s="4"/>
      <c r="SKM9" s="34"/>
      <c r="SKN9" s="34"/>
      <c r="SKP9" s="34"/>
      <c r="SKQ9" s="72"/>
      <c r="SKR9" s="63"/>
      <c r="SKS9" s="34"/>
      <c r="SKT9" s="64"/>
      <c r="SKU9" s="4"/>
      <c r="SKV9" s="65"/>
      <c r="SKW9" s="4"/>
      <c r="SKX9" s="4"/>
      <c r="SKY9" s="4"/>
      <c r="SLB9" s="34"/>
      <c r="SLC9" s="34"/>
      <c r="SLE9" s="34"/>
      <c r="SLF9" s="72"/>
      <c r="SLG9" s="63"/>
      <c r="SLH9" s="34"/>
      <c r="SLI9" s="64"/>
      <c r="SLJ9" s="4"/>
      <c r="SLK9" s="65"/>
      <c r="SLL9" s="4"/>
      <c r="SLM9" s="4"/>
      <c r="SLN9" s="4"/>
      <c r="SLQ9" s="34"/>
      <c r="SLR9" s="34"/>
      <c r="SLT9" s="34"/>
      <c r="SLU9" s="72"/>
      <c r="SLV9" s="63"/>
      <c r="SLW9" s="34"/>
      <c r="SLX9" s="64"/>
      <c r="SLY9" s="4"/>
      <c r="SLZ9" s="65"/>
      <c r="SMA9" s="4"/>
      <c r="SMB9" s="4"/>
      <c r="SMC9" s="4"/>
      <c r="SMF9" s="34"/>
      <c r="SMG9" s="34"/>
      <c r="SMI9" s="34"/>
      <c r="SMJ9" s="72"/>
      <c r="SMK9" s="63"/>
      <c r="SML9" s="34"/>
      <c r="SMM9" s="64"/>
      <c r="SMN9" s="4"/>
      <c r="SMO9" s="65"/>
      <c r="SMP9" s="4"/>
      <c r="SMQ9" s="4"/>
      <c r="SMR9" s="4"/>
      <c r="SMU9" s="34"/>
      <c r="SMV9" s="34"/>
      <c r="SMX9" s="34"/>
      <c r="SMY9" s="72"/>
      <c r="SMZ9" s="63"/>
      <c r="SNA9" s="34"/>
      <c r="SNB9" s="64"/>
      <c r="SNC9" s="4"/>
      <c r="SND9" s="65"/>
      <c r="SNE9" s="4"/>
      <c r="SNF9" s="4"/>
      <c r="SNG9" s="4"/>
      <c r="SNJ9" s="34"/>
      <c r="SNK9" s="34"/>
      <c r="SNM9" s="34"/>
      <c r="SNN9" s="72"/>
      <c r="SNO9" s="63"/>
      <c r="SNP9" s="34"/>
      <c r="SNQ9" s="64"/>
      <c r="SNR9" s="4"/>
      <c r="SNS9" s="65"/>
      <c r="SNT9" s="4"/>
      <c r="SNU9" s="4"/>
      <c r="SNV9" s="4"/>
      <c r="SNY9" s="34"/>
      <c r="SNZ9" s="34"/>
      <c r="SOB9" s="34"/>
      <c r="SOC9" s="72"/>
      <c r="SOD9" s="63"/>
      <c r="SOE9" s="34"/>
      <c r="SOF9" s="64"/>
      <c r="SOG9" s="4"/>
      <c r="SOH9" s="65"/>
      <c r="SOI9" s="4"/>
      <c r="SOJ9" s="4"/>
      <c r="SOK9" s="4"/>
      <c r="SON9" s="34"/>
      <c r="SOO9" s="34"/>
      <c r="SOQ9" s="34"/>
      <c r="SOR9" s="72"/>
      <c r="SOS9" s="63"/>
      <c r="SOT9" s="34"/>
      <c r="SOU9" s="64"/>
      <c r="SOV9" s="4"/>
      <c r="SOW9" s="65"/>
      <c r="SOX9" s="4"/>
      <c r="SOY9" s="4"/>
      <c r="SOZ9" s="4"/>
      <c r="SPC9" s="34"/>
      <c r="SPD9" s="34"/>
      <c r="SPF9" s="34"/>
      <c r="SPG9" s="72"/>
      <c r="SPH9" s="63"/>
      <c r="SPI9" s="34"/>
      <c r="SPJ9" s="64"/>
      <c r="SPK9" s="4"/>
      <c r="SPL9" s="65"/>
      <c r="SPM9" s="4"/>
      <c r="SPN9" s="4"/>
      <c r="SPO9" s="4"/>
      <c r="SPR9" s="34"/>
      <c r="SPS9" s="34"/>
      <c r="SPU9" s="34"/>
      <c r="SPV9" s="72"/>
      <c r="SPW9" s="63"/>
      <c r="SPX9" s="34"/>
      <c r="SPY9" s="64"/>
      <c r="SPZ9" s="4"/>
      <c r="SQA9" s="65"/>
      <c r="SQB9" s="4"/>
      <c r="SQC9" s="4"/>
      <c r="SQD9" s="4"/>
      <c r="SQG9" s="34"/>
      <c r="SQH9" s="34"/>
      <c r="SQJ9" s="34"/>
      <c r="SQK9" s="72"/>
      <c r="SQL9" s="63"/>
      <c r="SQM9" s="34"/>
      <c r="SQN9" s="64"/>
      <c r="SQO9" s="4"/>
      <c r="SQP9" s="65"/>
      <c r="SQQ9" s="4"/>
      <c r="SQR9" s="4"/>
      <c r="SQS9" s="4"/>
      <c r="SQV9" s="34"/>
      <c r="SQW9" s="34"/>
      <c r="SQY9" s="34"/>
      <c r="SQZ9" s="72"/>
      <c r="SRA9" s="63"/>
      <c r="SRB9" s="34"/>
      <c r="SRC9" s="64"/>
      <c r="SRD9" s="4"/>
      <c r="SRE9" s="65"/>
      <c r="SRF9" s="4"/>
      <c r="SRG9" s="4"/>
      <c r="SRH9" s="4"/>
      <c r="SRK9" s="34"/>
      <c r="SRL9" s="34"/>
      <c r="SRN9" s="34"/>
      <c r="SRO9" s="72"/>
      <c r="SRP9" s="63"/>
      <c r="SRQ9" s="34"/>
      <c r="SRR9" s="64"/>
      <c r="SRS9" s="4"/>
      <c r="SRT9" s="65"/>
      <c r="SRU9" s="4"/>
      <c r="SRV9" s="4"/>
      <c r="SRW9" s="4"/>
      <c r="SRZ9" s="34"/>
      <c r="SSA9" s="34"/>
      <c r="SSC9" s="34"/>
      <c r="SSD9" s="72"/>
      <c r="SSE9" s="63"/>
      <c r="SSF9" s="34"/>
      <c r="SSG9" s="64"/>
      <c r="SSH9" s="4"/>
      <c r="SSI9" s="65"/>
      <c r="SSJ9" s="4"/>
      <c r="SSK9" s="4"/>
      <c r="SSL9" s="4"/>
      <c r="SSO9" s="34"/>
      <c r="SSP9" s="34"/>
      <c r="SSR9" s="34"/>
      <c r="SSS9" s="72"/>
      <c r="SST9" s="63"/>
      <c r="SSU9" s="34"/>
      <c r="SSV9" s="64"/>
      <c r="SSW9" s="4"/>
      <c r="SSX9" s="65"/>
      <c r="SSY9" s="4"/>
      <c r="SSZ9" s="4"/>
      <c r="STA9" s="4"/>
      <c r="STD9" s="34"/>
      <c r="STE9" s="34"/>
      <c r="STG9" s="34"/>
      <c r="STH9" s="72"/>
      <c r="STI9" s="63"/>
      <c r="STJ9" s="34"/>
      <c r="STK9" s="64"/>
      <c r="STL9" s="4"/>
      <c r="STM9" s="65"/>
      <c r="STN9" s="4"/>
      <c r="STO9" s="4"/>
      <c r="STP9" s="4"/>
      <c r="STS9" s="34"/>
      <c r="STT9" s="34"/>
      <c r="STV9" s="34"/>
      <c r="STW9" s="72"/>
      <c r="STX9" s="63"/>
      <c r="STY9" s="34"/>
      <c r="STZ9" s="64"/>
      <c r="SUA9" s="4"/>
      <c r="SUB9" s="65"/>
      <c r="SUC9" s="4"/>
      <c r="SUD9" s="4"/>
      <c r="SUE9" s="4"/>
      <c r="SUH9" s="34"/>
      <c r="SUI9" s="34"/>
      <c r="SUK9" s="34"/>
      <c r="SUL9" s="72"/>
      <c r="SUM9" s="63"/>
      <c r="SUN9" s="34"/>
      <c r="SUO9" s="64"/>
      <c r="SUP9" s="4"/>
      <c r="SUQ9" s="65"/>
      <c r="SUR9" s="4"/>
      <c r="SUS9" s="4"/>
      <c r="SUT9" s="4"/>
      <c r="SUW9" s="34"/>
      <c r="SUX9" s="34"/>
      <c r="SUZ9" s="34"/>
      <c r="SVA9" s="72"/>
      <c r="SVB9" s="63"/>
      <c r="SVC9" s="34"/>
      <c r="SVD9" s="64"/>
      <c r="SVE9" s="4"/>
      <c r="SVF9" s="65"/>
      <c r="SVG9" s="4"/>
      <c r="SVH9" s="4"/>
      <c r="SVI9" s="4"/>
      <c r="SVL9" s="34"/>
      <c r="SVM9" s="34"/>
      <c r="SVO9" s="34"/>
      <c r="SVP9" s="72"/>
      <c r="SVQ9" s="63"/>
      <c r="SVR9" s="34"/>
      <c r="SVS9" s="64"/>
      <c r="SVT9" s="4"/>
      <c r="SVU9" s="65"/>
      <c r="SVV9" s="4"/>
      <c r="SVW9" s="4"/>
      <c r="SVX9" s="4"/>
      <c r="SWA9" s="34"/>
      <c r="SWB9" s="34"/>
      <c r="SWD9" s="34"/>
      <c r="SWE9" s="72"/>
      <c r="SWF9" s="63"/>
      <c r="SWG9" s="34"/>
      <c r="SWH9" s="64"/>
      <c r="SWI9" s="4"/>
      <c r="SWJ9" s="65"/>
      <c r="SWK9" s="4"/>
      <c r="SWL9" s="4"/>
      <c r="SWM9" s="4"/>
      <c r="SWP9" s="34"/>
      <c r="SWQ9" s="34"/>
      <c r="SWS9" s="34"/>
      <c r="SWT9" s="72"/>
      <c r="SWU9" s="63"/>
      <c r="SWV9" s="34"/>
      <c r="SWW9" s="64"/>
      <c r="SWX9" s="4"/>
      <c r="SWY9" s="65"/>
      <c r="SWZ9" s="4"/>
      <c r="SXA9" s="4"/>
      <c r="SXB9" s="4"/>
      <c r="SXE9" s="34"/>
      <c r="SXF9" s="34"/>
      <c r="SXH9" s="34"/>
      <c r="SXI9" s="72"/>
      <c r="SXJ9" s="63"/>
      <c r="SXK9" s="34"/>
      <c r="SXL9" s="64"/>
      <c r="SXM9" s="4"/>
      <c r="SXN9" s="65"/>
      <c r="SXO9" s="4"/>
      <c r="SXP9" s="4"/>
      <c r="SXQ9" s="4"/>
      <c r="SXT9" s="34"/>
      <c r="SXU9" s="34"/>
      <c r="SXW9" s="34"/>
      <c r="SXX9" s="72"/>
      <c r="SXY9" s="63"/>
      <c r="SXZ9" s="34"/>
      <c r="SYA9" s="64"/>
      <c r="SYB9" s="4"/>
      <c r="SYC9" s="65"/>
      <c r="SYD9" s="4"/>
      <c r="SYE9" s="4"/>
      <c r="SYF9" s="4"/>
      <c r="SYI9" s="34"/>
      <c r="SYJ9" s="34"/>
      <c r="SYL9" s="34"/>
      <c r="SYM9" s="72"/>
      <c r="SYN9" s="63"/>
      <c r="SYO9" s="34"/>
      <c r="SYP9" s="64"/>
      <c r="SYQ9" s="4"/>
      <c r="SYR9" s="65"/>
      <c r="SYS9" s="4"/>
      <c r="SYT9" s="4"/>
      <c r="SYU9" s="4"/>
      <c r="SYX9" s="34"/>
      <c r="SYY9" s="34"/>
      <c r="SZA9" s="34"/>
      <c r="SZB9" s="72"/>
      <c r="SZC9" s="63"/>
      <c r="SZD9" s="34"/>
      <c r="SZE9" s="64"/>
      <c r="SZF9" s="4"/>
      <c r="SZG9" s="65"/>
      <c r="SZH9" s="4"/>
      <c r="SZI9" s="4"/>
      <c r="SZJ9" s="4"/>
      <c r="SZM9" s="34"/>
      <c r="SZN9" s="34"/>
      <c r="SZP9" s="34"/>
      <c r="SZQ9" s="72"/>
      <c r="SZR9" s="63"/>
      <c r="SZS9" s="34"/>
      <c r="SZT9" s="64"/>
      <c r="SZU9" s="4"/>
      <c r="SZV9" s="65"/>
      <c r="SZW9" s="4"/>
      <c r="SZX9" s="4"/>
      <c r="SZY9" s="4"/>
      <c r="TAB9" s="34"/>
      <c r="TAC9" s="34"/>
      <c r="TAE9" s="34"/>
      <c r="TAF9" s="72"/>
      <c r="TAG9" s="63"/>
      <c r="TAH9" s="34"/>
      <c r="TAI9" s="64"/>
      <c r="TAJ9" s="4"/>
      <c r="TAK9" s="65"/>
      <c r="TAL9" s="4"/>
      <c r="TAM9" s="4"/>
      <c r="TAN9" s="4"/>
      <c r="TAQ9" s="34"/>
      <c r="TAR9" s="34"/>
      <c r="TAT9" s="34"/>
      <c r="TAU9" s="72"/>
      <c r="TAV9" s="63"/>
      <c r="TAW9" s="34"/>
      <c r="TAX9" s="64"/>
      <c r="TAY9" s="4"/>
      <c r="TAZ9" s="65"/>
      <c r="TBA9" s="4"/>
      <c r="TBB9" s="4"/>
      <c r="TBC9" s="4"/>
      <c r="TBF9" s="34"/>
      <c r="TBG9" s="34"/>
      <c r="TBI9" s="34"/>
      <c r="TBJ9" s="72"/>
      <c r="TBK9" s="63"/>
      <c r="TBL9" s="34"/>
      <c r="TBM9" s="64"/>
      <c r="TBN9" s="4"/>
      <c r="TBO9" s="65"/>
      <c r="TBP9" s="4"/>
      <c r="TBQ9" s="4"/>
      <c r="TBR9" s="4"/>
      <c r="TBU9" s="34"/>
      <c r="TBV9" s="34"/>
      <c r="TBX9" s="34"/>
      <c r="TBY9" s="72"/>
      <c r="TBZ9" s="63"/>
      <c r="TCA9" s="34"/>
      <c r="TCB9" s="64"/>
      <c r="TCC9" s="4"/>
      <c r="TCD9" s="65"/>
      <c r="TCE9" s="4"/>
      <c r="TCF9" s="4"/>
      <c r="TCG9" s="4"/>
      <c r="TCJ9" s="34"/>
      <c r="TCK9" s="34"/>
      <c r="TCM9" s="34"/>
      <c r="TCN9" s="72"/>
      <c r="TCO9" s="63"/>
      <c r="TCP9" s="34"/>
      <c r="TCQ9" s="64"/>
      <c r="TCR9" s="4"/>
      <c r="TCS9" s="65"/>
      <c r="TCT9" s="4"/>
      <c r="TCU9" s="4"/>
      <c r="TCV9" s="4"/>
      <c r="TCY9" s="34"/>
      <c r="TCZ9" s="34"/>
      <c r="TDB9" s="34"/>
      <c r="TDC9" s="72"/>
      <c r="TDD9" s="63"/>
      <c r="TDE9" s="34"/>
      <c r="TDF9" s="64"/>
      <c r="TDG9" s="4"/>
      <c r="TDH9" s="65"/>
      <c r="TDI9" s="4"/>
      <c r="TDJ9" s="4"/>
      <c r="TDK9" s="4"/>
      <c r="TDN9" s="34"/>
      <c r="TDO9" s="34"/>
      <c r="TDQ9" s="34"/>
      <c r="TDR9" s="72"/>
      <c r="TDS9" s="63"/>
      <c r="TDT9" s="34"/>
      <c r="TDU9" s="64"/>
      <c r="TDV9" s="4"/>
      <c r="TDW9" s="65"/>
      <c r="TDX9" s="4"/>
      <c r="TDY9" s="4"/>
      <c r="TDZ9" s="4"/>
      <c r="TEC9" s="34"/>
      <c r="TED9" s="34"/>
      <c r="TEF9" s="34"/>
      <c r="TEG9" s="72"/>
      <c r="TEH9" s="63"/>
      <c r="TEI9" s="34"/>
      <c r="TEJ9" s="64"/>
      <c r="TEK9" s="4"/>
      <c r="TEL9" s="65"/>
      <c r="TEM9" s="4"/>
      <c r="TEN9" s="4"/>
      <c r="TEO9" s="4"/>
      <c r="TER9" s="34"/>
      <c r="TES9" s="34"/>
      <c r="TEU9" s="34"/>
      <c r="TEV9" s="72"/>
      <c r="TEW9" s="63"/>
      <c r="TEX9" s="34"/>
      <c r="TEY9" s="64"/>
      <c r="TEZ9" s="4"/>
      <c r="TFA9" s="65"/>
      <c r="TFB9" s="4"/>
      <c r="TFC9" s="4"/>
      <c r="TFD9" s="4"/>
      <c r="TFG9" s="34"/>
      <c r="TFH9" s="34"/>
      <c r="TFJ9" s="34"/>
      <c r="TFK9" s="72"/>
      <c r="TFL9" s="63"/>
      <c r="TFM9" s="34"/>
      <c r="TFN9" s="64"/>
      <c r="TFO9" s="4"/>
      <c r="TFP9" s="65"/>
      <c r="TFQ9" s="4"/>
      <c r="TFR9" s="4"/>
      <c r="TFS9" s="4"/>
      <c r="TFV9" s="34"/>
      <c r="TFW9" s="34"/>
      <c r="TFY9" s="34"/>
      <c r="TFZ9" s="72"/>
      <c r="TGA9" s="63"/>
      <c r="TGB9" s="34"/>
      <c r="TGC9" s="64"/>
      <c r="TGD9" s="4"/>
      <c r="TGE9" s="65"/>
      <c r="TGF9" s="4"/>
      <c r="TGG9" s="4"/>
      <c r="TGH9" s="4"/>
      <c r="TGK9" s="34"/>
      <c r="TGL9" s="34"/>
      <c r="TGN9" s="34"/>
      <c r="TGO9" s="72"/>
      <c r="TGP9" s="63"/>
      <c r="TGQ9" s="34"/>
      <c r="TGR9" s="64"/>
      <c r="TGS9" s="4"/>
      <c r="TGT9" s="65"/>
      <c r="TGU9" s="4"/>
      <c r="TGV9" s="4"/>
      <c r="TGW9" s="4"/>
      <c r="TGZ9" s="34"/>
      <c r="THA9" s="34"/>
      <c r="THC9" s="34"/>
      <c r="THD9" s="72"/>
      <c r="THE9" s="63"/>
      <c r="THF9" s="34"/>
      <c r="THG9" s="64"/>
      <c r="THH9" s="4"/>
      <c r="THI9" s="65"/>
      <c r="THJ9" s="4"/>
      <c r="THK9" s="4"/>
      <c r="THL9" s="4"/>
      <c r="THO9" s="34"/>
      <c r="THP9" s="34"/>
      <c r="THR9" s="34"/>
      <c r="THS9" s="72"/>
      <c r="THT9" s="63"/>
      <c r="THU9" s="34"/>
      <c r="THV9" s="64"/>
      <c r="THW9" s="4"/>
      <c r="THX9" s="65"/>
      <c r="THY9" s="4"/>
      <c r="THZ9" s="4"/>
      <c r="TIA9" s="4"/>
      <c r="TID9" s="34"/>
      <c r="TIE9" s="34"/>
      <c r="TIG9" s="34"/>
      <c r="TIH9" s="72"/>
      <c r="TII9" s="63"/>
      <c r="TIJ9" s="34"/>
      <c r="TIK9" s="64"/>
      <c r="TIL9" s="4"/>
      <c r="TIM9" s="65"/>
      <c r="TIN9" s="4"/>
      <c r="TIO9" s="4"/>
      <c r="TIP9" s="4"/>
      <c r="TIS9" s="34"/>
      <c r="TIT9" s="34"/>
      <c r="TIV9" s="34"/>
      <c r="TIW9" s="72"/>
      <c r="TIX9" s="63"/>
      <c r="TIY9" s="34"/>
      <c r="TIZ9" s="64"/>
      <c r="TJA9" s="4"/>
      <c r="TJB9" s="65"/>
      <c r="TJC9" s="4"/>
      <c r="TJD9" s="4"/>
      <c r="TJE9" s="4"/>
      <c r="TJH9" s="34"/>
      <c r="TJI9" s="34"/>
      <c r="TJK9" s="34"/>
      <c r="TJL9" s="72"/>
      <c r="TJM9" s="63"/>
      <c r="TJN9" s="34"/>
      <c r="TJO9" s="64"/>
      <c r="TJP9" s="4"/>
      <c r="TJQ9" s="65"/>
      <c r="TJR9" s="4"/>
      <c r="TJS9" s="4"/>
      <c r="TJT9" s="4"/>
      <c r="TJW9" s="34"/>
      <c r="TJX9" s="34"/>
      <c r="TJZ9" s="34"/>
      <c r="TKA9" s="72"/>
      <c r="TKB9" s="63"/>
      <c r="TKC9" s="34"/>
      <c r="TKD9" s="64"/>
      <c r="TKE9" s="4"/>
      <c r="TKF9" s="65"/>
      <c r="TKG9" s="4"/>
      <c r="TKH9" s="4"/>
      <c r="TKI9" s="4"/>
      <c r="TKL9" s="34"/>
      <c r="TKM9" s="34"/>
      <c r="TKO9" s="34"/>
      <c r="TKP9" s="72"/>
      <c r="TKQ9" s="63"/>
      <c r="TKR9" s="34"/>
      <c r="TKS9" s="64"/>
      <c r="TKT9" s="4"/>
      <c r="TKU9" s="65"/>
      <c r="TKV9" s="4"/>
      <c r="TKW9" s="4"/>
      <c r="TKX9" s="4"/>
      <c r="TLA9" s="34"/>
      <c r="TLB9" s="34"/>
      <c r="TLD9" s="34"/>
      <c r="TLE9" s="72"/>
      <c r="TLF9" s="63"/>
      <c r="TLG9" s="34"/>
      <c r="TLH9" s="64"/>
      <c r="TLI9" s="4"/>
      <c r="TLJ9" s="65"/>
      <c r="TLK9" s="4"/>
      <c r="TLL9" s="4"/>
      <c r="TLM9" s="4"/>
      <c r="TLP9" s="34"/>
      <c r="TLQ9" s="34"/>
      <c r="TLS9" s="34"/>
      <c r="TLT9" s="72"/>
      <c r="TLU9" s="63"/>
      <c r="TLV9" s="34"/>
      <c r="TLW9" s="64"/>
      <c r="TLX9" s="4"/>
      <c r="TLY9" s="65"/>
      <c r="TLZ9" s="4"/>
      <c r="TMA9" s="4"/>
      <c r="TMB9" s="4"/>
      <c r="TME9" s="34"/>
      <c r="TMF9" s="34"/>
      <c r="TMH9" s="34"/>
      <c r="TMI9" s="72"/>
      <c r="TMJ9" s="63"/>
      <c r="TMK9" s="34"/>
      <c r="TML9" s="64"/>
      <c r="TMM9" s="4"/>
      <c r="TMN9" s="65"/>
      <c r="TMO9" s="4"/>
      <c r="TMP9" s="4"/>
      <c r="TMQ9" s="4"/>
      <c r="TMT9" s="34"/>
      <c r="TMU9" s="34"/>
      <c r="TMW9" s="34"/>
      <c r="TMX9" s="72"/>
      <c r="TMY9" s="63"/>
      <c r="TMZ9" s="34"/>
      <c r="TNA9" s="64"/>
      <c r="TNB9" s="4"/>
      <c r="TNC9" s="65"/>
      <c r="TND9" s="4"/>
      <c r="TNE9" s="4"/>
      <c r="TNF9" s="4"/>
      <c r="TNI9" s="34"/>
      <c r="TNJ9" s="34"/>
      <c r="TNL9" s="34"/>
      <c r="TNM9" s="72"/>
      <c r="TNN9" s="63"/>
      <c r="TNO9" s="34"/>
      <c r="TNP9" s="64"/>
      <c r="TNQ9" s="4"/>
      <c r="TNR9" s="65"/>
      <c r="TNS9" s="4"/>
      <c r="TNT9" s="4"/>
      <c r="TNU9" s="4"/>
      <c r="TNX9" s="34"/>
      <c r="TNY9" s="34"/>
      <c r="TOA9" s="34"/>
      <c r="TOB9" s="72"/>
      <c r="TOC9" s="63"/>
      <c r="TOD9" s="34"/>
      <c r="TOE9" s="64"/>
      <c r="TOF9" s="4"/>
      <c r="TOG9" s="65"/>
      <c r="TOH9" s="4"/>
      <c r="TOI9" s="4"/>
      <c r="TOJ9" s="4"/>
      <c r="TOM9" s="34"/>
      <c r="TON9" s="34"/>
      <c r="TOP9" s="34"/>
      <c r="TOQ9" s="72"/>
      <c r="TOR9" s="63"/>
      <c r="TOS9" s="34"/>
      <c r="TOT9" s="64"/>
      <c r="TOU9" s="4"/>
      <c r="TOV9" s="65"/>
      <c r="TOW9" s="4"/>
      <c r="TOX9" s="4"/>
      <c r="TOY9" s="4"/>
      <c r="TPB9" s="34"/>
      <c r="TPC9" s="34"/>
      <c r="TPE9" s="34"/>
      <c r="TPF9" s="72"/>
      <c r="TPG9" s="63"/>
      <c r="TPH9" s="34"/>
      <c r="TPI9" s="64"/>
      <c r="TPJ9" s="4"/>
      <c r="TPK9" s="65"/>
      <c r="TPL9" s="4"/>
      <c r="TPM9" s="4"/>
      <c r="TPN9" s="4"/>
      <c r="TPQ9" s="34"/>
      <c r="TPR9" s="34"/>
      <c r="TPT9" s="34"/>
      <c r="TPU9" s="72"/>
      <c r="TPV9" s="63"/>
      <c r="TPW9" s="34"/>
      <c r="TPX9" s="64"/>
      <c r="TPY9" s="4"/>
      <c r="TPZ9" s="65"/>
      <c r="TQA9" s="4"/>
      <c r="TQB9" s="4"/>
      <c r="TQC9" s="4"/>
      <c r="TQF9" s="34"/>
      <c r="TQG9" s="34"/>
      <c r="TQI9" s="34"/>
      <c r="TQJ9" s="72"/>
      <c r="TQK9" s="63"/>
      <c r="TQL9" s="34"/>
      <c r="TQM9" s="64"/>
      <c r="TQN9" s="4"/>
      <c r="TQO9" s="65"/>
      <c r="TQP9" s="4"/>
      <c r="TQQ9" s="4"/>
      <c r="TQR9" s="4"/>
      <c r="TQU9" s="34"/>
      <c r="TQV9" s="34"/>
      <c r="TQX9" s="34"/>
      <c r="TQY9" s="72"/>
      <c r="TQZ9" s="63"/>
      <c r="TRA9" s="34"/>
      <c r="TRB9" s="64"/>
      <c r="TRC9" s="4"/>
      <c r="TRD9" s="65"/>
      <c r="TRE9" s="4"/>
      <c r="TRF9" s="4"/>
      <c r="TRG9" s="4"/>
      <c r="TRJ9" s="34"/>
      <c r="TRK9" s="34"/>
      <c r="TRM9" s="34"/>
      <c r="TRN9" s="72"/>
      <c r="TRO9" s="63"/>
      <c r="TRP9" s="34"/>
      <c r="TRQ9" s="64"/>
      <c r="TRR9" s="4"/>
      <c r="TRS9" s="65"/>
      <c r="TRT9" s="4"/>
      <c r="TRU9" s="4"/>
      <c r="TRV9" s="4"/>
      <c r="TRY9" s="34"/>
      <c r="TRZ9" s="34"/>
      <c r="TSB9" s="34"/>
      <c r="TSC9" s="72"/>
      <c r="TSD9" s="63"/>
      <c r="TSE9" s="34"/>
      <c r="TSF9" s="64"/>
      <c r="TSG9" s="4"/>
      <c r="TSH9" s="65"/>
      <c r="TSI9" s="4"/>
      <c r="TSJ9" s="4"/>
      <c r="TSK9" s="4"/>
      <c r="TSN9" s="34"/>
      <c r="TSO9" s="34"/>
      <c r="TSQ9" s="34"/>
      <c r="TSR9" s="72"/>
      <c r="TSS9" s="63"/>
      <c r="TST9" s="34"/>
      <c r="TSU9" s="64"/>
      <c r="TSV9" s="4"/>
      <c r="TSW9" s="65"/>
      <c r="TSX9" s="4"/>
      <c r="TSY9" s="4"/>
      <c r="TSZ9" s="4"/>
      <c r="TTC9" s="34"/>
      <c r="TTD9" s="34"/>
      <c r="TTF9" s="34"/>
      <c r="TTG9" s="72"/>
      <c r="TTH9" s="63"/>
      <c r="TTI9" s="34"/>
      <c r="TTJ9" s="64"/>
      <c r="TTK9" s="4"/>
      <c r="TTL9" s="65"/>
      <c r="TTM9" s="4"/>
      <c r="TTN9" s="4"/>
      <c r="TTO9" s="4"/>
      <c r="TTR9" s="34"/>
      <c r="TTS9" s="34"/>
      <c r="TTU9" s="34"/>
      <c r="TTV9" s="72"/>
      <c r="TTW9" s="63"/>
      <c r="TTX9" s="34"/>
      <c r="TTY9" s="64"/>
      <c r="TTZ9" s="4"/>
      <c r="TUA9" s="65"/>
      <c r="TUB9" s="4"/>
      <c r="TUC9" s="4"/>
      <c r="TUD9" s="4"/>
      <c r="TUG9" s="34"/>
      <c r="TUH9" s="34"/>
      <c r="TUJ9" s="34"/>
      <c r="TUK9" s="72"/>
      <c r="TUL9" s="63"/>
      <c r="TUM9" s="34"/>
      <c r="TUN9" s="64"/>
      <c r="TUO9" s="4"/>
      <c r="TUP9" s="65"/>
      <c r="TUQ9" s="4"/>
      <c r="TUR9" s="4"/>
      <c r="TUS9" s="4"/>
      <c r="TUV9" s="34"/>
      <c r="TUW9" s="34"/>
      <c r="TUY9" s="34"/>
      <c r="TUZ9" s="72"/>
      <c r="TVA9" s="63"/>
      <c r="TVB9" s="34"/>
      <c r="TVC9" s="64"/>
      <c r="TVD9" s="4"/>
      <c r="TVE9" s="65"/>
      <c r="TVF9" s="4"/>
      <c r="TVG9" s="4"/>
      <c r="TVH9" s="4"/>
      <c r="TVK9" s="34"/>
      <c r="TVL9" s="34"/>
      <c r="TVN9" s="34"/>
      <c r="TVO9" s="72"/>
      <c r="TVP9" s="63"/>
      <c r="TVQ9" s="34"/>
      <c r="TVR9" s="64"/>
      <c r="TVS9" s="4"/>
      <c r="TVT9" s="65"/>
      <c r="TVU9" s="4"/>
      <c r="TVV9" s="4"/>
      <c r="TVW9" s="4"/>
      <c r="TVZ9" s="34"/>
      <c r="TWA9" s="34"/>
      <c r="TWC9" s="34"/>
      <c r="TWD9" s="72"/>
      <c r="TWE9" s="63"/>
      <c r="TWF9" s="34"/>
      <c r="TWG9" s="64"/>
      <c r="TWH9" s="4"/>
      <c r="TWI9" s="65"/>
      <c r="TWJ9" s="4"/>
      <c r="TWK9" s="4"/>
      <c r="TWL9" s="4"/>
      <c r="TWO9" s="34"/>
      <c r="TWP9" s="34"/>
      <c r="TWR9" s="34"/>
      <c r="TWS9" s="72"/>
      <c r="TWT9" s="63"/>
      <c r="TWU9" s="34"/>
      <c r="TWV9" s="64"/>
      <c r="TWW9" s="4"/>
      <c r="TWX9" s="65"/>
      <c r="TWY9" s="4"/>
      <c r="TWZ9" s="4"/>
      <c r="TXA9" s="4"/>
      <c r="TXD9" s="34"/>
      <c r="TXE9" s="34"/>
      <c r="TXG9" s="34"/>
      <c r="TXH9" s="72"/>
      <c r="TXI9" s="63"/>
      <c r="TXJ9" s="34"/>
      <c r="TXK9" s="64"/>
      <c r="TXL9" s="4"/>
      <c r="TXM9" s="65"/>
      <c r="TXN9" s="4"/>
      <c r="TXO9" s="4"/>
      <c r="TXP9" s="4"/>
      <c r="TXS9" s="34"/>
      <c r="TXT9" s="34"/>
      <c r="TXV9" s="34"/>
      <c r="TXW9" s="72"/>
      <c r="TXX9" s="63"/>
      <c r="TXY9" s="34"/>
      <c r="TXZ9" s="64"/>
      <c r="TYA9" s="4"/>
      <c r="TYB9" s="65"/>
      <c r="TYC9" s="4"/>
      <c r="TYD9" s="4"/>
      <c r="TYE9" s="4"/>
      <c r="TYH9" s="34"/>
      <c r="TYI9" s="34"/>
      <c r="TYK9" s="34"/>
      <c r="TYL9" s="72"/>
      <c r="TYM9" s="63"/>
      <c r="TYN9" s="34"/>
      <c r="TYO9" s="64"/>
      <c r="TYP9" s="4"/>
      <c r="TYQ9" s="65"/>
      <c r="TYR9" s="4"/>
      <c r="TYS9" s="4"/>
      <c r="TYT9" s="4"/>
      <c r="TYW9" s="34"/>
      <c r="TYX9" s="34"/>
      <c r="TYZ9" s="34"/>
      <c r="TZA9" s="72"/>
      <c r="TZB9" s="63"/>
      <c r="TZC9" s="34"/>
      <c r="TZD9" s="64"/>
      <c r="TZE9" s="4"/>
      <c r="TZF9" s="65"/>
      <c r="TZG9" s="4"/>
      <c r="TZH9" s="4"/>
      <c r="TZI9" s="4"/>
      <c r="TZL9" s="34"/>
      <c r="TZM9" s="34"/>
      <c r="TZO9" s="34"/>
      <c r="TZP9" s="72"/>
      <c r="TZQ9" s="63"/>
      <c r="TZR9" s="34"/>
      <c r="TZS9" s="64"/>
      <c r="TZT9" s="4"/>
      <c r="TZU9" s="65"/>
      <c r="TZV9" s="4"/>
      <c r="TZW9" s="4"/>
      <c r="TZX9" s="4"/>
      <c r="UAA9" s="34"/>
      <c r="UAB9" s="34"/>
      <c r="UAD9" s="34"/>
      <c r="UAE9" s="72"/>
      <c r="UAF9" s="63"/>
      <c r="UAG9" s="34"/>
      <c r="UAH9" s="64"/>
      <c r="UAI9" s="4"/>
      <c r="UAJ9" s="65"/>
      <c r="UAK9" s="4"/>
      <c r="UAL9" s="4"/>
      <c r="UAM9" s="4"/>
      <c r="UAP9" s="34"/>
      <c r="UAQ9" s="34"/>
      <c r="UAS9" s="34"/>
      <c r="UAT9" s="72"/>
      <c r="UAU9" s="63"/>
      <c r="UAV9" s="34"/>
      <c r="UAW9" s="64"/>
      <c r="UAX9" s="4"/>
      <c r="UAY9" s="65"/>
      <c r="UAZ9" s="4"/>
      <c r="UBA9" s="4"/>
      <c r="UBB9" s="4"/>
      <c r="UBE9" s="34"/>
      <c r="UBF9" s="34"/>
      <c r="UBH9" s="34"/>
      <c r="UBI9" s="72"/>
      <c r="UBJ9" s="63"/>
      <c r="UBK9" s="34"/>
      <c r="UBL9" s="64"/>
      <c r="UBM9" s="4"/>
      <c r="UBN9" s="65"/>
      <c r="UBO9" s="4"/>
      <c r="UBP9" s="4"/>
      <c r="UBQ9" s="4"/>
      <c r="UBT9" s="34"/>
      <c r="UBU9" s="34"/>
      <c r="UBW9" s="34"/>
      <c r="UBX9" s="72"/>
      <c r="UBY9" s="63"/>
      <c r="UBZ9" s="34"/>
      <c r="UCA9" s="64"/>
      <c r="UCB9" s="4"/>
      <c r="UCC9" s="65"/>
      <c r="UCD9" s="4"/>
      <c r="UCE9" s="4"/>
      <c r="UCF9" s="4"/>
      <c r="UCI9" s="34"/>
      <c r="UCJ9" s="34"/>
      <c r="UCL9" s="34"/>
      <c r="UCM9" s="72"/>
      <c r="UCN9" s="63"/>
      <c r="UCO9" s="34"/>
      <c r="UCP9" s="64"/>
      <c r="UCQ9" s="4"/>
      <c r="UCR9" s="65"/>
      <c r="UCS9" s="4"/>
      <c r="UCT9" s="4"/>
      <c r="UCU9" s="4"/>
      <c r="UCX9" s="34"/>
      <c r="UCY9" s="34"/>
      <c r="UDA9" s="34"/>
      <c r="UDB9" s="72"/>
      <c r="UDC9" s="63"/>
      <c r="UDD9" s="34"/>
      <c r="UDE9" s="64"/>
      <c r="UDF9" s="4"/>
      <c r="UDG9" s="65"/>
      <c r="UDH9" s="4"/>
      <c r="UDI9" s="4"/>
      <c r="UDJ9" s="4"/>
      <c r="UDM9" s="34"/>
      <c r="UDN9" s="34"/>
      <c r="UDP9" s="34"/>
      <c r="UDQ9" s="72"/>
      <c r="UDR9" s="63"/>
      <c r="UDS9" s="34"/>
      <c r="UDT9" s="64"/>
      <c r="UDU9" s="4"/>
      <c r="UDV9" s="65"/>
      <c r="UDW9" s="4"/>
      <c r="UDX9" s="4"/>
      <c r="UDY9" s="4"/>
      <c r="UEB9" s="34"/>
      <c r="UEC9" s="34"/>
      <c r="UEE9" s="34"/>
      <c r="UEF9" s="72"/>
      <c r="UEG9" s="63"/>
      <c r="UEH9" s="34"/>
      <c r="UEI9" s="64"/>
      <c r="UEJ9" s="4"/>
      <c r="UEK9" s="65"/>
      <c r="UEL9" s="4"/>
      <c r="UEM9" s="4"/>
      <c r="UEN9" s="4"/>
      <c r="UEQ9" s="34"/>
      <c r="UER9" s="34"/>
      <c r="UET9" s="34"/>
      <c r="UEU9" s="72"/>
      <c r="UEV9" s="63"/>
      <c r="UEW9" s="34"/>
      <c r="UEX9" s="64"/>
      <c r="UEY9" s="4"/>
      <c r="UEZ9" s="65"/>
      <c r="UFA9" s="4"/>
      <c r="UFB9" s="4"/>
      <c r="UFC9" s="4"/>
      <c r="UFF9" s="34"/>
      <c r="UFG9" s="34"/>
      <c r="UFI9" s="34"/>
      <c r="UFJ9" s="72"/>
      <c r="UFK9" s="63"/>
      <c r="UFL9" s="34"/>
      <c r="UFM9" s="64"/>
      <c r="UFN9" s="4"/>
      <c r="UFO9" s="65"/>
      <c r="UFP9" s="4"/>
      <c r="UFQ9" s="4"/>
      <c r="UFR9" s="4"/>
      <c r="UFU9" s="34"/>
      <c r="UFV9" s="34"/>
      <c r="UFX9" s="34"/>
      <c r="UFY9" s="72"/>
      <c r="UFZ9" s="63"/>
      <c r="UGA9" s="34"/>
      <c r="UGB9" s="64"/>
      <c r="UGC9" s="4"/>
      <c r="UGD9" s="65"/>
      <c r="UGE9" s="4"/>
      <c r="UGF9" s="4"/>
      <c r="UGG9" s="4"/>
      <c r="UGJ9" s="34"/>
      <c r="UGK9" s="34"/>
      <c r="UGM9" s="34"/>
      <c r="UGN9" s="72"/>
      <c r="UGO9" s="63"/>
      <c r="UGP9" s="34"/>
      <c r="UGQ9" s="64"/>
      <c r="UGR9" s="4"/>
      <c r="UGS9" s="65"/>
      <c r="UGT9" s="4"/>
      <c r="UGU9" s="4"/>
      <c r="UGV9" s="4"/>
      <c r="UGY9" s="34"/>
      <c r="UGZ9" s="34"/>
      <c r="UHB9" s="34"/>
      <c r="UHC9" s="72"/>
      <c r="UHD9" s="63"/>
      <c r="UHE9" s="34"/>
      <c r="UHF9" s="64"/>
      <c r="UHG9" s="4"/>
      <c r="UHH9" s="65"/>
      <c r="UHI9" s="4"/>
      <c r="UHJ9" s="4"/>
      <c r="UHK9" s="4"/>
      <c r="UHN9" s="34"/>
      <c r="UHO9" s="34"/>
      <c r="UHQ9" s="34"/>
      <c r="UHR9" s="72"/>
      <c r="UHS9" s="63"/>
      <c r="UHT9" s="34"/>
      <c r="UHU9" s="64"/>
      <c r="UHV9" s="4"/>
      <c r="UHW9" s="65"/>
      <c r="UHX9" s="4"/>
      <c r="UHY9" s="4"/>
      <c r="UHZ9" s="4"/>
      <c r="UIC9" s="34"/>
      <c r="UID9" s="34"/>
      <c r="UIF9" s="34"/>
      <c r="UIG9" s="72"/>
      <c r="UIH9" s="63"/>
      <c r="UII9" s="34"/>
      <c r="UIJ9" s="64"/>
      <c r="UIK9" s="4"/>
      <c r="UIL9" s="65"/>
      <c r="UIM9" s="4"/>
      <c r="UIN9" s="4"/>
      <c r="UIO9" s="4"/>
      <c r="UIR9" s="34"/>
      <c r="UIS9" s="34"/>
      <c r="UIU9" s="34"/>
      <c r="UIV9" s="72"/>
      <c r="UIW9" s="63"/>
      <c r="UIX9" s="34"/>
      <c r="UIY9" s="64"/>
      <c r="UIZ9" s="4"/>
      <c r="UJA9" s="65"/>
      <c r="UJB9" s="4"/>
      <c r="UJC9" s="4"/>
      <c r="UJD9" s="4"/>
      <c r="UJG9" s="34"/>
      <c r="UJH9" s="34"/>
      <c r="UJJ9" s="34"/>
      <c r="UJK9" s="72"/>
      <c r="UJL9" s="63"/>
      <c r="UJM9" s="34"/>
      <c r="UJN9" s="64"/>
      <c r="UJO9" s="4"/>
      <c r="UJP9" s="65"/>
      <c r="UJQ9" s="4"/>
      <c r="UJR9" s="4"/>
      <c r="UJS9" s="4"/>
      <c r="UJV9" s="34"/>
      <c r="UJW9" s="34"/>
      <c r="UJY9" s="34"/>
      <c r="UJZ9" s="72"/>
      <c r="UKA9" s="63"/>
      <c r="UKB9" s="34"/>
      <c r="UKC9" s="64"/>
      <c r="UKD9" s="4"/>
      <c r="UKE9" s="65"/>
      <c r="UKF9" s="4"/>
      <c r="UKG9" s="4"/>
      <c r="UKH9" s="4"/>
      <c r="UKK9" s="34"/>
      <c r="UKL9" s="34"/>
      <c r="UKN9" s="34"/>
      <c r="UKO9" s="72"/>
      <c r="UKP9" s="63"/>
      <c r="UKQ9" s="34"/>
      <c r="UKR9" s="64"/>
      <c r="UKS9" s="4"/>
      <c r="UKT9" s="65"/>
      <c r="UKU9" s="4"/>
      <c r="UKV9" s="4"/>
      <c r="UKW9" s="4"/>
      <c r="UKZ9" s="34"/>
      <c r="ULA9" s="34"/>
      <c r="ULC9" s="34"/>
      <c r="ULD9" s="72"/>
      <c r="ULE9" s="63"/>
      <c r="ULF9" s="34"/>
      <c r="ULG9" s="64"/>
      <c r="ULH9" s="4"/>
      <c r="ULI9" s="65"/>
      <c r="ULJ9" s="4"/>
      <c r="ULK9" s="4"/>
      <c r="ULL9" s="4"/>
      <c r="ULO9" s="34"/>
      <c r="ULP9" s="34"/>
      <c r="ULR9" s="34"/>
      <c r="ULS9" s="72"/>
      <c r="ULT9" s="63"/>
      <c r="ULU9" s="34"/>
      <c r="ULV9" s="64"/>
      <c r="ULW9" s="4"/>
      <c r="ULX9" s="65"/>
      <c r="ULY9" s="4"/>
      <c r="ULZ9" s="4"/>
      <c r="UMA9" s="4"/>
      <c r="UMD9" s="34"/>
      <c r="UME9" s="34"/>
      <c r="UMG9" s="34"/>
      <c r="UMH9" s="72"/>
      <c r="UMI9" s="63"/>
      <c r="UMJ9" s="34"/>
      <c r="UMK9" s="64"/>
      <c r="UML9" s="4"/>
      <c r="UMM9" s="65"/>
      <c r="UMN9" s="4"/>
      <c r="UMO9" s="4"/>
      <c r="UMP9" s="4"/>
      <c r="UMS9" s="34"/>
      <c r="UMT9" s="34"/>
      <c r="UMV9" s="34"/>
      <c r="UMW9" s="72"/>
      <c r="UMX9" s="63"/>
      <c r="UMY9" s="34"/>
      <c r="UMZ9" s="64"/>
      <c r="UNA9" s="4"/>
      <c r="UNB9" s="65"/>
      <c r="UNC9" s="4"/>
      <c r="UND9" s="4"/>
      <c r="UNE9" s="4"/>
      <c r="UNH9" s="34"/>
      <c r="UNI9" s="34"/>
      <c r="UNK9" s="34"/>
      <c r="UNL9" s="72"/>
      <c r="UNM9" s="63"/>
      <c r="UNN9" s="34"/>
      <c r="UNO9" s="64"/>
      <c r="UNP9" s="4"/>
      <c r="UNQ9" s="65"/>
      <c r="UNR9" s="4"/>
      <c r="UNS9" s="4"/>
      <c r="UNT9" s="4"/>
      <c r="UNW9" s="34"/>
      <c r="UNX9" s="34"/>
      <c r="UNZ9" s="34"/>
      <c r="UOA9" s="72"/>
      <c r="UOB9" s="63"/>
      <c r="UOC9" s="34"/>
      <c r="UOD9" s="64"/>
      <c r="UOE9" s="4"/>
      <c r="UOF9" s="65"/>
      <c r="UOG9" s="4"/>
      <c r="UOH9" s="4"/>
      <c r="UOI9" s="4"/>
      <c r="UOL9" s="34"/>
      <c r="UOM9" s="34"/>
      <c r="UOO9" s="34"/>
      <c r="UOP9" s="72"/>
      <c r="UOQ9" s="63"/>
      <c r="UOR9" s="34"/>
      <c r="UOS9" s="64"/>
      <c r="UOT9" s="4"/>
      <c r="UOU9" s="65"/>
      <c r="UOV9" s="4"/>
      <c r="UOW9" s="4"/>
      <c r="UOX9" s="4"/>
      <c r="UPA9" s="34"/>
      <c r="UPB9" s="34"/>
      <c r="UPD9" s="34"/>
      <c r="UPE9" s="72"/>
      <c r="UPF9" s="63"/>
      <c r="UPG9" s="34"/>
      <c r="UPH9" s="64"/>
      <c r="UPI9" s="4"/>
      <c r="UPJ9" s="65"/>
      <c r="UPK9" s="4"/>
      <c r="UPL9" s="4"/>
      <c r="UPM9" s="4"/>
      <c r="UPP9" s="34"/>
      <c r="UPQ9" s="34"/>
      <c r="UPS9" s="34"/>
      <c r="UPT9" s="72"/>
      <c r="UPU9" s="63"/>
      <c r="UPV9" s="34"/>
      <c r="UPW9" s="64"/>
      <c r="UPX9" s="4"/>
      <c r="UPY9" s="65"/>
      <c r="UPZ9" s="4"/>
      <c r="UQA9" s="4"/>
      <c r="UQB9" s="4"/>
      <c r="UQE9" s="34"/>
      <c r="UQF9" s="34"/>
      <c r="UQH9" s="34"/>
      <c r="UQI9" s="72"/>
      <c r="UQJ9" s="63"/>
      <c r="UQK9" s="34"/>
      <c r="UQL9" s="64"/>
      <c r="UQM9" s="4"/>
      <c r="UQN9" s="65"/>
      <c r="UQO9" s="4"/>
      <c r="UQP9" s="4"/>
      <c r="UQQ9" s="4"/>
      <c r="UQT9" s="34"/>
      <c r="UQU9" s="34"/>
      <c r="UQW9" s="34"/>
      <c r="UQX9" s="72"/>
      <c r="UQY9" s="63"/>
      <c r="UQZ9" s="34"/>
      <c r="URA9" s="64"/>
      <c r="URB9" s="4"/>
      <c r="URC9" s="65"/>
      <c r="URD9" s="4"/>
      <c r="URE9" s="4"/>
      <c r="URF9" s="4"/>
      <c r="URI9" s="34"/>
      <c r="URJ9" s="34"/>
      <c r="URL9" s="34"/>
      <c r="URM9" s="72"/>
      <c r="URN9" s="63"/>
      <c r="URO9" s="34"/>
      <c r="URP9" s="64"/>
      <c r="URQ9" s="4"/>
      <c r="URR9" s="65"/>
      <c r="URS9" s="4"/>
      <c r="URT9" s="4"/>
      <c r="URU9" s="4"/>
      <c r="URX9" s="34"/>
      <c r="URY9" s="34"/>
      <c r="USA9" s="34"/>
      <c r="USB9" s="72"/>
      <c r="USC9" s="63"/>
      <c r="USD9" s="34"/>
      <c r="USE9" s="64"/>
      <c r="USF9" s="4"/>
      <c r="USG9" s="65"/>
      <c r="USH9" s="4"/>
      <c r="USI9" s="4"/>
      <c r="USJ9" s="4"/>
      <c r="USM9" s="34"/>
      <c r="USN9" s="34"/>
      <c r="USP9" s="34"/>
      <c r="USQ9" s="72"/>
      <c r="USR9" s="63"/>
      <c r="USS9" s="34"/>
      <c r="UST9" s="64"/>
      <c r="USU9" s="4"/>
      <c r="USV9" s="65"/>
      <c r="USW9" s="4"/>
      <c r="USX9" s="4"/>
      <c r="USY9" s="4"/>
      <c r="UTB9" s="34"/>
      <c r="UTC9" s="34"/>
      <c r="UTE9" s="34"/>
      <c r="UTF9" s="72"/>
      <c r="UTG9" s="63"/>
      <c r="UTH9" s="34"/>
      <c r="UTI9" s="64"/>
      <c r="UTJ9" s="4"/>
      <c r="UTK9" s="65"/>
      <c r="UTL9" s="4"/>
      <c r="UTM9" s="4"/>
      <c r="UTN9" s="4"/>
      <c r="UTQ9" s="34"/>
      <c r="UTR9" s="34"/>
      <c r="UTT9" s="34"/>
      <c r="UTU9" s="72"/>
      <c r="UTV9" s="63"/>
      <c r="UTW9" s="34"/>
      <c r="UTX9" s="64"/>
      <c r="UTY9" s="4"/>
      <c r="UTZ9" s="65"/>
      <c r="UUA9" s="4"/>
      <c r="UUB9" s="4"/>
      <c r="UUC9" s="4"/>
      <c r="UUF9" s="34"/>
      <c r="UUG9" s="34"/>
      <c r="UUI9" s="34"/>
      <c r="UUJ9" s="72"/>
      <c r="UUK9" s="63"/>
      <c r="UUL9" s="34"/>
      <c r="UUM9" s="64"/>
      <c r="UUN9" s="4"/>
      <c r="UUO9" s="65"/>
      <c r="UUP9" s="4"/>
      <c r="UUQ9" s="4"/>
      <c r="UUR9" s="4"/>
      <c r="UUU9" s="34"/>
      <c r="UUV9" s="34"/>
      <c r="UUX9" s="34"/>
      <c r="UUY9" s="72"/>
      <c r="UUZ9" s="63"/>
      <c r="UVA9" s="34"/>
      <c r="UVB9" s="64"/>
      <c r="UVC9" s="4"/>
      <c r="UVD9" s="65"/>
      <c r="UVE9" s="4"/>
      <c r="UVF9" s="4"/>
      <c r="UVG9" s="4"/>
      <c r="UVJ9" s="34"/>
      <c r="UVK9" s="34"/>
      <c r="UVM9" s="34"/>
      <c r="UVN9" s="72"/>
      <c r="UVO9" s="63"/>
      <c r="UVP9" s="34"/>
      <c r="UVQ9" s="64"/>
      <c r="UVR9" s="4"/>
      <c r="UVS9" s="65"/>
      <c r="UVT9" s="4"/>
      <c r="UVU9" s="4"/>
      <c r="UVV9" s="4"/>
      <c r="UVY9" s="34"/>
      <c r="UVZ9" s="34"/>
      <c r="UWB9" s="34"/>
      <c r="UWC9" s="72"/>
      <c r="UWD9" s="63"/>
      <c r="UWE9" s="34"/>
      <c r="UWF9" s="64"/>
      <c r="UWG9" s="4"/>
      <c r="UWH9" s="65"/>
      <c r="UWI9" s="4"/>
      <c r="UWJ9" s="4"/>
      <c r="UWK9" s="4"/>
      <c r="UWN9" s="34"/>
      <c r="UWO9" s="34"/>
      <c r="UWQ9" s="34"/>
      <c r="UWR9" s="72"/>
      <c r="UWS9" s="63"/>
      <c r="UWT9" s="34"/>
      <c r="UWU9" s="64"/>
      <c r="UWV9" s="4"/>
      <c r="UWW9" s="65"/>
      <c r="UWX9" s="4"/>
      <c r="UWY9" s="4"/>
      <c r="UWZ9" s="4"/>
      <c r="UXC9" s="34"/>
      <c r="UXD9" s="34"/>
      <c r="UXF9" s="34"/>
      <c r="UXG9" s="72"/>
      <c r="UXH9" s="63"/>
      <c r="UXI9" s="34"/>
      <c r="UXJ9" s="64"/>
      <c r="UXK9" s="4"/>
      <c r="UXL9" s="65"/>
      <c r="UXM9" s="4"/>
      <c r="UXN9" s="4"/>
      <c r="UXO9" s="4"/>
      <c r="UXR9" s="34"/>
      <c r="UXS9" s="34"/>
      <c r="UXU9" s="34"/>
      <c r="UXV9" s="72"/>
      <c r="UXW9" s="63"/>
      <c r="UXX9" s="34"/>
      <c r="UXY9" s="64"/>
      <c r="UXZ9" s="4"/>
      <c r="UYA9" s="65"/>
      <c r="UYB9" s="4"/>
      <c r="UYC9" s="4"/>
      <c r="UYD9" s="4"/>
      <c r="UYG9" s="34"/>
      <c r="UYH9" s="34"/>
      <c r="UYJ9" s="34"/>
      <c r="UYK9" s="72"/>
      <c r="UYL9" s="63"/>
      <c r="UYM9" s="34"/>
      <c r="UYN9" s="64"/>
      <c r="UYO9" s="4"/>
      <c r="UYP9" s="65"/>
      <c r="UYQ9" s="4"/>
      <c r="UYR9" s="4"/>
      <c r="UYS9" s="4"/>
      <c r="UYV9" s="34"/>
      <c r="UYW9" s="34"/>
      <c r="UYY9" s="34"/>
      <c r="UYZ9" s="72"/>
      <c r="UZA9" s="63"/>
      <c r="UZB9" s="34"/>
      <c r="UZC9" s="64"/>
      <c r="UZD9" s="4"/>
      <c r="UZE9" s="65"/>
      <c r="UZF9" s="4"/>
      <c r="UZG9" s="4"/>
      <c r="UZH9" s="4"/>
      <c r="UZK9" s="34"/>
      <c r="UZL9" s="34"/>
      <c r="UZN9" s="34"/>
      <c r="UZO9" s="72"/>
      <c r="UZP9" s="63"/>
      <c r="UZQ9" s="34"/>
      <c r="UZR9" s="64"/>
      <c r="UZS9" s="4"/>
      <c r="UZT9" s="65"/>
      <c r="UZU9" s="4"/>
      <c r="UZV9" s="4"/>
      <c r="UZW9" s="4"/>
      <c r="UZZ9" s="34"/>
      <c r="VAA9" s="34"/>
      <c r="VAC9" s="34"/>
      <c r="VAD9" s="72"/>
      <c r="VAE9" s="63"/>
      <c r="VAF9" s="34"/>
      <c r="VAG9" s="64"/>
      <c r="VAH9" s="4"/>
      <c r="VAI9" s="65"/>
      <c r="VAJ9" s="4"/>
      <c r="VAK9" s="4"/>
      <c r="VAL9" s="4"/>
      <c r="VAO9" s="34"/>
      <c r="VAP9" s="34"/>
      <c r="VAR9" s="34"/>
      <c r="VAS9" s="72"/>
      <c r="VAT9" s="63"/>
      <c r="VAU9" s="34"/>
      <c r="VAV9" s="64"/>
      <c r="VAW9" s="4"/>
      <c r="VAX9" s="65"/>
      <c r="VAY9" s="4"/>
      <c r="VAZ9" s="4"/>
      <c r="VBA9" s="4"/>
      <c r="VBD9" s="34"/>
      <c r="VBE9" s="34"/>
      <c r="VBG9" s="34"/>
      <c r="VBH9" s="72"/>
      <c r="VBI9" s="63"/>
      <c r="VBJ9" s="34"/>
      <c r="VBK9" s="64"/>
      <c r="VBL9" s="4"/>
      <c r="VBM9" s="65"/>
      <c r="VBN9" s="4"/>
      <c r="VBO9" s="4"/>
      <c r="VBP9" s="4"/>
      <c r="VBS9" s="34"/>
      <c r="VBT9" s="34"/>
      <c r="VBV9" s="34"/>
      <c r="VBW9" s="72"/>
      <c r="VBX9" s="63"/>
      <c r="VBY9" s="34"/>
      <c r="VBZ9" s="64"/>
      <c r="VCA9" s="4"/>
      <c r="VCB9" s="65"/>
      <c r="VCC9" s="4"/>
      <c r="VCD9" s="4"/>
      <c r="VCE9" s="4"/>
      <c r="VCH9" s="34"/>
      <c r="VCI9" s="34"/>
      <c r="VCK9" s="34"/>
      <c r="VCL9" s="72"/>
      <c r="VCM9" s="63"/>
      <c r="VCN9" s="34"/>
      <c r="VCO9" s="64"/>
      <c r="VCP9" s="4"/>
      <c r="VCQ9" s="65"/>
      <c r="VCR9" s="4"/>
      <c r="VCS9" s="4"/>
      <c r="VCT9" s="4"/>
      <c r="VCW9" s="34"/>
      <c r="VCX9" s="34"/>
      <c r="VCZ9" s="34"/>
      <c r="VDA9" s="72"/>
      <c r="VDB9" s="63"/>
      <c r="VDC9" s="34"/>
      <c r="VDD9" s="64"/>
      <c r="VDE9" s="4"/>
      <c r="VDF9" s="65"/>
      <c r="VDG9" s="4"/>
      <c r="VDH9" s="4"/>
      <c r="VDI9" s="4"/>
      <c r="VDL9" s="34"/>
      <c r="VDM9" s="34"/>
      <c r="VDO9" s="34"/>
      <c r="VDP9" s="72"/>
      <c r="VDQ9" s="63"/>
      <c r="VDR9" s="34"/>
      <c r="VDS9" s="64"/>
      <c r="VDT9" s="4"/>
      <c r="VDU9" s="65"/>
      <c r="VDV9" s="4"/>
      <c r="VDW9" s="4"/>
      <c r="VDX9" s="4"/>
      <c r="VEA9" s="34"/>
      <c r="VEB9" s="34"/>
      <c r="VED9" s="34"/>
      <c r="VEE9" s="72"/>
      <c r="VEF9" s="63"/>
      <c r="VEG9" s="34"/>
      <c r="VEH9" s="64"/>
      <c r="VEI9" s="4"/>
      <c r="VEJ9" s="65"/>
      <c r="VEK9" s="4"/>
      <c r="VEL9" s="4"/>
      <c r="VEM9" s="4"/>
      <c r="VEP9" s="34"/>
      <c r="VEQ9" s="34"/>
      <c r="VES9" s="34"/>
      <c r="VET9" s="72"/>
      <c r="VEU9" s="63"/>
      <c r="VEV9" s="34"/>
      <c r="VEW9" s="64"/>
      <c r="VEX9" s="4"/>
      <c r="VEY9" s="65"/>
      <c r="VEZ9" s="4"/>
      <c r="VFA9" s="4"/>
      <c r="VFB9" s="4"/>
      <c r="VFE9" s="34"/>
      <c r="VFF9" s="34"/>
      <c r="VFH9" s="34"/>
      <c r="VFI9" s="72"/>
      <c r="VFJ9" s="63"/>
      <c r="VFK9" s="34"/>
      <c r="VFL9" s="64"/>
      <c r="VFM9" s="4"/>
      <c r="VFN9" s="65"/>
      <c r="VFO9" s="4"/>
      <c r="VFP9" s="4"/>
      <c r="VFQ9" s="4"/>
      <c r="VFT9" s="34"/>
      <c r="VFU9" s="34"/>
      <c r="VFW9" s="34"/>
      <c r="VFX9" s="72"/>
      <c r="VFY9" s="63"/>
      <c r="VFZ9" s="34"/>
      <c r="VGA9" s="64"/>
      <c r="VGB9" s="4"/>
      <c r="VGC9" s="65"/>
      <c r="VGD9" s="4"/>
      <c r="VGE9" s="4"/>
      <c r="VGF9" s="4"/>
      <c r="VGI9" s="34"/>
      <c r="VGJ9" s="34"/>
      <c r="VGL9" s="34"/>
      <c r="VGM9" s="72"/>
      <c r="VGN9" s="63"/>
      <c r="VGO9" s="34"/>
      <c r="VGP9" s="64"/>
      <c r="VGQ9" s="4"/>
      <c r="VGR9" s="65"/>
      <c r="VGS9" s="4"/>
      <c r="VGT9" s="4"/>
      <c r="VGU9" s="4"/>
      <c r="VGX9" s="34"/>
      <c r="VGY9" s="34"/>
      <c r="VHA9" s="34"/>
      <c r="VHB9" s="72"/>
      <c r="VHC9" s="63"/>
      <c r="VHD9" s="34"/>
      <c r="VHE9" s="64"/>
      <c r="VHF9" s="4"/>
      <c r="VHG9" s="65"/>
      <c r="VHH9" s="4"/>
      <c r="VHI9" s="4"/>
      <c r="VHJ9" s="4"/>
      <c r="VHM9" s="34"/>
      <c r="VHN9" s="34"/>
      <c r="VHP9" s="34"/>
      <c r="VHQ9" s="72"/>
      <c r="VHR9" s="63"/>
      <c r="VHS9" s="34"/>
      <c r="VHT9" s="64"/>
      <c r="VHU9" s="4"/>
      <c r="VHV9" s="65"/>
      <c r="VHW9" s="4"/>
      <c r="VHX9" s="4"/>
      <c r="VHY9" s="4"/>
      <c r="VIB9" s="34"/>
      <c r="VIC9" s="34"/>
      <c r="VIE9" s="34"/>
      <c r="VIF9" s="72"/>
      <c r="VIG9" s="63"/>
      <c r="VIH9" s="34"/>
      <c r="VII9" s="64"/>
      <c r="VIJ9" s="4"/>
      <c r="VIK9" s="65"/>
      <c r="VIL9" s="4"/>
      <c r="VIM9" s="4"/>
      <c r="VIN9" s="4"/>
      <c r="VIQ9" s="34"/>
      <c r="VIR9" s="34"/>
      <c r="VIT9" s="34"/>
      <c r="VIU9" s="72"/>
      <c r="VIV9" s="63"/>
      <c r="VIW9" s="34"/>
      <c r="VIX9" s="64"/>
      <c r="VIY9" s="4"/>
      <c r="VIZ9" s="65"/>
      <c r="VJA9" s="4"/>
      <c r="VJB9" s="4"/>
      <c r="VJC9" s="4"/>
      <c r="VJF9" s="34"/>
      <c r="VJG9" s="34"/>
      <c r="VJI9" s="34"/>
      <c r="VJJ9" s="72"/>
      <c r="VJK9" s="63"/>
      <c r="VJL9" s="34"/>
      <c r="VJM9" s="64"/>
      <c r="VJN9" s="4"/>
      <c r="VJO9" s="65"/>
      <c r="VJP9" s="4"/>
      <c r="VJQ9" s="4"/>
      <c r="VJR9" s="4"/>
      <c r="VJU9" s="34"/>
      <c r="VJV9" s="34"/>
      <c r="VJX9" s="34"/>
      <c r="VJY9" s="72"/>
      <c r="VJZ9" s="63"/>
      <c r="VKA9" s="34"/>
      <c r="VKB9" s="64"/>
      <c r="VKC9" s="4"/>
      <c r="VKD9" s="65"/>
      <c r="VKE9" s="4"/>
      <c r="VKF9" s="4"/>
      <c r="VKG9" s="4"/>
      <c r="VKJ9" s="34"/>
      <c r="VKK9" s="34"/>
      <c r="VKM9" s="34"/>
      <c r="VKN9" s="72"/>
      <c r="VKO9" s="63"/>
      <c r="VKP9" s="34"/>
      <c r="VKQ9" s="64"/>
      <c r="VKR9" s="4"/>
      <c r="VKS9" s="65"/>
      <c r="VKT9" s="4"/>
      <c r="VKU9" s="4"/>
      <c r="VKV9" s="4"/>
      <c r="VKY9" s="34"/>
      <c r="VKZ9" s="34"/>
      <c r="VLB9" s="34"/>
      <c r="VLC9" s="72"/>
      <c r="VLD9" s="63"/>
      <c r="VLE9" s="34"/>
      <c r="VLF9" s="64"/>
      <c r="VLG9" s="4"/>
      <c r="VLH9" s="65"/>
      <c r="VLI9" s="4"/>
      <c r="VLJ9" s="4"/>
      <c r="VLK9" s="4"/>
      <c r="VLN9" s="34"/>
      <c r="VLO9" s="34"/>
      <c r="VLQ9" s="34"/>
      <c r="VLR9" s="72"/>
      <c r="VLS9" s="63"/>
      <c r="VLT9" s="34"/>
      <c r="VLU9" s="64"/>
      <c r="VLV9" s="4"/>
      <c r="VLW9" s="65"/>
      <c r="VLX9" s="4"/>
      <c r="VLY9" s="4"/>
      <c r="VLZ9" s="4"/>
      <c r="VMC9" s="34"/>
      <c r="VMD9" s="34"/>
      <c r="VMF9" s="34"/>
      <c r="VMG9" s="72"/>
      <c r="VMH9" s="63"/>
      <c r="VMI9" s="34"/>
      <c r="VMJ9" s="64"/>
      <c r="VMK9" s="4"/>
      <c r="VML9" s="65"/>
      <c r="VMM9" s="4"/>
      <c r="VMN9" s="4"/>
      <c r="VMO9" s="4"/>
      <c r="VMR9" s="34"/>
      <c r="VMS9" s="34"/>
      <c r="VMU9" s="34"/>
      <c r="VMV9" s="72"/>
      <c r="VMW9" s="63"/>
      <c r="VMX9" s="34"/>
      <c r="VMY9" s="64"/>
      <c r="VMZ9" s="4"/>
      <c r="VNA9" s="65"/>
      <c r="VNB9" s="4"/>
      <c r="VNC9" s="4"/>
      <c r="VND9" s="4"/>
      <c r="VNG9" s="34"/>
      <c r="VNH9" s="34"/>
      <c r="VNJ9" s="34"/>
      <c r="VNK9" s="72"/>
      <c r="VNL9" s="63"/>
      <c r="VNM9" s="34"/>
      <c r="VNN9" s="64"/>
      <c r="VNO9" s="4"/>
      <c r="VNP9" s="65"/>
      <c r="VNQ9" s="4"/>
      <c r="VNR9" s="4"/>
      <c r="VNS9" s="4"/>
      <c r="VNV9" s="34"/>
      <c r="VNW9" s="34"/>
      <c r="VNY9" s="34"/>
      <c r="VNZ9" s="72"/>
      <c r="VOA9" s="63"/>
      <c r="VOB9" s="34"/>
      <c r="VOC9" s="64"/>
      <c r="VOD9" s="4"/>
      <c r="VOE9" s="65"/>
      <c r="VOF9" s="4"/>
      <c r="VOG9" s="4"/>
      <c r="VOH9" s="4"/>
      <c r="VOK9" s="34"/>
      <c r="VOL9" s="34"/>
      <c r="VON9" s="34"/>
      <c r="VOO9" s="72"/>
      <c r="VOP9" s="63"/>
      <c r="VOQ9" s="34"/>
      <c r="VOR9" s="64"/>
      <c r="VOS9" s="4"/>
      <c r="VOT9" s="65"/>
      <c r="VOU9" s="4"/>
      <c r="VOV9" s="4"/>
      <c r="VOW9" s="4"/>
      <c r="VOZ9" s="34"/>
      <c r="VPA9" s="34"/>
      <c r="VPC9" s="34"/>
      <c r="VPD9" s="72"/>
      <c r="VPE9" s="63"/>
      <c r="VPF9" s="34"/>
      <c r="VPG9" s="64"/>
      <c r="VPH9" s="4"/>
      <c r="VPI9" s="65"/>
      <c r="VPJ9" s="4"/>
      <c r="VPK9" s="4"/>
      <c r="VPL9" s="4"/>
      <c r="VPO9" s="34"/>
      <c r="VPP9" s="34"/>
      <c r="VPR9" s="34"/>
      <c r="VPS9" s="72"/>
      <c r="VPT9" s="63"/>
      <c r="VPU9" s="34"/>
      <c r="VPV9" s="64"/>
      <c r="VPW9" s="4"/>
      <c r="VPX9" s="65"/>
      <c r="VPY9" s="4"/>
      <c r="VPZ9" s="4"/>
      <c r="VQA9" s="4"/>
      <c r="VQD9" s="34"/>
      <c r="VQE9" s="34"/>
      <c r="VQG9" s="34"/>
      <c r="VQH9" s="72"/>
      <c r="VQI9" s="63"/>
      <c r="VQJ9" s="34"/>
      <c r="VQK9" s="64"/>
      <c r="VQL9" s="4"/>
      <c r="VQM9" s="65"/>
      <c r="VQN9" s="4"/>
      <c r="VQO9" s="4"/>
      <c r="VQP9" s="4"/>
      <c r="VQS9" s="34"/>
      <c r="VQT9" s="34"/>
      <c r="VQV9" s="34"/>
      <c r="VQW9" s="72"/>
      <c r="VQX9" s="63"/>
      <c r="VQY9" s="34"/>
      <c r="VQZ9" s="64"/>
      <c r="VRA9" s="4"/>
      <c r="VRB9" s="65"/>
      <c r="VRC9" s="4"/>
      <c r="VRD9" s="4"/>
      <c r="VRE9" s="4"/>
      <c r="VRH9" s="34"/>
      <c r="VRI9" s="34"/>
      <c r="VRK9" s="34"/>
      <c r="VRL9" s="72"/>
      <c r="VRM9" s="63"/>
      <c r="VRN9" s="34"/>
      <c r="VRO9" s="64"/>
      <c r="VRP9" s="4"/>
      <c r="VRQ9" s="65"/>
      <c r="VRR9" s="4"/>
      <c r="VRS9" s="4"/>
      <c r="VRT9" s="4"/>
      <c r="VRW9" s="34"/>
      <c r="VRX9" s="34"/>
      <c r="VRZ9" s="34"/>
      <c r="VSA9" s="72"/>
      <c r="VSB9" s="63"/>
      <c r="VSC9" s="34"/>
      <c r="VSD9" s="64"/>
      <c r="VSE9" s="4"/>
      <c r="VSF9" s="65"/>
      <c r="VSG9" s="4"/>
      <c r="VSH9" s="4"/>
      <c r="VSI9" s="4"/>
      <c r="VSL9" s="34"/>
      <c r="VSM9" s="34"/>
      <c r="VSO9" s="34"/>
      <c r="VSP9" s="72"/>
      <c r="VSQ9" s="63"/>
      <c r="VSR9" s="34"/>
      <c r="VSS9" s="64"/>
      <c r="VST9" s="4"/>
      <c r="VSU9" s="65"/>
      <c r="VSV9" s="4"/>
      <c r="VSW9" s="4"/>
      <c r="VSX9" s="4"/>
      <c r="VTA9" s="34"/>
      <c r="VTB9" s="34"/>
      <c r="VTD9" s="34"/>
      <c r="VTE9" s="72"/>
      <c r="VTF9" s="63"/>
      <c r="VTG9" s="34"/>
      <c r="VTH9" s="64"/>
      <c r="VTI9" s="4"/>
      <c r="VTJ9" s="65"/>
      <c r="VTK9" s="4"/>
      <c r="VTL9" s="4"/>
      <c r="VTM9" s="4"/>
      <c r="VTP9" s="34"/>
      <c r="VTQ9" s="34"/>
      <c r="VTS9" s="34"/>
      <c r="VTT9" s="72"/>
      <c r="VTU9" s="63"/>
      <c r="VTV9" s="34"/>
      <c r="VTW9" s="64"/>
      <c r="VTX9" s="4"/>
      <c r="VTY9" s="65"/>
      <c r="VTZ9" s="4"/>
      <c r="VUA9" s="4"/>
      <c r="VUB9" s="4"/>
      <c r="VUE9" s="34"/>
      <c r="VUF9" s="34"/>
      <c r="VUH9" s="34"/>
      <c r="VUI9" s="72"/>
      <c r="VUJ9" s="63"/>
      <c r="VUK9" s="34"/>
      <c r="VUL9" s="64"/>
      <c r="VUM9" s="4"/>
      <c r="VUN9" s="65"/>
      <c r="VUO9" s="4"/>
      <c r="VUP9" s="4"/>
      <c r="VUQ9" s="4"/>
      <c r="VUT9" s="34"/>
      <c r="VUU9" s="34"/>
      <c r="VUW9" s="34"/>
      <c r="VUX9" s="72"/>
      <c r="VUY9" s="63"/>
      <c r="VUZ9" s="34"/>
      <c r="VVA9" s="64"/>
      <c r="VVB9" s="4"/>
      <c r="VVC9" s="65"/>
      <c r="VVD9" s="4"/>
      <c r="VVE9" s="4"/>
      <c r="VVF9" s="4"/>
      <c r="VVI9" s="34"/>
      <c r="VVJ9" s="34"/>
      <c r="VVL9" s="34"/>
      <c r="VVM9" s="72"/>
      <c r="VVN9" s="63"/>
      <c r="VVO9" s="34"/>
      <c r="VVP9" s="64"/>
      <c r="VVQ9" s="4"/>
      <c r="VVR9" s="65"/>
      <c r="VVS9" s="4"/>
      <c r="VVT9" s="4"/>
      <c r="VVU9" s="4"/>
      <c r="VVX9" s="34"/>
      <c r="VVY9" s="34"/>
      <c r="VWA9" s="34"/>
      <c r="VWB9" s="72"/>
      <c r="VWC9" s="63"/>
      <c r="VWD9" s="34"/>
      <c r="VWE9" s="64"/>
      <c r="VWF9" s="4"/>
      <c r="VWG9" s="65"/>
      <c r="VWH9" s="4"/>
      <c r="VWI9" s="4"/>
      <c r="VWJ9" s="4"/>
      <c r="VWM9" s="34"/>
      <c r="VWN9" s="34"/>
      <c r="VWP9" s="34"/>
      <c r="VWQ9" s="72"/>
      <c r="VWR9" s="63"/>
      <c r="VWS9" s="34"/>
      <c r="VWT9" s="64"/>
      <c r="VWU9" s="4"/>
      <c r="VWV9" s="65"/>
      <c r="VWW9" s="4"/>
      <c r="VWX9" s="4"/>
      <c r="VWY9" s="4"/>
      <c r="VXB9" s="34"/>
      <c r="VXC9" s="34"/>
      <c r="VXE9" s="34"/>
      <c r="VXF9" s="72"/>
      <c r="VXG9" s="63"/>
      <c r="VXH9" s="34"/>
      <c r="VXI9" s="64"/>
      <c r="VXJ9" s="4"/>
      <c r="VXK9" s="65"/>
      <c r="VXL9" s="4"/>
      <c r="VXM9" s="4"/>
      <c r="VXN9" s="4"/>
      <c r="VXQ9" s="34"/>
      <c r="VXR9" s="34"/>
      <c r="VXT9" s="34"/>
      <c r="VXU9" s="72"/>
      <c r="VXV9" s="63"/>
      <c r="VXW9" s="34"/>
      <c r="VXX9" s="64"/>
      <c r="VXY9" s="4"/>
      <c r="VXZ9" s="65"/>
      <c r="VYA9" s="4"/>
      <c r="VYB9" s="4"/>
      <c r="VYC9" s="4"/>
      <c r="VYF9" s="34"/>
      <c r="VYG9" s="34"/>
      <c r="VYI9" s="34"/>
      <c r="VYJ9" s="72"/>
      <c r="VYK9" s="63"/>
      <c r="VYL9" s="34"/>
      <c r="VYM9" s="64"/>
      <c r="VYN9" s="4"/>
      <c r="VYO9" s="65"/>
      <c r="VYP9" s="4"/>
      <c r="VYQ9" s="4"/>
      <c r="VYR9" s="4"/>
      <c r="VYU9" s="34"/>
      <c r="VYV9" s="34"/>
      <c r="VYX9" s="34"/>
      <c r="VYY9" s="72"/>
      <c r="VYZ9" s="63"/>
      <c r="VZA9" s="34"/>
      <c r="VZB9" s="64"/>
      <c r="VZC9" s="4"/>
      <c r="VZD9" s="65"/>
      <c r="VZE9" s="4"/>
      <c r="VZF9" s="4"/>
      <c r="VZG9" s="4"/>
      <c r="VZJ9" s="34"/>
      <c r="VZK9" s="34"/>
      <c r="VZM9" s="34"/>
      <c r="VZN9" s="72"/>
      <c r="VZO9" s="63"/>
      <c r="VZP9" s="34"/>
      <c r="VZQ9" s="64"/>
      <c r="VZR9" s="4"/>
      <c r="VZS9" s="65"/>
      <c r="VZT9" s="4"/>
      <c r="VZU9" s="4"/>
      <c r="VZV9" s="4"/>
      <c r="VZY9" s="34"/>
      <c r="VZZ9" s="34"/>
      <c r="WAB9" s="34"/>
      <c r="WAC9" s="72"/>
      <c r="WAD9" s="63"/>
      <c r="WAE9" s="34"/>
      <c r="WAF9" s="64"/>
      <c r="WAG9" s="4"/>
      <c r="WAH9" s="65"/>
      <c r="WAI9" s="4"/>
      <c r="WAJ9" s="4"/>
      <c r="WAK9" s="4"/>
      <c r="WAN9" s="34"/>
      <c r="WAO9" s="34"/>
      <c r="WAQ9" s="34"/>
      <c r="WAR9" s="72"/>
      <c r="WAS9" s="63"/>
      <c r="WAT9" s="34"/>
      <c r="WAU9" s="64"/>
      <c r="WAV9" s="4"/>
      <c r="WAW9" s="65"/>
      <c r="WAX9" s="4"/>
      <c r="WAY9" s="4"/>
      <c r="WAZ9" s="4"/>
      <c r="WBC9" s="34"/>
      <c r="WBD9" s="34"/>
      <c r="WBF9" s="34"/>
      <c r="WBG9" s="72"/>
      <c r="WBH9" s="63"/>
      <c r="WBI9" s="34"/>
      <c r="WBJ9" s="64"/>
      <c r="WBK9" s="4"/>
      <c r="WBL9" s="65"/>
      <c r="WBM9" s="4"/>
      <c r="WBN9" s="4"/>
      <c r="WBO9" s="4"/>
      <c r="WBR9" s="34"/>
      <c r="WBS9" s="34"/>
      <c r="WBU9" s="34"/>
      <c r="WBV9" s="72"/>
      <c r="WBW9" s="63"/>
      <c r="WBX9" s="34"/>
      <c r="WBY9" s="64"/>
      <c r="WBZ9" s="4"/>
      <c r="WCA9" s="65"/>
      <c r="WCB9" s="4"/>
      <c r="WCC9" s="4"/>
      <c r="WCD9" s="4"/>
      <c r="WCG9" s="34"/>
      <c r="WCH9" s="34"/>
      <c r="WCJ9" s="34"/>
      <c r="WCK9" s="72"/>
      <c r="WCL9" s="63"/>
      <c r="WCM9" s="34"/>
      <c r="WCN9" s="64"/>
      <c r="WCO9" s="4"/>
      <c r="WCP9" s="65"/>
      <c r="WCQ9" s="4"/>
      <c r="WCR9" s="4"/>
      <c r="WCS9" s="4"/>
      <c r="WCV9" s="34"/>
      <c r="WCW9" s="34"/>
      <c r="WCY9" s="34"/>
      <c r="WCZ9" s="72"/>
      <c r="WDA9" s="63"/>
      <c r="WDB9" s="34"/>
      <c r="WDC9" s="64"/>
      <c r="WDD9" s="4"/>
      <c r="WDE9" s="65"/>
      <c r="WDF9" s="4"/>
      <c r="WDG9" s="4"/>
      <c r="WDH9" s="4"/>
      <c r="WDK9" s="34"/>
      <c r="WDL9" s="34"/>
      <c r="WDN9" s="34"/>
      <c r="WDO9" s="72"/>
      <c r="WDP9" s="63"/>
      <c r="WDQ9" s="34"/>
      <c r="WDR9" s="64"/>
      <c r="WDS9" s="4"/>
      <c r="WDT9" s="65"/>
      <c r="WDU9" s="4"/>
      <c r="WDV9" s="4"/>
      <c r="WDW9" s="4"/>
      <c r="WDZ9" s="34"/>
      <c r="WEA9" s="34"/>
      <c r="WEC9" s="34"/>
      <c r="WED9" s="72"/>
      <c r="WEE9" s="63"/>
      <c r="WEF9" s="34"/>
      <c r="WEG9" s="64"/>
      <c r="WEH9" s="4"/>
      <c r="WEI9" s="65"/>
      <c r="WEJ9" s="4"/>
      <c r="WEK9" s="4"/>
      <c r="WEL9" s="4"/>
      <c r="WEO9" s="34"/>
      <c r="WEP9" s="34"/>
      <c r="WER9" s="34"/>
      <c r="WES9" s="72"/>
      <c r="WET9" s="63"/>
      <c r="WEU9" s="34"/>
      <c r="WEV9" s="64"/>
      <c r="WEW9" s="4"/>
      <c r="WEX9" s="65"/>
      <c r="WEY9" s="4"/>
      <c r="WEZ9" s="4"/>
      <c r="WFA9" s="4"/>
      <c r="WFD9" s="34"/>
      <c r="WFE9" s="34"/>
      <c r="WFG9" s="34"/>
      <c r="WFH9" s="72"/>
      <c r="WFI9" s="63"/>
      <c r="WFJ9" s="34"/>
      <c r="WFK9" s="64"/>
      <c r="WFL9" s="4"/>
      <c r="WFM9" s="65"/>
      <c r="WFN9" s="4"/>
      <c r="WFO9" s="4"/>
      <c r="WFP9" s="4"/>
      <c r="WFS9" s="34"/>
      <c r="WFT9" s="34"/>
      <c r="WFV9" s="34"/>
      <c r="WFW9" s="72"/>
      <c r="WFX9" s="63"/>
      <c r="WFY9" s="34"/>
      <c r="WFZ9" s="64"/>
      <c r="WGA9" s="4"/>
      <c r="WGB9" s="65"/>
      <c r="WGC9" s="4"/>
      <c r="WGD9" s="4"/>
      <c r="WGE9" s="4"/>
      <c r="WGH9" s="34"/>
      <c r="WGI9" s="34"/>
      <c r="WGK9" s="34"/>
      <c r="WGL9" s="72"/>
      <c r="WGM9" s="63"/>
      <c r="WGN9" s="34"/>
      <c r="WGO9" s="64"/>
      <c r="WGP9" s="4"/>
      <c r="WGQ9" s="65"/>
      <c r="WGR9" s="4"/>
      <c r="WGS9" s="4"/>
      <c r="WGT9" s="4"/>
      <c r="WGW9" s="34"/>
      <c r="WGX9" s="34"/>
      <c r="WGZ9" s="34"/>
      <c r="WHA9" s="72"/>
      <c r="WHB9" s="63"/>
      <c r="WHC9" s="34"/>
      <c r="WHD9" s="64"/>
      <c r="WHE9" s="4"/>
      <c r="WHF9" s="65"/>
      <c r="WHG9" s="4"/>
      <c r="WHH9" s="4"/>
      <c r="WHI9" s="4"/>
      <c r="WHL9" s="34"/>
      <c r="WHM9" s="34"/>
      <c r="WHO9" s="34"/>
      <c r="WHP9" s="72"/>
      <c r="WHQ9" s="63"/>
      <c r="WHR9" s="34"/>
      <c r="WHS9" s="64"/>
      <c r="WHT9" s="4"/>
      <c r="WHU9" s="65"/>
      <c r="WHV9" s="4"/>
      <c r="WHW9" s="4"/>
      <c r="WHX9" s="4"/>
      <c r="WIA9" s="34"/>
      <c r="WIB9" s="34"/>
      <c r="WID9" s="34"/>
      <c r="WIE9" s="72"/>
      <c r="WIF9" s="63"/>
      <c r="WIG9" s="34"/>
      <c r="WIH9" s="64"/>
      <c r="WII9" s="4"/>
      <c r="WIJ9" s="65"/>
      <c r="WIK9" s="4"/>
      <c r="WIL9" s="4"/>
      <c r="WIM9" s="4"/>
      <c r="WIP9" s="34"/>
      <c r="WIQ9" s="34"/>
      <c r="WIS9" s="34"/>
      <c r="WIT9" s="72"/>
      <c r="WIU9" s="63"/>
      <c r="WIV9" s="34"/>
      <c r="WIW9" s="64"/>
      <c r="WIX9" s="4"/>
      <c r="WIY9" s="65"/>
      <c r="WIZ9" s="4"/>
      <c r="WJA9" s="4"/>
      <c r="WJB9" s="4"/>
      <c r="WJE9" s="34"/>
      <c r="WJF9" s="34"/>
      <c r="WJH9" s="34"/>
      <c r="WJI9" s="72"/>
      <c r="WJJ9" s="63"/>
      <c r="WJK9" s="34"/>
      <c r="WJL9" s="64"/>
      <c r="WJM9" s="4"/>
      <c r="WJN9" s="65"/>
      <c r="WJO9" s="4"/>
      <c r="WJP9" s="4"/>
      <c r="WJQ9" s="4"/>
      <c r="WJT9" s="34"/>
      <c r="WJU9" s="34"/>
      <c r="WJW9" s="34"/>
      <c r="WJX9" s="72"/>
      <c r="WJY9" s="63"/>
      <c r="WJZ9" s="34"/>
      <c r="WKA9" s="64"/>
      <c r="WKB9" s="4"/>
      <c r="WKC9" s="65"/>
      <c r="WKD9" s="4"/>
      <c r="WKE9" s="4"/>
      <c r="WKF9" s="4"/>
      <c r="WKI9" s="34"/>
      <c r="WKJ9" s="34"/>
      <c r="WKL9" s="34"/>
      <c r="WKM9" s="72"/>
      <c r="WKN9" s="63"/>
      <c r="WKO9" s="34"/>
      <c r="WKP9" s="64"/>
      <c r="WKQ9" s="4"/>
      <c r="WKR9" s="65"/>
      <c r="WKS9" s="4"/>
      <c r="WKT9" s="4"/>
      <c r="WKU9" s="4"/>
      <c r="WKX9" s="34"/>
      <c r="WKY9" s="34"/>
      <c r="WLA9" s="34"/>
      <c r="WLB9" s="72"/>
      <c r="WLC9" s="63"/>
      <c r="WLD9" s="34"/>
      <c r="WLE9" s="64"/>
      <c r="WLF9" s="4"/>
      <c r="WLG9" s="65"/>
      <c r="WLH9" s="4"/>
      <c r="WLI9" s="4"/>
      <c r="WLJ9" s="4"/>
      <c r="WLM9" s="34"/>
      <c r="WLN9" s="34"/>
      <c r="WLP9" s="34"/>
      <c r="WLQ9" s="72"/>
      <c r="WLR9" s="63"/>
      <c r="WLS9" s="34"/>
      <c r="WLT9" s="64"/>
      <c r="WLU9" s="4"/>
      <c r="WLV9" s="65"/>
      <c r="WLW9" s="4"/>
      <c r="WLX9" s="4"/>
      <c r="WLY9" s="4"/>
      <c r="WMB9" s="34"/>
      <c r="WMC9" s="34"/>
      <c r="WME9" s="34"/>
      <c r="WMF9" s="72"/>
      <c r="WMG9" s="63"/>
      <c r="WMH9" s="34"/>
      <c r="WMI9" s="64"/>
      <c r="WMJ9" s="4"/>
      <c r="WMK9" s="65"/>
      <c r="WML9" s="4"/>
      <c r="WMM9" s="4"/>
      <c r="WMN9" s="4"/>
      <c r="WMQ9" s="34"/>
      <c r="WMR9" s="34"/>
      <c r="WMT9" s="34"/>
      <c r="WMU9" s="72"/>
      <c r="WMV9" s="63"/>
      <c r="WMW9" s="34"/>
      <c r="WMX9" s="64"/>
      <c r="WMY9" s="4"/>
      <c r="WMZ9" s="65"/>
      <c r="WNA9" s="4"/>
      <c r="WNB9" s="4"/>
      <c r="WNC9" s="4"/>
      <c r="WNF9" s="34"/>
      <c r="WNG9" s="34"/>
      <c r="WNI9" s="34"/>
      <c r="WNJ9" s="72"/>
      <c r="WNK9" s="63"/>
      <c r="WNL9" s="34"/>
      <c r="WNM9" s="64"/>
      <c r="WNN9" s="4"/>
      <c r="WNO9" s="65"/>
      <c r="WNP9" s="4"/>
      <c r="WNQ9" s="4"/>
      <c r="WNR9" s="4"/>
      <c r="WNU9" s="34"/>
      <c r="WNV9" s="34"/>
      <c r="WNX9" s="34"/>
      <c r="WNY9" s="72"/>
      <c r="WNZ9" s="63"/>
      <c r="WOA9" s="34"/>
      <c r="WOB9" s="64"/>
      <c r="WOC9" s="4"/>
      <c r="WOD9" s="65"/>
      <c r="WOE9" s="4"/>
      <c r="WOF9" s="4"/>
      <c r="WOG9" s="4"/>
      <c r="WOJ9" s="34"/>
      <c r="WOK9" s="34"/>
      <c r="WOM9" s="34"/>
      <c r="WON9" s="72"/>
      <c r="WOO9" s="63"/>
      <c r="WOP9" s="34"/>
      <c r="WOQ9" s="64"/>
      <c r="WOR9" s="4"/>
      <c r="WOS9" s="65"/>
      <c r="WOT9" s="4"/>
      <c r="WOU9" s="4"/>
      <c r="WOV9" s="4"/>
      <c r="WOY9" s="34"/>
      <c r="WOZ9" s="34"/>
      <c r="WPB9" s="34"/>
      <c r="WPC9" s="72"/>
      <c r="WPD9" s="63"/>
      <c r="WPE9" s="34"/>
      <c r="WPF9" s="64"/>
      <c r="WPG9" s="4"/>
      <c r="WPH9" s="65"/>
      <c r="WPI9" s="4"/>
      <c r="WPJ9" s="4"/>
      <c r="WPK9" s="4"/>
      <c r="WPN9" s="34"/>
      <c r="WPO9" s="34"/>
      <c r="WPQ9" s="34"/>
      <c r="WPR9" s="72"/>
      <c r="WPS9" s="63"/>
      <c r="WPT9" s="34"/>
      <c r="WPU9" s="64"/>
      <c r="WPV9" s="4"/>
      <c r="WPW9" s="65"/>
      <c r="WPX9" s="4"/>
      <c r="WPY9" s="4"/>
      <c r="WPZ9" s="4"/>
      <c r="WQC9" s="34"/>
      <c r="WQD9" s="34"/>
      <c r="WQF9" s="34"/>
      <c r="WQG9" s="72"/>
      <c r="WQH9" s="63"/>
      <c r="WQI9" s="34"/>
      <c r="WQJ9" s="64"/>
      <c r="WQK9" s="4"/>
      <c r="WQL9" s="65"/>
      <c r="WQM9" s="4"/>
      <c r="WQN9" s="4"/>
      <c r="WQO9" s="4"/>
      <c r="WQR9" s="34"/>
      <c r="WQS9" s="34"/>
      <c r="WQU9" s="34"/>
      <c r="WQV9" s="72"/>
      <c r="WQW9" s="63"/>
      <c r="WQX9" s="34"/>
      <c r="WQY9" s="64"/>
      <c r="WQZ9" s="4"/>
      <c r="WRA9" s="65"/>
      <c r="WRB9" s="4"/>
      <c r="WRC9" s="4"/>
      <c r="WRD9" s="4"/>
      <c r="WRG9" s="34"/>
      <c r="WRH9" s="34"/>
      <c r="WRJ9" s="34"/>
      <c r="WRK9" s="72"/>
      <c r="WRL9" s="63"/>
      <c r="WRM9" s="34"/>
      <c r="WRN9" s="64"/>
      <c r="WRO9" s="4"/>
      <c r="WRP9" s="65"/>
      <c r="WRQ9" s="4"/>
      <c r="WRR9" s="4"/>
      <c r="WRS9" s="4"/>
      <c r="WRV9" s="34"/>
      <c r="WRW9" s="34"/>
      <c r="WRY9" s="34"/>
      <c r="WRZ9" s="72"/>
      <c r="WSA9" s="63"/>
      <c r="WSB9" s="34"/>
      <c r="WSC9" s="64"/>
      <c r="WSD9" s="4"/>
      <c r="WSE9" s="65"/>
      <c r="WSF9" s="4"/>
      <c r="WSG9" s="4"/>
      <c r="WSH9" s="4"/>
      <c r="WSK9" s="34"/>
      <c r="WSL9" s="34"/>
      <c r="WSN9" s="34"/>
      <c r="WSO9" s="72"/>
      <c r="WSP9" s="63"/>
      <c r="WSQ9" s="34"/>
      <c r="WSR9" s="64"/>
      <c r="WSS9" s="4"/>
      <c r="WST9" s="65"/>
      <c r="WSU9" s="4"/>
      <c r="WSV9" s="4"/>
      <c r="WSW9" s="4"/>
      <c r="WSZ9" s="34"/>
      <c r="WTA9" s="34"/>
      <c r="WTC9" s="34"/>
      <c r="WTD9" s="72"/>
      <c r="WTE9" s="63"/>
      <c r="WTF9" s="34"/>
      <c r="WTG9" s="64"/>
      <c r="WTH9" s="4"/>
      <c r="WTI9" s="65"/>
      <c r="WTJ9" s="4"/>
      <c r="WTK9" s="4"/>
      <c r="WTL9" s="4"/>
      <c r="WTO9" s="34"/>
      <c r="WTP9" s="34"/>
      <c r="WTR9" s="34"/>
      <c r="WTS9" s="72"/>
      <c r="WTT9" s="63"/>
      <c r="WTU9" s="34"/>
      <c r="WTV9" s="64"/>
      <c r="WTW9" s="4"/>
      <c r="WTX9" s="65"/>
      <c r="WTY9" s="4"/>
      <c r="WTZ9" s="4"/>
      <c r="WUA9" s="4"/>
      <c r="WUD9" s="34"/>
      <c r="WUE9" s="34"/>
      <c r="WUG9" s="34"/>
      <c r="WUH9" s="72"/>
      <c r="WUI9" s="63"/>
      <c r="WUJ9" s="34"/>
      <c r="WUK9" s="64"/>
      <c r="WUL9" s="4"/>
      <c r="WUM9" s="65"/>
      <c r="WUN9" s="4"/>
      <c r="WUO9" s="4"/>
      <c r="WUP9" s="4"/>
      <c r="WUS9" s="34"/>
      <c r="WUT9" s="34"/>
      <c r="WUV9" s="34"/>
      <c r="WUW9" s="72"/>
      <c r="WUX9" s="63"/>
      <c r="WUY9" s="34"/>
      <c r="WUZ9" s="64"/>
      <c r="WVA9" s="4"/>
      <c r="WVB9" s="65"/>
      <c r="WVC9" s="4"/>
      <c r="WVD9" s="4"/>
      <c r="WVE9" s="4"/>
      <c r="WVH9" s="34"/>
      <c r="WVI9" s="34"/>
      <c r="WVK9" s="34"/>
      <c r="WVL9" s="72"/>
      <c r="WVM9" s="63"/>
      <c r="WVN9" s="34"/>
      <c r="WVO9" s="64"/>
      <c r="WVP9" s="4"/>
      <c r="WVQ9" s="65"/>
      <c r="WVR9" s="4"/>
      <c r="WVS9" s="4"/>
      <c r="WVT9" s="4"/>
      <c r="WVW9" s="34"/>
      <c r="WVX9" s="34"/>
      <c r="WVZ9" s="34"/>
      <c r="WWA9" s="72"/>
      <c r="WWB9" s="63"/>
      <c r="WWC9" s="34"/>
      <c r="WWD9" s="64"/>
      <c r="WWE9" s="4"/>
      <c r="WWF9" s="65"/>
      <c r="WWG9" s="4"/>
      <c r="WWH9" s="4"/>
      <c r="WWI9" s="4"/>
      <c r="WWL9" s="34"/>
      <c r="WWM9" s="34"/>
      <c r="WWO9" s="34"/>
      <c r="WWP9" s="72"/>
      <c r="WWQ9" s="63"/>
      <c r="WWR9" s="34"/>
      <c r="WWS9" s="64"/>
      <c r="WWT9" s="4"/>
      <c r="WWU9" s="65"/>
      <c r="WWV9" s="4"/>
      <c r="WWW9" s="4"/>
      <c r="WWX9" s="4"/>
      <c r="WXA9" s="34"/>
      <c r="WXB9" s="34"/>
      <c r="WXD9" s="34"/>
      <c r="WXE9" s="72"/>
      <c r="WXF9" s="63"/>
      <c r="WXG9" s="34"/>
      <c r="WXH9" s="64"/>
      <c r="WXI9" s="4"/>
      <c r="WXJ9" s="65"/>
      <c r="WXK9" s="4"/>
      <c r="WXL9" s="4"/>
      <c r="WXM9" s="4"/>
      <c r="WXP9" s="34"/>
      <c r="WXQ9" s="34"/>
      <c r="WXS9" s="34"/>
      <c r="WXT9" s="72"/>
      <c r="WXU9" s="63"/>
      <c r="WXV9" s="34"/>
      <c r="WXW9" s="64"/>
      <c r="WXX9" s="4"/>
      <c r="WXY9" s="65"/>
      <c r="WXZ9" s="4"/>
      <c r="WYA9" s="4"/>
      <c r="WYB9" s="4"/>
      <c r="WYE9" s="34"/>
      <c r="WYF9" s="34"/>
      <c r="WYH9" s="34"/>
      <c r="WYI9" s="72"/>
      <c r="WYJ9" s="63"/>
      <c r="WYK9" s="34"/>
      <c r="WYL9" s="64"/>
      <c r="WYM9" s="4"/>
      <c r="WYN9" s="65"/>
      <c r="WYO9" s="4"/>
      <c r="WYP9" s="4"/>
      <c r="WYQ9" s="4"/>
      <c r="WYT9" s="34"/>
      <c r="WYU9" s="34"/>
      <c r="WYW9" s="34"/>
      <c r="WYX9" s="72"/>
      <c r="WYY9" s="63"/>
      <c r="WYZ9" s="34"/>
      <c r="WZA9" s="64"/>
      <c r="WZB9" s="4"/>
      <c r="WZC9" s="65"/>
      <c r="WZD9" s="4"/>
      <c r="WZE9" s="4"/>
      <c r="WZF9" s="4"/>
      <c r="WZI9" s="34"/>
      <c r="WZJ9" s="34"/>
      <c r="WZL9" s="34"/>
      <c r="WZM9" s="72"/>
      <c r="WZN9" s="63"/>
      <c r="WZO9" s="34"/>
      <c r="WZP9" s="64"/>
      <c r="WZQ9" s="4"/>
      <c r="WZR9" s="65"/>
      <c r="WZS9" s="4"/>
      <c r="WZT9" s="4"/>
      <c r="WZU9" s="4"/>
      <c r="WZX9" s="34"/>
      <c r="WZY9" s="34"/>
      <c r="XAA9" s="34"/>
      <c r="XAB9" s="72"/>
      <c r="XAC9" s="63"/>
      <c r="XAD9" s="34"/>
      <c r="XAE9" s="64"/>
      <c r="XAF9" s="4"/>
      <c r="XAG9" s="65"/>
      <c r="XAH9" s="4"/>
      <c r="XAI9" s="4"/>
      <c r="XAJ9" s="4"/>
      <c r="XAM9" s="34"/>
      <c r="XAN9" s="34"/>
      <c r="XAP9" s="34"/>
      <c r="XAQ9" s="72"/>
      <c r="XAR9" s="63"/>
      <c r="XAS9" s="34"/>
      <c r="XAT9" s="64"/>
      <c r="XAU9" s="4"/>
      <c r="XAV9" s="65"/>
      <c r="XAW9" s="4"/>
      <c r="XAX9" s="4"/>
      <c r="XAY9" s="4"/>
      <c r="XBB9" s="34"/>
      <c r="XBC9" s="34"/>
      <c r="XBE9" s="34"/>
      <c r="XBF9" s="72"/>
      <c r="XBG9" s="63"/>
      <c r="XBH9" s="34"/>
      <c r="XBI9" s="64"/>
      <c r="XBJ9" s="4"/>
      <c r="XBK9" s="65"/>
      <c r="XBL9" s="4"/>
      <c r="XBM9" s="4"/>
      <c r="XBN9" s="4"/>
      <c r="XBQ9" s="34"/>
      <c r="XBR9" s="34"/>
      <c r="XBT9" s="34"/>
      <c r="XBU9" s="72"/>
      <c r="XBV9" s="63"/>
      <c r="XBW9" s="34"/>
      <c r="XBX9" s="64"/>
      <c r="XBY9" s="4"/>
      <c r="XBZ9" s="65"/>
      <c r="XCA9" s="4"/>
      <c r="XCB9" s="4"/>
      <c r="XCC9" s="4"/>
      <c r="XCF9" s="34"/>
      <c r="XCG9" s="34"/>
      <c r="XCI9" s="34"/>
      <c r="XCJ9" s="72"/>
      <c r="XCK9" s="63"/>
      <c r="XCL9" s="34"/>
      <c r="XCM9" s="64"/>
      <c r="XCN9" s="4"/>
      <c r="XCO9" s="65"/>
      <c r="XCP9" s="4"/>
      <c r="XCQ9" s="4"/>
      <c r="XCR9" s="4"/>
      <c r="XCU9" s="34"/>
      <c r="XCV9" s="34"/>
      <c r="XCX9" s="34"/>
      <c r="XCY9" s="72"/>
      <c r="XCZ9" s="63"/>
      <c r="XDA9" s="34"/>
      <c r="XDB9" s="64"/>
      <c r="XDC9" s="4"/>
      <c r="XDD9" s="65"/>
      <c r="XDE9" s="4"/>
      <c r="XDF9" s="4"/>
      <c r="XDG9" s="4"/>
      <c r="XDJ9" s="34"/>
      <c r="XDK9" s="34"/>
      <c r="XDM9" s="34"/>
      <c r="XDN9" s="72"/>
      <c r="XDO9" s="63"/>
      <c r="XDP9" s="34"/>
      <c r="XDQ9" s="64"/>
      <c r="XDR9" s="4"/>
      <c r="XDS9" s="65"/>
      <c r="XDT9" s="4"/>
      <c r="XDU9" s="4"/>
      <c r="XDV9" s="4"/>
      <c r="XDY9" s="34"/>
      <c r="XDZ9" s="34"/>
      <c r="XEB9" s="34"/>
      <c r="XEC9" s="72"/>
      <c r="XED9" s="63"/>
      <c r="XEE9" s="34"/>
      <c r="XEF9" s="64"/>
      <c r="XEG9" s="4"/>
      <c r="XEH9" s="65"/>
      <c r="XEI9" s="4"/>
      <c r="XEJ9" s="4"/>
      <c r="XEK9" s="4"/>
      <c r="XEN9" s="34"/>
      <c r="XEO9" s="34"/>
      <c r="XEQ9" s="34"/>
      <c r="XER9" s="72"/>
      <c r="XES9" s="63"/>
      <c r="XET9" s="34"/>
      <c r="XEU9" s="64"/>
      <c r="XEV9" s="4"/>
      <c r="XEW9" s="65"/>
      <c r="XEX9" s="4"/>
      <c r="XEY9" s="4"/>
      <c r="XEZ9" s="4"/>
      <c r="XFC9" s="34"/>
      <c r="XFD9" s="34"/>
    </row>
    <row r="10" spans="1:1024 1026:4095 4098:5119 5121:8190 8193:15360 15363:16384" x14ac:dyDescent="0.3">
      <c r="A10">
        <v>0</v>
      </c>
      <c r="B10">
        <v>0</v>
      </c>
      <c r="C10" s="34">
        <v>-3.8553986391879007E-2</v>
      </c>
      <c r="D10" s="34">
        <v>-5.2783971993002485E-2</v>
      </c>
      <c r="E10">
        <v>6</v>
      </c>
      <c r="F10" s="63">
        <v>1.9300000000000001E-3</v>
      </c>
      <c r="G10" s="90">
        <v>-0.36889398639187865</v>
      </c>
      <c r="H10" s="34">
        <v>-0.32268475936688934</v>
      </c>
      <c r="I10" s="34">
        <v>0.52095808383233533</v>
      </c>
      <c r="J10" s="64">
        <v>0.59259259259259256</v>
      </c>
      <c r="K10" s="4">
        <v>0.18823529411764706</v>
      </c>
      <c r="L10" s="65">
        <v>0.2857142857142857</v>
      </c>
      <c r="M10" s="4">
        <v>0.50714285714285712</v>
      </c>
      <c r="N10" s="4">
        <v>0.86585365853658536</v>
      </c>
      <c r="O10" s="4">
        <v>0.63963963963963966</v>
      </c>
      <c r="R10" s="34"/>
      <c r="S10" s="34"/>
      <c r="U10" s="34"/>
      <c r="V10" s="72"/>
      <c r="W10" s="63"/>
      <c r="X10" s="34"/>
      <c r="Y10" s="64"/>
      <c r="Z10" s="4"/>
      <c r="AA10" s="65"/>
      <c r="AB10" s="4"/>
      <c r="AC10" s="4"/>
      <c r="AD10" s="4"/>
      <c r="AG10" s="34"/>
      <c r="AH10" s="34"/>
      <c r="AJ10" s="34"/>
      <c r="AK10" s="72"/>
      <c r="AL10" s="63"/>
      <c r="AM10" s="34"/>
      <c r="AN10" s="64"/>
      <c r="AO10" s="4"/>
      <c r="AP10" s="65"/>
      <c r="AQ10" s="4"/>
      <c r="AR10" s="4"/>
      <c r="AS10" s="4"/>
      <c r="AV10" s="34"/>
      <c r="AW10" s="34"/>
      <c r="AY10" s="34"/>
      <c r="AZ10" s="72"/>
      <c r="BA10" s="63"/>
      <c r="BB10" s="34"/>
      <c r="BC10" s="64"/>
      <c r="BD10" s="4"/>
      <c r="BE10" s="65"/>
      <c r="BF10" s="4"/>
      <c r="BG10" s="4"/>
      <c r="BH10" s="4"/>
      <c r="BK10" s="34"/>
      <c r="BL10" s="34"/>
      <c r="BN10" s="34"/>
      <c r="BO10" s="72"/>
      <c r="BP10" s="63"/>
      <c r="BQ10" s="34"/>
      <c r="BR10" s="64"/>
      <c r="BS10" s="4"/>
      <c r="BT10" s="65"/>
      <c r="BU10" s="4"/>
      <c r="BV10" s="4"/>
      <c r="BW10" s="4"/>
      <c r="BZ10" s="34"/>
      <c r="CA10" s="34"/>
      <c r="CC10" s="34"/>
      <c r="CD10" s="72"/>
      <c r="CE10" s="63"/>
      <c r="CF10" s="34"/>
      <c r="CG10" s="64"/>
      <c r="CH10" s="4"/>
      <c r="CI10" s="65"/>
      <c r="CJ10" s="4"/>
      <c r="CK10" s="4"/>
      <c r="CL10" s="4"/>
      <c r="CO10" s="34"/>
      <c r="CP10" s="34"/>
      <c r="CR10" s="34"/>
      <c r="CS10" s="72"/>
      <c r="CT10" s="63"/>
      <c r="CU10" s="34"/>
      <c r="CV10" s="64"/>
      <c r="CW10" s="4"/>
      <c r="CX10" s="65"/>
      <c r="CY10" s="4"/>
      <c r="CZ10" s="4"/>
      <c r="DA10" s="4"/>
      <c r="DD10" s="34"/>
      <c r="DE10" s="34"/>
      <c r="DG10" s="34"/>
      <c r="DH10" s="72"/>
      <c r="DI10" s="63"/>
      <c r="DJ10" s="34"/>
      <c r="DK10" s="64"/>
      <c r="DL10" s="4"/>
      <c r="DM10" s="65"/>
      <c r="DN10" s="4"/>
      <c r="DO10" s="4"/>
      <c r="DP10" s="4"/>
      <c r="DS10" s="34"/>
      <c r="DT10" s="34"/>
      <c r="DV10" s="34"/>
      <c r="DW10" s="72"/>
      <c r="DX10" s="63"/>
      <c r="DY10" s="34"/>
      <c r="DZ10" s="64"/>
      <c r="EA10" s="4"/>
      <c r="EB10" s="65"/>
      <c r="EC10" s="4"/>
      <c r="ED10" s="4"/>
      <c r="EE10" s="4"/>
      <c r="EH10" s="34"/>
      <c r="EI10" s="34"/>
      <c r="EK10" s="34"/>
      <c r="EL10" s="72"/>
      <c r="EM10" s="63"/>
      <c r="EN10" s="34"/>
      <c r="EO10" s="64"/>
      <c r="EP10" s="4"/>
      <c r="EQ10" s="65"/>
      <c r="ER10" s="4"/>
      <c r="ES10" s="4"/>
      <c r="ET10" s="4"/>
      <c r="EW10" s="34"/>
      <c r="EX10" s="34"/>
      <c r="EZ10" s="34"/>
      <c r="FA10" s="72"/>
      <c r="FB10" s="63"/>
      <c r="FC10" s="34"/>
      <c r="FD10" s="64"/>
      <c r="FE10" s="4"/>
      <c r="FF10" s="65"/>
      <c r="FG10" s="4"/>
      <c r="FH10" s="4"/>
      <c r="FI10" s="4"/>
      <c r="FL10" s="34"/>
      <c r="FM10" s="34"/>
      <c r="FO10" s="34"/>
      <c r="FP10" s="72"/>
      <c r="FQ10" s="63"/>
      <c r="FR10" s="34"/>
      <c r="FS10" s="64"/>
      <c r="FT10" s="4"/>
      <c r="FU10" s="65"/>
      <c r="FV10" s="4"/>
      <c r="FW10" s="4"/>
      <c r="FX10" s="4"/>
      <c r="GA10" s="34"/>
      <c r="GB10" s="34"/>
      <c r="GD10" s="34"/>
      <c r="GE10" s="72"/>
      <c r="GF10" s="63"/>
      <c r="GG10" s="34"/>
      <c r="GH10" s="64"/>
      <c r="GI10" s="4"/>
      <c r="GJ10" s="65"/>
      <c r="GK10" s="4"/>
      <c r="GL10" s="4"/>
      <c r="GM10" s="4"/>
      <c r="GP10" s="34"/>
      <c r="GQ10" s="34"/>
      <c r="GS10" s="34"/>
      <c r="GT10" s="72"/>
      <c r="GU10" s="63"/>
      <c r="GV10" s="34"/>
      <c r="GW10" s="64"/>
      <c r="GX10" s="4"/>
      <c r="GY10" s="65"/>
      <c r="GZ10" s="4"/>
      <c r="HA10" s="4"/>
      <c r="HB10" s="4"/>
      <c r="HE10" s="34"/>
      <c r="HF10" s="34"/>
      <c r="HH10" s="34"/>
      <c r="HI10" s="72"/>
      <c r="HJ10" s="63"/>
      <c r="HK10" s="34"/>
      <c r="HL10" s="64"/>
      <c r="HM10" s="4"/>
      <c r="HN10" s="65"/>
      <c r="HO10" s="4"/>
      <c r="HP10" s="4"/>
      <c r="HQ10" s="4"/>
      <c r="HT10" s="34"/>
      <c r="HU10" s="34"/>
      <c r="HW10" s="34"/>
      <c r="HX10" s="72"/>
      <c r="HY10" s="63"/>
      <c r="HZ10" s="34"/>
      <c r="IA10" s="64"/>
      <c r="IB10" s="4"/>
      <c r="IC10" s="65"/>
      <c r="ID10" s="4"/>
      <c r="IE10" s="4"/>
      <c r="IF10" s="4"/>
      <c r="II10" s="34"/>
      <c r="IJ10" s="34"/>
      <c r="IL10" s="34"/>
      <c r="IM10" s="72"/>
      <c r="IN10" s="63"/>
      <c r="IO10" s="34"/>
      <c r="IP10" s="64"/>
      <c r="IQ10" s="4"/>
      <c r="IR10" s="65"/>
      <c r="IS10" s="4"/>
      <c r="IT10" s="4"/>
      <c r="IU10" s="4"/>
      <c r="IX10" s="34"/>
      <c r="IY10" s="34"/>
      <c r="JA10" s="34"/>
      <c r="JB10" s="72"/>
      <c r="JC10" s="63"/>
      <c r="JD10" s="34"/>
      <c r="JE10" s="64"/>
      <c r="JF10" s="4"/>
      <c r="JG10" s="65"/>
      <c r="JH10" s="4"/>
      <c r="JI10" s="4"/>
      <c r="JJ10" s="4"/>
      <c r="JM10" s="34"/>
      <c r="JN10" s="34"/>
      <c r="JP10" s="34"/>
      <c r="JQ10" s="72"/>
      <c r="JR10" s="63"/>
      <c r="JS10" s="34"/>
      <c r="JT10" s="64"/>
      <c r="JU10" s="4"/>
      <c r="JV10" s="65"/>
      <c r="JW10" s="4"/>
      <c r="JX10" s="4"/>
      <c r="JY10" s="4"/>
      <c r="KB10" s="34"/>
      <c r="KC10" s="34"/>
      <c r="KE10" s="34"/>
      <c r="KF10" s="72"/>
      <c r="KG10" s="63"/>
      <c r="KH10" s="34"/>
      <c r="KI10" s="64"/>
      <c r="KJ10" s="4"/>
      <c r="KK10" s="65"/>
      <c r="KL10" s="4"/>
      <c r="KM10" s="4"/>
      <c r="KN10" s="4"/>
      <c r="KQ10" s="34"/>
      <c r="KR10" s="34"/>
      <c r="KT10" s="34"/>
      <c r="KU10" s="72"/>
      <c r="KV10" s="63"/>
      <c r="KW10" s="34"/>
      <c r="KX10" s="64"/>
      <c r="KY10" s="4"/>
      <c r="KZ10" s="65"/>
      <c r="LA10" s="4"/>
      <c r="LB10" s="4"/>
      <c r="LC10" s="4"/>
      <c r="LF10" s="34"/>
      <c r="LG10" s="34"/>
      <c r="LI10" s="34"/>
      <c r="LJ10" s="72"/>
      <c r="LK10" s="63"/>
      <c r="LL10" s="34"/>
      <c r="LM10" s="64"/>
      <c r="LN10" s="4"/>
      <c r="LO10" s="65"/>
      <c r="LP10" s="4"/>
      <c r="LQ10" s="4"/>
      <c r="LR10" s="4"/>
      <c r="LU10" s="34"/>
      <c r="LV10" s="34"/>
      <c r="LX10" s="34"/>
      <c r="LY10" s="72"/>
      <c r="LZ10" s="63"/>
      <c r="MA10" s="34"/>
      <c r="MB10" s="64"/>
      <c r="MC10" s="4"/>
      <c r="MD10" s="65"/>
      <c r="ME10" s="4"/>
      <c r="MF10" s="4"/>
      <c r="MG10" s="4"/>
      <c r="MJ10" s="34"/>
      <c r="MK10" s="34"/>
      <c r="MM10" s="34"/>
      <c r="MN10" s="72"/>
      <c r="MO10" s="63"/>
      <c r="MP10" s="34"/>
      <c r="MQ10" s="64"/>
      <c r="MR10" s="4"/>
      <c r="MS10" s="65"/>
      <c r="MT10" s="4"/>
      <c r="MU10" s="4"/>
      <c r="MV10" s="4"/>
      <c r="MY10" s="34"/>
      <c r="MZ10" s="34"/>
      <c r="NB10" s="34"/>
      <c r="NC10" s="72"/>
      <c r="ND10" s="63"/>
      <c r="NE10" s="34"/>
      <c r="NF10" s="64"/>
      <c r="NG10" s="4"/>
      <c r="NH10" s="65"/>
      <c r="NI10" s="4"/>
      <c r="NJ10" s="4"/>
      <c r="NK10" s="4"/>
      <c r="NN10" s="34"/>
      <c r="NO10" s="34"/>
      <c r="NQ10" s="34"/>
      <c r="NR10" s="72"/>
      <c r="NS10" s="63"/>
      <c r="NT10" s="34"/>
      <c r="NU10" s="64"/>
      <c r="NV10" s="4"/>
      <c r="NW10" s="65"/>
      <c r="NX10" s="4"/>
      <c r="NY10" s="4"/>
      <c r="NZ10" s="4"/>
      <c r="OC10" s="34"/>
      <c r="OD10" s="34"/>
      <c r="OF10" s="34"/>
      <c r="OG10" s="72"/>
      <c r="OH10" s="63"/>
      <c r="OI10" s="34"/>
      <c r="OJ10" s="64"/>
      <c r="OK10" s="4"/>
      <c r="OL10" s="65"/>
      <c r="OM10" s="4"/>
      <c r="ON10" s="4"/>
      <c r="OO10" s="4"/>
      <c r="OR10" s="34"/>
      <c r="OS10" s="34"/>
      <c r="OU10" s="34"/>
      <c r="OV10" s="72"/>
      <c r="OW10" s="63"/>
      <c r="OX10" s="34"/>
      <c r="OY10" s="64"/>
      <c r="OZ10" s="4"/>
      <c r="PA10" s="65"/>
      <c r="PB10" s="4"/>
      <c r="PC10" s="4"/>
      <c r="PD10" s="4"/>
      <c r="PG10" s="34"/>
      <c r="PH10" s="34"/>
      <c r="PJ10" s="34"/>
      <c r="PK10" s="72"/>
      <c r="PL10" s="63"/>
      <c r="PM10" s="34"/>
      <c r="PN10" s="64"/>
      <c r="PO10" s="4"/>
      <c r="PP10" s="65"/>
      <c r="PQ10" s="4"/>
      <c r="PR10" s="4"/>
      <c r="PS10" s="4"/>
      <c r="PV10" s="34"/>
      <c r="PW10" s="34"/>
      <c r="PY10" s="34"/>
      <c r="PZ10" s="72"/>
      <c r="QA10" s="63"/>
      <c r="QB10" s="34"/>
      <c r="QC10" s="64"/>
      <c r="QD10" s="4"/>
      <c r="QE10" s="65"/>
      <c r="QF10" s="4"/>
      <c r="QG10" s="4"/>
      <c r="QH10" s="4"/>
      <c r="QK10" s="34"/>
      <c r="QL10" s="34"/>
      <c r="QN10" s="34"/>
      <c r="QO10" s="72"/>
      <c r="QP10" s="63"/>
      <c r="QQ10" s="34"/>
      <c r="QR10" s="64"/>
      <c r="QS10" s="4"/>
      <c r="QT10" s="65"/>
      <c r="QU10" s="4"/>
      <c r="QV10" s="4"/>
      <c r="QW10" s="4"/>
      <c r="QZ10" s="34"/>
      <c r="RA10" s="34"/>
      <c r="RC10" s="34"/>
      <c r="RD10" s="72"/>
      <c r="RE10" s="63"/>
      <c r="RF10" s="34"/>
      <c r="RG10" s="64"/>
      <c r="RH10" s="4"/>
      <c r="RI10" s="65"/>
      <c r="RJ10" s="4"/>
      <c r="RK10" s="4"/>
      <c r="RL10" s="4"/>
      <c r="RO10" s="34"/>
      <c r="RP10" s="34"/>
      <c r="RR10" s="34"/>
      <c r="RS10" s="72"/>
      <c r="RT10" s="63"/>
      <c r="RU10" s="34"/>
      <c r="RV10" s="64"/>
      <c r="RW10" s="4"/>
      <c r="RX10" s="65"/>
      <c r="RY10" s="4"/>
      <c r="RZ10" s="4"/>
      <c r="SA10" s="4"/>
      <c r="SD10" s="34"/>
      <c r="SE10" s="34"/>
      <c r="SG10" s="34"/>
      <c r="SH10" s="72"/>
      <c r="SI10" s="63"/>
      <c r="SJ10" s="34"/>
      <c r="SK10" s="64"/>
      <c r="SL10" s="4"/>
      <c r="SM10" s="65"/>
      <c r="SN10" s="4"/>
      <c r="SO10" s="4"/>
      <c r="SP10" s="4"/>
      <c r="SS10" s="34"/>
      <c r="ST10" s="34"/>
      <c r="SV10" s="34"/>
      <c r="SW10" s="72"/>
      <c r="SX10" s="63"/>
      <c r="SY10" s="34"/>
      <c r="SZ10" s="64"/>
      <c r="TA10" s="4"/>
      <c r="TB10" s="65"/>
      <c r="TC10" s="4"/>
      <c r="TD10" s="4"/>
      <c r="TE10" s="4"/>
      <c r="TH10" s="34"/>
      <c r="TI10" s="34"/>
      <c r="TK10" s="34"/>
      <c r="TL10" s="72"/>
      <c r="TM10" s="63"/>
      <c r="TN10" s="34"/>
      <c r="TO10" s="64"/>
      <c r="TP10" s="4"/>
      <c r="TQ10" s="65"/>
      <c r="TR10" s="4"/>
      <c r="TS10" s="4"/>
      <c r="TT10" s="4"/>
      <c r="TW10" s="34"/>
      <c r="TX10" s="34"/>
      <c r="TZ10" s="34"/>
      <c r="UA10" s="72"/>
      <c r="UB10" s="63"/>
      <c r="UC10" s="34"/>
      <c r="UD10" s="64"/>
      <c r="UE10" s="4"/>
      <c r="UF10" s="65"/>
      <c r="UG10" s="4"/>
      <c r="UH10" s="4"/>
      <c r="UI10" s="4"/>
      <c r="UL10" s="34"/>
      <c r="UM10" s="34"/>
      <c r="UO10" s="34"/>
      <c r="UP10" s="72"/>
      <c r="UQ10" s="63"/>
      <c r="UR10" s="34"/>
      <c r="US10" s="64"/>
      <c r="UT10" s="4"/>
      <c r="UU10" s="65"/>
      <c r="UV10" s="4"/>
      <c r="UW10" s="4"/>
      <c r="UX10" s="4"/>
      <c r="VA10" s="34"/>
      <c r="VB10" s="34"/>
      <c r="VD10" s="34"/>
      <c r="VE10" s="72"/>
      <c r="VF10" s="63"/>
      <c r="VG10" s="34"/>
      <c r="VH10" s="64"/>
      <c r="VI10" s="4"/>
      <c r="VJ10" s="65"/>
      <c r="VK10" s="4"/>
      <c r="VL10" s="4"/>
      <c r="VM10" s="4"/>
      <c r="VP10" s="34"/>
      <c r="VQ10" s="34"/>
      <c r="VS10" s="34"/>
      <c r="VT10" s="72"/>
      <c r="VU10" s="63"/>
      <c r="VV10" s="34"/>
      <c r="VW10" s="64"/>
      <c r="VX10" s="4"/>
      <c r="VY10" s="65"/>
      <c r="VZ10" s="4"/>
      <c r="WA10" s="4"/>
      <c r="WB10" s="4"/>
      <c r="WE10" s="34"/>
      <c r="WF10" s="34"/>
      <c r="WH10" s="34"/>
      <c r="WI10" s="72"/>
      <c r="WJ10" s="63"/>
      <c r="WK10" s="34"/>
      <c r="WL10" s="64"/>
      <c r="WM10" s="4"/>
      <c r="WN10" s="65"/>
      <c r="WO10" s="4"/>
      <c r="WP10" s="4"/>
      <c r="WQ10" s="4"/>
      <c r="WT10" s="34"/>
      <c r="WU10" s="34"/>
      <c r="WW10" s="34"/>
      <c r="WX10" s="72"/>
      <c r="WY10" s="63"/>
      <c r="WZ10" s="34"/>
      <c r="XA10" s="64"/>
      <c r="XB10" s="4"/>
      <c r="XC10" s="65"/>
      <c r="XD10" s="4"/>
      <c r="XE10" s="4"/>
      <c r="XF10" s="4"/>
      <c r="XI10" s="34"/>
      <c r="XJ10" s="34"/>
      <c r="XL10" s="34"/>
      <c r="XM10" s="72"/>
      <c r="XN10" s="63"/>
      <c r="XO10" s="34"/>
      <c r="XP10" s="64"/>
      <c r="XQ10" s="4"/>
      <c r="XR10" s="65"/>
      <c r="XS10" s="4"/>
      <c r="XT10" s="4"/>
      <c r="XU10" s="4"/>
      <c r="XX10" s="34"/>
      <c r="XY10" s="34"/>
      <c r="YA10" s="34"/>
      <c r="YB10" s="72"/>
      <c r="YC10" s="63"/>
      <c r="YD10" s="34"/>
      <c r="YE10" s="64"/>
      <c r="YF10" s="4"/>
      <c r="YG10" s="65"/>
      <c r="YH10" s="4"/>
      <c r="YI10" s="4"/>
      <c r="YJ10" s="4"/>
      <c r="YM10" s="34"/>
      <c r="YN10" s="34"/>
      <c r="YP10" s="34"/>
      <c r="YQ10" s="72"/>
      <c r="YR10" s="63"/>
      <c r="YS10" s="34"/>
      <c r="YT10" s="64"/>
      <c r="YU10" s="4"/>
      <c r="YV10" s="65"/>
      <c r="YW10" s="4"/>
      <c r="YX10" s="4"/>
      <c r="YY10" s="4"/>
      <c r="ZB10" s="34"/>
      <c r="ZC10" s="34"/>
      <c r="ZE10" s="34"/>
      <c r="ZF10" s="72"/>
      <c r="ZG10" s="63"/>
      <c r="ZH10" s="34"/>
      <c r="ZI10" s="64"/>
      <c r="ZJ10" s="4"/>
      <c r="ZK10" s="65"/>
      <c r="ZL10" s="4"/>
      <c r="ZM10" s="4"/>
      <c r="ZN10" s="4"/>
      <c r="ZQ10" s="34"/>
      <c r="ZR10" s="34"/>
      <c r="ZT10" s="34"/>
      <c r="ZU10" s="72"/>
      <c r="ZV10" s="63"/>
      <c r="ZW10" s="34"/>
      <c r="ZX10" s="64"/>
      <c r="ZY10" s="4"/>
      <c r="ZZ10" s="65"/>
      <c r="AAA10" s="4"/>
      <c r="AAB10" s="4"/>
      <c r="AAC10" s="4"/>
      <c r="AAF10" s="34"/>
      <c r="AAG10" s="34"/>
      <c r="AAI10" s="34"/>
      <c r="AAJ10" s="72"/>
      <c r="AAK10" s="63"/>
      <c r="AAL10" s="34"/>
      <c r="AAM10" s="64"/>
      <c r="AAN10" s="4"/>
      <c r="AAO10" s="65"/>
      <c r="AAP10" s="4"/>
      <c r="AAQ10" s="4"/>
      <c r="AAR10" s="4"/>
      <c r="AAU10" s="34"/>
      <c r="AAV10" s="34"/>
      <c r="AAX10" s="34"/>
      <c r="AAY10" s="72"/>
      <c r="AAZ10" s="63"/>
      <c r="ABA10" s="34"/>
      <c r="ABB10" s="64"/>
      <c r="ABC10" s="4"/>
      <c r="ABD10" s="65"/>
      <c r="ABE10" s="4"/>
      <c r="ABF10" s="4"/>
      <c r="ABG10" s="4"/>
      <c r="ABJ10" s="34"/>
      <c r="ABK10" s="34"/>
      <c r="ABM10" s="34"/>
      <c r="ABN10" s="72"/>
      <c r="ABO10" s="63"/>
      <c r="ABP10" s="34"/>
      <c r="ABQ10" s="64"/>
      <c r="ABR10" s="4"/>
      <c r="ABS10" s="65"/>
      <c r="ABT10" s="4"/>
      <c r="ABU10" s="4"/>
      <c r="ABV10" s="4"/>
      <c r="ABY10" s="34"/>
      <c r="ABZ10" s="34"/>
      <c r="ACB10" s="34"/>
      <c r="ACC10" s="72"/>
      <c r="ACD10" s="63"/>
      <c r="ACE10" s="34"/>
      <c r="ACF10" s="64"/>
      <c r="ACG10" s="4"/>
      <c r="ACH10" s="65"/>
      <c r="ACI10" s="4"/>
      <c r="ACJ10" s="4"/>
      <c r="ACK10" s="4"/>
      <c r="ACN10" s="34"/>
      <c r="ACO10" s="34"/>
      <c r="ACQ10" s="34"/>
      <c r="ACR10" s="72"/>
      <c r="ACS10" s="63"/>
      <c r="ACT10" s="34"/>
      <c r="ACU10" s="64"/>
      <c r="ACV10" s="4"/>
      <c r="ACW10" s="65"/>
      <c r="ACX10" s="4"/>
      <c r="ACY10" s="4"/>
      <c r="ACZ10" s="4"/>
      <c r="ADC10" s="34"/>
      <c r="ADD10" s="34"/>
      <c r="ADF10" s="34"/>
      <c r="ADG10" s="72"/>
      <c r="ADH10" s="63"/>
      <c r="ADI10" s="34"/>
      <c r="ADJ10" s="64"/>
      <c r="ADK10" s="4"/>
      <c r="ADL10" s="65"/>
      <c r="ADM10" s="4"/>
      <c r="ADN10" s="4"/>
      <c r="ADO10" s="4"/>
      <c r="ADR10" s="34"/>
      <c r="ADS10" s="34"/>
      <c r="ADU10" s="34"/>
      <c r="ADV10" s="72"/>
      <c r="ADW10" s="63"/>
      <c r="ADX10" s="34"/>
      <c r="ADY10" s="64"/>
      <c r="ADZ10" s="4"/>
      <c r="AEA10" s="65"/>
      <c r="AEB10" s="4"/>
      <c r="AEC10" s="4"/>
      <c r="AED10" s="4"/>
      <c r="AEG10" s="34"/>
      <c r="AEH10" s="34"/>
      <c r="AEJ10" s="34"/>
      <c r="AEK10" s="72"/>
      <c r="AEL10" s="63"/>
      <c r="AEM10" s="34"/>
      <c r="AEN10" s="64"/>
      <c r="AEO10" s="4"/>
      <c r="AEP10" s="65"/>
      <c r="AEQ10" s="4"/>
      <c r="AER10" s="4"/>
      <c r="AES10" s="4"/>
      <c r="AEV10" s="34"/>
      <c r="AEW10" s="34"/>
      <c r="AEY10" s="34"/>
      <c r="AEZ10" s="72"/>
      <c r="AFA10" s="63"/>
      <c r="AFB10" s="34"/>
      <c r="AFC10" s="64"/>
      <c r="AFD10" s="4"/>
      <c r="AFE10" s="65"/>
      <c r="AFF10" s="4"/>
      <c r="AFG10" s="4"/>
      <c r="AFH10" s="4"/>
      <c r="AFK10" s="34"/>
      <c r="AFL10" s="34"/>
      <c r="AFN10" s="34"/>
      <c r="AFO10" s="72"/>
      <c r="AFP10" s="63"/>
      <c r="AFQ10" s="34"/>
      <c r="AFR10" s="64"/>
      <c r="AFS10" s="4"/>
      <c r="AFT10" s="65"/>
      <c r="AFU10" s="4"/>
      <c r="AFV10" s="4"/>
      <c r="AFW10" s="4"/>
      <c r="AFZ10" s="34"/>
      <c r="AGA10" s="34"/>
      <c r="AGC10" s="34"/>
      <c r="AGD10" s="72"/>
      <c r="AGE10" s="63"/>
      <c r="AGF10" s="34"/>
      <c r="AGG10" s="64"/>
      <c r="AGH10" s="4"/>
      <c r="AGI10" s="65"/>
      <c r="AGJ10" s="4"/>
      <c r="AGK10" s="4"/>
      <c r="AGL10" s="4"/>
      <c r="AGO10" s="34"/>
      <c r="AGP10" s="34"/>
      <c r="AGR10" s="34"/>
      <c r="AGS10" s="72"/>
      <c r="AGT10" s="63"/>
      <c r="AGU10" s="34"/>
      <c r="AGV10" s="64"/>
      <c r="AGW10" s="4"/>
      <c r="AGX10" s="65"/>
      <c r="AGY10" s="4"/>
      <c r="AGZ10" s="4"/>
      <c r="AHA10" s="4"/>
      <c r="AHD10" s="34"/>
      <c r="AHE10" s="34"/>
      <c r="AHG10" s="34"/>
      <c r="AHH10" s="72"/>
      <c r="AHI10" s="63"/>
      <c r="AHJ10" s="34"/>
      <c r="AHK10" s="64"/>
      <c r="AHL10" s="4"/>
      <c r="AHM10" s="65"/>
      <c r="AHN10" s="4"/>
      <c r="AHO10" s="4"/>
      <c r="AHP10" s="4"/>
      <c r="AHS10" s="34"/>
      <c r="AHT10" s="34"/>
      <c r="AHV10" s="34"/>
      <c r="AHW10" s="72"/>
      <c r="AHX10" s="63"/>
      <c r="AHY10" s="34"/>
      <c r="AHZ10" s="64"/>
      <c r="AIA10" s="4"/>
      <c r="AIB10" s="65"/>
      <c r="AIC10" s="4"/>
      <c r="AID10" s="4"/>
      <c r="AIE10" s="4"/>
      <c r="AIH10" s="34"/>
      <c r="AII10" s="34"/>
      <c r="AIK10" s="34"/>
      <c r="AIL10" s="72"/>
      <c r="AIM10" s="63"/>
      <c r="AIN10" s="34"/>
      <c r="AIO10" s="64"/>
      <c r="AIP10" s="4"/>
      <c r="AIQ10" s="65"/>
      <c r="AIR10" s="4"/>
      <c r="AIS10" s="4"/>
      <c r="AIT10" s="4"/>
      <c r="AIW10" s="34"/>
      <c r="AIX10" s="34"/>
      <c r="AIZ10" s="34"/>
      <c r="AJA10" s="72"/>
      <c r="AJB10" s="63"/>
      <c r="AJC10" s="34"/>
      <c r="AJD10" s="64"/>
      <c r="AJE10" s="4"/>
      <c r="AJF10" s="65"/>
      <c r="AJG10" s="4"/>
      <c r="AJH10" s="4"/>
      <c r="AJI10" s="4"/>
      <c r="AJL10" s="34"/>
      <c r="AJM10" s="34"/>
      <c r="AJO10" s="34"/>
      <c r="AJP10" s="72"/>
      <c r="AJQ10" s="63"/>
      <c r="AJR10" s="34"/>
      <c r="AJS10" s="64"/>
      <c r="AJT10" s="4"/>
      <c r="AJU10" s="65"/>
      <c r="AJV10" s="4"/>
      <c r="AJW10" s="4"/>
      <c r="AJX10" s="4"/>
      <c r="AKA10" s="34"/>
      <c r="AKB10" s="34"/>
      <c r="AKD10" s="34"/>
      <c r="AKE10" s="72"/>
      <c r="AKF10" s="63"/>
      <c r="AKG10" s="34"/>
      <c r="AKH10" s="64"/>
      <c r="AKI10" s="4"/>
      <c r="AKJ10" s="65"/>
      <c r="AKK10" s="4"/>
      <c r="AKL10" s="4"/>
      <c r="AKM10" s="4"/>
      <c r="AKP10" s="34"/>
      <c r="AKQ10" s="34"/>
      <c r="AKS10" s="34"/>
      <c r="AKT10" s="72"/>
      <c r="AKU10" s="63"/>
      <c r="AKV10" s="34"/>
      <c r="AKW10" s="64"/>
      <c r="AKX10" s="4"/>
      <c r="AKY10" s="65"/>
      <c r="AKZ10" s="4"/>
      <c r="ALA10" s="4"/>
      <c r="ALB10" s="4"/>
      <c r="ALE10" s="34"/>
      <c r="ALF10" s="34"/>
      <c r="ALH10" s="34"/>
      <c r="ALI10" s="72"/>
      <c r="ALJ10" s="63"/>
      <c r="ALK10" s="34"/>
      <c r="ALL10" s="64"/>
      <c r="ALM10" s="4"/>
      <c r="ALN10" s="65"/>
      <c r="ALO10" s="4"/>
      <c r="ALP10" s="4"/>
      <c r="ALQ10" s="4"/>
      <c r="ALT10" s="34"/>
      <c r="ALU10" s="34"/>
      <c r="ALW10" s="34"/>
      <c r="ALX10" s="72"/>
      <c r="ALY10" s="63"/>
      <c r="ALZ10" s="34"/>
      <c r="AMA10" s="64"/>
      <c r="AMB10" s="4"/>
      <c r="AMC10" s="65"/>
      <c r="AMD10" s="4"/>
      <c r="AME10" s="4"/>
      <c r="AMF10" s="4"/>
      <c r="AMI10" s="34"/>
      <c r="AMJ10" s="34"/>
      <c r="AML10" s="34"/>
      <c r="AMM10" s="72"/>
      <c r="AMN10" s="63"/>
      <c r="AMO10" s="34"/>
      <c r="AMP10" s="64"/>
      <c r="AMQ10" s="4"/>
      <c r="AMR10" s="65"/>
      <c r="AMS10" s="4"/>
      <c r="AMT10" s="4"/>
      <c r="AMU10" s="4"/>
      <c r="AMX10" s="34"/>
      <c r="AMY10" s="34"/>
      <c r="ANA10" s="34"/>
      <c r="ANB10" s="72"/>
      <c r="ANC10" s="63"/>
      <c r="AND10" s="34"/>
      <c r="ANE10" s="64"/>
      <c r="ANF10" s="4"/>
      <c r="ANG10" s="65"/>
      <c r="ANH10" s="4"/>
      <c r="ANI10" s="4"/>
      <c r="ANJ10" s="4"/>
      <c r="ANM10" s="34"/>
      <c r="ANN10" s="34"/>
      <c r="ANP10" s="34"/>
      <c r="ANQ10" s="72"/>
      <c r="ANR10" s="63"/>
      <c r="ANS10" s="34"/>
      <c r="ANT10" s="64"/>
      <c r="ANU10" s="4"/>
      <c r="ANV10" s="65"/>
      <c r="ANW10" s="4"/>
      <c r="ANX10" s="4"/>
      <c r="ANY10" s="4"/>
      <c r="AOB10" s="34"/>
      <c r="AOC10" s="34"/>
      <c r="AOE10" s="34"/>
      <c r="AOF10" s="72"/>
      <c r="AOG10" s="63"/>
      <c r="AOH10" s="34"/>
      <c r="AOI10" s="64"/>
      <c r="AOJ10" s="4"/>
      <c r="AOK10" s="65"/>
      <c r="AOL10" s="4"/>
      <c r="AOM10" s="4"/>
      <c r="AON10" s="4"/>
      <c r="AOQ10" s="34"/>
      <c r="AOR10" s="34"/>
      <c r="AOT10" s="34"/>
      <c r="AOU10" s="72"/>
      <c r="AOV10" s="63"/>
      <c r="AOW10" s="34"/>
      <c r="AOX10" s="64"/>
      <c r="AOY10" s="4"/>
      <c r="AOZ10" s="65"/>
      <c r="APA10" s="4"/>
      <c r="APB10" s="4"/>
      <c r="APC10" s="4"/>
      <c r="APF10" s="34"/>
      <c r="APG10" s="34"/>
      <c r="API10" s="34"/>
      <c r="APJ10" s="72"/>
      <c r="APK10" s="63"/>
      <c r="APL10" s="34"/>
      <c r="APM10" s="64"/>
      <c r="APN10" s="4"/>
      <c r="APO10" s="65"/>
      <c r="APP10" s="4"/>
      <c r="APQ10" s="4"/>
      <c r="APR10" s="4"/>
      <c r="APU10" s="34"/>
      <c r="APV10" s="34"/>
      <c r="APX10" s="34"/>
      <c r="APY10" s="72"/>
      <c r="APZ10" s="63"/>
      <c r="AQA10" s="34"/>
      <c r="AQB10" s="64"/>
      <c r="AQC10" s="4"/>
      <c r="AQD10" s="65"/>
      <c r="AQE10" s="4"/>
      <c r="AQF10" s="4"/>
      <c r="AQG10" s="4"/>
      <c r="AQJ10" s="34"/>
      <c r="AQK10" s="34"/>
      <c r="AQM10" s="34"/>
      <c r="AQN10" s="72"/>
      <c r="AQO10" s="63"/>
      <c r="AQP10" s="34"/>
      <c r="AQQ10" s="64"/>
      <c r="AQR10" s="4"/>
      <c r="AQS10" s="65"/>
      <c r="AQT10" s="4"/>
      <c r="AQU10" s="4"/>
      <c r="AQV10" s="4"/>
      <c r="AQY10" s="34"/>
      <c r="AQZ10" s="34"/>
      <c r="ARB10" s="34"/>
      <c r="ARC10" s="72"/>
      <c r="ARD10" s="63"/>
      <c r="ARE10" s="34"/>
      <c r="ARF10" s="64"/>
      <c r="ARG10" s="4"/>
      <c r="ARH10" s="65"/>
      <c r="ARI10" s="4"/>
      <c r="ARJ10" s="4"/>
      <c r="ARK10" s="4"/>
      <c r="ARN10" s="34"/>
      <c r="ARO10" s="34"/>
      <c r="ARQ10" s="34"/>
      <c r="ARR10" s="72"/>
      <c r="ARS10" s="63"/>
      <c r="ART10" s="34"/>
      <c r="ARU10" s="64"/>
      <c r="ARV10" s="4"/>
      <c r="ARW10" s="65"/>
      <c r="ARX10" s="4"/>
      <c r="ARY10" s="4"/>
      <c r="ARZ10" s="4"/>
      <c r="ASC10" s="34"/>
      <c r="ASD10" s="34"/>
      <c r="ASF10" s="34"/>
      <c r="ASG10" s="72"/>
      <c r="ASH10" s="63"/>
      <c r="ASI10" s="34"/>
      <c r="ASJ10" s="64"/>
      <c r="ASK10" s="4"/>
      <c r="ASL10" s="65"/>
      <c r="ASM10" s="4"/>
      <c r="ASN10" s="4"/>
      <c r="ASO10" s="4"/>
      <c r="ASR10" s="34"/>
      <c r="ASS10" s="34"/>
      <c r="ASU10" s="34"/>
      <c r="ASV10" s="72"/>
      <c r="ASW10" s="63"/>
      <c r="ASX10" s="34"/>
      <c r="ASY10" s="64"/>
      <c r="ASZ10" s="4"/>
      <c r="ATA10" s="65"/>
      <c r="ATB10" s="4"/>
      <c r="ATC10" s="4"/>
      <c r="ATD10" s="4"/>
      <c r="ATG10" s="34"/>
      <c r="ATH10" s="34"/>
      <c r="ATJ10" s="34"/>
      <c r="ATK10" s="72"/>
      <c r="ATL10" s="63"/>
      <c r="ATM10" s="34"/>
      <c r="ATN10" s="64"/>
      <c r="ATO10" s="4"/>
      <c r="ATP10" s="65"/>
      <c r="ATQ10" s="4"/>
      <c r="ATR10" s="4"/>
      <c r="ATS10" s="4"/>
      <c r="ATV10" s="34"/>
      <c r="ATW10" s="34"/>
      <c r="ATY10" s="34"/>
      <c r="ATZ10" s="72"/>
      <c r="AUA10" s="63"/>
      <c r="AUB10" s="34"/>
      <c r="AUC10" s="64"/>
      <c r="AUD10" s="4"/>
      <c r="AUE10" s="65"/>
      <c r="AUF10" s="4"/>
      <c r="AUG10" s="4"/>
      <c r="AUH10" s="4"/>
      <c r="AUK10" s="34"/>
      <c r="AUL10" s="34"/>
      <c r="AUN10" s="34"/>
      <c r="AUO10" s="72"/>
      <c r="AUP10" s="63"/>
      <c r="AUQ10" s="34"/>
      <c r="AUR10" s="64"/>
      <c r="AUS10" s="4"/>
      <c r="AUT10" s="65"/>
      <c r="AUU10" s="4"/>
      <c r="AUV10" s="4"/>
      <c r="AUW10" s="4"/>
      <c r="AUZ10" s="34"/>
      <c r="AVA10" s="34"/>
      <c r="AVC10" s="34"/>
      <c r="AVD10" s="72"/>
      <c r="AVE10" s="63"/>
      <c r="AVF10" s="34"/>
      <c r="AVG10" s="64"/>
      <c r="AVH10" s="4"/>
      <c r="AVI10" s="65"/>
      <c r="AVJ10" s="4"/>
      <c r="AVK10" s="4"/>
      <c r="AVL10" s="4"/>
      <c r="AVO10" s="34"/>
      <c r="AVP10" s="34"/>
      <c r="AVR10" s="34"/>
      <c r="AVS10" s="72"/>
      <c r="AVT10" s="63"/>
      <c r="AVU10" s="34"/>
      <c r="AVV10" s="64"/>
      <c r="AVW10" s="4"/>
      <c r="AVX10" s="65"/>
      <c r="AVY10" s="4"/>
      <c r="AVZ10" s="4"/>
      <c r="AWA10" s="4"/>
      <c r="AWD10" s="34"/>
      <c r="AWE10" s="34"/>
      <c r="AWG10" s="34"/>
      <c r="AWH10" s="72"/>
      <c r="AWI10" s="63"/>
      <c r="AWJ10" s="34"/>
      <c r="AWK10" s="64"/>
      <c r="AWL10" s="4"/>
      <c r="AWM10" s="65"/>
      <c r="AWN10" s="4"/>
      <c r="AWO10" s="4"/>
      <c r="AWP10" s="4"/>
      <c r="AWS10" s="34"/>
      <c r="AWT10" s="34"/>
      <c r="AWV10" s="34"/>
      <c r="AWW10" s="72"/>
      <c r="AWX10" s="63"/>
      <c r="AWY10" s="34"/>
      <c r="AWZ10" s="64"/>
      <c r="AXA10" s="4"/>
      <c r="AXB10" s="65"/>
      <c r="AXC10" s="4"/>
      <c r="AXD10" s="4"/>
      <c r="AXE10" s="4"/>
      <c r="AXH10" s="34"/>
      <c r="AXI10" s="34"/>
      <c r="AXK10" s="34"/>
      <c r="AXL10" s="72"/>
      <c r="AXM10" s="63"/>
      <c r="AXN10" s="34"/>
      <c r="AXO10" s="64"/>
      <c r="AXP10" s="4"/>
      <c r="AXQ10" s="65"/>
      <c r="AXR10" s="4"/>
      <c r="AXS10" s="4"/>
      <c r="AXT10" s="4"/>
      <c r="AXW10" s="34"/>
      <c r="AXX10" s="34"/>
      <c r="AXZ10" s="34"/>
      <c r="AYA10" s="72"/>
      <c r="AYB10" s="63"/>
      <c r="AYC10" s="34"/>
      <c r="AYD10" s="64"/>
      <c r="AYE10" s="4"/>
      <c r="AYF10" s="65"/>
      <c r="AYG10" s="4"/>
      <c r="AYH10" s="4"/>
      <c r="AYI10" s="4"/>
      <c r="AYL10" s="34"/>
      <c r="AYM10" s="34"/>
      <c r="AYO10" s="34"/>
      <c r="AYP10" s="72"/>
      <c r="AYQ10" s="63"/>
      <c r="AYR10" s="34"/>
      <c r="AYS10" s="64"/>
      <c r="AYT10" s="4"/>
      <c r="AYU10" s="65"/>
      <c r="AYV10" s="4"/>
      <c r="AYW10" s="4"/>
      <c r="AYX10" s="4"/>
      <c r="AZA10" s="34"/>
      <c r="AZB10" s="34"/>
      <c r="AZD10" s="34"/>
      <c r="AZE10" s="72"/>
      <c r="AZF10" s="63"/>
      <c r="AZG10" s="34"/>
      <c r="AZH10" s="64"/>
      <c r="AZI10" s="4"/>
      <c r="AZJ10" s="65"/>
      <c r="AZK10" s="4"/>
      <c r="AZL10" s="4"/>
      <c r="AZM10" s="4"/>
      <c r="AZP10" s="34"/>
      <c r="AZQ10" s="34"/>
      <c r="AZS10" s="34"/>
      <c r="AZT10" s="72"/>
      <c r="AZU10" s="63"/>
      <c r="AZV10" s="34"/>
      <c r="AZW10" s="64"/>
      <c r="AZX10" s="4"/>
      <c r="AZY10" s="65"/>
      <c r="AZZ10" s="4"/>
      <c r="BAA10" s="4"/>
      <c r="BAB10" s="4"/>
      <c r="BAE10" s="34"/>
      <c r="BAF10" s="34"/>
      <c r="BAH10" s="34"/>
      <c r="BAI10" s="72"/>
      <c r="BAJ10" s="63"/>
      <c r="BAK10" s="34"/>
      <c r="BAL10" s="64"/>
      <c r="BAM10" s="4"/>
      <c r="BAN10" s="65"/>
      <c r="BAO10" s="4"/>
      <c r="BAP10" s="4"/>
      <c r="BAQ10" s="4"/>
      <c r="BAT10" s="34"/>
      <c r="BAU10" s="34"/>
      <c r="BAW10" s="34"/>
      <c r="BAX10" s="72"/>
      <c r="BAY10" s="63"/>
      <c r="BAZ10" s="34"/>
      <c r="BBA10" s="64"/>
      <c r="BBB10" s="4"/>
      <c r="BBC10" s="65"/>
      <c r="BBD10" s="4"/>
      <c r="BBE10" s="4"/>
      <c r="BBF10" s="4"/>
      <c r="BBI10" s="34"/>
      <c r="BBJ10" s="34"/>
      <c r="BBL10" s="34"/>
      <c r="BBM10" s="72"/>
      <c r="BBN10" s="63"/>
      <c r="BBO10" s="34"/>
      <c r="BBP10" s="64"/>
      <c r="BBQ10" s="4"/>
      <c r="BBR10" s="65"/>
      <c r="BBS10" s="4"/>
      <c r="BBT10" s="4"/>
      <c r="BBU10" s="4"/>
      <c r="BBX10" s="34"/>
      <c r="BBY10" s="34"/>
      <c r="BCA10" s="34"/>
      <c r="BCB10" s="72"/>
      <c r="BCC10" s="63"/>
      <c r="BCD10" s="34"/>
      <c r="BCE10" s="64"/>
      <c r="BCF10" s="4"/>
      <c r="BCG10" s="65"/>
      <c r="BCH10" s="4"/>
      <c r="BCI10" s="4"/>
      <c r="BCJ10" s="4"/>
      <c r="BCM10" s="34"/>
      <c r="BCN10" s="34"/>
      <c r="BCP10" s="34"/>
      <c r="BCQ10" s="72"/>
      <c r="BCR10" s="63"/>
      <c r="BCS10" s="34"/>
      <c r="BCT10" s="64"/>
      <c r="BCU10" s="4"/>
      <c r="BCV10" s="65"/>
      <c r="BCW10" s="4"/>
      <c r="BCX10" s="4"/>
      <c r="BCY10" s="4"/>
      <c r="BDB10" s="34"/>
      <c r="BDC10" s="34"/>
      <c r="BDE10" s="34"/>
      <c r="BDF10" s="72"/>
      <c r="BDG10" s="63"/>
      <c r="BDH10" s="34"/>
      <c r="BDI10" s="64"/>
      <c r="BDJ10" s="4"/>
      <c r="BDK10" s="65"/>
      <c r="BDL10" s="4"/>
      <c r="BDM10" s="4"/>
      <c r="BDN10" s="4"/>
      <c r="BDQ10" s="34"/>
      <c r="BDR10" s="34"/>
      <c r="BDT10" s="34"/>
      <c r="BDU10" s="72"/>
      <c r="BDV10" s="63"/>
      <c r="BDW10" s="34"/>
      <c r="BDX10" s="64"/>
      <c r="BDY10" s="4"/>
      <c r="BDZ10" s="65"/>
      <c r="BEA10" s="4"/>
      <c r="BEB10" s="4"/>
      <c r="BEC10" s="4"/>
      <c r="BEF10" s="34"/>
      <c r="BEG10" s="34"/>
      <c r="BEI10" s="34"/>
      <c r="BEJ10" s="72"/>
      <c r="BEK10" s="63"/>
      <c r="BEL10" s="34"/>
      <c r="BEM10" s="64"/>
      <c r="BEN10" s="4"/>
      <c r="BEO10" s="65"/>
      <c r="BEP10" s="4"/>
      <c r="BEQ10" s="4"/>
      <c r="BER10" s="4"/>
      <c r="BEU10" s="34"/>
      <c r="BEV10" s="34"/>
      <c r="BEX10" s="34"/>
      <c r="BEY10" s="72"/>
      <c r="BEZ10" s="63"/>
      <c r="BFA10" s="34"/>
      <c r="BFB10" s="64"/>
      <c r="BFC10" s="4"/>
      <c r="BFD10" s="65"/>
      <c r="BFE10" s="4"/>
      <c r="BFF10" s="4"/>
      <c r="BFG10" s="4"/>
      <c r="BFJ10" s="34"/>
      <c r="BFK10" s="34"/>
      <c r="BFM10" s="34"/>
      <c r="BFN10" s="72"/>
      <c r="BFO10" s="63"/>
      <c r="BFP10" s="34"/>
      <c r="BFQ10" s="64"/>
      <c r="BFR10" s="4"/>
      <c r="BFS10" s="65"/>
      <c r="BFT10" s="4"/>
      <c r="BFU10" s="4"/>
      <c r="BFV10" s="4"/>
      <c r="BFY10" s="34"/>
      <c r="BFZ10" s="34"/>
      <c r="BGB10" s="34"/>
      <c r="BGC10" s="72"/>
      <c r="BGD10" s="63"/>
      <c r="BGE10" s="34"/>
      <c r="BGF10" s="64"/>
      <c r="BGG10" s="4"/>
      <c r="BGH10" s="65"/>
      <c r="BGI10" s="4"/>
      <c r="BGJ10" s="4"/>
      <c r="BGK10" s="4"/>
      <c r="BGN10" s="34"/>
      <c r="BGO10" s="34"/>
      <c r="BGQ10" s="34"/>
      <c r="BGR10" s="72"/>
      <c r="BGS10" s="63"/>
      <c r="BGT10" s="34"/>
      <c r="BGU10" s="64"/>
      <c r="BGV10" s="4"/>
      <c r="BGW10" s="65"/>
      <c r="BGX10" s="4"/>
      <c r="BGY10" s="4"/>
      <c r="BGZ10" s="4"/>
      <c r="BHC10" s="34"/>
      <c r="BHD10" s="34"/>
      <c r="BHF10" s="34"/>
      <c r="BHG10" s="72"/>
      <c r="BHH10" s="63"/>
      <c r="BHI10" s="34"/>
      <c r="BHJ10" s="64"/>
      <c r="BHK10" s="4"/>
      <c r="BHL10" s="65"/>
      <c r="BHM10" s="4"/>
      <c r="BHN10" s="4"/>
      <c r="BHO10" s="4"/>
      <c r="BHR10" s="34"/>
      <c r="BHS10" s="34"/>
      <c r="BHU10" s="34"/>
      <c r="BHV10" s="72"/>
      <c r="BHW10" s="63"/>
      <c r="BHX10" s="34"/>
      <c r="BHY10" s="64"/>
      <c r="BHZ10" s="4"/>
      <c r="BIA10" s="65"/>
      <c r="BIB10" s="4"/>
      <c r="BIC10" s="4"/>
      <c r="BID10" s="4"/>
      <c r="BIG10" s="34"/>
      <c r="BIH10" s="34"/>
      <c r="BIJ10" s="34"/>
      <c r="BIK10" s="72"/>
      <c r="BIL10" s="63"/>
      <c r="BIM10" s="34"/>
      <c r="BIN10" s="64"/>
      <c r="BIO10" s="4"/>
      <c r="BIP10" s="65"/>
      <c r="BIQ10" s="4"/>
      <c r="BIR10" s="4"/>
      <c r="BIS10" s="4"/>
      <c r="BIV10" s="34"/>
      <c r="BIW10" s="34"/>
      <c r="BIY10" s="34"/>
      <c r="BIZ10" s="72"/>
      <c r="BJA10" s="63"/>
      <c r="BJB10" s="34"/>
      <c r="BJC10" s="64"/>
      <c r="BJD10" s="4"/>
      <c r="BJE10" s="65"/>
      <c r="BJF10" s="4"/>
      <c r="BJG10" s="4"/>
      <c r="BJH10" s="4"/>
      <c r="BJK10" s="34"/>
      <c r="BJL10" s="34"/>
      <c r="BJN10" s="34"/>
      <c r="BJO10" s="72"/>
      <c r="BJP10" s="63"/>
      <c r="BJQ10" s="34"/>
      <c r="BJR10" s="64"/>
      <c r="BJS10" s="4"/>
      <c r="BJT10" s="65"/>
      <c r="BJU10" s="4"/>
      <c r="BJV10" s="4"/>
      <c r="BJW10" s="4"/>
      <c r="BJZ10" s="34"/>
      <c r="BKA10" s="34"/>
      <c r="BKC10" s="34"/>
      <c r="BKD10" s="72"/>
      <c r="BKE10" s="63"/>
      <c r="BKF10" s="34"/>
      <c r="BKG10" s="64"/>
      <c r="BKH10" s="4"/>
      <c r="BKI10" s="65"/>
      <c r="BKJ10" s="4"/>
      <c r="BKK10" s="4"/>
      <c r="BKL10" s="4"/>
      <c r="BKO10" s="34"/>
      <c r="BKP10" s="34"/>
      <c r="BKR10" s="34"/>
      <c r="BKS10" s="72"/>
      <c r="BKT10" s="63"/>
      <c r="BKU10" s="34"/>
      <c r="BKV10" s="64"/>
      <c r="BKW10" s="4"/>
      <c r="BKX10" s="65"/>
      <c r="BKY10" s="4"/>
      <c r="BKZ10" s="4"/>
      <c r="BLA10" s="4"/>
      <c r="BLD10" s="34"/>
      <c r="BLE10" s="34"/>
      <c r="BLG10" s="34"/>
      <c r="BLH10" s="72"/>
      <c r="BLI10" s="63"/>
      <c r="BLJ10" s="34"/>
      <c r="BLK10" s="64"/>
      <c r="BLL10" s="4"/>
      <c r="BLM10" s="65"/>
      <c r="BLN10" s="4"/>
      <c r="BLO10" s="4"/>
      <c r="BLP10" s="4"/>
      <c r="BLS10" s="34"/>
      <c r="BLT10" s="34"/>
      <c r="BLV10" s="34"/>
      <c r="BLW10" s="72"/>
      <c r="BLX10" s="63"/>
      <c r="BLY10" s="34"/>
      <c r="BLZ10" s="64"/>
      <c r="BMA10" s="4"/>
      <c r="BMB10" s="65"/>
      <c r="BMC10" s="4"/>
      <c r="BMD10" s="4"/>
      <c r="BME10" s="4"/>
      <c r="BMH10" s="34"/>
      <c r="BMI10" s="34"/>
      <c r="BMK10" s="34"/>
      <c r="BML10" s="72"/>
      <c r="BMM10" s="63"/>
      <c r="BMN10" s="34"/>
      <c r="BMO10" s="64"/>
      <c r="BMP10" s="4"/>
      <c r="BMQ10" s="65"/>
      <c r="BMR10" s="4"/>
      <c r="BMS10" s="4"/>
      <c r="BMT10" s="4"/>
      <c r="BMW10" s="34"/>
      <c r="BMX10" s="34"/>
      <c r="BMZ10" s="34"/>
      <c r="BNA10" s="72"/>
      <c r="BNB10" s="63"/>
      <c r="BNC10" s="34"/>
      <c r="BND10" s="64"/>
      <c r="BNE10" s="4"/>
      <c r="BNF10" s="65"/>
      <c r="BNG10" s="4"/>
      <c r="BNH10" s="4"/>
      <c r="BNI10" s="4"/>
      <c r="BNL10" s="34"/>
      <c r="BNM10" s="34"/>
      <c r="BNO10" s="34"/>
      <c r="BNP10" s="72"/>
      <c r="BNQ10" s="63"/>
      <c r="BNR10" s="34"/>
      <c r="BNS10" s="64"/>
      <c r="BNT10" s="4"/>
      <c r="BNU10" s="65"/>
      <c r="BNV10" s="4"/>
      <c r="BNW10" s="4"/>
      <c r="BNX10" s="4"/>
      <c r="BOA10" s="34"/>
      <c r="BOB10" s="34"/>
      <c r="BOD10" s="34"/>
      <c r="BOE10" s="72"/>
      <c r="BOF10" s="63"/>
      <c r="BOG10" s="34"/>
      <c r="BOH10" s="64"/>
      <c r="BOI10" s="4"/>
      <c r="BOJ10" s="65"/>
      <c r="BOK10" s="4"/>
      <c r="BOL10" s="4"/>
      <c r="BOM10" s="4"/>
      <c r="BOP10" s="34"/>
      <c r="BOQ10" s="34"/>
      <c r="BOS10" s="34"/>
      <c r="BOT10" s="72"/>
      <c r="BOU10" s="63"/>
      <c r="BOV10" s="34"/>
      <c r="BOW10" s="64"/>
      <c r="BOX10" s="4"/>
      <c r="BOY10" s="65"/>
      <c r="BOZ10" s="4"/>
      <c r="BPA10" s="4"/>
      <c r="BPB10" s="4"/>
      <c r="BPE10" s="34"/>
      <c r="BPF10" s="34"/>
      <c r="BPH10" s="34"/>
      <c r="BPI10" s="72"/>
      <c r="BPJ10" s="63"/>
      <c r="BPK10" s="34"/>
      <c r="BPL10" s="64"/>
      <c r="BPM10" s="4"/>
      <c r="BPN10" s="65"/>
      <c r="BPO10" s="4"/>
      <c r="BPP10" s="4"/>
      <c r="BPQ10" s="4"/>
      <c r="BPT10" s="34"/>
      <c r="BPU10" s="34"/>
      <c r="BPW10" s="34"/>
      <c r="BPX10" s="72"/>
      <c r="BPY10" s="63"/>
      <c r="BPZ10" s="34"/>
      <c r="BQA10" s="64"/>
      <c r="BQB10" s="4"/>
      <c r="BQC10" s="65"/>
      <c r="BQD10" s="4"/>
      <c r="BQE10" s="4"/>
      <c r="BQF10" s="4"/>
      <c r="BQI10" s="34"/>
      <c r="BQJ10" s="34"/>
      <c r="BQL10" s="34"/>
      <c r="BQM10" s="72"/>
      <c r="BQN10" s="63"/>
      <c r="BQO10" s="34"/>
      <c r="BQP10" s="64"/>
      <c r="BQQ10" s="4"/>
      <c r="BQR10" s="65"/>
      <c r="BQS10" s="4"/>
      <c r="BQT10" s="4"/>
      <c r="BQU10" s="4"/>
      <c r="BQX10" s="34"/>
      <c r="BQY10" s="34"/>
      <c r="BRA10" s="34"/>
      <c r="BRB10" s="72"/>
      <c r="BRC10" s="63"/>
      <c r="BRD10" s="34"/>
      <c r="BRE10" s="64"/>
      <c r="BRF10" s="4"/>
      <c r="BRG10" s="65"/>
      <c r="BRH10" s="4"/>
      <c r="BRI10" s="4"/>
      <c r="BRJ10" s="4"/>
      <c r="BRM10" s="34"/>
      <c r="BRN10" s="34"/>
      <c r="BRP10" s="34"/>
      <c r="BRQ10" s="72"/>
      <c r="BRR10" s="63"/>
      <c r="BRS10" s="34"/>
      <c r="BRT10" s="64"/>
      <c r="BRU10" s="4"/>
      <c r="BRV10" s="65"/>
      <c r="BRW10" s="4"/>
      <c r="BRX10" s="4"/>
      <c r="BRY10" s="4"/>
      <c r="BSB10" s="34"/>
      <c r="BSC10" s="34"/>
      <c r="BSE10" s="34"/>
      <c r="BSF10" s="72"/>
      <c r="BSG10" s="63"/>
      <c r="BSH10" s="34"/>
      <c r="BSI10" s="64"/>
      <c r="BSJ10" s="4"/>
      <c r="BSK10" s="65"/>
      <c r="BSL10" s="4"/>
      <c r="BSM10" s="4"/>
      <c r="BSN10" s="4"/>
      <c r="BSQ10" s="34"/>
      <c r="BSR10" s="34"/>
      <c r="BST10" s="34"/>
      <c r="BSU10" s="72"/>
      <c r="BSV10" s="63"/>
      <c r="BSW10" s="34"/>
      <c r="BSX10" s="64"/>
      <c r="BSY10" s="4"/>
      <c r="BSZ10" s="65"/>
      <c r="BTA10" s="4"/>
      <c r="BTB10" s="4"/>
      <c r="BTC10" s="4"/>
      <c r="BTF10" s="34"/>
      <c r="BTG10" s="34"/>
      <c r="BTI10" s="34"/>
      <c r="BTJ10" s="72"/>
      <c r="BTK10" s="63"/>
      <c r="BTL10" s="34"/>
      <c r="BTM10" s="64"/>
      <c r="BTN10" s="4"/>
      <c r="BTO10" s="65"/>
      <c r="BTP10" s="4"/>
      <c r="BTQ10" s="4"/>
      <c r="BTR10" s="4"/>
      <c r="BTU10" s="34"/>
      <c r="BTV10" s="34"/>
      <c r="BTX10" s="34"/>
      <c r="BTY10" s="72"/>
      <c r="BTZ10" s="63"/>
      <c r="BUA10" s="34"/>
      <c r="BUB10" s="64"/>
      <c r="BUC10" s="4"/>
      <c r="BUD10" s="65"/>
      <c r="BUE10" s="4"/>
      <c r="BUF10" s="4"/>
      <c r="BUG10" s="4"/>
      <c r="BUJ10" s="34"/>
      <c r="BUK10" s="34"/>
      <c r="BUM10" s="34"/>
      <c r="BUN10" s="72"/>
      <c r="BUO10" s="63"/>
      <c r="BUP10" s="34"/>
      <c r="BUQ10" s="64"/>
      <c r="BUR10" s="4"/>
      <c r="BUS10" s="65"/>
      <c r="BUT10" s="4"/>
      <c r="BUU10" s="4"/>
      <c r="BUV10" s="4"/>
      <c r="BUY10" s="34"/>
      <c r="BUZ10" s="34"/>
      <c r="BVB10" s="34"/>
      <c r="BVC10" s="72"/>
      <c r="BVD10" s="63"/>
      <c r="BVE10" s="34"/>
      <c r="BVF10" s="64"/>
      <c r="BVG10" s="4"/>
      <c r="BVH10" s="65"/>
      <c r="BVI10" s="4"/>
      <c r="BVJ10" s="4"/>
      <c r="BVK10" s="4"/>
      <c r="BVN10" s="34"/>
      <c r="BVO10" s="34"/>
      <c r="BVQ10" s="34"/>
      <c r="BVR10" s="72"/>
      <c r="BVS10" s="63"/>
      <c r="BVT10" s="34"/>
      <c r="BVU10" s="64"/>
      <c r="BVV10" s="4"/>
      <c r="BVW10" s="65"/>
      <c r="BVX10" s="4"/>
      <c r="BVY10" s="4"/>
      <c r="BVZ10" s="4"/>
      <c r="BWC10" s="34"/>
      <c r="BWD10" s="34"/>
      <c r="BWF10" s="34"/>
      <c r="BWG10" s="72"/>
      <c r="BWH10" s="63"/>
      <c r="BWI10" s="34"/>
      <c r="BWJ10" s="64"/>
      <c r="BWK10" s="4"/>
      <c r="BWL10" s="65"/>
      <c r="BWM10" s="4"/>
      <c r="BWN10" s="4"/>
      <c r="BWO10" s="4"/>
      <c r="BWR10" s="34"/>
      <c r="BWS10" s="34"/>
      <c r="BWU10" s="34"/>
      <c r="BWV10" s="72"/>
      <c r="BWW10" s="63"/>
      <c r="BWX10" s="34"/>
      <c r="BWY10" s="64"/>
      <c r="BWZ10" s="4"/>
      <c r="BXA10" s="65"/>
      <c r="BXB10" s="4"/>
      <c r="BXC10" s="4"/>
      <c r="BXD10" s="4"/>
      <c r="BXG10" s="34"/>
      <c r="BXH10" s="34"/>
      <c r="BXJ10" s="34"/>
      <c r="BXK10" s="72"/>
      <c r="BXL10" s="63"/>
      <c r="BXM10" s="34"/>
      <c r="BXN10" s="64"/>
      <c r="BXO10" s="4"/>
      <c r="BXP10" s="65"/>
      <c r="BXQ10" s="4"/>
      <c r="BXR10" s="4"/>
      <c r="BXS10" s="4"/>
      <c r="BXV10" s="34"/>
      <c r="BXW10" s="34"/>
      <c r="BXY10" s="34"/>
      <c r="BXZ10" s="72"/>
      <c r="BYA10" s="63"/>
      <c r="BYB10" s="34"/>
      <c r="BYC10" s="64"/>
      <c r="BYD10" s="4"/>
      <c r="BYE10" s="65"/>
      <c r="BYF10" s="4"/>
      <c r="BYG10" s="4"/>
      <c r="BYH10" s="4"/>
      <c r="BYK10" s="34"/>
      <c r="BYL10" s="34"/>
      <c r="BYN10" s="34"/>
      <c r="BYO10" s="72"/>
      <c r="BYP10" s="63"/>
      <c r="BYQ10" s="34"/>
      <c r="BYR10" s="64"/>
      <c r="BYS10" s="4"/>
      <c r="BYT10" s="65"/>
      <c r="BYU10" s="4"/>
      <c r="BYV10" s="4"/>
      <c r="BYW10" s="4"/>
      <c r="BYZ10" s="34"/>
      <c r="BZA10" s="34"/>
      <c r="BZC10" s="34"/>
      <c r="BZD10" s="72"/>
      <c r="BZE10" s="63"/>
      <c r="BZF10" s="34"/>
      <c r="BZG10" s="64"/>
      <c r="BZH10" s="4"/>
      <c r="BZI10" s="65"/>
      <c r="BZJ10" s="4"/>
      <c r="BZK10" s="4"/>
      <c r="BZL10" s="4"/>
      <c r="BZO10" s="34"/>
      <c r="BZP10" s="34"/>
      <c r="BZR10" s="34"/>
      <c r="BZS10" s="72"/>
      <c r="BZT10" s="63"/>
      <c r="BZU10" s="34"/>
      <c r="BZV10" s="64"/>
      <c r="BZW10" s="4"/>
      <c r="BZX10" s="65"/>
      <c r="BZY10" s="4"/>
      <c r="BZZ10" s="4"/>
      <c r="CAA10" s="4"/>
      <c r="CAD10" s="34"/>
      <c r="CAE10" s="34"/>
      <c r="CAG10" s="34"/>
      <c r="CAH10" s="72"/>
      <c r="CAI10" s="63"/>
      <c r="CAJ10" s="34"/>
      <c r="CAK10" s="64"/>
      <c r="CAL10" s="4"/>
      <c r="CAM10" s="65"/>
      <c r="CAN10" s="4"/>
      <c r="CAO10" s="4"/>
      <c r="CAP10" s="4"/>
      <c r="CAS10" s="34"/>
      <c r="CAT10" s="34"/>
      <c r="CAV10" s="34"/>
      <c r="CAW10" s="72"/>
      <c r="CAX10" s="63"/>
      <c r="CAY10" s="34"/>
      <c r="CAZ10" s="64"/>
      <c r="CBA10" s="4"/>
      <c r="CBB10" s="65"/>
      <c r="CBC10" s="4"/>
      <c r="CBD10" s="4"/>
      <c r="CBE10" s="4"/>
      <c r="CBH10" s="34"/>
      <c r="CBI10" s="34"/>
      <c r="CBK10" s="34"/>
      <c r="CBL10" s="72"/>
      <c r="CBM10" s="63"/>
      <c r="CBN10" s="34"/>
      <c r="CBO10" s="64"/>
      <c r="CBP10" s="4"/>
      <c r="CBQ10" s="65"/>
      <c r="CBR10" s="4"/>
      <c r="CBS10" s="4"/>
      <c r="CBT10" s="4"/>
      <c r="CBW10" s="34"/>
      <c r="CBX10" s="34"/>
      <c r="CBZ10" s="34"/>
      <c r="CCA10" s="72"/>
      <c r="CCB10" s="63"/>
      <c r="CCC10" s="34"/>
      <c r="CCD10" s="64"/>
      <c r="CCE10" s="4"/>
      <c r="CCF10" s="65"/>
      <c r="CCG10" s="4"/>
      <c r="CCH10" s="4"/>
      <c r="CCI10" s="4"/>
      <c r="CCL10" s="34"/>
      <c r="CCM10" s="34"/>
      <c r="CCO10" s="34"/>
      <c r="CCP10" s="72"/>
      <c r="CCQ10" s="63"/>
      <c r="CCR10" s="34"/>
      <c r="CCS10" s="64"/>
      <c r="CCT10" s="4"/>
      <c r="CCU10" s="65"/>
      <c r="CCV10" s="4"/>
      <c r="CCW10" s="4"/>
      <c r="CCX10" s="4"/>
      <c r="CDA10" s="34"/>
      <c r="CDB10" s="34"/>
      <c r="CDD10" s="34"/>
      <c r="CDE10" s="72"/>
      <c r="CDF10" s="63"/>
      <c r="CDG10" s="34"/>
      <c r="CDH10" s="64"/>
      <c r="CDI10" s="4"/>
      <c r="CDJ10" s="65"/>
      <c r="CDK10" s="4"/>
      <c r="CDL10" s="4"/>
      <c r="CDM10" s="4"/>
      <c r="CDP10" s="34"/>
      <c r="CDQ10" s="34"/>
      <c r="CDS10" s="34"/>
      <c r="CDT10" s="72"/>
      <c r="CDU10" s="63"/>
      <c r="CDV10" s="34"/>
      <c r="CDW10" s="64"/>
      <c r="CDX10" s="4"/>
      <c r="CDY10" s="65"/>
      <c r="CDZ10" s="4"/>
      <c r="CEA10" s="4"/>
      <c r="CEB10" s="4"/>
      <c r="CEE10" s="34"/>
      <c r="CEF10" s="34"/>
      <c r="CEH10" s="34"/>
      <c r="CEI10" s="72"/>
      <c r="CEJ10" s="63"/>
      <c r="CEK10" s="34"/>
      <c r="CEL10" s="64"/>
      <c r="CEM10" s="4"/>
      <c r="CEN10" s="65"/>
      <c r="CEO10" s="4"/>
      <c r="CEP10" s="4"/>
      <c r="CEQ10" s="4"/>
      <c r="CET10" s="34"/>
      <c r="CEU10" s="34"/>
      <c r="CEW10" s="34"/>
      <c r="CEX10" s="72"/>
      <c r="CEY10" s="63"/>
      <c r="CEZ10" s="34"/>
      <c r="CFA10" s="64"/>
      <c r="CFB10" s="4"/>
      <c r="CFC10" s="65"/>
      <c r="CFD10" s="4"/>
      <c r="CFE10" s="4"/>
      <c r="CFF10" s="4"/>
      <c r="CFI10" s="34"/>
      <c r="CFJ10" s="34"/>
      <c r="CFL10" s="34"/>
      <c r="CFM10" s="72"/>
      <c r="CFN10" s="63"/>
      <c r="CFO10" s="34"/>
      <c r="CFP10" s="64"/>
      <c r="CFQ10" s="4"/>
      <c r="CFR10" s="65"/>
      <c r="CFS10" s="4"/>
      <c r="CFT10" s="4"/>
      <c r="CFU10" s="4"/>
      <c r="CFX10" s="34"/>
      <c r="CFY10" s="34"/>
      <c r="CGA10" s="34"/>
      <c r="CGB10" s="72"/>
      <c r="CGC10" s="63"/>
      <c r="CGD10" s="34"/>
      <c r="CGE10" s="64"/>
      <c r="CGF10" s="4"/>
      <c r="CGG10" s="65"/>
      <c r="CGH10" s="4"/>
      <c r="CGI10" s="4"/>
      <c r="CGJ10" s="4"/>
      <c r="CGM10" s="34"/>
      <c r="CGN10" s="34"/>
      <c r="CGP10" s="34"/>
      <c r="CGQ10" s="72"/>
      <c r="CGR10" s="63"/>
      <c r="CGS10" s="34"/>
      <c r="CGT10" s="64"/>
      <c r="CGU10" s="4"/>
      <c r="CGV10" s="65"/>
      <c r="CGW10" s="4"/>
      <c r="CGX10" s="4"/>
      <c r="CGY10" s="4"/>
      <c r="CHB10" s="34"/>
      <c r="CHC10" s="34"/>
      <c r="CHE10" s="34"/>
      <c r="CHF10" s="72"/>
      <c r="CHG10" s="63"/>
      <c r="CHH10" s="34"/>
      <c r="CHI10" s="64"/>
      <c r="CHJ10" s="4"/>
      <c r="CHK10" s="65"/>
      <c r="CHL10" s="4"/>
      <c r="CHM10" s="4"/>
      <c r="CHN10" s="4"/>
      <c r="CHQ10" s="34"/>
      <c r="CHR10" s="34"/>
      <c r="CHT10" s="34"/>
      <c r="CHU10" s="72"/>
      <c r="CHV10" s="63"/>
      <c r="CHW10" s="34"/>
      <c r="CHX10" s="64"/>
      <c r="CHY10" s="4"/>
      <c r="CHZ10" s="65"/>
      <c r="CIA10" s="4"/>
      <c r="CIB10" s="4"/>
      <c r="CIC10" s="4"/>
      <c r="CIF10" s="34"/>
      <c r="CIG10" s="34"/>
      <c r="CII10" s="34"/>
      <c r="CIJ10" s="72"/>
      <c r="CIK10" s="63"/>
      <c r="CIL10" s="34"/>
      <c r="CIM10" s="64"/>
      <c r="CIN10" s="4"/>
      <c r="CIO10" s="65"/>
      <c r="CIP10" s="4"/>
      <c r="CIQ10" s="4"/>
      <c r="CIR10" s="4"/>
      <c r="CIU10" s="34"/>
      <c r="CIV10" s="34"/>
      <c r="CIX10" s="34"/>
      <c r="CIY10" s="72"/>
      <c r="CIZ10" s="63"/>
      <c r="CJA10" s="34"/>
      <c r="CJB10" s="64"/>
      <c r="CJC10" s="4"/>
      <c r="CJD10" s="65"/>
      <c r="CJE10" s="4"/>
      <c r="CJF10" s="4"/>
      <c r="CJG10" s="4"/>
      <c r="CJJ10" s="34"/>
      <c r="CJK10" s="34"/>
      <c r="CJM10" s="34"/>
      <c r="CJN10" s="72"/>
      <c r="CJO10" s="63"/>
      <c r="CJP10" s="34"/>
      <c r="CJQ10" s="64"/>
      <c r="CJR10" s="4"/>
      <c r="CJS10" s="65"/>
      <c r="CJT10" s="4"/>
      <c r="CJU10" s="4"/>
      <c r="CJV10" s="4"/>
      <c r="CJY10" s="34"/>
      <c r="CJZ10" s="34"/>
      <c r="CKB10" s="34"/>
      <c r="CKC10" s="72"/>
      <c r="CKD10" s="63"/>
      <c r="CKE10" s="34"/>
      <c r="CKF10" s="64"/>
      <c r="CKG10" s="4"/>
      <c r="CKH10" s="65"/>
      <c r="CKI10" s="4"/>
      <c r="CKJ10" s="4"/>
      <c r="CKK10" s="4"/>
      <c r="CKN10" s="34"/>
      <c r="CKO10" s="34"/>
      <c r="CKQ10" s="34"/>
      <c r="CKR10" s="72"/>
      <c r="CKS10" s="63"/>
      <c r="CKT10" s="34"/>
      <c r="CKU10" s="64"/>
      <c r="CKV10" s="4"/>
      <c r="CKW10" s="65"/>
      <c r="CKX10" s="4"/>
      <c r="CKY10" s="4"/>
      <c r="CKZ10" s="4"/>
      <c r="CLC10" s="34"/>
      <c r="CLD10" s="34"/>
      <c r="CLF10" s="34"/>
      <c r="CLG10" s="72"/>
      <c r="CLH10" s="63"/>
      <c r="CLI10" s="34"/>
      <c r="CLJ10" s="64"/>
      <c r="CLK10" s="4"/>
      <c r="CLL10" s="65"/>
      <c r="CLM10" s="4"/>
      <c r="CLN10" s="4"/>
      <c r="CLO10" s="4"/>
      <c r="CLR10" s="34"/>
      <c r="CLS10" s="34"/>
      <c r="CLU10" s="34"/>
      <c r="CLV10" s="72"/>
      <c r="CLW10" s="63"/>
      <c r="CLX10" s="34"/>
      <c r="CLY10" s="64"/>
      <c r="CLZ10" s="4"/>
      <c r="CMA10" s="65"/>
      <c r="CMB10" s="4"/>
      <c r="CMC10" s="4"/>
      <c r="CMD10" s="4"/>
      <c r="CMG10" s="34"/>
      <c r="CMH10" s="34"/>
      <c r="CMJ10" s="34"/>
      <c r="CMK10" s="72"/>
      <c r="CML10" s="63"/>
      <c r="CMM10" s="34"/>
      <c r="CMN10" s="64"/>
      <c r="CMO10" s="4"/>
      <c r="CMP10" s="65"/>
      <c r="CMQ10" s="4"/>
      <c r="CMR10" s="4"/>
      <c r="CMS10" s="4"/>
      <c r="CMV10" s="34"/>
      <c r="CMW10" s="34"/>
      <c r="CMY10" s="34"/>
      <c r="CMZ10" s="72"/>
      <c r="CNA10" s="63"/>
      <c r="CNB10" s="34"/>
      <c r="CNC10" s="64"/>
      <c r="CND10" s="4"/>
      <c r="CNE10" s="65"/>
      <c r="CNF10" s="4"/>
      <c r="CNG10" s="4"/>
      <c r="CNH10" s="4"/>
      <c r="CNK10" s="34"/>
      <c r="CNL10" s="34"/>
      <c r="CNN10" s="34"/>
      <c r="CNO10" s="72"/>
      <c r="CNP10" s="63"/>
      <c r="CNQ10" s="34"/>
      <c r="CNR10" s="64"/>
      <c r="CNS10" s="4"/>
      <c r="CNT10" s="65"/>
      <c r="CNU10" s="4"/>
      <c r="CNV10" s="4"/>
      <c r="CNW10" s="4"/>
      <c r="CNZ10" s="34"/>
      <c r="COA10" s="34"/>
      <c r="COC10" s="34"/>
      <c r="COD10" s="72"/>
      <c r="COE10" s="63"/>
      <c r="COF10" s="34"/>
      <c r="COG10" s="64"/>
      <c r="COH10" s="4"/>
      <c r="COI10" s="65"/>
      <c r="COJ10" s="4"/>
      <c r="COK10" s="4"/>
      <c r="COL10" s="4"/>
      <c r="COO10" s="34"/>
      <c r="COP10" s="34"/>
      <c r="COR10" s="34"/>
      <c r="COS10" s="72"/>
      <c r="COT10" s="63"/>
      <c r="COU10" s="34"/>
      <c r="COV10" s="64"/>
      <c r="COW10" s="4"/>
      <c r="COX10" s="65"/>
      <c r="COY10" s="4"/>
      <c r="COZ10" s="4"/>
      <c r="CPA10" s="4"/>
      <c r="CPD10" s="34"/>
      <c r="CPE10" s="34"/>
      <c r="CPG10" s="34"/>
      <c r="CPH10" s="72"/>
      <c r="CPI10" s="63"/>
      <c r="CPJ10" s="34"/>
      <c r="CPK10" s="64"/>
      <c r="CPL10" s="4"/>
      <c r="CPM10" s="65"/>
      <c r="CPN10" s="4"/>
      <c r="CPO10" s="4"/>
      <c r="CPP10" s="4"/>
      <c r="CPS10" s="34"/>
      <c r="CPT10" s="34"/>
      <c r="CPV10" s="34"/>
      <c r="CPW10" s="72"/>
      <c r="CPX10" s="63"/>
      <c r="CPY10" s="34"/>
      <c r="CPZ10" s="64"/>
      <c r="CQA10" s="4"/>
      <c r="CQB10" s="65"/>
      <c r="CQC10" s="4"/>
      <c r="CQD10" s="4"/>
      <c r="CQE10" s="4"/>
      <c r="CQH10" s="34"/>
      <c r="CQI10" s="34"/>
      <c r="CQK10" s="34"/>
      <c r="CQL10" s="72"/>
      <c r="CQM10" s="63"/>
      <c r="CQN10" s="34"/>
      <c r="CQO10" s="64"/>
      <c r="CQP10" s="4"/>
      <c r="CQQ10" s="65"/>
      <c r="CQR10" s="4"/>
      <c r="CQS10" s="4"/>
      <c r="CQT10" s="4"/>
      <c r="CQW10" s="34"/>
      <c r="CQX10" s="34"/>
      <c r="CQZ10" s="34"/>
      <c r="CRA10" s="72"/>
      <c r="CRB10" s="63"/>
      <c r="CRC10" s="34"/>
      <c r="CRD10" s="64"/>
      <c r="CRE10" s="4"/>
      <c r="CRF10" s="65"/>
      <c r="CRG10" s="4"/>
      <c r="CRH10" s="4"/>
      <c r="CRI10" s="4"/>
      <c r="CRL10" s="34"/>
      <c r="CRM10" s="34"/>
      <c r="CRO10" s="34"/>
      <c r="CRP10" s="72"/>
      <c r="CRQ10" s="63"/>
      <c r="CRR10" s="34"/>
      <c r="CRS10" s="64"/>
      <c r="CRT10" s="4"/>
      <c r="CRU10" s="65"/>
      <c r="CRV10" s="4"/>
      <c r="CRW10" s="4"/>
      <c r="CRX10" s="4"/>
      <c r="CSA10" s="34"/>
      <c r="CSB10" s="34"/>
      <c r="CSD10" s="34"/>
      <c r="CSE10" s="72"/>
      <c r="CSF10" s="63"/>
      <c r="CSG10" s="34"/>
      <c r="CSH10" s="64"/>
      <c r="CSI10" s="4"/>
      <c r="CSJ10" s="65"/>
      <c r="CSK10" s="4"/>
      <c r="CSL10" s="4"/>
      <c r="CSM10" s="4"/>
      <c r="CSP10" s="34"/>
      <c r="CSQ10" s="34"/>
      <c r="CSS10" s="34"/>
      <c r="CST10" s="72"/>
      <c r="CSU10" s="63"/>
      <c r="CSV10" s="34"/>
      <c r="CSW10" s="64"/>
      <c r="CSX10" s="4"/>
      <c r="CSY10" s="65"/>
      <c r="CSZ10" s="4"/>
      <c r="CTA10" s="4"/>
      <c r="CTB10" s="4"/>
      <c r="CTE10" s="34"/>
      <c r="CTF10" s="34"/>
      <c r="CTH10" s="34"/>
      <c r="CTI10" s="72"/>
      <c r="CTJ10" s="63"/>
      <c r="CTK10" s="34"/>
      <c r="CTL10" s="64"/>
      <c r="CTM10" s="4"/>
      <c r="CTN10" s="65"/>
      <c r="CTO10" s="4"/>
      <c r="CTP10" s="4"/>
      <c r="CTQ10" s="4"/>
      <c r="CTT10" s="34"/>
      <c r="CTU10" s="34"/>
      <c r="CTW10" s="34"/>
      <c r="CTX10" s="72"/>
      <c r="CTY10" s="63"/>
      <c r="CTZ10" s="34"/>
      <c r="CUA10" s="64"/>
      <c r="CUB10" s="4"/>
      <c r="CUC10" s="65"/>
      <c r="CUD10" s="4"/>
      <c r="CUE10" s="4"/>
      <c r="CUF10" s="4"/>
      <c r="CUI10" s="34"/>
      <c r="CUJ10" s="34"/>
      <c r="CUL10" s="34"/>
      <c r="CUM10" s="72"/>
      <c r="CUN10" s="63"/>
      <c r="CUO10" s="34"/>
      <c r="CUP10" s="64"/>
      <c r="CUQ10" s="4"/>
      <c r="CUR10" s="65"/>
      <c r="CUS10" s="4"/>
      <c r="CUT10" s="4"/>
      <c r="CUU10" s="4"/>
      <c r="CUX10" s="34"/>
      <c r="CUY10" s="34"/>
      <c r="CVA10" s="34"/>
      <c r="CVB10" s="72"/>
      <c r="CVC10" s="63"/>
      <c r="CVD10" s="34"/>
      <c r="CVE10" s="64"/>
      <c r="CVF10" s="4"/>
      <c r="CVG10" s="65"/>
      <c r="CVH10" s="4"/>
      <c r="CVI10" s="4"/>
      <c r="CVJ10" s="4"/>
      <c r="CVM10" s="34"/>
      <c r="CVN10" s="34"/>
      <c r="CVP10" s="34"/>
      <c r="CVQ10" s="72"/>
      <c r="CVR10" s="63"/>
      <c r="CVS10" s="34"/>
      <c r="CVT10" s="64"/>
      <c r="CVU10" s="4"/>
      <c r="CVV10" s="65"/>
      <c r="CVW10" s="4"/>
      <c r="CVX10" s="4"/>
      <c r="CVY10" s="4"/>
      <c r="CWB10" s="34"/>
      <c r="CWC10" s="34"/>
      <c r="CWE10" s="34"/>
      <c r="CWF10" s="72"/>
      <c r="CWG10" s="63"/>
      <c r="CWH10" s="34"/>
      <c r="CWI10" s="64"/>
      <c r="CWJ10" s="4"/>
      <c r="CWK10" s="65"/>
      <c r="CWL10" s="4"/>
      <c r="CWM10" s="4"/>
      <c r="CWN10" s="4"/>
      <c r="CWQ10" s="34"/>
      <c r="CWR10" s="34"/>
      <c r="CWT10" s="34"/>
      <c r="CWU10" s="72"/>
      <c r="CWV10" s="63"/>
      <c r="CWW10" s="34"/>
      <c r="CWX10" s="64"/>
      <c r="CWY10" s="4"/>
      <c r="CWZ10" s="65"/>
      <c r="CXA10" s="4"/>
      <c r="CXB10" s="4"/>
      <c r="CXC10" s="4"/>
      <c r="CXF10" s="34"/>
      <c r="CXG10" s="34"/>
      <c r="CXI10" s="34"/>
      <c r="CXJ10" s="72"/>
      <c r="CXK10" s="63"/>
      <c r="CXL10" s="34"/>
      <c r="CXM10" s="64"/>
      <c r="CXN10" s="4"/>
      <c r="CXO10" s="65"/>
      <c r="CXP10" s="4"/>
      <c r="CXQ10" s="4"/>
      <c r="CXR10" s="4"/>
      <c r="CXU10" s="34"/>
      <c r="CXV10" s="34"/>
      <c r="CXX10" s="34"/>
      <c r="CXY10" s="72"/>
      <c r="CXZ10" s="63"/>
      <c r="CYA10" s="34"/>
      <c r="CYB10" s="64"/>
      <c r="CYC10" s="4"/>
      <c r="CYD10" s="65"/>
      <c r="CYE10" s="4"/>
      <c r="CYF10" s="4"/>
      <c r="CYG10" s="4"/>
      <c r="CYJ10" s="34"/>
      <c r="CYK10" s="34"/>
      <c r="CYM10" s="34"/>
      <c r="CYN10" s="72"/>
      <c r="CYO10" s="63"/>
      <c r="CYP10" s="34"/>
      <c r="CYQ10" s="64"/>
      <c r="CYR10" s="4"/>
      <c r="CYS10" s="65"/>
      <c r="CYT10" s="4"/>
      <c r="CYU10" s="4"/>
      <c r="CYV10" s="4"/>
      <c r="CYY10" s="34"/>
      <c r="CYZ10" s="34"/>
      <c r="CZB10" s="34"/>
      <c r="CZC10" s="72"/>
      <c r="CZD10" s="63"/>
      <c r="CZE10" s="34"/>
      <c r="CZF10" s="64"/>
      <c r="CZG10" s="4"/>
      <c r="CZH10" s="65"/>
      <c r="CZI10" s="4"/>
      <c r="CZJ10" s="4"/>
      <c r="CZK10" s="4"/>
      <c r="CZN10" s="34"/>
      <c r="CZO10" s="34"/>
      <c r="CZQ10" s="34"/>
      <c r="CZR10" s="72"/>
      <c r="CZS10" s="63"/>
      <c r="CZT10" s="34"/>
      <c r="CZU10" s="64"/>
      <c r="CZV10" s="4"/>
      <c r="CZW10" s="65"/>
      <c r="CZX10" s="4"/>
      <c r="CZY10" s="4"/>
      <c r="CZZ10" s="4"/>
      <c r="DAC10" s="34"/>
      <c r="DAD10" s="34"/>
      <c r="DAF10" s="34"/>
      <c r="DAG10" s="72"/>
      <c r="DAH10" s="63"/>
      <c r="DAI10" s="34"/>
      <c r="DAJ10" s="64"/>
      <c r="DAK10" s="4"/>
      <c r="DAL10" s="65"/>
      <c r="DAM10" s="4"/>
      <c r="DAN10" s="4"/>
      <c r="DAO10" s="4"/>
      <c r="DAR10" s="34"/>
      <c r="DAS10" s="34"/>
      <c r="DAU10" s="34"/>
      <c r="DAV10" s="72"/>
      <c r="DAW10" s="63"/>
      <c r="DAX10" s="34"/>
      <c r="DAY10" s="64"/>
      <c r="DAZ10" s="4"/>
      <c r="DBA10" s="65"/>
      <c r="DBB10" s="4"/>
      <c r="DBC10" s="4"/>
      <c r="DBD10" s="4"/>
      <c r="DBG10" s="34"/>
      <c r="DBH10" s="34"/>
      <c r="DBJ10" s="34"/>
      <c r="DBK10" s="72"/>
      <c r="DBL10" s="63"/>
      <c r="DBM10" s="34"/>
      <c r="DBN10" s="64"/>
      <c r="DBO10" s="4"/>
      <c r="DBP10" s="65"/>
      <c r="DBQ10" s="4"/>
      <c r="DBR10" s="4"/>
      <c r="DBS10" s="4"/>
      <c r="DBV10" s="34"/>
      <c r="DBW10" s="34"/>
      <c r="DBY10" s="34"/>
      <c r="DBZ10" s="72"/>
      <c r="DCA10" s="63"/>
      <c r="DCB10" s="34"/>
      <c r="DCC10" s="64"/>
      <c r="DCD10" s="4"/>
      <c r="DCE10" s="65"/>
      <c r="DCF10" s="4"/>
      <c r="DCG10" s="4"/>
      <c r="DCH10" s="4"/>
      <c r="DCK10" s="34"/>
      <c r="DCL10" s="34"/>
      <c r="DCN10" s="34"/>
      <c r="DCO10" s="72"/>
      <c r="DCP10" s="63"/>
      <c r="DCQ10" s="34"/>
      <c r="DCR10" s="64"/>
      <c r="DCS10" s="4"/>
      <c r="DCT10" s="65"/>
      <c r="DCU10" s="4"/>
      <c r="DCV10" s="4"/>
      <c r="DCW10" s="4"/>
      <c r="DCZ10" s="34"/>
      <c r="DDA10" s="34"/>
      <c r="DDC10" s="34"/>
      <c r="DDD10" s="72"/>
      <c r="DDE10" s="63"/>
      <c r="DDF10" s="34"/>
      <c r="DDG10" s="64"/>
      <c r="DDH10" s="4"/>
      <c r="DDI10" s="65"/>
      <c r="DDJ10" s="4"/>
      <c r="DDK10" s="4"/>
      <c r="DDL10" s="4"/>
      <c r="DDO10" s="34"/>
      <c r="DDP10" s="34"/>
      <c r="DDR10" s="34"/>
      <c r="DDS10" s="72"/>
      <c r="DDT10" s="63"/>
      <c r="DDU10" s="34"/>
      <c r="DDV10" s="64"/>
      <c r="DDW10" s="4"/>
      <c r="DDX10" s="65"/>
      <c r="DDY10" s="4"/>
      <c r="DDZ10" s="4"/>
      <c r="DEA10" s="4"/>
      <c r="DED10" s="34"/>
      <c r="DEE10" s="34"/>
      <c r="DEG10" s="34"/>
      <c r="DEH10" s="72"/>
      <c r="DEI10" s="63"/>
      <c r="DEJ10" s="34"/>
      <c r="DEK10" s="64"/>
      <c r="DEL10" s="4"/>
      <c r="DEM10" s="65"/>
      <c r="DEN10" s="4"/>
      <c r="DEO10" s="4"/>
      <c r="DEP10" s="4"/>
      <c r="DES10" s="34"/>
      <c r="DET10" s="34"/>
      <c r="DEV10" s="34"/>
      <c r="DEW10" s="72"/>
      <c r="DEX10" s="63"/>
      <c r="DEY10" s="34"/>
      <c r="DEZ10" s="64"/>
      <c r="DFA10" s="4"/>
      <c r="DFB10" s="65"/>
      <c r="DFC10" s="4"/>
      <c r="DFD10" s="4"/>
      <c r="DFE10" s="4"/>
      <c r="DFH10" s="34"/>
      <c r="DFI10" s="34"/>
      <c r="DFK10" s="34"/>
      <c r="DFL10" s="72"/>
      <c r="DFM10" s="63"/>
      <c r="DFN10" s="34"/>
      <c r="DFO10" s="64"/>
      <c r="DFP10" s="4"/>
      <c r="DFQ10" s="65"/>
      <c r="DFR10" s="4"/>
      <c r="DFS10" s="4"/>
      <c r="DFT10" s="4"/>
      <c r="DFW10" s="34"/>
      <c r="DFX10" s="34"/>
      <c r="DFZ10" s="34"/>
      <c r="DGA10" s="72"/>
      <c r="DGB10" s="63"/>
      <c r="DGC10" s="34"/>
      <c r="DGD10" s="64"/>
      <c r="DGE10" s="4"/>
      <c r="DGF10" s="65"/>
      <c r="DGG10" s="4"/>
      <c r="DGH10" s="4"/>
      <c r="DGI10" s="4"/>
      <c r="DGL10" s="34"/>
      <c r="DGM10" s="34"/>
      <c r="DGO10" s="34"/>
      <c r="DGP10" s="72"/>
      <c r="DGQ10" s="63"/>
      <c r="DGR10" s="34"/>
      <c r="DGS10" s="64"/>
      <c r="DGT10" s="4"/>
      <c r="DGU10" s="65"/>
      <c r="DGV10" s="4"/>
      <c r="DGW10" s="4"/>
      <c r="DGX10" s="4"/>
      <c r="DHA10" s="34"/>
      <c r="DHB10" s="34"/>
      <c r="DHD10" s="34"/>
      <c r="DHE10" s="72"/>
      <c r="DHF10" s="63"/>
      <c r="DHG10" s="34"/>
      <c r="DHH10" s="64"/>
      <c r="DHI10" s="4"/>
      <c r="DHJ10" s="65"/>
      <c r="DHK10" s="4"/>
      <c r="DHL10" s="4"/>
      <c r="DHM10" s="4"/>
      <c r="DHP10" s="34"/>
      <c r="DHQ10" s="34"/>
      <c r="DHS10" s="34"/>
      <c r="DHT10" s="72"/>
      <c r="DHU10" s="63"/>
      <c r="DHV10" s="34"/>
      <c r="DHW10" s="64"/>
      <c r="DHX10" s="4"/>
      <c r="DHY10" s="65"/>
      <c r="DHZ10" s="4"/>
      <c r="DIA10" s="4"/>
      <c r="DIB10" s="4"/>
      <c r="DIE10" s="34"/>
      <c r="DIF10" s="34"/>
      <c r="DIH10" s="34"/>
      <c r="DII10" s="72"/>
      <c r="DIJ10" s="63"/>
      <c r="DIK10" s="34"/>
      <c r="DIL10" s="64"/>
      <c r="DIM10" s="4"/>
      <c r="DIN10" s="65"/>
      <c r="DIO10" s="4"/>
      <c r="DIP10" s="4"/>
      <c r="DIQ10" s="4"/>
      <c r="DIT10" s="34"/>
      <c r="DIU10" s="34"/>
      <c r="DIW10" s="34"/>
      <c r="DIX10" s="72"/>
      <c r="DIY10" s="63"/>
      <c r="DIZ10" s="34"/>
      <c r="DJA10" s="64"/>
      <c r="DJB10" s="4"/>
      <c r="DJC10" s="65"/>
      <c r="DJD10" s="4"/>
      <c r="DJE10" s="4"/>
      <c r="DJF10" s="4"/>
      <c r="DJI10" s="34"/>
      <c r="DJJ10" s="34"/>
      <c r="DJL10" s="34"/>
      <c r="DJM10" s="72"/>
      <c r="DJN10" s="63"/>
      <c r="DJO10" s="34"/>
      <c r="DJP10" s="64"/>
      <c r="DJQ10" s="4"/>
      <c r="DJR10" s="65"/>
      <c r="DJS10" s="4"/>
      <c r="DJT10" s="4"/>
      <c r="DJU10" s="4"/>
      <c r="DJX10" s="34"/>
      <c r="DJY10" s="34"/>
      <c r="DKA10" s="34"/>
      <c r="DKB10" s="72"/>
      <c r="DKC10" s="63"/>
      <c r="DKD10" s="34"/>
      <c r="DKE10" s="64"/>
      <c r="DKF10" s="4"/>
      <c r="DKG10" s="65"/>
      <c r="DKH10" s="4"/>
      <c r="DKI10" s="4"/>
      <c r="DKJ10" s="4"/>
      <c r="DKM10" s="34"/>
      <c r="DKN10" s="34"/>
      <c r="DKP10" s="34"/>
      <c r="DKQ10" s="72"/>
      <c r="DKR10" s="63"/>
      <c r="DKS10" s="34"/>
      <c r="DKT10" s="64"/>
      <c r="DKU10" s="4"/>
      <c r="DKV10" s="65"/>
      <c r="DKW10" s="4"/>
      <c r="DKX10" s="4"/>
      <c r="DKY10" s="4"/>
      <c r="DLB10" s="34"/>
      <c r="DLC10" s="34"/>
      <c r="DLE10" s="34"/>
      <c r="DLF10" s="72"/>
      <c r="DLG10" s="63"/>
      <c r="DLH10" s="34"/>
      <c r="DLI10" s="64"/>
      <c r="DLJ10" s="4"/>
      <c r="DLK10" s="65"/>
      <c r="DLL10" s="4"/>
      <c r="DLM10" s="4"/>
      <c r="DLN10" s="4"/>
      <c r="DLQ10" s="34"/>
      <c r="DLR10" s="34"/>
      <c r="DLT10" s="34"/>
      <c r="DLU10" s="72"/>
      <c r="DLV10" s="63"/>
      <c r="DLW10" s="34"/>
      <c r="DLX10" s="64"/>
      <c r="DLY10" s="4"/>
      <c r="DLZ10" s="65"/>
      <c r="DMA10" s="4"/>
      <c r="DMB10" s="4"/>
      <c r="DMC10" s="4"/>
      <c r="DMF10" s="34"/>
      <c r="DMG10" s="34"/>
      <c r="DMI10" s="34"/>
      <c r="DMJ10" s="72"/>
      <c r="DMK10" s="63"/>
      <c r="DML10" s="34"/>
      <c r="DMM10" s="64"/>
      <c r="DMN10" s="4"/>
      <c r="DMO10" s="65"/>
      <c r="DMP10" s="4"/>
      <c r="DMQ10" s="4"/>
      <c r="DMR10" s="4"/>
      <c r="DMU10" s="34"/>
      <c r="DMV10" s="34"/>
      <c r="DMX10" s="34"/>
      <c r="DMY10" s="72"/>
      <c r="DMZ10" s="63"/>
      <c r="DNA10" s="34"/>
      <c r="DNB10" s="64"/>
      <c r="DNC10" s="4"/>
      <c r="DND10" s="65"/>
      <c r="DNE10" s="4"/>
      <c r="DNF10" s="4"/>
      <c r="DNG10" s="4"/>
      <c r="DNJ10" s="34"/>
      <c r="DNK10" s="34"/>
      <c r="DNM10" s="34"/>
      <c r="DNN10" s="72"/>
      <c r="DNO10" s="63"/>
      <c r="DNP10" s="34"/>
      <c r="DNQ10" s="64"/>
      <c r="DNR10" s="4"/>
      <c r="DNS10" s="65"/>
      <c r="DNT10" s="4"/>
      <c r="DNU10" s="4"/>
      <c r="DNV10" s="4"/>
      <c r="DNY10" s="34"/>
      <c r="DNZ10" s="34"/>
      <c r="DOB10" s="34"/>
      <c r="DOC10" s="72"/>
      <c r="DOD10" s="63"/>
      <c r="DOE10" s="34"/>
      <c r="DOF10" s="64"/>
      <c r="DOG10" s="4"/>
      <c r="DOH10" s="65"/>
      <c r="DOI10" s="4"/>
      <c r="DOJ10" s="4"/>
      <c r="DOK10" s="4"/>
      <c r="DON10" s="34"/>
      <c r="DOO10" s="34"/>
      <c r="DOQ10" s="34"/>
      <c r="DOR10" s="72"/>
      <c r="DOS10" s="63"/>
      <c r="DOT10" s="34"/>
      <c r="DOU10" s="64"/>
      <c r="DOV10" s="4"/>
      <c r="DOW10" s="65"/>
      <c r="DOX10" s="4"/>
      <c r="DOY10" s="4"/>
      <c r="DOZ10" s="4"/>
      <c r="DPC10" s="34"/>
      <c r="DPD10" s="34"/>
      <c r="DPF10" s="34"/>
      <c r="DPG10" s="72"/>
      <c r="DPH10" s="63"/>
      <c r="DPI10" s="34"/>
      <c r="DPJ10" s="64"/>
      <c r="DPK10" s="4"/>
      <c r="DPL10" s="65"/>
      <c r="DPM10" s="4"/>
      <c r="DPN10" s="4"/>
      <c r="DPO10" s="4"/>
      <c r="DPR10" s="34"/>
      <c r="DPS10" s="34"/>
      <c r="DPU10" s="34"/>
      <c r="DPV10" s="72"/>
      <c r="DPW10" s="63"/>
      <c r="DPX10" s="34"/>
      <c r="DPY10" s="64"/>
      <c r="DPZ10" s="4"/>
      <c r="DQA10" s="65"/>
      <c r="DQB10" s="4"/>
      <c r="DQC10" s="4"/>
      <c r="DQD10" s="4"/>
      <c r="DQG10" s="34"/>
      <c r="DQH10" s="34"/>
      <c r="DQJ10" s="34"/>
      <c r="DQK10" s="72"/>
      <c r="DQL10" s="63"/>
      <c r="DQM10" s="34"/>
      <c r="DQN10" s="64"/>
      <c r="DQO10" s="4"/>
      <c r="DQP10" s="65"/>
      <c r="DQQ10" s="4"/>
      <c r="DQR10" s="4"/>
      <c r="DQS10" s="4"/>
      <c r="DQV10" s="34"/>
      <c r="DQW10" s="34"/>
      <c r="DQY10" s="34"/>
      <c r="DQZ10" s="72"/>
      <c r="DRA10" s="63"/>
      <c r="DRB10" s="34"/>
      <c r="DRC10" s="64"/>
      <c r="DRD10" s="4"/>
      <c r="DRE10" s="65"/>
      <c r="DRF10" s="4"/>
      <c r="DRG10" s="4"/>
      <c r="DRH10" s="4"/>
      <c r="DRK10" s="34"/>
      <c r="DRL10" s="34"/>
      <c r="DRN10" s="34"/>
      <c r="DRO10" s="72"/>
      <c r="DRP10" s="63"/>
      <c r="DRQ10" s="34"/>
      <c r="DRR10" s="64"/>
      <c r="DRS10" s="4"/>
      <c r="DRT10" s="65"/>
      <c r="DRU10" s="4"/>
      <c r="DRV10" s="4"/>
      <c r="DRW10" s="4"/>
      <c r="DRZ10" s="34"/>
      <c r="DSA10" s="34"/>
      <c r="DSC10" s="34"/>
      <c r="DSD10" s="72"/>
      <c r="DSE10" s="63"/>
      <c r="DSF10" s="34"/>
      <c r="DSG10" s="64"/>
      <c r="DSH10" s="4"/>
      <c r="DSI10" s="65"/>
      <c r="DSJ10" s="4"/>
      <c r="DSK10" s="4"/>
      <c r="DSL10" s="4"/>
      <c r="DSO10" s="34"/>
      <c r="DSP10" s="34"/>
      <c r="DSR10" s="34"/>
      <c r="DSS10" s="72"/>
      <c r="DST10" s="63"/>
      <c r="DSU10" s="34"/>
      <c r="DSV10" s="64"/>
      <c r="DSW10" s="4"/>
      <c r="DSX10" s="65"/>
      <c r="DSY10" s="4"/>
      <c r="DSZ10" s="4"/>
      <c r="DTA10" s="4"/>
      <c r="DTD10" s="34"/>
      <c r="DTE10" s="34"/>
      <c r="DTG10" s="34"/>
      <c r="DTH10" s="72"/>
      <c r="DTI10" s="63"/>
      <c r="DTJ10" s="34"/>
      <c r="DTK10" s="64"/>
      <c r="DTL10" s="4"/>
      <c r="DTM10" s="65"/>
      <c r="DTN10" s="4"/>
      <c r="DTO10" s="4"/>
      <c r="DTP10" s="4"/>
      <c r="DTS10" s="34"/>
      <c r="DTT10" s="34"/>
      <c r="DTV10" s="34"/>
      <c r="DTW10" s="72"/>
      <c r="DTX10" s="63"/>
      <c r="DTY10" s="34"/>
      <c r="DTZ10" s="64"/>
      <c r="DUA10" s="4"/>
      <c r="DUB10" s="65"/>
      <c r="DUC10" s="4"/>
      <c r="DUD10" s="4"/>
      <c r="DUE10" s="4"/>
      <c r="DUH10" s="34"/>
      <c r="DUI10" s="34"/>
      <c r="DUK10" s="34"/>
      <c r="DUL10" s="72"/>
      <c r="DUM10" s="63"/>
      <c r="DUN10" s="34"/>
      <c r="DUO10" s="64"/>
      <c r="DUP10" s="4"/>
      <c r="DUQ10" s="65"/>
      <c r="DUR10" s="4"/>
      <c r="DUS10" s="4"/>
      <c r="DUT10" s="4"/>
      <c r="DUW10" s="34"/>
      <c r="DUX10" s="34"/>
      <c r="DUZ10" s="34"/>
      <c r="DVA10" s="72"/>
      <c r="DVB10" s="63"/>
      <c r="DVC10" s="34"/>
      <c r="DVD10" s="64"/>
      <c r="DVE10" s="4"/>
      <c r="DVF10" s="65"/>
      <c r="DVG10" s="4"/>
      <c r="DVH10" s="4"/>
      <c r="DVI10" s="4"/>
      <c r="DVL10" s="34"/>
      <c r="DVM10" s="34"/>
      <c r="DVO10" s="34"/>
      <c r="DVP10" s="72"/>
      <c r="DVQ10" s="63"/>
      <c r="DVR10" s="34"/>
      <c r="DVS10" s="64"/>
      <c r="DVT10" s="4"/>
      <c r="DVU10" s="65"/>
      <c r="DVV10" s="4"/>
      <c r="DVW10" s="4"/>
      <c r="DVX10" s="4"/>
      <c r="DWA10" s="34"/>
      <c r="DWB10" s="34"/>
      <c r="DWD10" s="34"/>
      <c r="DWE10" s="72"/>
      <c r="DWF10" s="63"/>
      <c r="DWG10" s="34"/>
      <c r="DWH10" s="64"/>
      <c r="DWI10" s="4"/>
      <c r="DWJ10" s="65"/>
      <c r="DWK10" s="4"/>
      <c r="DWL10" s="4"/>
      <c r="DWM10" s="4"/>
      <c r="DWP10" s="34"/>
      <c r="DWQ10" s="34"/>
      <c r="DWS10" s="34"/>
      <c r="DWT10" s="72"/>
      <c r="DWU10" s="63"/>
      <c r="DWV10" s="34"/>
      <c r="DWW10" s="64"/>
      <c r="DWX10" s="4"/>
      <c r="DWY10" s="65"/>
      <c r="DWZ10" s="4"/>
      <c r="DXA10" s="4"/>
      <c r="DXB10" s="4"/>
      <c r="DXE10" s="34"/>
      <c r="DXF10" s="34"/>
      <c r="DXH10" s="34"/>
      <c r="DXI10" s="72"/>
      <c r="DXJ10" s="63"/>
      <c r="DXK10" s="34"/>
      <c r="DXL10" s="64"/>
      <c r="DXM10" s="4"/>
      <c r="DXN10" s="65"/>
      <c r="DXO10" s="4"/>
      <c r="DXP10" s="4"/>
      <c r="DXQ10" s="4"/>
      <c r="DXT10" s="34"/>
      <c r="DXU10" s="34"/>
      <c r="DXW10" s="34"/>
      <c r="DXX10" s="72"/>
      <c r="DXY10" s="63"/>
      <c r="DXZ10" s="34"/>
      <c r="DYA10" s="64"/>
      <c r="DYB10" s="4"/>
      <c r="DYC10" s="65"/>
      <c r="DYD10" s="4"/>
      <c r="DYE10" s="4"/>
      <c r="DYF10" s="4"/>
      <c r="DYI10" s="34"/>
      <c r="DYJ10" s="34"/>
      <c r="DYL10" s="34"/>
      <c r="DYM10" s="72"/>
      <c r="DYN10" s="63"/>
      <c r="DYO10" s="34"/>
      <c r="DYP10" s="64"/>
      <c r="DYQ10" s="4"/>
      <c r="DYR10" s="65"/>
      <c r="DYS10" s="4"/>
      <c r="DYT10" s="4"/>
      <c r="DYU10" s="4"/>
      <c r="DYX10" s="34"/>
      <c r="DYY10" s="34"/>
      <c r="DZA10" s="34"/>
      <c r="DZB10" s="72"/>
      <c r="DZC10" s="63"/>
      <c r="DZD10" s="34"/>
      <c r="DZE10" s="64"/>
      <c r="DZF10" s="4"/>
      <c r="DZG10" s="65"/>
      <c r="DZH10" s="4"/>
      <c r="DZI10" s="4"/>
      <c r="DZJ10" s="4"/>
      <c r="DZM10" s="34"/>
      <c r="DZN10" s="34"/>
      <c r="DZP10" s="34"/>
      <c r="DZQ10" s="72"/>
      <c r="DZR10" s="63"/>
      <c r="DZS10" s="34"/>
      <c r="DZT10" s="64"/>
      <c r="DZU10" s="4"/>
      <c r="DZV10" s="65"/>
      <c r="DZW10" s="4"/>
      <c r="DZX10" s="4"/>
      <c r="DZY10" s="4"/>
      <c r="EAB10" s="34"/>
      <c r="EAC10" s="34"/>
      <c r="EAE10" s="34"/>
      <c r="EAF10" s="72"/>
      <c r="EAG10" s="63"/>
      <c r="EAH10" s="34"/>
      <c r="EAI10" s="64"/>
      <c r="EAJ10" s="4"/>
      <c r="EAK10" s="65"/>
      <c r="EAL10" s="4"/>
      <c r="EAM10" s="4"/>
      <c r="EAN10" s="4"/>
      <c r="EAQ10" s="34"/>
      <c r="EAR10" s="34"/>
      <c r="EAT10" s="34"/>
      <c r="EAU10" s="72"/>
      <c r="EAV10" s="63"/>
      <c r="EAW10" s="34"/>
      <c r="EAX10" s="64"/>
      <c r="EAY10" s="4"/>
      <c r="EAZ10" s="65"/>
      <c r="EBA10" s="4"/>
      <c r="EBB10" s="4"/>
      <c r="EBC10" s="4"/>
      <c r="EBF10" s="34"/>
      <c r="EBG10" s="34"/>
      <c r="EBI10" s="34"/>
      <c r="EBJ10" s="72"/>
      <c r="EBK10" s="63"/>
      <c r="EBL10" s="34"/>
      <c r="EBM10" s="64"/>
      <c r="EBN10" s="4"/>
      <c r="EBO10" s="65"/>
      <c r="EBP10" s="4"/>
      <c r="EBQ10" s="4"/>
      <c r="EBR10" s="4"/>
      <c r="EBU10" s="34"/>
      <c r="EBV10" s="34"/>
      <c r="EBX10" s="34"/>
      <c r="EBY10" s="72"/>
      <c r="EBZ10" s="63"/>
      <c r="ECA10" s="34"/>
      <c r="ECB10" s="64"/>
      <c r="ECC10" s="4"/>
      <c r="ECD10" s="65"/>
      <c r="ECE10" s="4"/>
      <c r="ECF10" s="4"/>
      <c r="ECG10" s="4"/>
      <c r="ECJ10" s="34"/>
      <c r="ECK10" s="34"/>
      <c r="ECM10" s="34"/>
      <c r="ECN10" s="72"/>
      <c r="ECO10" s="63"/>
      <c r="ECP10" s="34"/>
      <c r="ECQ10" s="64"/>
      <c r="ECR10" s="4"/>
      <c r="ECS10" s="65"/>
      <c r="ECT10" s="4"/>
      <c r="ECU10" s="4"/>
      <c r="ECV10" s="4"/>
      <c r="ECY10" s="34"/>
      <c r="ECZ10" s="34"/>
      <c r="EDB10" s="34"/>
      <c r="EDC10" s="72"/>
      <c r="EDD10" s="63"/>
      <c r="EDE10" s="34"/>
      <c r="EDF10" s="64"/>
      <c r="EDG10" s="4"/>
      <c r="EDH10" s="65"/>
      <c r="EDI10" s="4"/>
      <c r="EDJ10" s="4"/>
      <c r="EDK10" s="4"/>
      <c r="EDN10" s="34"/>
      <c r="EDO10" s="34"/>
      <c r="EDQ10" s="34"/>
      <c r="EDR10" s="72"/>
      <c r="EDS10" s="63"/>
      <c r="EDT10" s="34"/>
      <c r="EDU10" s="64"/>
      <c r="EDV10" s="4"/>
      <c r="EDW10" s="65"/>
      <c r="EDX10" s="4"/>
      <c r="EDY10" s="4"/>
      <c r="EDZ10" s="4"/>
      <c r="EEC10" s="34"/>
      <c r="EED10" s="34"/>
      <c r="EEF10" s="34"/>
      <c r="EEG10" s="72"/>
      <c r="EEH10" s="63"/>
      <c r="EEI10" s="34"/>
      <c r="EEJ10" s="64"/>
      <c r="EEK10" s="4"/>
      <c r="EEL10" s="65"/>
      <c r="EEM10" s="4"/>
      <c r="EEN10" s="4"/>
      <c r="EEO10" s="4"/>
      <c r="EER10" s="34"/>
      <c r="EES10" s="34"/>
      <c r="EEU10" s="34"/>
      <c r="EEV10" s="72"/>
      <c r="EEW10" s="63"/>
      <c r="EEX10" s="34"/>
      <c r="EEY10" s="64"/>
      <c r="EEZ10" s="4"/>
      <c r="EFA10" s="65"/>
      <c r="EFB10" s="4"/>
      <c r="EFC10" s="4"/>
      <c r="EFD10" s="4"/>
      <c r="EFG10" s="34"/>
      <c r="EFH10" s="34"/>
      <c r="EFJ10" s="34"/>
      <c r="EFK10" s="72"/>
      <c r="EFL10" s="63"/>
      <c r="EFM10" s="34"/>
      <c r="EFN10" s="64"/>
      <c r="EFO10" s="4"/>
      <c r="EFP10" s="65"/>
      <c r="EFQ10" s="4"/>
      <c r="EFR10" s="4"/>
      <c r="EFS10" s="4"/>
      <c r="EFV10" s="34"/>
      <c r="EFW10" s="34"/>
      <c r="EFY10" s="34"/>
      <c r="EFZ10" s="72"/>
      <c r="EGA10" s="63"/>
      <c r="EGB10" s="34"/>
      <c r="EGC10" s="64"/>
      <c r="EGD10" s="4"/>
      <c r="EGE10" s="65"/>
      <c r="EGF10" s="4"/>
      <c r="EGG10" s="4"/>
      <c r="EGH10" s="4"/>
      <c r="EGK10" s="34"/>
      <c r="EGL10" s="34"/>
      <c r="EGN10" s="34"/>
      <c r="EGO10" s="72"/>
      <c r="EGP10" s="63"/>
      <c r="EGQ10" s="34"/>
      <c r="EGR10" s="64"/>
      <c r="EGS10" s="4"/>
      <c r="EGT10" s="65"/>
      <c r="EGU10" s="4"/>
      <c r="EGV10" s="4"/>
      <c r="EGW10" s="4"/>
      <c r="EGZ10" s="34"/>
      <c r="EHA10" s="34"/>
      <c r="EHC10" s="34"/>
      <c r="EHD10" s="72"/>
      <c r="EHE10" s="63"/>
      <c r="EHF10" s="34"/>
      <c r="EHG10" s="64"/>
      <c r="EHH10" s="4"/>
      <c r="EHI10" s="65"/>
      <c r="EHJ10" s="4"/>
      <c r="EHK10" s="4"/>
      <c r="EHL10" s="4"/>
      <c r="EHO10" s="34"/>
      <c r="EHP10" s="34"/>
      <c r="EHR10" s="34"/>
      <c r="EHS10" s="72"/>
      <c r="EHT10" s="63"/>
      <c r="EHU10" s="34"/>
      <c r="EHV10" s="64"/>
      <c r="EHW10" s="4"/>
      <c r="EHX10" s="65"/>
      <c r="EHY10" s="4"/>
      <c r="EHZ10" s="4"/>
      <c r="EIA10" s="4"/>
      <c r="EID10" s="34"/>
      <c r="EIE10" s="34"/>
      <c r="EIG10" s="34"/>
      <c r="EIH10" s="72"/>
      <c r="EII10" s="63"/>
      <c r="EIJ10" s="34"/>
      <c r="EIK10" s="64"/>
      <c r="EIL10" s="4"/>
      <c r="EIM10" s="65"/>
      <c r="EIN10" s="4"/>
      <c r="EIO10" s="4"/>
      <c r="EIP10" s="4"/>
      <c r="EIS10" s="34"/>
      <c r="EIT10" s="34"/>
      <c r="EIV10" s="34"/>
      <c r="EIW10" s="72"/>
      <c r="EIX10" s="63"/>
      <c r="EIY10" s="34"/>
      <c r="EIZ10" s="64"/>
      <c r="EJA10" s="4"/>
      <c r="EJB10" s="65"/>
      <c r="EJC10" s="4"/>
      <c r="EJD10" s="4"/>
      <c r="EJE10" s="4"/>
      <c r="EJH10" s="34"/>
      <c r="EJI10" s="34"/>
      <c r="EJK10" s="34"/>
      <c r="EJL10" s="72"/>
      <c r="EJM10" s="63"/>
      <c r="EJN10" s="34"/>
      <c r="EJO10" s="64"/>
      <c r="EJP10" s="4"/>
      <c r="EJQ10" s="65"/>
      <c r="EJR10" s="4"/>
      <c r="EJS10" s="4"/>
      <c r="EJT10" s="4"/>
      <c r="EJW10" s="34"/>
      <c r="EJX10" s="34"/>
      <c r="EJZ10" s="34"/>
      <c r="EKA10" s="72"/>
      <c r="EKB10" s="63"/>
      <c r="EKC10" s="34"/>
      <c r="EKD10" s="64"/>
      <c r="EKE10" s="4"/>
      <c r="EKF10" s="65"/>
      <c r="EKG10" s="4"/>
      <c r="EKH10" s="4"/>
      <c r="EKI10" s="4"/>
      <c r="EKL10" s="34"/>
      <c r="EKM10" s="34"/>
      <c r="EKO10" s="34"/>
      <c r="EKP10" s="72"/>
      <c r="EKQ10" s="63"/>
      <c r="EKR10" s="34"/>
      <c r="EKS10" s="64"/>
      <c r="EKT10" s="4"/>
      <c r="EKU10" s="65"/>
      <c r="EKV10" s="4"/>
      <c r="EKW10" s="4"/>
      <c r="EKX10" s="4"/>
      <c r="ELA10" s="34"/>
      <c r="ELB10" s="34"/>
      <c r="ELD10" s="34"/>
      <c r="ELE10" s="72"/>
      <c r="ELF10" s="63"/>
      <c r="ELG10" s="34"/>
      <c r="ELH10" s="64"/>
      <c r="ELI10" s="4"/>
      <c r="ELJ10" s="65"/>
      <c r="ELK10" s="4"/>
      <c r="ELL10" s="4"/>
      <c r="ELM10" s="4"/>
      <c r="ELP10" s="34"/>
      <c r="ELQ10" s="34"/>
      <c r="ELS10" s="34"/>
      <c r="ELT10" s="72"/>
      <c r="ELU10" s="63"/>
      <c r="ELV10" s="34"/>
      <c r="ELW10" s="64"/>
      <c r="ELX10" s="4"/>
      <c r="ELY10" s="65"/>
      <c r="ELZ10" s="4"/>
      <c r="EMA10" s="4"/>
      <c r="EMB10" s="4"/>
      <c r="EME10" s="34"/>
      <c r="EMF10" s="34"/>
      <c r="EMH10" s="34"/>
      <c r="EMI10" s="72"/>
      <c r="EMJ10" s="63"/>
      <c r="EMK10" s="34"/>
      <c r="EML10" s="64"/>
      <c r="EMM10" s="4"/>
      <c r="EMN10" s="65"/>
      <c r="EMO10" s="4"/>
      <c r="EMP10" s="4"/>
      <c r="EMQ10" s="4"/>
      <c r="EMT10" s="34"/>
      <c r="EMU10" s="34"/>
      <c r="EMW10" s="34"/>
      <c r="EMX10" s="72"/>
      <c r="EMY10" s="63"/>
      <c r="EMZ10" s="34"/>
      <c r="ENA10" s="64"/>
      <c r="ENB10" s="4"/>
      <c r="ENC10" s="65"/>
      <c r="END10" s="4"/>
      <c r="ENE10" s="4"/>
      <c r="ENF10" s="4"/>
      <c r="ENI10" s="34"/>
      <c r="ENJ10" s="34"/>
      <c r="ENL10" s="34"/>
      <c r="ENM10" s="72"/>
      <c r="ENN10" s="63"/>
      <c r="ENO10" s="34"/>
      <c r="ENP10" s="64"/>
      <c r="ENQ10" s="4"/>
      <c r="ENR10" s="65"/>
      <c r="ENS10" s="4"/>
      <c r="ENT10" s="4"/>
      <c r="ENU10" s="4"/>
      <c r="ENX10" s="34"/>
      <c r="ENY10" s="34"/>
      <c r="EOA10" s="34"/>
      <c r="EOB10" s="72"/>
      <c r="EOC10" s="63"/>
      <c r="EOD10" s="34"/>
      <c r="EOE10" s="64"/>
      <c r="EOF10" s="4"/>
      <c r="EOG10" s="65"/>
      <c r="EOH10" s="4"/>
      <c r="EOI10" s="4"/>
      <c r="EOJ10" s="4"/>
      <c r="EOM10" s="34"/>
      <c r="EON10" s="34"/>
      <c r="EOP10" s="34"/>
      <c r="EOQ10" s="72"/>
      <c r="EOR10" s="63"/>
      <c r="EOS10" s="34"/>
      <c r="EOT10" s="64"/>
      <c r="EOU10" s="4"/>
      <c r="EOV10" s="65"/>
      <c r="EOW10" s="4"/>
      <c r="EOX10" s="4"/>
      <c r="EOY10" s="4"/>
      <c r="EPB10" s="34"/>
      <c r="EPC10" s="34"/>
      <c r="EPE10" s="34"/>
      <c r="EPF10" s="72"/>
      <c r="EPG10" s="63"/>
      <c r="EPH10" s="34"/>
      <c r="EPI10" s="64"/>
      <c r="EPJ10" s="4"/>
      <c r="EPK10" s="65"/>
      <c r="EPL10" s="4"/>
      <c r="EPM10" s="4"/>
      <c r="EPN10" s="4"/>
      <c r="EPQ10" s="34"/>
      <c r="EPR10" s="34"/>
      <c r="EPT10" s="34"/>
      <c r="EPU10" s="72"/>
      <c r="EPV10" s="63"/>
      <c r="EPW10" s="34"/>
      <c r="EPX10" s="64"/>
      <c r="EPY10" s="4"/>
      <c r="EPZ10" s="65"/>
      <c r="EQA10" s="4"/>
      <c r="EQB10" s="4"/>
      <c r="EQC10" s="4"/>
      <c r="EQF10" s="34"/>
      <c r="EQG10" s="34"/>
      <c r="EQI10" s="34"/>
      <c r="EQJ10" s="72"/>
      <c r="EQK10" s="63"/>
      <c r="EQL10" s="34"/>
      <c r="EQM10" s="64"/>
      <c r="EQN10" s="4"/>
      <c r="EQO10" s="65"/>
      <c r="EQP10" s="4"/>
      <c r="EQQ10" s="4"/>
      <c r="EQR10" s="4"/>
      <c r="EQU10" s="34"/>
      <c r="EQV10" s="34"/>
      <c r="EQX10" s="34"/>
      <c r="EQY10" s="72"/>
      <c r="EQZ10" s="63"/>
      <c r="ERA10" s="34"/>
      <c r="ERB10" s="64"/>
      <c r="ERC10" s="4"/>
      <c r="ERD10" s="65"/>
      <c r="ERE10" s="4"/>
      <c r="ERF10" s="4"/>
      <c r="ERG10" s="4"/>
      <c r="ERJ10" s="34"/>
      <c r="ERK10" s="34"/>
      <c r="ERM10" s="34"/>
      <c r="ERN10" s="72"/>
      <c r="ERO10" s="63"/>
      <c r="ERP10" s="34"/>
      <c r="ERQ10" s="64"/>
      <c r="ERR10" s="4"/>
      <c r="ERS10" s="65"/>
      <c r="ERT10" s="4"/>
      <c r="ERU10" s="4"/>
      <c r="ERV10" s="4"/>
      <c r="ERY10" s="34"/>
      <c r="ERZ10" s="34"/>
      <c r="ESB10" s="34"/>
      <c r="ESC10" s="72"/>
      <c r="ESD10" s="63"/>
      <c r="ESE10" s="34"/>
      <c r="ESF10" s="64"/>
      <c r="ESG10" s="4"/>
      <c r="ESH10" s="65"/>
      <c r="ESI10" s="4"/>
      <c r="ESJ10" s="4"/>
      <c r="ESK10" s="4"/>
      <c r="ESN10" s="34"/>
      <c r="ESO10" s="34"/>
      <c r="ESQ10" s="34"/>
      <c r="ESR10" s="72"/>
      <c r="ESS10" s="63"/>
      <c r="EST10" s="34"/>
      <c r="ESU10" s="64"/>
      <c r="ESV10" s="4"/>
      <c r="ESW10" s="65"/>
      <c r="ESX10" s="4"/>
      <c r="ESY10" s="4"/>
      <c r="ESZ10" s="4"/>
      <c r="ETC10" s="34"/>
      <c r="ETD10" s="34"/>
      <c r="ETF10" s="34"/>
      <c r="ETG10" s="72"/>
      <c r="ETH10" s="63"/>
      <c r="ETI10" s="34"/>
      <c r="ETJ10" s="64"/>
      <c r="ETK10" s="4"/>
      <c r="ETL10" s="65"/>
      <c r="ETM10" s="4"/>
      <c r="ETN10" s="4"/>
      <c r="ETO10" s="4"/>
      <c r="ETR10" s="34"/>
      <c r="ETS10" s="34"/>
      <c r="ETU10" s="34"/>
      <c r="ETV10" s="72"/>
      <c r="ETW10" s="63"/>
      <c r="ETX10" s="34"/>
      <c r="ETY10" s="64"/>
      <c r="ETZ10" s="4"/>
      <c r="EUA10" s="65"/>
      <c r="EUB10" s="4"/>
      <c r="EUC10" s="4"/>
      <c r="EUD10" s="4"/>
      <c r="EUG10" s="34"/>
      <c r="EUH10" s="34"/>
      <c r="EUJ10" s="34"/>
      <c r="EUK10" s="72"/>
      <c r="EUL10" s="63"/>
      <c r="EUM10" s="34"/>
      <c r="EUN10" s="64"/>
      <c r="EUO10" s="4"/>
      <c r="EUP10" s="65"/>
      <c r="EUQ10" s="4"/>
      <c r="EUR10" s="4"/>
      <c r="EUS10" s="4"/>
      <c r="EUV10" s="34"/>
      <c r="EUW10" s="34"/>
      <c r="EUY10" s="34"/>
      <c r="EUZ10" s="72"/>
      <c r="EVA10" s="63"/>
      <c r="EVB10" s="34"/>
      <c r="EVC10" s="64"/>
      <c r="EVD10" s="4"/>
      <c r="EVE10" s="65"/>
      <c r="EVF10" s="4"/>
      <c r="EVG10" s="4"/>
      <c r="EVH10" s="4"/>
      <c r="EVK10" s="34"/>
      <c r="EVL10" s="34"/>
      <c r="EVN10" s="34"/>
      <c r="EVO10" s="72"/>
      <c r="EVP10" s="63"/>
      <c r="EVQ10" s="34"/>
      <c r="EVR10" s="64"/>
      <c r="EVS10" s="4"/>
      <c r="EVT10" s="65"/>
      <c r="EVU10" s="4"/>
      <c r="EVV10" s="4"/>
      <c r="EVW10" s="4"/>
      <c r="EVZ10" s="34"/>
      <c r="EWA10" s="34"/>
      <c r="EWC10" s="34"/>
      <c r="EWD10" s="72"/>
      <c r="EWE10" s="63"/>
      <c r="EWF10" s="34"/>
      <c r="EWG10" s="64"/>
      <c r="EWH10" s="4"/>
      <c r="EWI10" s="65"/>
      <c r="EWJ10" s="4"/>
      <c r="EWK10" s="4"/>
      <c r="EWL10" s="4"/>
      <c r="EWO10" s="34"/>
      <c r="EWP10" s="34"/>
      <c r="EWR10" s="34"/>
      <c r="EWS10" s="72"/>
      <c r="EWT10" s="63"/>
      <c r="EWU10" s="34"/>
      <c r="EWV10" s="64"/>
      <c r="EWW10" s="4"/>
      <c r="EWX10" s="65"/>
      <c r="EWY10" s="4"/>
      <c r="EWZ10" s="4"/>
      <c r="EXA10" s="4"/>
      <c r="EXD10" s="34"/>
      <c r="EXE10" s="34"/>
      <c r="EXG10" s="34"/>
      <c r="EXH10" s="72"/>
      <c r="EXI10" s="63"/>
      <c r="EXJ10" s="34"/>
      <c r="EXK10" s="64"/>
      <c r="EXL10" s="4"/>
      <c r="EXM10" s="65"/>
      <c r="EXN10" s="4"/>
      <c r="EXO10" s="4"/>
      <c r="EXP10" s="4"/>
      <c r="EXS10" s="34"/>
      <c r="EXT10" s="34"/>
      <c r="EXV10" s="34"/>
      <c r="EXW10" s="72"/>
      <c r="EXX10" s="63"/>
      <c r="EXY10" s="34"/>
      <c r="EXZ10" s="64"/>
      <c r="EYA10" s="4"/>
      <c r="EYB10" s="65"/>
      <c r="EYC10" s="4"/>
      <c r="EYD10" s="4"/>
      <c r="EYE10" s="4"/>
      <c r="EYH10" s="34"/>
      <c r="EYI10" s="34"/>
      <c r="EYK10" s="34"/>
      <c r="EYL10" s="72"/>
      <c r="EYM10" s="63"/>
      <c r="EYN10" s="34"/>
      <c r="EYO10" s="64"/>
      <c r="EYP10" s="4"/>
      <c r="EYQ10" s="65"/>
      <c r="EYR10" s="4"/>
      <c r="EYS10" s="4"/>
      <c r="EYT10" s="4"/>
      <c r="EYW10" s="34"/>
      <c r="EYX10" s="34"/>
      <c r="EYZ10" s="34"/>
      <c r="EZA10" s="72"/>
      <c r="EZB10" s="63"/>
      <c r="EZC10" s="34"/>
      <c r="EZD10" s="64"/>
      <c r="EZE10" s="4"/>
      <c r="EZF10" s="65"/>
      <c r="EZG10" s="4"/>
      <c r="EZH10" s="4"/>
      <c r="EZI10" s="4"/>
      <c r="EZL10" s="34"/>
      <c r="EZM10" s="34"/>
      <c r="EZO10" s="34"/>
      <c r="EZP10" s="72"/>
      <c r="EZQ10" s="63"/>
      <c r="EZR10" s="34"/>
      <c r="EZS10" s="64"/>
      <c r="EZT10" s="4"/>
      <c r="EZU10" s="65"/>
      <c r="EZV10" s="4"/>
      <c r="EZW10" s="4"/>
      <c r="EZX10" s="4"/>
      <c r="FAA10" s="34"/>
      <c r="FAB10" s="34"/>
      <c r="FAD10" s="34"/>
      <c r="FAE10" s="72"/>
      <c r="FAF10" s="63"/>
      <c r="FAG10" s="34"/>
      <c r="FAH10" s="64"/>
      <c r="FAI10" s="4"/>
      <c r="FAJ10" s="65"/>
      <c r="FAK10" s="4"/>
      <c r="FAL10" s="4"/>
      <c r="FAM10" s="4"/>
      <c r="FAP10" s="34"/>
      <c r="FAQ10" s="34"/>
      <c r="FAS10" s="34"/>
      <c r="FAT10" s="72"/>
      <c r="FAU10" s="63"/>
      <c r="FAV10" s="34"/>
      <c r="FAW10" s="64"/>
      <c r="FAX10" s="4"/>
      <c r="FAY10" s="65"/>
      <c r="FAZ10" s="4"/>
      <c r="FBA10" s="4"/>
      <c r="FBB10" s="4"/>
      <c r="FBE10" s="34"/>
      <c r="FBF10" s="34"/>
      <c r="FBH10" s="34"/>
      <c r="FBI10" s="72"/>
      <c r="FBJ10" s="63"/>
      <c r="FBK10" s="34"/>
      <c r="FBL10" s="64"/>
      <c r="FBM10" s="4"/>
      <c r="FBN10" s="65"/>
      <c r="FBO10" s="4"/>
      <c r="FBP10" s="4"/>
      <c r="FBQ10" s="4"/>
      <c r="FBT10" s="34"/>
      <c r="FBU10" s="34"/>
      <c r="FBW10" s="34"/>
      <c r="FBX10" s="72"/>
      <c r="FBY10" s="63"/>
      <c r="FBZ10" s="34"/>
      <c r="FCA10" s="64"/>
      <c r="FCB10" s="4"/>
      <c r="FCC10" s="65"/>
      <c r="FCD10" s="4"/>
      <c r="FCE10" s="4"/>
      <c r="FCF10" s="4"/>
      <c r="FCI10" s="34"/>
      <c r="FCJ10" s="34"/>
      <c r="FCL10" s="34"/>
      <c r="FCM10" s="72"/>
      <c r="FCN10" s="63"/>
      <c r="FCO10" s="34"/>
      <c r="FCP10" s="64"/>
      <c r="FCQ10" s="4"/>
      <c r="FCR10" s="65"/>
      <c r="FCS10" s="4"/>
      <c r="FCT10" s="4"/>
      <c r="FCU10" s="4"/>
      <c r="FCX10" s="34"/>
      <c r="FCY10" s="34"/>
      <c r="FDA10" s="34"/>
      <c r="FDB10" s="72"/>
      <c r="FDC10" s="63"/>
      <c r="FDD10" s="34"/>
      <c r="FDE10" s="64"/>
      <c r="FDF10" s="4"/>
      <c r="FDG10" s="65"/>
      <c r="FDH10" s="4"/>
      <c r="FDI10" s="4"/>
      <c r="FDJ10" s="4"/>
      <c r="FDM10" s="34"/>
      <c r="FDN10" s="34"/>
      <c r="FDP10" s="34"/>
      <c r="FDQ10" s="72"/>
      <c r="FDR10" s="63"/>
      <c r="FDS10" s="34"/>
      <c r="FDT10" s="64"/>
      <c r="FDU10" s="4"/>
      <c r="FDV10" s="65"/>
      <c r="FDW10" s="4"/>
      <c r="FDX10" s="4"/>
      <c r="FDY10" s="4"/>
      <c r="FEB10" s="34"/>
      <c r="FEC10" s="34"/>
      <c r="FEE10" s="34"/>
      <c r="FEF10" s="72"/>
      <c r="FEG10" s="63"/>
      <c r="FEH10" s="34"/>
      <c r="FEI10" s="64"/>
      <c r="FEJ10" s="4"/>
      <c r="FEK10" s="65"/>
      <c r="FEL10" s="4"/>
      <c r="FEM10" s="4"/>
      <c r="FEN10" s="4"/>
      <c r="FEQ10" s="34"/>
      <c r="FER10" s="34"/>
      <c r="FET10" s="34"/>
      <c r="FEU10" s="72"/>
      <c r="FEV10" s="63"/>
      <c r="FEW10" s="34"/>
      <c r="FEX10" s="64"/>
      <c r="FEY10" s="4"/>
      <c r="FEZ10" s="65"/>
      <c r="FFA10" s="4"/>
      <c r="FFB10" s="4"/>
      <c r="FFC10" s="4"/>
      <c r="FFF10" s="34"/>
      <c r="FFG10" s="34"/>
      <c r="FFI10" s="34"/>
      <c r="FFJ10" s="72"/>
      <c r="FFK10" s="63"/>
      <c r="FFL10" s="34"/>
      <c r="FFM10" s="64"/>
      <c r="FFN10" s="4"/>
      <c r="FFO10" s="65"/>
      <c r="FFP10" s="4"/>
      <c r="FFQ10" s="4"/>
      <c r="FFR10" s="4"/>
      <c r="FFU10" s="34"/>
      <c r="FFV10" s="34"/>
      <c r="FFX10" s="34"/>
      <c r="FFY10" s="72"/>
      <c r="FFZ10" s="63"/>
      <c r="FGA10" s="34"/>
      <c r="FGB10" s="64"/>
      <c r="FGC10" s="4"/>
      <c r="FGD10" s="65"/>
      <c r="FGE10" s="4"/>
      <c r="FGF10" s="4"/>
      <c r="FGG10" s="4"/>
      <c r="FGJ10" s="34"/>
      <c r="FGK10" s="34"/>
      <c r="FGM10" s="34"/>
      <c r="FGN10" s="72"/>
      <c r="FGO10" s="63"/>
      <c r="FGP10" s="34"/>
      <c r="FGQ10" s="64"/>
      <c r="FGR10" s="4"/>
      <c r="FGS10" s="65"/>
      <c r="FGT10" s="4"/>
      <c r="FGU10" s="4"/>
      <c r="FGV10" s="4"/>
      <c r="FGY10" s="34"/>
      <c r="FGZ10" s="34"/>
      <c r="FHB10" s="34"/>
      <c r="FHC10" s="72"/>
      <c r="FHD10" s="63"/>
      <c r="FHE10" s="34"/>
      <c r="FHF10" s="64"/>
      <c r="FHG10" s="4"/>
      <c r="FHH10" s="65"/>
      <c r="FHI10" s="4"/>
      <c r="FHJ10" s="4"/>
      <c r="FHK10" s="4"/>
      <c r="FHN10" s="34"/>
      <c r="FHO10" s="34"/>
      <c r="FHQ10" s="34"/>
      <c r="FHR10" s="72"/>
      <c r="FHS10" s="63"/>
      <c r="FHT10" s="34"/>
      <c r="FHU10" s="64"/>
      <c r="FHV10" s="4"/>
      <c r="FHW10" s="65"/>
      <c r="FHX10" s="4"/>
      <c r="FHY10" s="4"/>
      <c r="FHZ10" s="4"/>
      <c r="FIC10" s="34"/>
      <c r="FID10" s="34"/>
      <c r="FIF10" s="34"/>
      <c r="FIG10" s="72"/>
      <c r="FIH10" s="63"/>
      <c r="FII10" s="34"/>
      <c r="FIJ10" s="64"/>
      <c r="FIK10" s="4"/>
      <c r="FIL10" s="65"/>
      <c r="FIM10" s="4"/>
      <c r="FIN10" s="4"/>
      <c r="FIO10" s="4"/>
      <c r="FIR10" s="34"/>
      <c r="FIS10" s="34"/>
      <c r="FIU10" s="34"/>
      <c r="FIV10" s="72"/>
      <c r="FIW10" s="63"/>
      <c r="FIX10" s="34"/>
      <c r="FIY10" s="64"/>
      <c r="FIZ10" s="4"/>
      <c r="FJA10" s="65"/>
      <c r="FJB10" s="4"/>
      <c r="FJC10" s="4"/>
      <c r="FJD10" s="4"/>
      <c r="FJG10" s="34"/>
      <c r="FJH10" s="34"/>
      <c r="FJJ10" s="34"/>
      <c r="FJK10" s="72"/>
      <c r="FJL10" s="63"/>
      <c r="FJM10" s="34"/>
      <c r="FJN10" s="64"/>
      <c r="FJO10" s="4"/>
      <c r="FJP10" s="65"/>
      <c r="FJQ10" s="4"/>
      <c r="FJR10" s="4"/>
      <c r="FJS10" s="4"/>
      <c r="FJV10" s="34"/>
      <c r="FJW10" s="34"/>
      <c r="FJY10" s="34"/>
      <c r="FJZ10" s="72"/>
      <c r="FKA10" s="63"/>
      <c r="FKB10" s="34"/>
      <c r="FKC10" s="64"/>
      <c r="FKD10" s="4"/>
      <c r="FKE10" s="65"/>
      <c r="FKF10" s="4"/>
      <c r="FKG10" s="4"/>
      <c r="FKH10" s="4"/>
      <c r="FKK10" s="34"/>
      <c r="FKL10" s="34"/>
      <c r="FKN10" s="34"/>
      <c r="FKO10" s="72"/>
      <c r="FKP10" s="63"/>
      <c r="FKQ10" s="34"/>
      <c r="FKR10" s="64"/>
      <c r="FKS10" s="4"/>
      <c r="FKT10" s="65"/>
      <c r="FKU10" s="4"/>
      <c r="FKV10" s="4"/>
      <c r="FKW10" s="4"/>
      <c r="FKZ10" s="34"/>
      <c r="FLA10" s="34"/>
      <c r="FLC10" s="34"/>
      <c r="FLD10" s="72"/>
      <c r="FLE10" s="63"/>
      <c r="FLF10" s="34"/>
      <c r="FLG10" s="64"/>
      <c r="FLH10" s="4"/>
      <c r="FLI10" s="65"/>
      <c r="FLJ10" s="4"/>
      <c r="FLK10" s="4"/>
      <c r="FLL10" s="4"/>
      <c r="FLO10" s="34"/>
      <c r="FLP10" s="34"/>
      <c r="FLR10" s="34"/>
      <c r="FLS10" s="72"/>
      <c r="FLT10" s="63"/>
      <c r="FLU10" s="34"/>
      <c r="FLV10" s="64"/>
      <c r="FLW10" s="4"/>
      <c r="FLX10" s="65"/>
      <c r="FLY10" s="4"/>
      <c r="FLZ10" s="4"/>
      <c r="FMA10" s="4"/>
      <c r="FMD10" s="34"/>
      <c r="FME10" s="34"/>
      <c r="FMG10" s="34"/>
      <c r="FMH10" s="72"/>
      <c r="FMI10" s="63"/>
      <c r="FMJ10" s="34"/>
      <c r="FMK10" s="64"/>
      <c r="FML10" s="4"/>
      <c r="FMM10" s="65"/>
      <c r="FMN10" s="4"/>
      <c r="FMO10" s="4"/>
      <c r="FMP10" s="4"/>
      <c r="FMS10" s="34"/>
      <c r="FMT10" s="34"/>
      <c r="FMV10" s="34"/>
      <c r="FMW10" s="72"/>
      <c r="FMX10" s="63"/>
      <c r="FMY10" s="34"/>
      <c r="FMZ10" s="64"/>
      <c r="FNA10" s="4"/>
      <c r="FNB10" s="65"/>
      <c r="FNC10" s="4"/>
      <c r="FND10" s="4"/>
      <c r="FNE10" s="4"/>
      <c r="FNH10" s="34"/>
      <c r="FNI10" s="34"/>
      <c r="FNK10" s="34"/>
      <c r="FNL10" s="72"/>
      <c r="FNM10" s="63"/>
      <c r="FNN10" s="34"/>
      <c r="FNO10" s="64"/>
      <c r="FNP10" s="4"/>
      <c r="FNQ10" s="65"/>
      <c r="FNR10" s="4"/>
      <c r="FNS10" s="4"/>
      <c r="FNT10" s="4"/>
      <c r="FNW10" s="34"/>
      <c r="FNX10" s="34"/>
      <c r="FNZ10" s="34"/>
      <c r="FOA10" s="72"/>
      <c r="FOB10" s="63"/>
      <c r="FOC10" s="34"/>
      <c r="FOD10" s="64"/>
      <c r="FOE10" s="4"/>
      <c r="FOF10" s="65"/>
      <c r="FOG10" s="4"/>
      <c r="FOH10" s="4"/>
      <c r="FOI10" s="4"/>
      <c r="FOL10" s="34"/>
      <c r="FOM10" s="34"/>
      <c r="FOO10" s="34"/>
      <c r="FOP10" s="72"/>
      <c r="FOQ10" s="63"/>
      <c r="FOR10" s="34"/>
      <c r="FOS10" s="64"/>
      <c r="FOT10" s="4"/>
      <c r="FOU10" s="65"/>
      <c r="FOV10" s="4"/>
      <c r="FOW10" s="4"/>
      <c r="FOX10" s="4"/>
      <c r="FPA10" s="34"/>
      <c r="FPB10" s="34"/>
      <c r="FPD10" s="34"/>
      <c r="FPE10" s="72"/>
      <c r="FPF10" s="63"/>
      <c r="FPG10" s="34"/>
      <c r="FPH10" s="64"/>
      <c r="FPI10" s="4"/>
      <c r="FPJ10" s="65"/>
      <c r="FPK10" s="4"/>
      <c r="FPL10" s="4"/>
      <c r="FPM10" s="4"/>
      <c r="FPP10" s="34"/>
      <c r="FPQ10" s="34"/>
      <c r="FPS10" s="34"/>
      <c r="FPT10" s="72"/>
      <c r="FPU10" s="63"/>
      <c r="FPV10" s="34"/>
      <c r="FPW10" s="64"/>
      <c r="FPX10" s="4"/>
      <c r="FPY10" s="65"/>
      <c r="FPZ10" s="4"/>
      <c r="FQA10" s="4"/>
      <c r="FQB10" s="4"/>
      <c r="FQE10" s="34"/>
      <c r="FQF10" s="34"/>
      <c r="FQH10" s="34"/>
      <c r="FQI10" s="72"/>
      <c r="FQJ10" s="63"/>
      <c r="FQK10" s="34"/>
      <c r="FQL10" s="64"/>
      <c r="FQM10" s="4"/>
      <c r="FQN10" s="65"/>
      <c r="FQO10" s="4"/>
      <c r="FQP10" s="4"/>
      <c r="FQQ10" s="4"/>
      <c r="FQT10" s="34"/>
      <c r="FQU10" s="34"/>
      <c r="FQW10" s="34"/>
      <c r="FQX10" s="72"/>
      <c r="FQY10" s="63"/>
      <c r="FQZ10" s="34"/>
      <c r="FRA10" s="64"/>
      <c r="FRB10" s="4"/>
      <c r="FRC10" s="65"/>
      <c r="FRD10" s="4"/>
      <c r="FRE10" s="4"/>
      <c r="FRF10" s="4"/>
      <c r="FRI10" s="34"/>
      <c r="FRJ10" s="34"/>
      <c r="FRL10" s="34"/>
      <c r="FRM10" s="72"/>
      <c r="FRN10" s="63"/>
      <c r="FRO10" s="34"/>
      <c r="FRP10" s="64"/>
      <c r="FRQ10" s="4"/>
      <c r="FRR10" s="65"/>
      <c r="FRS10" s="4"/>
      <c r="FRT10" s="4"/>
      <c r="FRU10" s="4"/>
      <c r="FRX10" s="34"/>
      <c r="FRY10" s="34"/>
      <c r="FSA10" s="34"/>
      <c r="FSB10" s="72"/>
      <c r="FSC10" s="63"/>
      <c r="FSD10" s="34"/>
      <c r="FSE10" s="64"/>
      <c r="FSF10" s="4"/>
      <c r="FSG10" s="65"/>
      <c r="FSH10" s="4"/>
      <c r="FSI10" s="4"/>
      <c r="FSJ10" s="4"/>
      <c r="FSM10" s="34"/>
      <c r="FSN10" s="34"/>
      <c r="FSP10" s="34"/>
      <c r="FSQ10" s="72"/>
      <c r="FSR10" s="63"/>
      <c r="FSS10" s="34"/>
      <c r="FST10" s="64"/>
      <c r="FSU10" s="4"/>
      <c r="FSV10" s="65"/>
      <c r="FSW10" s="4"/>
      <c r="FSX10" s="4"/>
      <c r="FSY10" s="4"/>
      <c r="FTB10" s="34"/>
      <c r="FTC10" s="34"/>
      <c r="FTE10" s="34"/>
      <c r="FTF10" s="72"/>
      <c r="FTG10" s="63"/>
      <c r="FTH10" s="34"/>
      <c r="FTI10" s="64"/>
      <c r="FTJ10" s="4"/>
      <c r="FTK10" s="65"/>
      <c r="FTL10" s="4"/>
      <c r="FTM10" s="4"/>
      <c r="FTN10" s="4"/>
      <c r="FTQ10" s="34"/>
      <c r="FTR10" s="34"/>
      <c r="FTT10" s="34"/>
      <c r="FTU10" s="72"/>
      <c r="FTV10" s="63"/>
      <c r="FTW10" s="34"/>
      <c r="FTX10" s="64"/>
      <c r="FTY10" s="4"/>
      <c r="FTZ10" s="65"/>
      <c r="FUA10" s="4"/>
      <c r="FUB10" s="4"/>
      <c r="FUC10" s="4"/>
      <c r="FUF10" s="34"/>
      <c r="FUG10" s="34"/>
      <c r="FUI10" s="34"/>
      <c r="FUJ10" s="72"/>
      <c r="FUK10" s="63"/>
      <c r="FUL10" s="34"/>
      <c r="FUM10" s="64"/>
      <c r="FUN10" s="4"/>
      <c r="FUO10" s="65"/>
      <c r="FUP10" s="4"/>
      <c r="FUQ10" s="4"/>
      <c r="FUR10" s="4"/>
      <c r="FUU10" s="34"/>
      <c r="FUV10" s="34"/>
      <c r="FUX10" s="34"/>
      <c r="FUY10" s="72"/>
      <c r="FUZ10" s="63"/>
      <c r="FVA10" s="34"/>
      <c r="FVB10" s="64"/>
      <c r="FVC10" s="4"/>
      <c r="FVD10" s="65"/>
      <c r="FVE10" s="4"/>
      <c r="FVF10" s="4"/>
      <c r="FVG10" s="4"/>
      <c r="FVJ10" s="34"/>
      <c r="FVK10" s="34"/>
      <c r="FVM10" s="34"/>
      <c r="FVN10" s="72"/>
      <c r="FVO10" s="63"/>
      <c r="FVP10" s="34"/>
      <c r="FVQ10" s="64"/>
      <c r="FVR10" s="4"/>
      <c r="FVS10" s="65"/>
      <c r="FVT10" s="4"/>
      <c r="FVU10" s="4"/>
      <c r="FVV10" s="4"/>
      <c r="FVY10" s="34"/>
      <c r="FVZ10" s="34"/>
      <c r="FWB10" s="34"/>
      <c r="FWC10" s="72"/>
      <c r="FWD10" s="63"/>
      <c r="FWE10" s="34"/>
      <c r="FWF10" s="64"/>
      <c r="FWG10" s="4"/>
      <c r="FWH10" s="65"/>
      <c r="FWI10" s="4"/>
      <c r="FWJ10" s="4"/>
      <c r="FWK10" s="4"/>
      <c r="FWN10" s="34"/>
      <c r="FWO10" s="34"/>
      <c r="FWQ10" s="34"/>
      <c r="FWR10" s="72"/>
      <c r="FWS10" s="63"/>
      <c r="FWT10" s="34"/>
      <c r="FWU10" s="64"/>
      <c r="FWV10" s="4"/>
      <c r="FWW10" s="65"/>
      <c r="FWX10" s="4"/>
      <c r="FWY10" s="4"/>
      <c r="FWZ10" s="4"/>
      <c r="FXC10" s="34"/>
      <c r="FXD10" s="34"/>
      <c r="FXF10" s="34"/>
      <c r="FXG10" s="72"/>
      <c r="FXH10" s="63"/>
      <c r="FXI10" s="34"/>
      <c r="FXJ10" s="64"/>
      <c r="FXK10" s="4"/>
      <c r="FXL10" s="65"/>
      <c r="FXM10" s="4"/>
      <c r="FXN10" s="4"/>
      <c r="FXO10" s="4"/>
      <c r="FXR10" s="34"/>
      <c r="FXS10" s="34"/>
      <c r="FXU10" s="34"/>
      <c r="FXV10" s="72"/>
      <c r="FXW10" s="63"/>
      <c r="FXX10" s="34"/>
      <c r="FXY10" s="64"/>
      <c r="FXZ10" s="4"/>
      <c r="FYA10" s="65"/>
      <c r="FYB10" s="4"/>
      <c r="FYC10" s="4"/>
      <c r="FYD10" s="4"/>
      <c r="FYG10" s="34"/>
      <c r="FYH10" s="34"/>
      <c r="FYJ10" s="34"/>
      <c r="FYK10" s="72"/>
      <c r="FYL10" s="63"/>
      <c r="FYM10" s="34"/>
      <c r="FYN10" s="64"/>
      <c r="FYO10" s="4"/>
      <c r="FYP10" s="65"/>
      <c r="FYQ10" s="4"/>
      <c r="FYR10" s="4"/>
      <c r="FYS10" s="4"/>
      <c r="FYV10" s="34"/>
      <c r="FYW10" s="34"/>
      <c r="FYY10" s="34"/>
      <c r="FYZ10" s="72"/>
      <c r="FZA10" s="63"/>
      <c r="FZB10" s="34"/>
      <c r="FZC10" s="64"/>
      <c r="FZD10" s="4"/>
      <c r="FZE10" s="65"/>
      <c r="FZF10" s="4"/>
      <c r="FZG10" s="4"/>
      <c r="FZH10" s="4"/>
      <c r="FZK10" s="34"/>
      <c r="FZL10" s="34"/>
      <c r="FZN10" s="34"/>
      <c r="FZO10" s="72"/>
      <c r="FZP10" s="63"/>
      <c r="FZQ10" s="34"/>
      <c r="FZR10" s="64"/>
      <c r="FZS10" s="4"/>
      <c r="FZT10" s="65"/>
      <c r="FZU10" s="4"/>
      <c r="FZV10" s="4"/>
      <c r="FZW10" s="4"/>
      <c r="FZZ10" s="34"/>
      <c r="GAA10" s="34"/>
      <c r="GAC10" s="34"/>
      <c r="GAD10" s="72"/>
      <c r="GAE10" s="63"/>
      <c r="GAF10" s="34"/>
      <c r="GAG10" s="64"/>
      <c r="GAH10" s="4"/>
      <c r="GAI10" s="65"/>
      <c r="GAJ10" s="4"/>
      <c r="GAK10" s="4"/>
      <c r="GAL10" s="4"/>
      <c r="GAO10" s="34"/>
      <c r="GAP10" s="34"/>
      <c r="GAR10" s="34"/>
      <c r="GAS10" s="72"/>
      <c r="GAT10" s="63"/>
      <c r="GAU10" s="34"/>
      <c r="GAV10" s="64"/>
      <c r="GAW10" s="4"/>
      <c r="GAX10" s="65"/>
      <c r="GAY10" s="4"/>
      <c r="GAZ10" s="4"/>
      <c r="GBA10" s="4"/>
      <c r="GBD10" s="34"/>
      <c r="GBE10" s="34"/>
      <c r="GBG10" s="34"/>
      <c r="GBH10" s="72"/>
      <c r="GBI10" s="63"/>
      <c r="GBJ10" s="34"/>
      <c r="GBK10" s="64"/>
      <c r="GBL10" s="4"/>
      <c r="GBM10" s="65"/>
      <c r="GBN10" s="4"/>
      <c r="GBO10" s="4"/>
      <c r="GBP10" s="4"/>
      <c r="GBS10" s="34"/>
      <c r="GBT10" s="34"/>
      <c r="GBV10" s="34"/>
      <c r="GBW10" s="72"/>
      <c r="GBX10" s="63"/>
      <c r="GBY10" s="34"/>
      <c r="GBZ10" s="64"/>
      <c r="GCA10" s="4"/>
      <c r="GCB10" s="65"/>
      <c r="GCC10" s="4"/>
      <c r="GCD10" s="4"/>
      <c r="GCE10" s="4"/>
      <c r="GCH10" s="34"/>
      <c r="GCI10" s="34"/>
      <c r="GCK10" s="34"/>
      <c r="GCL10" s="72"/>
      <c r="GCM10" s="63"/>
      <c r="GCN10" s="34"/>
      <c r="GCO10" s="64"/>
      <c r="GCP10" s="4"/>
      <c r="GCQ10" s="65"/>
      <c r="GCR10" s="4"/>
      <c r="GCS10" s="4"/>
      <c r="GCT10" s="4"/>
      <c r="GCW10" s="34"/>
      <c r="GCX10" s="34"/>
      <c r="GCZ10" s="34"/>
      <c r="GDA10" s="72"/>
      <c r="GDB10" s="63"/>
      <c r="GDC10" s="34"/>
      <c r="GDD10" s="64"/>
      <c r="GDE10" s="4"/>
      <c r="GDF10" s="65"/>
      <c r="GDG10" s="4"/>
      <c r="GDH10" s="4"/>
      <c r="GDI10" s="4"/>
      <c r="GDL10" s="34"/>
      <c r="GDM10" s="34"/>
      <c r="GDO10" s="34"/>
      <c r="GDP10" s="72"/>
      <c r="GDQ10" s="63"/>
      <c r="GDR10" s="34"/>
      <c r="GDS10" s="64"/>
      <c r="GDT10" s="4"/>
      <c r="GDU10" s="65"/>
      <c r="GDV10" s="4"/>
      <c r="GDW10" s="4"/>
      <c r="GDX10" s="4"/>
      <c r="GEA10" s="34"/>
      <c r="GEB10" s="34"/>
      <c r="GED10" s="34"/>
      <c r="GEE10" s="72"/>
      <c r="GEF10" s="63"/>
      <c r="GEG10" s="34"/>
      <c r="GEH10" s="64"/>
      <c r="GEI10" s="4"/>
      <c r="GEJ10" s="65"/>
      <c r="GEK10" s="4"/>
      <c r="GEL10" s="4"/>
      <c r="GEM10" s="4"/>
      <c r="GEP10" s="34"/>
      <c r="GEQ10" s="34"/>
      <c r="GES10" s="34"/>
      <c r="GET10" s="72"/>
      <c r="GEU10" s="63"/>
      <c r="GEV10" s="34"/>
      <c r="GEW10" s="64"/>
      <c r="GEX10" s="4"/>
      <c r="GEY10" s="65"/>
      <c r="GEZ10" s="4"/>
      <c r="GFA10" s="4"/>
      <c r="GFB10" s="4"/>
      <c r="GFE10" s="34"/>
      <c r="GFF10" s="34"/>
      <c r="GFH10" s="34"/>
      <c r="GFI10" s="72"/>
      <c r="GFJ10" s="63"/>
      <c r="GFK10" s="34"/>
      <c r="GFL10" s="64"/>
      <c r="GFM10" s="4"/>
      <c r="GFN10" s="65"/>
      <c r="GFO10" s="4"/>
      <c r="GFP10" s="4"/>
      <c r="GFQ10" s="4"/>
      <c r="GFT10" s="34"/>
      <c r="GFU10" s="34"/>
      <c r="GFW10" s="34"/>
      <c r="GFX10" s="72"/>
      <c r="GFY10" s="63"/>
      <c r="GFZ10" s="34"/>
      <c r="GGA10" s="64"/>
      <c r="GGB10" s="4"/>
      <c r="GGC10" s="65"/>
      <c r="GGD10" s="4"/>
      <c r="GGE10" s="4"/>
      <c r="GGF10" s="4"/>
      <c r="GGI10" s="34"/>
      <c r="GGJ10" s="34"/>
      <c r="GGL10" s="34"/>
      <c r="GGM10" s="72"/>
      <c r="GGN10" s="63"/>
      <c r="GGO10" s="34"/>
      <c r="GGP10" s="64"/>
      <c r="GGQ10" s="4"/>
      <c r="GGR10" s="65"/>
      <c r="GGS10" s="4"/>
      <c r="GGT10" s="4"/>
      <c r="GGU10" s="4"/>
      <c r="GGX10" s="34"/>
      <c r="GGY10" s="34"/>
      <c r="GHA10" s="34"/>
      <c r="GHB10" s="72"/>
      <c r="GHC10" s="63"/>
      <c r="GHD10" s="34"/>
      <c r="GHE10" s="64"/>
      <c r="GHF10" s="4"/>
      <c r="GHG10" s="65"/>
      <c r="GHH10" s="4"/>
      <c r="GHI10" s="4"/>
      <c r="GHJ10" s="4"/>
      <c r="GHM10" s="34"/>
      <c r="GHN10" s="34"/>
      <c r="GHP10" s="34"/>
      <c r="GHQ10" s="72"/>
      <c r="GHR10" s="63"/>
      <c r="GHS10" s="34"/>
      <c r="GHT10" s="64"/>
      <c r="GHU10" s="4"/>
      <c r="GHV10" s="65"/>
      <c r="GHW10" s="4"/>
      <c r="GHX10" s="4"/>
      <c r="GHY10" s="4"/>
      <c r="GIB10" s="34"/>
      <c r="GIC10" s="34"/>
      <c r="GIE10" s="34"/>
      <c r="GIF10" s="72"/>
      <c r="GIG10" s="63"/>
      <c r="GIH10" s="34"/>
      <c r="GII10" s="64"/>
      <c r="GIJ10" s="4"/>
      <c r="GIK10" s="65"/>
      <c r="GIL10" s="4"/>
      <c r="GIM10" s="4"/>
      <c r="GIN10" s="4"/>
      <c r="GIQ10" s="34"/>
      <c r="GIR10" s="34"/>
      <c r="GIT10" s="34"/>
      <c r="GIU10" s="72"/>
      <c r="GIV10" s="63"/>
      <c r="GIW10" s="34"/>
      <c r="GIX10" s="64"/>
      <c r="GIY10" s="4"/>
      <c r="GIZ10" s="65"/>
      <c r="GJA10" s="4"/>
      <c r="GJB10" s="4"/>
      <c r="GJC10" s="4"/>
      <c r="GJF10" s="34"/>
      <c r="GJG10" s="34"/>
      <c r="GJI10" s="34"/>
      <c r="GJJ10" s="72"/>
      <c r="GJK10" s="63"/>
      <c r="GJL10" s="34"/>
      <c r="GJM10" s="64"/>
      <c r="GJN10" s="4"/>
      <c r="GJO10" s="65"/>
      <c r="GJP10" s="4"/>
      <c r="GJQ10" s="4"/>
      <c r="GJR10" s="4"/>
      <c r="GJU10" s="34"/>
      <c r="GJV10" s="34"/>
      <c r="GJX10" s="34"/>
      <c r="GJY10" s="72"/>
      <c r="GJZ10" s="63"/>
      <c r="GKA10" s="34"/>
      <c r="GKB10" s="64"/>
      <c r="GKC10" s="4"/>
      <c r="GKD10" s="65"/>
      <c r="GKE10" s="4"/>
      <c r="GKF10" s="4"/>
      <c r="GKG10" s="4"/>
      <c r="GKJ10" s="34"/>
      <c r="GKK10" s="34"/>
      <c r="GKM10" s="34"/>
      <c r="GKN10" s="72"/>
      <c r="GKO10" s="63"/>
      <c r="GKP10" s="34"/>
      <c r="GKQ10" s="64"/>
      <c r="GKR10" s="4"/>
      <c r="GKS10" s="65"/>
      <c r="GKT10" s="4"/>
      <c r="GKU10" s="4"/>
      <c r="GKV10" s="4"/>
      <c r="GKY10" s="34"/>
      <c r="GKZ10" s="34"/>
      <c r="GLB10" s="34"/>
      <c r="GLC10" s="72"/>
      <c r="GLD10" s="63"/>
      <c r="GLE10" s="34"/>
      <c r="GLF10" s="64"/>
      <c r="GLG10" s="4"/>
      <c r="GLH10" s="65"/>
      <c r="GLI10" s="4"/>
      <c r="GLJ10" s="4"/>
      <c r="GLK10" s="4"/>
      <c r="GLN10" s="34"/>
      <c r="GLO10" s="34"/>
      <c r="GLQ10" s="34"/>
      <c r="GLR10" s="72"/>
      <c r="GLS10" s="63"/>
      <c r="GLT10" s="34"/>
      <c r="GLU10" s="64"/>
      <c r="GLV10" s="4"/>
      <c r="GLW10" s="65"/>
      <c r="GLX10" s="4"/>
      <c r="GLY10" s="4"/>
      <c r="GLZ10" s="4"/>
      <c r="GMC10" s="34"/>
      <c r="GMD10" s="34"/>
      <c r="GMF10" s="34"/>
      <c r="GMG10" s="72"/>
      <c r="GMH10" s="63"/>
      <c r="GMI10" s="34"/>
      <c r="GMJ10" s="64"/>
      <c r="GMK10" s="4"/>
      <c r="GML10" s="65"/>
      <c r="GMM10" s="4"/>
      <c r="GMN10" s="4"/>
      <c r="GMO10" s="4"/>
      <c r="GMR10" s="34"/>
      <c r="GMS10" s="34"/>
      <c r="GMU10" s="34"/>
      <c r="GMV10" s="72"/>
      <c r="GMW10" s="63"/>
      <c r="GMX10" s="34"/>
      <c r="GMY10" s="64"/>
      <c r="GMZ10" s="4"/>
      <c r="GNA10" s="65"/>
      <c r="GNB10" s="4"/>
      <c r="GNC10" s="4"/>
      <c r="GND10" s="4"/>
      <c r="GNG10" s="34"/>
      <c r="GNH10" s="34"/>
      <c r="GNJ10" s="34"/>
      <c r="GNK10" s="72"/>
      <c r="GNL10" s="63"/>
      <c r="GNM10" s="34"/>
      <c r="GNN10" s="64"/>
      <c r="GNO10" s="4"/>
      <c r="GNP10" s="65"/>
      <c r="GNQ10" s="4"/>
      <c r="GNR10" s="4"/>
      <c r="GNS10" s="4"/>
      <c r="GNV10" s="34"/>
      <c r="GNW10" s="34"/>
      <c r="GNY10" s="34"/>
      <c r="GNZ10" s="72"/>
      <c r="GOA10" s="63"/>
      <c r="GOB10" s="34"/>
      <c r="GOC10" s="64"/>
      <c r="GOD10" s="4"/>
      <c r="GOE10" s="65"/>
      <c r="GOF10" s="4"/>
      <c r="GOG10" s="4"/>
      <c r="GOH10" s="4"/>
      <c r="GOK10" s="34"/>
      <c r="GOL10" s="34"/>
      <c r="GON10" s="34"/>
      <c r="GOO10" s="72"/>
      <c r="GOP10" s="63"/>
      <c r="GOQ10" s="34"/>
      <c r="GOR10" s="64"/>
      <c r="GOS10" s="4"/>
      <c r="GOT10" s="65"/>
      <c r="GOU10" s="4"/>
      <c r="GOV10" s="4"/>
      <c r="GOW10" s="4"/>
      <c r="GOZ10" s="34"/>
      <c r="GPA10" s="34"/>
      <c r="GPC10" s="34"/>
      <c r="GPD10" s="72"/>
      <c r="GPE10" s="63"/>
      <c r="GPF10" s="34"/>
      <c r="GPG10" s="64"/>
      <c r="GPH10" s="4"/>
      <c r="GPI10" s="65"/>
      <c r="GPJ10" s="4"/>
      <c r="GPK10" s="4"/>
      <c r="GPL10" s="4"/>
      <c r="GPO10" s="34"/>
      <c r="GPP10" s="34"/>
      <c r="GPR10" s="34"/>
      <c r="GPS10" s="72"/>
      <c r="GPT10" s="63"/>
      <c r="GPU10" s="34"/>
      <c r="GPV10" s="64"/>
      <c r="GPW10" s="4"/>
      <c r="GPX10" s="65"/>
      <c r="GPY10" s="4"/>
      <c r="GPZ10" s="4"/>
      <c r="GQA10" s="4"/>
      <c r="GQD10" s="34"/>
      <c r="GQE10" s="34"/>
      <c r="GQG10" s="34"/>
      <c r="GQH10" s="72"/>
      <c r="GQI10" s="63"/>
      <c r="GQJ10" s="34"/>
      <c r="GQK10" s="64"/>
      <c r="GQL10" s="4"/>
      <c r="GQM10" s="65"/>
      <c r="GQN10" s="4"/>
      <c r="GQO10" s="4"/>
      <c r="GQP10" s="4"/>
      <c r="GQS10" s="34"/>
      <c r="GQT10" s="34"/>
      <c r="GQV10" s="34"/>
      <c r="GQW10" s="72"/>
      <c r="GQX10" s="63"/>
      <c r="GQY10" s="34"/>
      <c r="GQZ10" s="64"/>
      <c r="GRA10" s="4"/>
      <c r="GRB10" s="65"/>
      <c r="GRC10" s="4"/>
      <c r="GRD10" s="4"/>
      <c r="GRE10" s="4"/>
      <c r="GRH10" s="34"/>
      <c r="GRI10" s="34"/>
      <c r="GRK10" s="34"/>
      <c r="GRL10" s="72"/>
      <c r="GRM10" s="63"/>
      <c r="GRN10" s="34"/>
      <c r="GRO10" s="64"/>
      <c r="GRP10" s="4"/>
      <c r="GRQ10" s="65"/>
      <c r="GRR10" s="4"/>
      <c r="GRS10" s="4"/>
      <c r="GRT10" s="4"/>
      <c r="GRW10" s="34"/>
      <c r="GRX10" s="34"/>
      <c r="GRZ10" s="34"/>
      <c r="GSA10" s="72"/>
      <c r="GSB10" s="63"/>
      <c r="GSC10" s="34"/>
      <c r="GSD10" s="64"/>
      <c r="GSE10" s="4"/>
      <c r="GSF10" s="65"/>
      <c r="GSG10" s="4"/>
      <c r="GSH10" s="4"/>
      <c r="GSI10" s="4"/>
      <c r="GSL10" s="34"/>
      <c r="GSM10" s="34"/>
      <c r="GSO10" s="34"/>
      <c r="GSP10" s="72"/>
      <c r="GSQ10" s="63"/>
      <c r="GSR10" s="34"/>
      <c r="GSS10" s="64"/>
      <c r="GST10" s="4"/>
      <c r="GSU10" s="65"/>
      <c r="GSV10" s="4"/>
      <c r="GSW10" s="4"/>
      <c r="GSX10" s="4"/>
      <c r="GTA10" s="34"/>
      <c r="GTB10" s="34"/>
      <c r="GTD10" s="34"/>
      <c r="GTE10" s="72"/>
      <c r="GTF10" s="63"/>
      <c r="GTG10" s="34"/>
      <c r="GTH10" s="64"/>
      <c r="GTI10" s="4"/>
      <c r="GTJ10" s="65"/>
      <c r="GTK10" s="4"/>
      <c r="GTL10" s="4"/>
      <c r="GTM10" s="4"/>
      <c r="GTP10" s="34"/>
      <c r="GTQ10" s="34"/>
      <c r="GTS10" s="34"/>
      <c r="GTT10" s="72"/>
      <c r="GTU10" s="63"/>
      <c r="GTV10" s="34"/>
      <c r="GTW10" s="64"/>
      <c r="GTX10" s="4"/>
      <c r="GTY10" s="65"/>
      <c r="GTZ10" s="4"/>
      <c r="GUA10" s="4"/>
      <c r="GUB10" s="4"/>
      <c r="GUE10" s="34"/>
      <c r="GUF10" s="34"/>
      <c r="GUH10" s="34"/>
      <c r="GUI10" s="72"/>
      <c r="GUJ10" s="63"/>
      <c r="GUK10" s="34"/>
      <c r="GUL10" s="64"/>
      <c r="GUM10" s="4"/>
      <c r="GUN10" s="65"/>
      <c r="GUO10" s="4"/>
      <c r="GUP10" s="4"/>
      <c r="GUQ10" s="4"/>
      <c r="GUT10" s="34"/>
      <c r="GUU10" s="34"/>
      <c r="GUW10" s="34"/>
      <c r="GUX10" s="72"/>
      <c r="GUY10" s="63"/>
      <c r="GUZ10" s="34"/>
      <c r="GVA10" s="64"/>
      <c r="GVB10" s="4"/>
      <c r="GVC10" s="65"/>
      <c r="GVD10" s="4"/>
      <c r="GVE10" s="4"/>
      <c r="GVF10" s="4"/>
      <c r="GVI10" s="34"/>
      <c r="GVJ10" s="34"/>
      <c r="GVL10" s="34"/>
      <c r="GVM10" s="72"/>
      <c r="GVN10" s="63"/>
      <c r="GVO10" s="34"/>
      <c r="GVP10" s="64"/>
      <c r="GVQ10" s="4"/>
      <c r="GVR10" s="65"/>
      <c r="GVS10" s="4"/>
      <c r="GVT10" s="4"/>
      <c r="GVU10" s="4"/>
      <c r="GVX10" s="34"/>
      <c r="GVY10" s="34"/>
      <c r="GWA10" s="34"/>
      <c r="GWB10" s="72"/>
      <c r="GWC10" s="63"/>
      <c r="GWD10" s="34"/>
      <c r="GWE10" s="64"/>
      <c r="GWF10" s="4"/>
      <c r="GWG10" s="65"/>
      <c r="GWH10" s="4"/>
      <c r="GWI10" s="4"/>
      <c r="GWJ10" s="4"/>
      <c r="GWM10" s="34"/>
      <c r="GWN10" s="34"/>
      <c r="GWP10" s="34"/>
      <c r="GWQ10" s="72"/>
      <c r="GWR10" s="63"/>
      <c r="GWS10" s="34"/>
      <c r="GWT10" s="64"/>
      <c r="GWU10" s="4"/>
      <c r="GWV10" s="65"/>
      <c r="GWW10" s="4"/>
      <c r="GWX10" s="4"/>
      <c r="GWY10" s="4"/>
      <c r="GXB10" s="34"/>
      <c r="GXC10" s="34"/>
      <c r="GXE10" s="34"/>
      <c r="GXF10" s="72"/>
      <c r="GXG10" s="63"/>
      <c r="GXH10" s="34"/>
      <c r="GXI10" s="64"/>
      <c r="GXJ10" s="4"/>
      <c r="GXK10" s="65"/>
      <c r="GXL10" s="4"/>
      <c r="GXM10" s="4"/>
      <c r="GXN10" s="4"/>
      <c r="GXQ10" s="34"/>
      <c r="GXR10" s="34"/>
      <c r="GXT10" s="34"/>
      <c r="GXU10" s="72"/>
      <c r="GXV10" s="63"/>
      <c r="GXW10" s="34"/>
      <c r="GXX10" s="64"/>
      <c r="GXY10" s="4"/>
      <c r="GXZ10" s="65"/>
      <c r="GYA10" s="4"/>
      <c r="GYB10" s="4"/>
      <c r="GYC10" s="4"/>
      <c r="GYF10" s="34"/>
      <c r="GYG10" s="34"/>
      <c r="GYI10" s="34"/>
      <c r="GYJ10" s="72"/>
      <c r="GYK10" s="63"/>
      <c r="GYL10" s="34"/>
      <c r="GYM10" s="64"/>
      <c r="GYN10" s="4"/>
      <c r="GYO10" s="65"/>
      <c r="GYP10" s="4"/>
      <c r="GYQ10" s="4"/>
      <c r="GYR10" s="4"/>
      <c r="GYU10" s="34"/>
      <c r="GYV10" s="34"/>
      <c r="GYX10" s="34"/>
      <c r="GYY10" s="72"/>
      <c r="GYZ10" s="63"/>
      <c r="GZA10" s="34"/>
      <c r="GZB10" s="64"/>
      <c r="GZC10" s="4"/>
      <c r="GZD10" s="65"/>
      <c r="GZE10" s="4"/>
      <c r="GZF10" s="4"/>
      <c r="GZG10" s="4"/>
      <c r="GZJ10" s="34"/>
      <c r="GZK10" s="34"/>
      <c r="GZM10" s="34"/>
      <c r="GZN10" s="72"/>
      <c r="GZO10" s="63"/>
      <c r="GZP10" s="34"/>
      <c r="GZQ10" s="64"/>
      <c r="GZR10" s="4"/>
      <c r="GZS10" s="65"/>
      <c r="GZT10" s="4"/>
      <c r="GZU10" s="4"/>
      <c r="GZV10" s="4"/>
      <c r="GZY10" s="34"/>
      <c r="GZZ10" s="34"/>
      <c r="HAB10" s="34"/>
      <c r="HAC10" s="72"/>
      <c r="HAD10" s="63"/>
      <c r="HAE10" s="34"/>
      <c r="HAF10" s="64"/>
      <c r="HAG10" s="4"/>
      <c r="HAH10" s="65"/>
      <c r="HAI10" s="4"/>
      <c r="HAJ10" s="4"/>
      <c r="HAK10" s="4"/>
      <c r="HAN10" s="34"/>
      <c r="HAO10" s="34"/>
      <c r="HAQ10" s="34"/>
      <c r="HAR10" s="72"/>
      <c r="HAS10" s="63"/>
      <c r="HAT10" s="34"/>
      <c r="HAU10" s="64"/>
      <c r="HAV10" s="4"/>
      <c r="HAW10" s="65"/>
      <c r="HAX10" s="4"/>
      <c r="HAY10" s="4"/>
      <c r="HAZ10" s="4"/>
      <c r="HBC10" s="34"/>
      <c r="HBD10" s="34"/>
      <c r="HBF10" s="34"/>
      <c r="HBG10" s="72"/>
      <c r="HBH10" s="63"/>
      <c r="HBI10" s="34"/>
      <c r="HBJ10" s="64"/>
      <c r="HBK10" s="4"/>
      <c r="HBL10" s="65"/>
      <c r="HBM10" s="4"/>
      <c r="HBN10" s="4"/>
      <c r="HBO10" s="4"/>
      <c r="HBR10" s="34"/>
      <c r="HBS10" s="34"/>
      <c r="HBU10" s="34"/>
      <c r="HBV10" s="72"/>
      <c r="HBW10" s="63"/>
      <c r="HBX10" s="34"/>
      <c r="HBY10" s="64"/>
      <c r="HBZ10" s="4"/>
      <c r="HCA10" s="65"/>
      <c r="HCB10" s="4"/>
      <c r="HCC10" s="4"/>
      <c r="HCD10" s="4"/>
      <c r="HCG10" s="34"/>
      <c r="HCH10" s="34"/>
      <c r="HCJ10" s="34"/>
      <c r="HCK10" s="72"/>
      <c r="HCL10" s="63"/>
      <c r="HCM10" s="34"/>
      <c r="HCN10" s="64"/>
      <c r="HCO10" s="4"/>
      <c r="HCP10" s="65"/>
      <c r="HCQ10" s="4"/>
      <c r="HCR10" s="4"/>
      <c r="HCS10" s="4"/>
      <c r="HCV10" s="34"/>
      <c r="HCW10" s="34"/>
      <c r="HCY10" s="34"/>
      <c r="HCZ10" s="72"/>
      <c r="HDA10" s="63"/>
      <c r="HDB10" s="34"/>
      <c r="HDC10" s="64"/>
      <c r="HDD10" s="4"/>
      <c r="HDE10" s="65"/>
      <c r="HDF10" s="4"/>
      <c r="HDG10" s="4"/>
      <c r="HDH10" s="4"/>
      <c r="HDK10" s="34"/>
      <c r="HDL10" s="34"/>
      <c r="HDN10" s="34"/>
      <c r="HDO10" s="72"/>
      <c r="HDP10" s="63"/>
      <c r="HDQ10" s="34"/>
      <c r="HDR10" s="64"/>
      <c r="HDS10" s="4"/>
      <c r="HDT10" s="65"/>
      <c r="HDU10" s="4"/>
      <c r="HDV10" s="4"/>
      <c r="HDW10" s="4"/>
      <c r="HDZ10" s="34"/>
      <c r="HEA10" s="34"/>
      <c r="HEC10" s="34"/>
      <c r="HED10" s="72"/>
      <c r="HEE10" s="63"/>
      <c r="HEF10" s="34"/>
      <c r="HEG10" s="64"/>
      <c r="HEH10" s="4"/>
      <c r="HEI10" s="65"/>
      <c r="HEJ10" s="4"/>
      <c r="HEK10" s="4"/>
      <c r="HEL10" s="4"/>
      <c r="HEO10" s="34"/>
      <c r="HEP10" s="34"/>
      <c r="HER10" s="34"/>
      <c r="HES10" s="72"/>
      <c r="HET10" s="63"/>
      <c r="HEU10" s="34"/>
      <c r="HEV10" s="64"/>
      <c r="HEW10" s="4"/>
      <c r="HEX10" s="65"/>
      <c r="HEY10" s="4"/>
      <c r="HEZ10" s="4"/>
      <c r="HFA10" s="4"/>
      <c r="HFD10" s="34"/>
      <c r="HFE10" s="34"/>
      <c r="HFG10" s="34"/>
      <c r="HFH10" s="72"/>
      <c r="HFI10" s="63"/>
      <c r="HFJ10" s="34"/>
      <c r="HFK10" s="64"/>
      <c r="HFL10" s="4"/>
      <c r="HFM10" s="65"/>
      <c r="HFN10" s="4"/>
      <c r="HFO10" s="4"/>
      <c r="HFP10" s="4"/>
      <c r="HFS10" s="34"/>
      <c r="HFT10" s="34"/>
      <c r="HFV10" s="34"/>
      <c r="HFW10" s="72"/>
      <c r="HFX10" s="63"/>
      <c r="HFY10" s="34"/>
      <c r="HFZ10" s="64"/>
      <c r="HGA10" s="4"/>
      <c r="HGB10" s="65"/>
      <c r="HGC10" s="4"/>
      <c r="HGD10" s="4"/>
      <c r="HGE10" s="4"/>
      <c r="HGH10" s="34"/>
      <c r="HGI10" s="34"/>
      <c r="HGK10" s="34"/>
      <c r="HGL10" s="72"/>
      <c r="HGM10" s="63"/>
      <c r="HGN10" s="34"/>
      <c r="HGO10" s="64"/>
      <c r="HGP10" s="4"/>
      <c r="HGQ10" s="65"/>
      <c r="HGR10" s="4"/>
      <c r="HGS10" s="4"/>
      <c r="HGT10" s="4"/>
      <c r="HGW10" s="34"/>
      <c r="HGX10" s="34"/>
      <c r="HGZ10" s="34"/>
      <c r="HHA10" s="72"/>
      <c r="HHB10" s="63"/>
      <c r="HHC10" s="34"/>
      <c r="HHD10" s="64"/>
      <c r="HHE10" s="4"/>
      <c r="HHF10" s="65"/>
      <c r="HHG10" s="4"/>
      <c r="HHH10" s="4"/>
      <c r="HHI10" s="4"/>
      <c r="HHL10" s="34"/>
      <c r="HHM10" s="34"/>
      <c r="HHO10" s="34"/>
      <c r="HHP10" s="72"/>
      <c r="HHQ10" s="63"/>
      <c r="HHR10" s="34"/>
      <c r="HHS10" s="64"/>
      <c r="HHT10" s="4"/>
      <c r="HHU10" s="65"/>
      <c r="HHV10" s="4"/>
      <c r="HHW10" s="4"/>
      <c r="HHX10" s="4"/>
      <c r="HIA10" s="34"/>
      <c r="HIB10" s="34"/>
      <c r="HID10" s="34"/>
      <c r="HIE10" s="72"/>
      <c r="HIF10" s="63"/>
      <c r="HIG10" s="34"/>
      <c r="HIH10" s="64"/>
      <c r="HII10" s="4"/>
      <c r="HIJ10" s="65"/>
      <c r="HIK10" s="4"/>
      <c r="HIL10" s="4"/>
      <c r="HIM10" s="4"/>
      <c r="HIP10" s="34"/>
      <c r="HIQ10" s="34"/>
      <c r="HIS10" s="34"/>
      <c r="HIT10" s="72"/>
      <c r="HIU10" s="63"/>
      <c r="HIV10" s="34"/>
      <c r="HIW10" s="64"/>
      <c r="HIX10" s="4"/>
      <c r="HIY10" s="65"/>
      <c r="HIZ10" s="4"/>
      <c r="HJA10" s="4"/>
      <c r="HJB10" s="4"/>
      <c r="HJE10" s="34"/>
      <c r="HJF10" s="34"/>
      <c r="HJH10" s="34"/>
      <c r="HJI10" s="72"/>
      <c r="HJJ10" s="63"/>
      <c r="HJK10" s="34"/>
      <c r="HJL10" s="64"/>
      <c r="HJM10" s="4"/>
      <c r="HJN10" s="65"/>
      <c r="HJO10" s="4"/>
      <c r="HJP10" s="4"/>
      <c r="HJQ10" s="4"/>
      <c r="HJT10" s="34"/>
      <c r="HJU10" s="34"/>
      <c r="HJW10" s="34"/>
      <c r="HJX10" s="72"/>
      <c r="HJY10" s="63"/>
      <c r="HJZ10" s="34"/>
      <c r="HKA10" s="64"/>
      <c r="HKB10" s="4"/>
      <c r="HKC10" s="65"/>
      <c r="HKD10" s="4"/>
      <c r="HKE10" s="4"/>
      <c r="HKF10" s="4"/>
      <c r="HKI10" s="34"/>
      <c r="HKJ10" s="34"/>
      <c r="HKL10" s="34"/>
      <c r="HKM10" s="72"/>
      <c r="HKN10" s="63"/>
      <c r="HKO10" s="34"/>
      <c r="HKP10" s="64"/>
      <c r="HKQ10" s="4"/>
      <c r="HKR10" s="65"/>
      <c r="HKS10" s="4"/>
      <c r="HKT10" s="4"/>
      <c r="HKU10" s="4"/>
      <c r="HKX10" s="34"/>
      <c r="HKY10" s="34"/>
      <c r="HLA10" s="34"/>
      <c r="HLB10" s="72"/>
      <c r="HLC10" s="63"/>
      <c r="HLD10" s="34"/>
      <c r="HLE10" s="64"/>
      <c r="HLF10" s="4"/>
      <c r="HLG10" s="65"/>
      <c r="HLH10" s="4"/>
      <c r="HLI10" s="4"/>
      <c r="HLJ10" s="4"/>
      <c r="HLM10" s="34"/>
      <c r="HLN10" s="34"/>
      <c r="HLP10" s="34"/>
      <c r="HLQ10" s="72"/>
      <c r="HLR10" s="63"/>
      <c r="HLS10" s="34"/>
      <c r="HLT10" s="64"/>
      <c r="HLU10" s="4"/>
      <c r="HLV10" s="65"/>
      <c r="HLW10" s="4"/>
      <c r="HLX10" s="4"/>
      <c r="HLY10" s="4"/>
      <c r="HMB10" s="34"/>
      <c r="HMC10" s="34"/>
      <c r="HME10" s="34"/>
      <c r="HMF10" s="72"/>
      <c r="HMG10" s="63"/>
      <c r="HMH10" s="34"/>
      <c r="HMI10" s="64"/>
      <c r="HMJ10" s="4"/>
      <c r="HMK10" s="65"/>
      <c r="HML10" s="4"/>
      <c r="HMM10" s="4"/>
      <c r="HMN10" s="4"/>
      <c r="HMQ10" s="34"/>
      <c r="HMR10" s="34"/>
      <c r="HMT10" s="34"/>
      <c r="HMU10" s="72"/>
      <c r="HMV10" s="63"/>
      <c r="HMW10" s="34"/>
      <c r="HMX10" s="64"/>
      <c r="HMY10" s="4"/>
      <c r="HMZ10" s="65"/>
      <c r="HNA10" s="4"/>
      <c r="HNB10" s="4"/>
      <c r="HNC10" s="4"/>
      <c r="HNF10" s="34"/>
      <c r="HNG10" s="34"/>
      <c r="HNI10" s="34"/>
      <c r="HNJ10" s="72"/>
      <c r="HNK10" s="63"/>
      <c r="HNL10" s="34"/>
      <c r="HNM10" s="64"/>
      <c r="HNN10" s="4"/>
      <c r="HNO10" s="65"/>
      <c r="HNP10" s="4"/>
      <c r="HNQ10" s="4"/>
      <c r="HNR10" s="4"/>
      <c r="HNU10" s="34"/>
      <c r="HNV10" s="34"/>
      <c r="HNX10" s="34"/>
      <c r="HNY10" s="72"/>
      <c r="HNZ10" s="63"/>
      <c r="HOA10" s="34"/>
      <c r="HOB10" s="64"/>
      <c r="HOC10" s="4"/>
      <c r="HOD10" s="65"/>
      <c r="HOE10" s="4"/>
      <c r="HOF10" s="4"/>
      <c r="HOG10" s="4"/>
      <c r="HOJ10" s="34"/>
      <c r="HOK10" s="34"/>
      <c r="HOM10" s="34"/>
      <c r="HON10" s="72"/>
      <c r="HOO10" s="63"/>
      <c r="HOP10" s="34"/>
      <c r="HOQ10" s="64"/>
      <c r="HOR10" s="4"/>
      <c r="HOS10" s="65"/>
      <c r="HOT10" s="4"/>
      <c r="HOU10" s="4"/>
      <c r="HOV10" s="4"/>
      <c r="HOY10" s="34"/>
      <c r="HOZ10" s="34"/>
      <c r="HPB10" s="34"/>
      <c r="HPC10" s="72"/>
      <c r="HPD10" s="63"/>
      <c r="HPE10" s="34"/>
      <c r="HPF10" s="64"/>
      <c r="HPG10" s="4"/>
      <c r="HPH10" s="65"/>
      <c r="HPI10" s="4"/>
      <c r="HPJ10" s="4"/>
      <c r="HPK10" s="4"/>
      <c r="HPN10" s="34"/>
      <c r="HPO10" s="34"/>
      <c r="HPQ10" s="34"/>
      <c r="HPR10" s="72"/>
      <c r="HPS10" s="63"/>
      <c r="HPT10" s="34"/>
      <c r="HPU10" s="64"/>
      <c r="HPV10" s="4"/>
      <c r="HPW10" s="65"/>
      <c r="HPX10" s="4"/>
      <c r="HPY10" s="4"/>
      <c r="HPZ10" s="4"/>
      <c r="HQC10" s="34"/>
      <c r="HQD10" s="34"/>
      <c r="HQF10" s="34"/>
      <c r="HQG10" s="72"/>
      <c r="HQH10" s="63"/>
      <c r="HQI10" s="34"/>
      <c r="HQJ10" s="64"/>
      <c r="HQK10" s="4"/>
      <c r="HQL10" s="65"/>
      <c r="HQM10" s="4"/>
      <c r="HQN10" s="4"/>
      <c r="HQO10" s="4"/>
      <c r="HQR10" s="34"/>
      <c r="HQS10" s="34"/>
      <c r="HQU10" s="34"/>
      <c r="HQV10" s="72"/>
      <c r="HQW10" s="63"/>
      <c r="HQX10" s="34"/>
      <c r="HQY10" s="64"/>
      <c r="HQZ10" s="4"/>
      <c r="HRA10" s="65"/>
      <c r="HRB10" s="4"/>
      <c r="HRC10" s="4"/>
      <c r="HRD10" s="4"/>
      <c r="HRG10" s="34"/>
      <c r="HRH10" s="34"/>
      <c r="HRJ10" s="34"/>
      <c r="HRK10" s="72"/>
      <c r="HRL10" s="63"/>
      <c r="HRM10" s="34"/>
      <c r="HRN10" s="64"/>
      <c r="HRO10" s="4"/>
      <c r="HRP10" s="65"/>
      <c r="HRQ10" s="4"/>
      <c r="HRR10" s="4"/>
      <c r="HRS10" s="4"/>
      <c r="HRV10" s="34"/>
      <c r="HRW10" s="34"/>
      <c r="HRY10" s="34"/>
      <c r="HRZ10" s="72"/>
      <c r="HSA10" s="63"/>
      <c r="HSB10" s="34"/>
      <c r="HSC10" s="64"/>
      <c r="HSD10" s="4"/>
      <c r="HSE10" s="65"/>
      <c r="HSF10" s="4"/>
      <c r="HSG10" s="4"/>
      <c r="HSH10" s="4"/>
      <c r="HSK10" s="34"/>
      <c r="HSL10" s="34"/>
      <c r="HSN10" s="34"/>
      <c r="HSO10" s="72"/>
      <c r="HSP10" s="63"/>
      <c r="HSQ10" s="34"/>
      <c r="HSR10" s="64"/>
      <c r="HSS10" s="4"/>
      <c r="HST10" s="65"/>
      <c r="HSU10" s="4"/>
      <c r="HSV10" s="4"/>
      <c r="HSW10" s="4"/>
      <c r="HSZ10" s="34"/>
      <c r="HTA10" s="34"/>
      <c r="HTC10" s="34"/>
      <c r="HTD10" s="72"/>
      <c r="HTE10" s="63"/>
      <c r="HTF10" s="34"/>
      <c r="HTG10" s="64"/>
      <c r="HTH10" s="4"/>
      <c r="HTI10" s="65"/>
      <c r="HTJ10" s="4"/>
      <c r="HTK10" s="4"/>
      <c r="HTL10" s="4"/>
      <c r="HTO10" s="34"/>
      <c r="HTP10" s="34"/>
      <c r="HTR10" s="34"/>
      <c r="HTS10" s="72"/>
      <c r="HTT10" s="63"/>
      <c r="HTU10" s="34"/>
      <c r="HTV10" s="64"/>
      <c r="HTW10" s="4"/>
      <c r="HTX10" s="65"/>
      <c r="HTY10" s="4"/>
      <c r="HTZ10" s="4"/>
      <c r="HUA10" s="4"/>
      <c r="HUD10" s="34"/>
      <c r="HUE10" s="34"/>
      <c r="HUG10" s="34"/>
      <c r="HUH10" s="72"/>
      <c r="HUI10" s="63"/>
      <c r="HUJ10" s="34"/>
      <c r="HUK10" s="64"/>
      <c r="HUL10" s="4"/>
      <c r="HUM10" s="65"/>
      <c r="HUN10" s="4"/>
      <c r="HUO10" s="4"/>
      <c r="HUP10" s="4"/>
      <c r="HUS10" s="34"/>
      <c r="HUT10" s="34"/>
      <c r="HUV10" s="34"/>
      <c r="HUW10" s="72"/>
      <c r="HUX10" s="63"/>
      <c r="HUY10" s="34"/>
      <c r="HUZ10" s="64"/>
      <c r="HVA10" s="4"/>
      <c r="HVB10" s="65"/>
      <c r="HVC10" s="4"/>
      <c r="HVD10" s="4"/>
      <c r="HVE10" s="4"/>
      <c r="HVH10" s="34"/>
      <c r="HVI10" s="34"/>
      <c r="HVK10" s="34"/>
      <c r="HVL10" s="72"/>
      <c r="HVM10" s="63"/>
      <c r="HVN10" s="34"/>
      <c r="HVO10" s="64"/>
      <c r="HVP10" s="4"/>
      <c r="HVQ10" s="65"/>
      <c r="HVR10" s="4"/>
      <c r="HVS10" s="4"/>
      <c r="HVT10" s="4"/>
      <c r="HVW10" s="34"/>
      <c r="HVX10" s="34"/>
      <c r="HVZ10" s="34"/>
      <c r="HWA10" s="72"/>
      <c r="HWB10" s="63"/>
      <c r="HWC10" s="34"/>
      <c r="HWD10" s="64"/>
      <c r="HWE10" s="4"/>
      <c r="HWF10" s="65"/>
      <c r="HWG10" s="4"/>
      <c r="HWH10" s="4"/>
      <c r="HWI10" s="4"/>
      <c r="HWL10" s="34"/>
      <c r="HWM10" s="34"/>
      <c r="HWO10" s="34"/>
      <c r="HWP10" s="72"/>
      <c r="HWQ10" s="63"/>
      <c r="HWR10" s="34"/>
      <c r="HWS10" s="64"/>
      <c r="HWT10" s="4"/>
      <c r="HWU10" s="65"/>
      <c r="HWV10" s="4"/>
      <c r="HWW10" s="4"/>
      <c r="HWX10" s="4"/>
      <c r="HXA10" s="34"/>
      <c r="HXB10" s="34"/>
      <c r="HXD10" s="34"/>
      <c r="HXE10" s="72"/>
      <c r="HXF10" s="63"/>
      <c r="HXG10" s="34"/>
      <c r="HXH10" s="64"/>
      <c r="HXI10" s="4"/>
      <c r="HXJ10" s="65"/>
      <c r="HXK10" s="4"/>
      <c r="HXL10" s="4"/>
      <c r="HXM10" s="4"/>
      <c r="HXP10" s="34"/>
      <c r="HXQ10" s="34"/>
      <c r="HXS10" s="34"/>
      <c r="HXT10" s="72"/>
      <c r="HXU10" s="63"/>
      <c r="HXV10" s="34"/>
      <c r="HXW10" s="64"/>
      <c r="HXX10" s="4"/>
      <c r="HXY10" s="65"/>
      <c r="HXZ10" s="4"/>
      <c r="HYA10" s="4"/>
      <c r="HYB10" s="4"/>
      <c r="HYE10" s="34"/>
      <c r="HYF10" s="34"/>
      <c r="HYH10" s="34"/>
      <c r="HYI10" s="72"/>
      <c r="HYJ10" s="63"/>
      <c r="HYK10" s="34"/>
      <c r="HYL10" s="64"/>
      <c r="HYM10" s="4"/>
      <c r="HYN10" s="65"/>
      <c r="HYO10" s="4"/>
      <c r="HYP10" s="4"/>
      <c r="HYQ10" s="4"/>
      <c r="HYT10" s="34"/>
      <c r="HYU10" s="34"/>
      <c r="HYW10" s="34"/>
      <c r="HYX10" s="72"/>
      <c r="HYY10" s="63"/>
      <c r="HYZ10" s="34"/>
      <c r="HZA10" s="64"/>
      <c r="HZB10" s="4"/>
      <c r="HZC10" s="65"/>
      <c r="HZD10" s="4"/>
      <c r="HZE10" s="4"/>
      <c r="HZF10" s="4"/>
      <c r="HZI10" s="34"/>
      <c r="HZJ10" s="34"/>
      <c r="HZL10" s="34"/>
      <c r="HZM10" s="72"/>
      <c r="HZN10" s="63"/>
      <c r="HZO10" s="34"/>
      <c r="HZP10" s="64"/>
      <c r="HZQ10" s="4"/>
      <c r="HZR10" s="65"/>
      <c r="HZS10" s="4"/>
      <c r="HZT10" s="4"/>
      <c r="HZU10" s="4"/>
      <c r="HZX10" s="34"/>
      <c r="HZY10" s="34"/>
      <c r="IAA10" s="34"/>
      <c r="IAB10" s="72"/>
      <c r="IAC10" s="63"/>
      <c r="IAD10" s="34"/>
      <c r="IAE10" s="64"/>
      <c r="IAF10" s="4"/>
      <c r="IAG10" s="65"/>
      <c r="IAH10" s="4"/>
      <c r="IAI10" s="4"/>
      <c r="IAJ10" s="4"/>
      <c r="IAM10" s="34"/>
      <c r="IAN10" s="34"/>
      <c r="IAP10" s="34"/>
      <c r="IAQ10" s="72"/>
      <c r="IAR10" s="63"/>
      <c r="IAS10" s="34"/>
      <c r="IAT10" s="64"/>
      <c r="IAU10" s="4"/>
      <c r="IAV10" s="65"/>
      <c r="IAW10" s="4"/>
      <c r="IAX10" s="4"/>
      <c r="IAY10" s="4"/>
      <c r="IBB10" s="34"/>
      <c r="IBC10" s="34"/>
      <c r="IBE10" s="34"/>
      <c r="IBF10" s="72"/>
      <c r="IBG10" s="63"/>
      <c r="IBH10" s="34"/>
      <c r="IBI10" s="64"/>
      <c r="IBJ10" s="4"/>
      <c r="IBK10" s="65"/>
      <c r="IBL10" s="4"/>
      <c r="IBM10" s="4"/>
      <c r="IBN10" s="4"/>
      <c r="IBQ10" s="34"/>
      <c r="IBR10" s="34"/>
      <c r="IBT10" s="34"/>
      <c r="IBU10" s="72"/>
      <c r="IBV10" s="63"/>
      <c r="IBW10" s="34"/>
      <c r="IBX10" s="64"/>
      <c r="IBY10" s="4"/>
      <c r="IBZ10" s="65"/>
      <c r="ICA10" s="4"/>
      <c r="ICB10" s="4"/>
      <c r="ICC10" s="4"/>
      <c r="ICF10" s="34"/>
      <c r="ICG10" s="34"/>
      <c r="ICI10" s="34"/>
      <c r="ICJ10" s="72"/>
      <c r="ICK10" s="63"/>
      <c r="ICL10" s="34"/>
      <c r="ICM10" s="64"/>
      <c r="ICN10" s="4"/>
      <c r="ICO10" s="65"/>
      <c r="ICP10" s="4"/>
      <c r="ICQ10" s="4"/>
      <c r="ICR10" s="4"/>
      <c r="ICU10" s="34"/>
      <c r="ICV10" s="34"/>
      <c r="ICX10" s="34"/>
      <c r="ICY10" s="72"/>
      <c r="ICZ10" s="63"/>
      <c r="IDA10" s="34"/>
      <c r="IDB10" s="64"/>
      <c r="IDC10" s="4"/>
      <c r="IDD10" s="65"/>
      <c r="IDE10" s="4"/>
      <c r="IDF10" s="4"/>
      <c r="IDG10" s="4"/>
      <c r="IDJ10" s="34"/>
      <c r="IDK10" s="34"/>
      <c r="IDM10" s="34"/>
      <c r="IDN10" s="72"/>
      <c r="IDO10" s="63"/>
      <c r="IDP10" s="34"/>
      <c r="IDQ10" s="64"/>
      <c r="IDR10" s="4"/>
      <c r="IDS10" s="65"/>
      <c r="IDT10" s="4"/>
      <c r="IDU10" s="4"/>
      <c r="IDV10" s="4"/>
      <c r="IDY10" s="34"/>
      <c r="IDZ10" s="34"/>
      <c r="IEB10" s="34"/>
      <c r="IEC10" s="72"/>
      <c r="IED10" s="63"/>
      <c r="IEE10" s="34"/>
      <c r="IEF10" s="64"/>
      <c r="IEG10" s="4"/>
      <c r="IEH10" s="65"/>
      <c r="IEI10" s="4"/>
      <c r="IEJ10" s="4"/>
      <c r="IEK10" s="4"/>
      <c r="IEN10" s="34"/>
      <c r="IEO10" s="34"/>
      <c r="IEQ10" s="34"/>
      <c r="IER10" s="72"/>
      <c r="IES10" s="63"/>
      <c r="IET10" s="34"/>
      <c r="IEU10" s="64"/>
      <c r="IEV10" s="4"/>
      <c r="IEW10" s="65"/>
      <c r="IEX10" s="4"/>
      <c r="IEY10" s="4"/>
      <c r="IEZ10" s="4"/>
      <c r="IFC10" s="34"/>
      <c r="IFD10" s="34"/>
      <c r="IFF10" s="34"/>
      <c r="IFG10" s="72"/>
      <c r="IFH10" s="63"/>
      <c r="IFI10" s="34"/>
      <c r="IFJ10" s="64"/>
      <c r="IFK10" s="4"/>
      <c r="IFL10" s="65"/>
      <c r="IFM10" s="4"/>
      <c r="IFN10" s="4"/>
      <c r="IFO10" s="4"/>
      <c r="IFR10" s="34"/>
      <c r="IFS10" s="34"/>
      <c r="IFU10" s="34"/>
      <c r="IFV10" s="72"/>
      <c r="IFW10" s="63"/>
      <c r="IFX10" s="34"/>
      <c r="IFY10" s="64"/>
      <c r="IFZ10" s="4"/>
      <c r="IGA10" s="65"/>
      <c r="IGB10" s="4"/>
      <c r="IGC10" s="4"/>
      <c r="IGD10" s="4"/>
      <c r="IGG10" s="34"/>
      <c r="IGH10" s="34"/>
      <c r="IGJ10" s="34"/>
      <c r="IGK10" s="72"/>
      <c r="IGL10" s="63"/>
      <c r="IGM10" s="34"/>
      <c r="IGN10" s="64"/>
      <c r="IGO10" s="4"/>
      <c r="IGP10" s="65"/>
      <c r="IGQ10" s="4"/>
      <c r="IGR10" s="4"/>
      <c r="IGS10" s="4"/>
      <c r="IGV10" s="34"/>
      <c r="IGW10" s="34"/>
      <c r="IGY10" s="34"/>
      <c r="IGZ10" s="72"/>
      <c r="IHA10" s="63"/>
      <c r="IHB10" s="34"/>
      <c r="IHC10" s="64"/>
      <c r="IHD10" s="4"/>
      <c r="IHE10" s="65"/>
      <c r="IHF10" s="4"/>
      <c r="IHG10" s="4"/>
      <c r="IHH10" s="4"/>
      <c r="IHK10" s="34"/>
      <c r="IHL10" s="34"/>
      <c r="IHN10" s="34"/>
      <c r="IHO10" s="72"/>
      <c r="IHP10" s="63"/>
      <c r="IHQ10" s="34"/>
      <c r="IHR10" s="64"/>
      <c r="IHS10" s="4"/>
      <c r="IHT10" s="65"/>
      <c r="IHU10" s="4"/>
      <c r="IHV10" s="4"/>
      <c r="IHW10" s="4"/>
      <c r="IHZ10" s="34"/>
      <c r="IIA10" s="34"/>
      <c r="IIC10" s="34"/>
      <c r="IID10" s="72"/>
      <c r="IIE10" s="63"/>
      <c r="IIF10" s="34"/>
      <c r="IIG10" s="64"/>
      <c r="IIH10" s="4"/>
      <c r="III10" s="65"/>
      <c r="IIJ10" s="4"/>
      <c r="IIK10" s="4"/>
      <c r="IIL10" s="4"/>
      <c r="IIO10" s="34"/>
      <c r="IIP10" s="34"/>
      <c r="IIR10" s="34"/>
      <c r="IIS10" s="72"/>
      <c r="IIT10" s="63"/>
      <c r="IIU10" s="34"/>
      <c r="IIV10" s="64"/>
      <c r="IIW10" s="4"/>
      <c r="IIX10" s="65"/>
      <c r="IIY10" s="4"/>
      <c r="IIZ10" s="4"/>
      <c r="IJA10" s="4"/>
      <c r="IJD10" s="34"/>
      <c r="IJE10" s="34"/>
      <c r="IJG10" s="34"/>
      <c r="IJH10" s="72"/>
      <c r="IJI10" s="63"/>
      <c r="IJJ10" s="34"/>
      <c r="IJK10" s="64"/>
      <c r="IJL10" s="4"/>
      <c r="IJM10" s="65"/>
      <c r="IJN10" s="4"/>
      <c r="IJO10" s="4"/>
      <c r="IJP10" s="4"/>
      <c r="IJS10" s="34"/>
      <c r="IJT10" s="34"/>
      <c r="IJV10" s="34"/>
      <c r="IJW10" s="72"/>
      <c r="IJX10" s="63"/>
      <c r="IJY10" s="34"/>
      <c r="IJZ10" s="64"/>
      <c r="IKA10" s="4"/>
      <c r="IKB10" s="65"/>
      <c r="IKC10" s="4"/>
      <c r="IKD10" s="4"/>
      <c r="IKE10" s="4"/>
      <c r="IKH10" s="34"/>
      <c r="IKI10" s="34"/>
      <c r="IKK10" s="34"/>
      <c r="IKL10" s="72"/>
      <c r="IKM10" s="63"/>
      <c r="IKN10" s="34"/>
      <c r="IKO10" s="64"/>
      <c r="IKP10" s="4"/>
      <c r="IKQ10" s="65"/>
      <c r="IKR10" s="4"/>
      <c r="IKS10" s="4"/>
      <c r="IKT10" s="4"/>
      <c r="IKW10" s="34"/>
      <c r="IKX10" s="34"/>
      <c r="IKZ10" s="34"/>
      <c r="ILA10" s="72"/>
      <c r="ILB10" s="63"/>
      <c r="ILC10" s="34"/>
      <c r="ILD10" s="64"/>
      <c r="ILE10" s="4"/>
      <c r="ILF10" s="65"/>
      <c r="ILG10" s="4"/>
      <c r="ILH10" s="4"/>
      <c r="ILI10" s="4"/>
      <c r="ILL10" s="34"/>
      <c r="ILM10" s="34"/>
      <c r="ILO10" s="34"/>
      <c r="ILP10" s="72"/>
      <c r="ILQ10" s="63"/>
      <c r="ILR10" s="34"/>
      <c r="ILS10" s="64"/>
      <c r="ILT10" s="4"/>
      <c r="ILU10" s="65"/>
      <c r="ILV10" s="4"/>
      <c r="ILW10" s="4"/>
      <c r="ILX10" s="4"/>
      <c r="IMA10" s="34"/>
      <c r="IMB10" s="34"/>
      <c r="IMD10" s="34"/>
      <c r="IME10" s="72"/>
      <c r="IMF10" s="63"/>
      <c r="IMG10" s="34"/>
      <c r="IMH10" s="64"/>
      <c r="IMI10" s="4"/>
      <c r="IMJ10" s="65"/>
      <c r="IMK10" s="4"/>
      <c r="IML10" s="4"/>
      <c r="IMM10" s="4"/>
      <c r="IMP10" s="34"/>
      <c r="IMQ10" s="34"/>
      <c r="IMS10" s="34"/>
      <c r="IMT10" s="72"/>
      <c r="IMU10" s="63"/>
      <c r="IMV10" s="34"/>
      <c r="IMW10" s="64"/>
      <c r="IMX10" s="4"/>
      <c r="IMY10" s="65"/>
      <c r="IMZ10" s="4"/>
      <c r="INA10" s="4"/>
      <c r="INB10" s="4"/>
      <c r="INE10" s="34"/>
      <c r="INF10" s="34"/>
      <c r="INH10" s="34"/>
      <c r="INI10" s="72"/>
      <c r="INJ10" s="63"/>
      <c r="INK10" s="34"/>
      <c r="INL10" s="64"/>
      <c r="INM10" s="4"/>
      <c r="INN10" s="65"/>
      <c r="INO10" s="4"/>
      <c r="INP10" s="4"/>
      <c r="INQ10" s="4"/>
      <c r="INT10" s="34"/>
      <c r="INU10" s="34"/>
      <c r="INW10" s="34"/>
      <c r="INX10" s="72"/>
      <c r="INY10" s="63"/>
      <c r="INZ10" s="34"/>
      <c r="IOA10" s="64"/>
      <c r="IOB10" s="4"/>
      <c r="IOC10" s="65"/>
      <c r="IOD10" s="4"/>
      <c r="IOE10" s="4"/>
      <c r="IOF10" s="4"/>
      <c r="IOI10" s="34"/>
      <c r="IOJ10" s="34"/>
      <c r="IOL10" s="34"/>
      <c r="IOM10" s="72"/>
      <c r="ION10" s="63"/>
      <c r="IOO10" s="34"/>
      <c r="IOP10" s="64"/>
      <c r="IOQ10" s="4"/>
      <c r="IOR10" s="65"/>
      <c r="IOS10" s="4"/>
      <c r="IOT10" s="4"/>
      <c r="IOU10" s="4"/>
      <c r="IOX10" s="34"/>
      <c r="IOY10" s="34"/>
      <c r="IPA10" s="34"/>
      <c r="IPB10" s="72"/>
      <c r="IPC10" s="63"/>
      <c r="IPD10" s="34"/>
      <c r="IPE10" s="64"/>
      <c r="IPF10" s="4"/>
      <c r="IPG10" s="65"/>
      <c r="IPH10" s="4"/>
      <c r="IPI10" s="4"/>
      <c r="IPJ10" s="4"/>
      <c r="IPM10" s="34"/>
      <c r="IPN10" s="34"/>
      <c r="IPP10" s="34"/>
      <c r="IPQ10" s="72"/>
      <c r="IPR10" s="63"/>
      <c r="IPS10" s="34"/>
      <c r="IPT10" s="64"/>
      <c r="IPU10" s="4"/>
      <c r="IPV10" s="65"/>
      <c r="IPW10" s="4"/>
      <c r="IPX10" s="4"/>
      <c r="IPY10" s="4"/>
      <c r="IQB10" s="34"/>
      <c r="IQC10" s="34"/>
      <c r="IQE10" s="34"/>
      <c r="IQF10" s="72"/>
      <c r="IQG10" s="63"/>
      <c r="IQH10" s="34"/>
      <c r="IQI10" s="64"/>
      <c r="IQJ10" s="4"/>
      <c r="IQK10" s="65"/>
      <c r="IQL10" s="4"/>
      <c r="IQM10" s="4"/>
      <c r="IQN10" s="4"/>
      <c r="IQQ10" s="34"/>
      <c r="IQR10" s="34"/>
      <c r="IQT10" s="34"/>
      <c r="IQU10" s="72"/>
      <c r="IQV10" s="63"/>
      <c r="IQW10" s="34"/>
      <c r="IQX10" s="64"/>
      <c r="IQY10" s="4"/>
      <c r="IQZ10" s="65"/>
      <c r="IRA10" s="4"/>
      <c r="IRB10" s="4"/>
      <c r="IRC10" s="4"/>
      <c r="IRF10" s="34"/>
      <c r="IRG10" s="34"/>
      <c r="IRI10" s="34"/>
      <c r="IRJ10" s="72"/>
      <c r="IRK10" s="63"/>
      <c r="IRL10" s="34"/>
      <c r="IRM10" s="64"/>
      <c r="IRN10" s="4"/>
      <c r="IRO10" s="65"/>
      <c r="IRP10" s="4"/>
      <c r="IRQ10" s="4"/>
      <c r="IRR10" s="4"/>
      <c r="IRU10" s="34"/>
      <c r="IRV10" s="34"/>
      <c r="IRX10" s="34"/>
      <c r="IRY10" s="72"/>
      <c r="IRZ10" s="63"/>
      <c r="ISA10" s="34"/>
      <c r="ISB10" s="64"/>
      <c r="ISC10" s="4"/>
      <c r="ISD10" s="65"/>
      <c r="ISE10" s="4"/>
      <c r="ISF10" s="4"/>
      <c r="ISG10" s="4"/>
      <c r="ISJ10" s="34"/>
      <c r="ISK10" s="34"/>
      <c r="ISM10" s="34"/>
      <c r="ISN10" s="72"/>
      <c r="ISO10" s="63"/>
      <c r="ISP10" s="34"/>
      <c r="ISQ10" s="64"/>
      <c r="ISR10" s="4"/>
      <c r="ISS10" s="65"/>
      <c r="IST10" s="4"/>
      <c r="ISU10" s="4"/>
      <c r="ISV10" s="4"/>
      <c r="ISY10" s="34"/>
      <c r="ISZ10" s="34"/>
      <c r="ITB10" s="34"/>
      <c r="ITC10" s="72"/>
      <c r="ITD10" s="63"/>
      <c r="ITE10" s="34"/>
      <c r="ITF10" s="64"/>
      <c r="ITG10" s="4"/>
      <c r="ITH10" s="65"/>
      <c r="ITI10" s="4"/>
      <c r="ITJ10" s="4"/>
      <c r="ITK10" s="4"/>
      <c r="ITN10" s="34"/>
      <c r="ITO10" s="34"/>
      <c r="ITQ10" s="34"/>
      <c r="ITR10" s="72"/>
      <c r="ITS10" s="63"/>
      <c r="ITT10" s="34"/>
      <c r="ITU10" s="64"/>
      <c r="ITV10" s="4"/>
      <c r="ITW10" s="65"/>
      <c r="ITX10" s="4"/>
      <c r="ITY10" s="4"/>
      <c r="ITZ10" s="4"/>
      <c r="IUC10" s="34"/>
      <c r="IUD10" s="34"/>
      <c r="IUF10" s="34"/>
      <c r="IUG10" s="72"/>
      <c r="IUH10" s="63"/>
      <c r="IUI10" s="34"/>
      <c r="IUJ10" s="64"/>
      <c r="IUK10" s="4"/>
      <c r="IUL10" s="65"/>
      <c r="IUM10" s="4"/>
      <c r="IUN10" s="4"/>
      <c r="IUO10" s="4"/>
      <c r="IUR10" s="34"/>
      <c r="IUS10" s="34"/>
      <c r="IUU10" s="34"/>
      <c r="IUV10" s="72"/>
      <c r="IUW10" s="63"/>
      <c r="IUX10" s="34"/>
      <c r="IUY10" s="64"/>
      <c r="IUZ10" s="4"/>
      <c r="IVA10" s="65"/>
      <c r="IVB10" s="4"/>
      <c r="IVC10" s="4"/>
      <c r="IVD10" s="4"/>
      <c r="IVG10" s="34"/>
      <c r="IVH10" s="34"/>
      <c r="IVJ10" s="34"/>
      <c r="IVK10" s="72"/>
      <c r="IVL10" s="63"/>
      <c r="IVM10" s="34"/>
      <c r="IVN10" s="64"/>
      <c r="IVO10" s="4"/>
      <c r="IVP10" s="65"/>
      <c r="IVQ10" s="4"/>
      <c r="IVR10" s="4"/>
      <c r="IVS10" s="4"/>
      <c r="IVV10" s="34"/>
      <c r="IVW10" s="34"/>
      <c r="IVY10" s="34"/>
      <c r="IVZ10" s="72"/>
      <c r="IWA10" s="63"/>
      <c r="IWB10" s="34"/>
      <c r="IWC10" s="64"/>
      <c r="IWD10" s="4"/>
      <c r="IWE10" s="65"/>
      <c r="IWF10" s="4"/>
      <c r="IWG10" s="4"/>
      <c r="IWH10" s="4"/>
      <c r="IWK10" s="34"/>
      <c r="IWL10" s="34"/>
      <c r="IWN10" s="34"/>
      <c r="IWO10" s="72"/>
      <c r="IWP10" s="63"/>
      <c r="IWQ10" s="34"/>
      <c r="IWR10" s="64"/>
      <c r="IWS10" s="4"/>
      <c r="IWT10" s="65"/>
      <c r="IWU10" s="4"/>
      <c r="IWV10" s="4"/>
      <c r="IWW10" s="4"/>
      <c r="IWZ10" s="34"/>
      <c r="IXA10" s="34"/>
      <c r="IXC10" s="34"/>
      <c r="IXD10" s="72"/>
      <c r="IXE10" s="63"/>
      <c r="IXF10" s="34"/>
      <c r="IXG10" s="64"/>
      <c r="IXH10" s="4"/>
      <c r="IXI10" s="65"/>
      <c r="IXJ10" s="4"/>
      <c r="IXK10" s="4"/>
      <c r="IXL10" s="4"/>
      <c r="IXO10" s="34"/>
      <c r="IXP10" s="34"/>
      <c r="IXR10" s="34"/>
      <c r="IXS10" s="72"/>
      <c r="IXT10" s="63"/>
      <c r="IXU10" s="34"/>
      <c r="IXV10" s="64"/>
      <c r="IXW10" s="4"/>
      <c r="IXX10" s="65"/>
      <c r="IXY10" s="4"/>
      <c r="IXZ10" s="4"/>
      <c r="IYA10" s="4"/>
      <c r="IYD10" s="34"/>
      <c r="IYE10" s="34"/>
      <c r="IYG10" s="34"/>
      <c r="IYH10" s="72"/>
      <c r="IYI10" s="63"/>
      <c r="IYJ10" s="34"/>
      <c r="IYK10" s="64"/>
      <c r="IYL10" s="4"/>
      <c r="IYM10" s="65"/>
      <c r="IYN10" s="4"/>
      <c r="IYO10" s="4"/>
      <c r="IYP10" s="4"/>
      <c r="IYS10" s="34"/>
      <c r="IYT10" s="34"/>
      <c r="IYV10" s="34"/>
      <c r="IYW10" s="72"/>
      <c r="IYX10" s="63"/>
      <c r="IYY10" s="34"/>
      <c r="IYZ10" s="64"/>
      <c r="IZA10" s="4"/>
      <c r="IZB10" s="65"/>
      <c r="IZC10" s="4"/>
      <c r="IZD10" s="4"/>
      <c r="IZE10" s="4"/>
      <c r="IZH10" s="34"/>
      <c r="IZI10" s="34"/>
      <c r="IZK10" s="34"/>
      <c r="IZL10" s="72"/>
      <c r="IZM10" s="63"/>
      <c r="IZN10" s="34"/>
      <c r="IZO10" s="64"/>
      <c r="IZP10" s="4"/>
      <c r="IZQ10" s="65"/>
      <c r="IZR10" s="4"/>
      <c r="IZS10" s="4"/>
      <c r="IZT10" s="4"/>
      <c r="IZW10" s="34"/>
      <c r="IZX10" s="34"/>
      <c r="IZZ10" s="34"/>
      <c r="JAA10" s="72"/>
      <c r="JAB10" s="63"/>
      <c r="JAC10" s="34"/>
      <c r="JAD10" s="64"/>
      <c r="JAE10" s="4"/>
      <c r="JAF10" s="65"/>
      <c r="JAG10" s="4"/>
      <c r="JAH10" s="4"/>
      <c r="JAI10" s="4"/>
      <c r="JAL10" s="34"/>
      <c r="JAM10" s="34"/>
      <c r="JAO10" s="34"/>
      <c r="JAP10" s="72"/>
      <c r="JAQ10" s="63"/>
      <c r="JAR10" s="34"/>
      <c r="JAS10" s="64"/>
      <c r="JAT10" s="4"/>
      <c r="JAU10" s="65"/>
      <c r="JAV10" s="4"/>
      <c r="JAW10" s="4"/>
      <c r="JAX10" s="4"/>
      <c r="JBA10" s="34"/>
      <c r="JBB10" s="34"/>
      <c r="JBD10" s="34"/>
      <c r="JBE10" s="72"/>
      <c r="JBF10" s="63"/>
      <c r="JBG10" s="34"/>
      <c r="JBH10" s="64"/>
      <c r="JBI10" s="4"/>
      <c r="JBJ10" s="65"/>
      <c r="JBK10" s="4"/>
      <c r="JBL10" s="4"/>
      <c r="JBM10" s="4"/>
      <c r="JBP10" s="34"/>
      <c r="JBQ10" s="34"/>
      <c r="JBS10" s="34"/>
      <c r="JBT10" s="72"/>
      <c r="JBU10" s="63"/>
      <c r="JBV10" s="34"/>
      <c r="JBW10" s="64"/>
      <c r="JBX10" s="4"/>
      <c r="JBY10" s="65"/>
      <c r="JBZ10" s="4"/>
      <c r="JCA10" s="4"/>
      <c r="JCB10" s="4"/>
      <c r="JCE10" s="34"/>
      <c r="JCF10" s="34"/>
      <c r="JCH10" s="34"/>
      <c r="JCI10" s="72"/>
      <c r="JCJ10" s="63"/>
      <c r="JCK10" s="34"/>
      <c r="JCL10" s="64"/>
      <c r="JCM10" s="4"/>
      <c r="JCN10" s="65"/>
      <c r="JCO10" s="4"/>
      <c r="JCP10" s="4"/>
      <c r="JCQ10" s="4"/>
      <c r="JCT10" s="34"/>
      <c r="JCU10" s="34"/>
      <c r="JCW10" s="34"/>
      <c r="JCX10" s="72"/>
      <c r="JCY10" s="63"/>
      <c r="JCZ10" s="34"/>
      <c r="JDA10" s="64"/>
      <c r="JDB10" s="4"/>
      <c r="JDC10" s="65"/>
      <c r="JDD10" s="4"/>
      <c r="JDE10" s="4"/>
      <c r="JDF10" s="4"/>
      <c r="JDI10" s="34"/>
      <c r="JDJ10" s="34"/>
      <c r="JDL10" s="34"/>
      <c r="JDM10" s="72"/>
      <c r="JDN10" s="63"/>
      <c r="JDO10" s="34"/>
      <c r="JDP10" s="64"/>
      <c r="JDQ10" s="4"/>
      <c r="JDR10" s="65"/>
      <c r="JDS10" s="4"/>
      <c r="JDT10" s="4"/>
      <c r="JDU10" s="4"/>
      <c r="JDX10" s="34"/>
      <c r="JDY10" s="34"/>
      <c r="JEA10" s="34"/>
      <c r="JEB10" s="72"/>
      <c r="JEC10" s="63"/>
      <c r="JED10" s="34"/>
      <c r="JEE10" s="64"/>
      <c r="JEF10" s="4"/>
      <c r="JEG10" s="65"/>
      <c r="JEH10" s="4"/>
      <c r="JEI10" s="4"/>
      <c r="JEJ10" s="4"/>
      <c r="JEM10" s="34"/>
      <c r="JEN10" s="34"/>
      <c r="JEP10" s="34"/>
      <c r="JEQ10" s="72"/>
      <c r="JER10" s="63"/>
      <c r="JES10" s="34"/>
      <c r="JET10" s="64"/>
      <c r="JEU10" s="4"/>
      <c r="JEV10" s="65"/>
      <c r="JEW10" s="4"/>
      <c r="JEX10" s="4"/>
      <c r="JEY10" s="4"/>
      <c r="JFB10" s="34"/>
      <c r="JFC10" s="34"/>
      <c r="JFE10" s="34"/>
      <c r="JFF10" s="72"/>
      <c r="JFG10" s="63"/>
      <c r="JFH10" s="34"/>
      <c r="JFI10" s="64"/>
      <c r="JFJ10" s="4"/>
      <c r="JFK10" s="65"/>
      <c r="JFL10" s="4"/>
      <c r="JFM10" s="4"/>
      <c r="JFN10" s="4"/>
      <c r="JFQ10" s="34"/>
      <c r="JFR10" s="34"/>
      <c r="JFT10" s="34"/>
      <c r="JFU10" s="72"/>
      <c r="JFV10" s="63"/>
      <c r="JFW10" s="34"/>
      <c r="JFX10" s="64"/>
      <c r="JFY10" s="4"/>
      <c r="JFZ10" s="65"/>
      <c r="JGA10" s="4"/>
      <c r="JGB10" s="4"/>
      <c r="JGC10" s="4"/>
      <c r="JGF10" s="34"/>
      <c r="JGG10" s="34"/>
      <c r="JGI10" s="34"/>
      <c r="JGJ10" s="72"/>
      <c r="JGK10" s="63"/>
      <c r="JGL10" s="34"/>
      <c r="JGM10" s="64"/>
      <c r="JGN10" s="4"/>
      <c r="JGO10" s="65"/>
      <c r="JGP10" s="4"/>
      <c r="JGQ10" s="4"/>
      <c r="JGR10" s="4"/>
      <c r="JGU10" s="34"/>
      <c r="JGV10" s="34"/>
      <c r="JGX10" s="34"/>
      <c r="JGY10" s="72"/>
      <c r="JGZ10" s="63"/>
      <c r="JHA10" s="34"/>
      <c r="JHB10" s="64"/>
      <c r="JHC10" s="4"/>
      <c r="JHD10" s="65"/>
      <c r="JHE10" s="4"/>
      <c r="JHF10" s="4"/>
      <c r="JHG10" s="4"/>
      <c r="JHJ10" s="34"/>
      <c r="JHK10" s="34"/>
      <c r="JHM10" s="34"/>
      <c r="JHN10" s="72"/>
      <c r="JHO10" s="63"/>
      <c r="JHP10" s="34"/>
      <c r="JHQ10" s="64"/>
      <c r="JHR10" s="4"/>
      <c r="JHS10" s="65"/>
      <c r="JHT10" s="4"/>
      <c r="JHU10" s="4"/>
      <c r="JHV10" s="4"/>
      <c r="JHY10" s="34"/>
      <c r="JHZ10" s="34"/>
      <c r="JIB10" s="34"/>
      <c r="JIC10" s="72"/>
      <c r="JID10" s="63"/>
      <c r="JIE10" s="34"/>
      <c r="JIF10" s="64"/>
      <c r="JIG10" s="4"/>
      <c r="JIH10" s="65"/>
      <c r="JII10" s="4"/>
      <c r="JIJ10" s="4"/>
      <c r="JIK10" s="4"/>
      <c r="JIN10" s="34"/>
      <c r="JIO10" s="34"/>
      <c r="JIQ10" s="34"/>
      <c r="JIR10" s="72"/>
      <c r="JIS10" s="63"/>
      <c r="JIT10" s="34"/>
      <c r="JIU10" s="64"/>
      <c r="JIV10" s="4"/>
      <c r="JIW10" s="65"/>
      <c r="JIX10" s="4"/>
      <c r="JIY10" s="4"/>
      <c r="JIZ10" s="4"/>
      <c r="JJC10" s="34"/>
      <c r="JJD10" s="34"/>
      <c r="JJF10" s="34"/>
      <c r="JJG10" s="72"/>
      <c r="JJH10" s="63"/>
      <c r="JJI10" s="34"/>
      <c r="JJJ10" s="64"/>
      <c r="JJK10" s="4"/>
      <c r="JJL10" s="65"/>
      <c r="JJM10" s="4"/>
      <c r="JJN10" s="4"/>
      <c r="JJO10" s="4"/>
      <c r="JJR10" s="34"/>
      <c r="JJS10" s="34"/>
      <c r="JJU10" s="34"/>
      <c r="JJV10" s="72"/>
      <c r="JJW10" s="63"/>
      <c r="JJX10" s="34"/>
      <c r="JJY10" s="64"/>
      <c r="JJZ10" s="4"/>
      <c r="JKA10" s="65"/>
      <c r="JKB10" s="4"/>
      <c r="JKC10" s="4"/>
      <c r="JKD10" s="4"/>
      <c r="JKG10" s="34"/>
      <c r="JKH10" s="34"/>
      <c r="JKJ10" s="34"/>
      <c r="JKK10" s="72"/>
      <c r="JKL10" s="63"/>
      <c r="JKM10" s="34"/>
      <c r="JKN10" s="64"/>
      <c r="JKO10" s="4"/>
      <c r="JKP10" s="65"/>
      <c r="JKQ10" s="4"/>
      <c r="JKR10" s="4"/>
      <c r="JKS10" s="4"/>
      <c r="JKV10" s="34"/>
      <c r="JKW10" s="34"/>
      <c r="JKY10" s="34"/>
      <c r="JKZ10" s="72"/>
      <c r="JLA10" s="63"/>
      <c r="JLB10" s="34"/>
      <c r="JLC10" s="64"/>
      <c r="JLD10" s="4"/>
      <c r="JLE10" s="65"/>
      <c r="JLF10" s="4"/>
      <c r="JLG10" s="4"/>
      <c r="JLH10" s="4"/>
      <c r="JLK10" s="34"/>
      <c r="JLL10" s="34"/>
      <c r="JLN10" s="34"/>
      <c r="JLO10" s="72"/>
      <c r="JLP10" s="63"/>
      <c r="JLQ10" s="34"/>
      <c r="JLR10" s="64"/>
      <c r="JLS10" s="4"/>
      <c r="JLT10" s="65"/>
      <c r="JLU10" s="4"/>
      <c r="JLV10" s="4"/>
      <c r="JLW10" s="4"/>
      <c r="JLZ10" s="34"/>
      <c r="JMA10" s="34"/>
      <c r="JMC10" s="34"/>
      <c r="JMD10" s="72"/>
      <c r="JME10" s="63"/>
      <c r="JMF10" s="34"/>
      <c r="JMG10" s="64"/>
      <c r="JMH10" s="4"/>
      <c r="JMI10" s="65"/>
      <c r="JMJ10" s="4"/>
      <c r="JMK10" s="4"/>
      <c r="JML10" s="4"/>
      <c r="JMO10" s="34"/>
      <c r="JMP10" s="34"/>
      <c r="JMR10" s="34"/>
      <c r="JMS10" s="72"/>
      <c r="JMT10" s="63"/>
      <c r="JMU10" s="34"/>
      <c r="JMV10" s="64"/>
      <c r="JMW10" s="4"/>
      <c r="JMX10" s="65"/>
      <c r="JMY10" s="4"/>
      <c r="JMZ10" s="4"/>
      <c r="JNA10" s="4"/>
      <c r="JND10" s="34"/>
      <c r="JNE10" s="34"/>
      <c r="JNG10" s="34"/>
      <c r="JNH10" s="72"/>
      <c r="JNI10" s="63"/>
      <c r="JNJ10" s="34"/>
      <c r="JNK10" s="64"/>
      <c r="JNL10" s="4"/>
      <c r="JNM10" s="65"/>
      <c r="JNN10" s="4"/>
      <c r="JNO10" s="4"/>
      <c r="JNP10" s="4"/>
      <c r="JNS10" s="34"/>
      <c r="JNT10" s="34"/>
      <c r="JNV10" s="34"/>
      <c r="JNW10" s="72"/>
      <c r="JNX10" s="63"/>
      <c r="JNY10" s="34"/>
      <c r="JNZ10" s="64"/>
      <c r="JOA10" s="4"/>
      <c r="JOB10" s="65"/>
      <c r="JOC10" s="4"/>
      <c r="JOD10" s="4"/>
      <c r="JOE10" s="4"/>
      <c r="JOH10" s="34"/>
      <c r="JOI10" s="34"/>
      <c r="JOK10" s="34"/>
      <c r="JOL10" s="72"/>
      <c r="JOM10" s="63"/>
      <c r="JON10" s="34"/>
      <c r="JOO10" s="64"/>
      <c r="JOP10" s="4"/>
      <c r="JOQ10" s="65"/>
      <c r="JOR10" s="4"/>
      <c r="JOS10" s="4"/>
      <c r="JOT10" s="4"/>
      <c r="JOW10" s="34"/>
      <c r="JOX10" s="34"/>
      <c r="JOZ10" s="34"/>
      <c r="JPA10" s="72"/>
      <c r="JPB10" s="63"/>
      <c r="JPC10" s="34"/>
      <c r="JPD10" s="64"/>
      <c r="JPE10" s="4"/>
      <c r="JPF10" s="65"/>
      <c r="JPG10" s="4"/>
      <c r="JPH10" s="4"/>
      <c r="JPI10" s="4"/>
      <c r="JPL10" s="34"/>
      <c r="JPM10" s="34"/>
      <c r="JPO10" s="34"/>
      <c r="JPP10" s="72"/>
      <c r="JPQ10" s="63"/>
      <c r="JPR10" s="34"/>
      <c r="JPS10" s="64"/>
      <c r="JPT10" s="4"/>
      <c r="JPU10" s="65"/>
      <c r="JPV10" s="4"/>
      <c r="JPW10" s="4"/>
      <c r="JPX10" s="4"/>
      <c r="JQA10" s="34"/>
      <c r="JQB10" s="34"/>
      <c r="JQD10" s="34"/>
      <c r="JQE10" s="72"/>
      <c r="JQF10" s="63"/>
      <c r="JQG10" s="34"/>
      <c r="JQH10" s="64"/>
      <c r="JQI10" s="4"/>
      <c r="JQJ10" s="65"/>
      <c r="JQK10" s="4"/>
      <c r="JQL10" s="4"/>
      <c r="JQM10" s="4"/>
      <c r="JQP10" s="34"/>
      <c r="JQQ10" s="34"/>
      <c r="JQS10" s="34"/>
      <c r="JQT10" s="72"/>
      <c r="JQU10" s="63"/>
      <c r="JQV10" s="34"/>
      <c r="JQW10" s="64"/>
      <c r="JQX10" s="4"/>
      <c r="JQY10" s="65"/>
      <c r="JQZ10" s="4"/>
      <c r="JRA10" s="4"/>
      <c r="JRB10" s="4"/>
      <c r="JRE10" s="34"/>
      <c r="JRF10" s="34"/>
      <c r="JRH10" s="34"/>
      <c r="JRI10" s="72"/>
      <c r="JRJ10" s="63"/>
      <c r="JRK10" s="34"/>
      <c r="JRL10" s="64"/>
      <c r="JRM10" s="4"/>
      <c r="JRN10" s="65"/>
      <c r="JRO10" s="4"/>
      <c r="JRP10" s="4"/>
      <c r="JRQ10" s="4"/>
      <c r="JRT10" s="34"/>
      <c r="JRU10" s="34"/>
      <c r="JRW10" s="34"/>
      <c r="JRX10" s="72"/>
      <c r="JRY10" s="63"/>
      <c r="JRZ10" s="34"/>
      <c r="JSA10" s="64"/>
      <c r="JSB10" s="4"/>
      <c r="JSC10" s="65"/>
      <c r="JSD10" s="4"/>
      <c r="JSE10" s="4"/>
      <c r="JSF10" s="4"/>
      <c r="JSI10" s="34"/>
      <c r="JSJ10" s="34"/>
      <c r="JSL10" s="34"/>
      <c r="JSM10" s="72"/>
      <c r="JSN10" s="63"/>
      <c r="JSO10" s="34"/>
      <c r="JSP10" s="64"/>
      <c r="JSQ10" s="4"/>
      <c r="JSR10" s="65"/>
      <c r="JSS10" s="4"/>
      <c r="JST10" s="4"/>
      <c r="JSU10" s="4"/>
      <c r="JSX10" s="34"/>
      <c r="JSY10" s="34"/>
      <c r="JTA10" s="34"/>
      <c r="JTB10" s="72"/>
      <c r="JTC10" s="63"/>
      <c r="JTD10" s="34"/>
      <c r="JTE10" s="64"/>
      <c r="JTF10" s="4"/>
      <c r="JTG10" s="65"/>
      <c r="JTH10" s="4"/>
      <c r="JTI10" s="4"/>
      <c r="JTJ10" s="4"/>
      <c r="JTM10" s="34"/>
      <c r="JTN10" s="34"/>
      <c r="JTP10" s="34"/>
      <c r="JTQ10" s="72"/>
      <c r="JTR10" s="63"/>
      <c r="JTS10" s="34"/>
      <c r="JTT10" s="64"/>
      <c r="JTU10" s="4"/>
      <c r="JTV10" s="65"/>
      <c r="JTW10" s="4"/>
      <c r="JTX10" s="4"/>
      <c r="JTY10" s="4"/>
      <c r="JUB10" s="34"/>
      <c r="JUC10" s="34"/>
      <c r="JUE10" s="34"/>
      <c r="JUF10" s="72"/>
      <c r="JUG10" s="63"/>
      <c r="JUH10" s="34"/>
      <c r="JUI10" s="64"/>
      <c r="JUJ10" s="4"/>
      <c r="JUK10" s="65"/>
      <c r="JUL10" s="4"/>
      <c r="JUM10" s="4"/>
      <c r="JUN10" s="4"/>
      <c r="JUQ10" s="34"/>
      <c r="JUR10" s="34"/>
      <c r="JUT10" s="34"/>
      <c r="JUU10" s="72"/>
      <c r="JUV10" s="63"/>
      <c r="JUW10" s="34"/>
      <c r="JUX10" s="64"/>
      <c r="JUY10" s="4"/>
      <c r="JUZ10" s="65"/>
      <c r="JVA10" s="4"/>
      <c r="JVB10" s="4"/>
      <c r="JVC10" s="4"/>
      <c r="JVF10" s="34"/>
      <c r="JVG10" s="34"/>
      <c r="JVI10" s="34"/>
      <c r="JVJ10" s="72"/>
      <c r="JVK10" s="63"/>
      <c r="JVL10" s="34"/>
      <c r="JVM10" s="64"/>
      <c r="JVN10" s="4"/>
      <c r="JVO10" s="65"/>
      <c r="JVP10" s="4"/>
      <c r="JVQ10" s="4"/>
      <c r="JVR10" s="4"/>
      <c r="JVU10" s="34"/>
      <c r="JVV10" s="34"/>
      <c r="JVX10" s="34"/>
      <c r="JVY10" s="72"/>
      <c r="JVZ10" s="63"/>
      <c r="JWA10" s="34"/>
      <c r="JWB10" s="64"/>
      <c r="JWC10" s="4"/>
      <c r="JWD10" s="65"/>
      <c r="JWE10" s="4"/>
      <c r="JWF10" s="4"/>
      <c r="JWG10" s="4"/>
      <c r="JWJ10" s="34"/>
      <c r="JWK10" s="34"/>
      <c r="JWM10" s="34"/>
      <c r="JWN10" s="72"/>
      <c r="JWO10" s="63"/>
      <c r="JWP10" s="34"/>
      <c r="JWQ10" s="64"/>
      <c r="JWR10" s="4"/>
      <c r="JWS10" s="65"/>
      <c r="JWT10" s="4"/>
      <c r="JWU10" s="4"/>
      <c r="JWV10" s="4"/>
      <c r="JWY10" s="34"/>
      <c r="JWZ10" s="34"/>
      <c r="JXB10" s="34"/>
      <c r="JXC10" s="72"/>
      <c r="JXD10" s="63"/>
      <c r="JXE10" s="34"/>
      <c r="JXF10" s="64"/>
      <c r="JXG10" s="4"/>
      <c r="JXH10" s="65"/>
      <c r="JXI10" s="4"/>
      <c r="JXJ10" s="4"/>
      <c r="JXK10" s="4"/>
      <c r="JXN10" s="34"/>
      <c r="JXO10" s="34"/>
      <c r="JXQ10" s="34"/>
      <c r="JXR10" s="72"/>
      <c r="JXS10" s="63"/>
      <c r="JXT10" s="34"/>
      <c r="JXU10" s="64"/>
      <c r="JXV10" s="4"/>
      <c r="JXW10" s="65"/>
      <c r="JXX10" s="4"/>
      <c r="JXY10" s="4"/>
      <c r="JXZ10" s="4"/>
      <c r="JYC10" s="34"/>
      <c r="JYD10" s="34"/>
      <c r="JYF10" s="34"/>
      <c r="JYG10" s="72"/>
      <c r="JYH10" s="63"/>
      <c r="JYI10" s="34"/>
      <c r="JYJ10" s="64"/>
      <c r="JYK10" s="4"/>
      <c r="JYL10" s="65"/>
      <c r="JYM10" s="4"/>
      <c r="JYN10" s="4"/>
      <c r="JYO10" s="4"/>
      <c r="JYR10" s="34"/>
      <c r="JYS10" s="34"/>
      <c r="JYU10" s="34"/>
      <c r="JYV10" s="72"/>
      <c r="JYW10" s="63"/>
      <c r="JYX10" s="34"/>
      <c r="JYY10" s="64"/>
      <c r="JYZ10" s="4"/>
      <c r="JZA10" s="65"/>
      <c r="JZB10" s="4"/>
      <c r="JZC10" s="4"/>
      <c r="JZD10" s="4"/>
      <c r="JZG10" s="34"/>
      <c r="JZH10" s="34"/>
      <c r="JZJ10" s="34"/>
      <c r="JZK10" s="72"/>
      <c r="JZL10" s="63"/>
      <c r="JZM10" s="34"/>
      <c r="JZN10" s="64"/>
      <c r="JZO10" s="4"/>
      <c r="JZP10" s="65"/>
      <c r="JZQ10" s="4"/>
      <c r="JZR10" s="4"/>
      <c r="JZS10" s="4"/>
      <c r="JZV10" s="34"/>
      <c r="JZW10" s="34"/>
      <c r="JZY10" s="34"/>
      <c r="JZZ10" s="72"/>
      <c r="KAA10" s="63"/>
      <c r="KAB10" s="34"/>
      <c r="KAC10" s="64"/>
      <c r="KAD10" s="4"/>
      <c r="KAE10" s="65"/>
      <c r="KAF10" s="4"/>
      <c r="KAG10" s="4"/>
      <c r="KAH10" s="4"/>
      <c r="KAK10" s="34"/>
      <c r="KAL10" s="34"/>
      <c r="KAN10" s="34"/>
      <c r="KAO10" s="72"/>
      <c r="KAP10" s="63"/>
      <c r="KAQ10" s="34"/>
      <c r="KAR10" s="64"/>
      <c r="KAS10" s="4"/>
      <c r="KAT10" s="65"/>
      <c r="KAU10" s="4"/>
      <c r="KAV10" s="4"/>
      <c r="KAW10" s="4"/>
      <c r="KAZ10" s="34"/>
      <c r="KBA10" s="34"/>
      <c r="KBC10" s="34"/>
      <c r="KBD10" s="72"/>
      <c r="KBE10" s="63"/>
      <c r="KBF10" s="34"/>
      <c r="KBG10" s="64"/>
      <c r="KBH10" s="4"/>
      <c r="KBI10" s="65"/>
      <c r="KBJ10" s="4"/>
      <c r="KBK10" s="4"/>
      <c r="KBL10" s="4"/>
      <c r="KBO10" s="34"/>
      <c r="KBP10" s="34"/>
      <c r="KBR10" s="34"/>
      <c r="KBS10" s="72"/>
      <c r="KBT10" s="63"/>
      <c r="KBU10" s="34"/>
      <c r="KBV10" s="64"/>
      <c r="KBW10" s="4"/>
      <c r="KBX10" s="65"/>
      <c r="KBY10" s="4"/>
      <c r="KBZ10" s="4"/>
      <c r="KCA10" s="4"/>
      <c r="KCD10" s="34"/>
      <c r="KCE10" s="34"/>
      <c r="KCG10" s="34"/>
      <c r="KCH10" s="72"/>
      <c r="KCI10" s="63"/>
      <c r="KCJ10" s="34"/>
      <c r="KCK10" s="64"/>
      <c r="KCL10" s="4"/>
      <c r="KCM10" s="65"/>
      <c r="KCN10" s="4"/>
      <c r="KCO10" s="4"/>
      <c r="KCP10" s="4"/>
      <c r="KCS10" s="34"/>
      <c r="KCT10" s="34"/>
      <c r="KCV10" s="34"/>
      <c r="KCW10" s="72"/>
      <c r="KCX10" s="63"/>
      <c r="KCY10" s="34"/>
      <c r="KCZ10" s="64"/>
      <c r="KDA10" s="4"/>
      <c r="KDB10" s="65"/>
      <c r="KDC10" s="4"/>
      <c r="KDD10" s="4"/>
      <c r="KDE10" s="4"/>
      <c r="KDH10" s="34"/>
      <c r="KDI10" s="34"/>
      <c r="KDK10" s="34"/>
      <c r="KDL10" s="72"/>
      <c r="KDM10" s="63"/>
      <c r="KDN10" s="34"/>
      <c r="KDO10" s="64"/>
      <c r="KDP10" s="4"/>
      <c r="KDQ10" s="65"/>
      <c r="KDR10" s="4"/>
      <c r="KDS10" s="4"/>
      <c r="KDT10" s="4"/>
      <c r="KDW10" s="34"/>
      <c r="KDX10" s="34"/>
      <c r="KDZ10" s="34"/>
      <c r="KEA10" s="72"/>
      <c r="KEB10" s="63"/>
      <c r="KEC10" s="34"/>
      <c r="KED10" s="64"/>
      <c r="KEE10" s="4"/>
      <c r="KEF10" s="65"/>
      <c r="KEG10" s="4"/>
      <c r="KEH10" s="4"/>
      <c r="KEI10" s="4"/>
      <c r="KEL10" s="34"/>
      <c r="KEM10" s="34"/>
      <c r="KEO10" s="34"/>
      <c r="KEP10" s="72"/>
      <c r="KEQ10" s="63"/>
      <c r="KER10" s="34"/>
      <c r="KES10" s="64"/>
      <c r="KET10" s="4"/>
      <c r="KEU10" s="65"/>
      <c r="KEV10" s="4"/>
      <c r="KEW10" s="4"/>
      <c r="KEX10" s="4"/>
      <c r="KFA10" s="34"/>
      <c r="KFB10" s="34"/>
      <c r="KFD10" s="34"/>
      <c r="KFE10" s="72"/>
      <c r="KFF10" s="63"/>
      <c r="KFG10" s="34"/>
      <c r="KFH10" s="64"/>
      <c r="KFI10" s="4"/>
      <c r="KFJ10" s="65"/>
      <c r="KFK10" s="4"/>
      <c r="KFL10" s="4"/>
      <c r="KFM10" s="4"/>
      <c r="KFP10" s="34"/>
      <c r="KFQ10" s="34"/>
      <c r="KFS10" s="34"/>
      <c r="KFT10" s="72"/>
      <c r="KFU10" s="63"/>
      <c r="KFV10" s="34"/>
      <c r="KFW10" s="64"/>
      <c r="KFX10" s="4"/>
      <c r="KFY10" s="65"/>
      <c r="KFZ10" s="4"/>
      <c r="KGA10" s="4"/>
      <c r="KGB10" s="4"/>
      <c r="KGE10" s="34"/>
      <c r="KGF10" s="34"/>
      <c r="KGH10" s="34"/>
      <c r="KGI10" s="72"/>
      <c r="KGJ10" s="63"/>
      <c r="KGK10" s="34"/>
      <c r="KGL10" s="64"/>
      <c r="KGM10" s="4"/>
      <c r="KGN10" s="65"/>
      <c r="KGO10" s="4"/>
      <c r="KGP10" s="4"/>
      <c r="KGQ10" s="4"/>
      <c r="KGT10" s="34"/>
      <c r="KGU10" s="34"/>
      <c r="KGW10" s="34"/>
      <c r="KGX10" s="72"/>
      <c r="KGY10" s="63"/>
      <c r="KGZ10" s="34"/>
      <c r="KHA10" s="64"/>
      <c r="KHB10" s="4"/>
      <c r="KHC10" s="65"/>
      <c r="KHD10" s="4"/>
      <c r="KHE10" s="4"/>
      <c r="KHF10" s="4"/>
      <c r="KHI10" s="34"/>
      <c r="KHJ10" s="34"/>
      <c r="KHL10" s="34"/>
      <c r="KHM10" s="72"/>
      <c r="KHN10" s="63"/>
      <c r="KHO10" s="34"/>
      <c r="KHP10" s="64"/>
      <c r="KHQ10" s="4"/>
      <c r="KHR10" s="65"/>
      <c r="KHS10" s="4"/>
      <c r="KHT10" s="4"/>
      <c r="KHU10" s="4"/>
      <c r="KHX10" s="34"/>
      <c r="KHY10" s="34"/>
      <c r="KIA10" s="34"/>
      <c r="KIB10" s="72"/>
      <c r="KIC10" s="63"/>
      <c r="KID10" s="34"/>
      <c r="KIE10" s="64"/>
      <c r="KIF10" s="4"/>
      <c r="KIG10" s="65"/>
      <c r="KIH10" s="4"/>
      <c r="KII10" s="4"/>
      <c r="KIJ10" s="4"/>
      <c r="KIM10" s="34"/>
      <c r="KIN10" s="34"/>
      <c r="KIP10" s="34"/>
      <c r="KIQ10" s="72"/>
      <c r="KIR10" s="63"/>
      <c r="KIS10" s="34"/>
      <c r="KIT10" s="64"/>
      <c r="KIU10" s="4"/>
      <c r="KIV10" s="65"/>
      <c r="KIW10" s="4"/>
      <c r="KIX10" s="4"/>
      <c r="KIY10" s="4"/>
      <c r="KJB10" s="34"/>
      <c r="KJC10" s="34"/>
      <c r="KJE10" s="34"/>
      <c r="KJF10" s="72"/>
      <c r="KJG10" s="63"/>
      <c r="KJH10" s="34"/>
      <c r="KJI10" s="64"/>
      <c r="KJJ10" s="4"/>
      <c r="KJK10" s="65"/>
      <c r="KJL10" s="4"/>
      <c r="KJM10" s="4"/>
      <c r="KJN10" s="4"/>
      <c r="KJQ10" s="34"/>
      <c r="KJR10" s="34"/>
      <c r="KJT10" s="34"/>
      <c r="KJU10" s="72"/>
      <c r="KJV10" s="63"/>
      <c r="KJW10" s="34"/>
      <c r="KJX10" s="64"/>
      <c r="KJY10" s="4"/>
      <c r="KJZ10" s="65"/>
      <c r="KKA10" s="4"/>
      <c r="KKB10" s="4"/>
      <c r="KKC10" s="4"/>
      <c r="KKF10" s="34"/>
      <c r="KKG10" s="34"/>
      <c r="KKI10" s="34"/>
      <c r="KKJ10" s="72"/>
      <c r="KKK10" s="63"/>
      <c r="KKL10" s="34"/>
      <c r="KKM10" s="64"/>
      <c r="KKN10" s="4"/>
      <c r="KKO10" s="65"/>
      <c r="KKP10" s="4"/>
      <c r="KKQ10" s="4"/>
      <c r="KKR10" s="4"/>
      <c r="KKU10" s="34"/>
      <c r="KKV10" s="34"/>
      <c r="KKX10" s="34"/>
      <c r="KKY10" s="72"/>
      <c r="KKZ10" s="63"/>
      <c r="KLA10" s="34"/>
      <c r="KLB10" s="64"/>
      <c r="KLC10" s="4"/>
      <c r="KLD10" s="65"/>
      <c r="KLE10" s="4"/>
      <c r="KLF10" s="4"/>
      <c r="KLG10" s="4"/>
      <c r="KLJ10" s="34"/>
      <c r="KLK10" s="34"/>
      <c r="KLM10" s="34"/>
      <c r="KLN10" s="72"/>
      <c r="KLO10" s="63"/>
      <c r="KLP10" s="34"/>
      <c r="KLQ10" s="64"/>
      <c r="KLR10" s="4"/>
      <c r="KLS10" s="65"/>
      <c r="KLT10" s="4"/>
      <c r="KLU10" s="4"/>
      <c r="KLV10" s="4"/>
      <c r="KLY10" s="34"/>
      <c r="KLZ10" s="34"/>
      <c r="KMB10" s="34"/>
      <c r="KMC10" s="72"/>
      <c r="KMD10" s="63"/>
      <c r="KME10" s="34"/>
      <c r="KMF10" s="64"/>
      <c r="KMG10" s="4"/>
      <c r="KMH10" s="65"/>
      <c r="KMI10" s="4"/>
      <c r="KMJ10" s="4"/>
      <c r="KMK10" s="4"/>
      <c r="KMN10" s="34"/>
      <c r="KMO10" s="34"/>
      <c r="KMQ10" s="34"/>
      <c r="KMR10" s="72"/>
      <c r="KMS10" s="63"/>
      <c r="KMT10" s="34"/>
      <c r="KMU10" s="64"/>
      <c r="KMV10" s="4"/>
      <c r="KMW10" s="65"/>
      <c r="KMX10" s="4"/>
      <c r="KMY10" s="4"/>
      <c r="KMZ10" s="4"/>
      <c r="KNC10" s="34"/>
      <c r="KND10" s="34"/>
      <c r="KNF10" s="34"/>
      <c r="KNG10" s="72"/>
      <c r="KNH10" s="63"/>
      <c r="KNI10" s="34"/>
      <c r="KNJ10" s="64"/>
      <c r="KNK10" s="4"/>
      <c r="KNL10" s="65"/>
      <c r="KNM10" s="4"/>
      <c r="KNN10" s="4"/>
      <c r="KNO10" s="4"/>
      <c r="KNR10" s="34"/>
      <c r="KNS10" s="34"/>
      <c r="KNU10" s="34"/>
      <c r="KNV10" s="72"/>
      <c r="KNW10" s="63"/>
      <c r="KNX10" s="34"/>
      <c r="KNY10" s="64"/>
      <c r="KNZ10" s="4"/>
      <c r="KOA10" s="65"/>
      <c r="KOB10" s="4"/>
      <c r="KOC10" s="4"/>
      <c r="KOD10" s="4"/>
      <c r="KOG10" s="34"/>
      <c r="KOH10" s="34"/>
      <c r="KOJ10" s="34"/>
      <c r="KOK10" s="72"/>
      <c r="KOL10" s="63"/>
      <c r="KOM10" s="34"/>
      <c r="KON10" s="64"/>
      <c r="KOO10" s="4"/>
      <c r="KOP10" s="65"/>
      <c r="KOQ10" s="4"/>
      <c r="KOR10" s="4"/>
      <c r="KOS10" s="4"/>
      <c r="KOV10" s="34"/>
      <c r="KOW10" s="34"/>
      <c r="KOY10" s="34"/>
      <c r="KOZ10" s="72"/>
      <c r="KPA10" s="63"/>
      <c r="KPB10" s="34"/>
      <c r="KPC10" s="64"/>
      <c r="KPD10" s="4"/>
      <c r="KPE10" s="65"/>
      <c r="KPF10" s="4"/>
      <c r="KPG10" s="4"/>
      <c r="KPH10" s="4"/>
      <c r="KPK10" s="34"/>
      <c r="KPL10" s="34"/>
      <c r="KPN10" s="34"/>
      <c r="KPO10" s="72"/>
      <c r="KPP10" s="63"/>
      <c r="KPQ10" s="34"/>
      <c r="KPR10" s="64"/>
      <c r="KPS10" s="4"/>
      <c r="KPT10" s="65"/>
      <c r="KPU10" s="4"/>
      <c r="KPV10" s="4"/>
      <c r="KPW10" s="4"/>
      <c r="KPZ10" s="34"/>
      <c r="KQA10" s="34"/>
      <c r="KQC10" s="34"/>
      <c r="KQD10" s="72"/>
      <c r="KQE10" s="63"/>
      <c r="KQF10" s="34"/>
      <c r="KQG10" s="64"/>
      <c r="KQH10" s="4"/>
      <c r="KQI10" s="65"/>
      <c r="KQJ10" s="4"/>
      <c r="KQK10" s="4"/>
      <c r="KQL10" s="4"/>
      <c r="KQO10" s="34"/>
      <c r="KQP10" s="34"/>
      <c r="KQR10" s="34"/>
      <c r="KQS10" s="72"/>
      <c r="KQT10" s="63"/>
      <c r="KQU10" s="34"/>
      <c r="KQV10" s="64"/>
      <c r="KQW10" s="4"/>
      <c r="KQX10" s="65"/>
      <c r="KQY10" s="4"/>
      <c r="KQZ10" s="4"/>
      <c r="KRA10" s="4"/>
      <c r="KRD10" s="34"/>
      <c r="KRE10" s="34"/>
      <c r="KRG10" s="34"/>
      <c r="KRH10" s="72"/>
      <c r="KRI10" s="63"/>
      <c r="KRJ10" s="34"/>
      <c r="KRK10" s="64"/>
      <c r="KRL10" s="4"/>
      <c r="KRM10" s="65"/>
      <c r="KRN10" s="4"/>
      <c r="KRO10" s="4"/>
      <c r="KRP10" s="4"/>
      <c r="KRS10" s="34"/>
      <c r="KRT10" s="34"/>
      <c r="KRV10" s="34"/>
      <c r="KRW10" s="72"/>
      <c r="KRX10" s="63"/>
      <c r="KRY10" s="34"/>
      <c r="KRZ10" s="64"/>
      <c r="KSA10" s="4"/>
      <c r="KSB10" s="65"/>
      <c r="KSC10" s="4"/>
      <c r="KSD10" s="4"/>
      <c r="KSE10" s="4"/>
      <c r="KSH10" s="34"/>
      <c r="KSI10" s="34"/>
      <c r="KSK10" s="34"/>
      <c r="KSL10" s="72"/>
      <c r="KSM10" s="63"/>
      <c r="KSN10" s="34"/>
      <c r="KSO10" s="64"/>
      <c r="KSP10" s="4"/>
      <c r="KSQ10" s="65"/>
      <c r="KSR10" s="4"/>
      <c r="KSS10" s="4"/>
      <c r="KST10" s="4"/>
      <c r="KSW10" s="34"/>
      <c r="KSX10" s="34"/>
      <c r="KSZ10" s="34"/>
      <c r="KTA10" s="72"/>
      <c r="KTB10" s="63"/>
      <c r="KTC10" s="34"/>
      <c r="KTD10" s="64"/>
      <c r="KTE10" s="4"/>
      <c r="KTF10" s="65"/>
      <c r="KTG10" s="4"/>
      <c r="KTH10" s="4"/>
      <c r="KTI10" s="4"/>
      <c r="KTL10" s="34"/>
      <c r="KTM10" s="34"/>
      <c r="KTO10" s="34"/>
      <c r="KTP10" s="72"/>
      <c r="KTQ10" s="63"/>
      <c r="KTR10" s="34"/>
      <c r="KTS10" s="64"/>
      <c r="KTT10" s="4"/>
      <c r="KTU10" s="65"/>
      <c r="KTV10" s="4"/>
      <c r="KTW10" s="4"/>
      <c r="KTX10" s="4"/>
      <c r="KUA10" s="34"/>
      <c r="KUB10" s="34"/>
      <c r="KUD10" s="34"/>
      <c r="KUE10" s="72"/>
      <c r="KUF10" s="63"/>
      <c r="KUG10" s="34"/>
      <c r="KUH10" s="64"/>
      <c r="KUI10" s="4"/>
      <c r="KUJ10" s="65"/>
      <c r="KUK10" s="4"/>
      <c r="KUL10" s="4"/>
      <c r="KUM10" s="4"/>
      <c r="KUP10" s="34"/>
      <c r="KUQ10" s="34"/>
      <c r="KUS10" s="34"/>
      <c r="KUT10" s="72"/>
      <c r="KUU10" s="63"/>
      <c r="KUV10" s="34"/>
      <c r="KUW10" s="64"/>
      <c r="KUX10" s="4"/>
      <c r="KUY10" s="65"/>
      <c r="KUZ10" s="4"/>
      <c r="KVA10" s="4"/>
      <c r="KVB10" s="4"/>
      <c r="KVE10" s="34"/>
      <c r="KVF10" s="34"/>
      <c r="KVH10" s="34"/>
      <c r="KVI10" s="72"/>
      <c r="KVJ10" s="63"/>
      <c r="KVK10" s="34"/>
      <c r="KVL10" s="64"/>
      <c r="KVM10" s="4"/>
      <c r="KVN10" s="65"/>
      <c r="KVO10" s="4"/>
      <c r="KVP10" s="4"/>
      <c r="KVQ10" s="4"/>
      <c r="KVT10" s="34"/>
      <c r="KVU10" s="34"/>
      <c r="KVW10" s="34"/>
      <c r="KVX10" s="72"/>
      <c r="KVY10" s="63"/>
      <c r="KVZ10" s="34"/>
      <c r="KWA10" s="64"/>
      <c r="KWB10" s="4"/>
      <c r="KWC10" s="65"/>
      <c r="KWD10" s="4"/>
      <c r="KWE10" s="4"/>
      <c r="KWF10" s="4"/>
      <c r="KWI10" s="34"/>
      <c r="KWJ10" s="34"/>
      <c r="KWL10" s="34"/>
      <c r="KWM10" s="72"/>
      <c r="KWN10" s="63"/>
      <c r="KWO10" s="34"/>
      <c r="KWP10" s="64"/>
      <c r="KWQ10" s="4"/>
      <c r="KWR10" s="65"/>
      <c r="KWS10" s="4"/>
      <c r="KWT10" s="4"/>
      <c r="KWU10" s="4"/>
      <c r="KWX10" s="34"/>
      <c r="KWY10" s="34"/>
      <c r="KXA10" s="34"/>
      <c r="KXB10" s="72"/>
      <c r="KXC10" s="63"/>
      <c r="KXD10" s="34"/>
      <c r="KXE10" s="64"/>
      <c r="KXF10" s="4"/>
      <c r="KXG10" s="65"/>
      <c r="KXH10" s="4"/>
      <c r="KXI10" s="4"/>
      <c r="KXJ10" s="4"/>
      <c r="KXM10" s="34"/>
      <c r="KXN10" s="34"/>
      <c r="KXP10" s="34"/>
      <c r="KXQ10" s="72"/>
      <c r="KXR10" s="63"/>
      <c r="KXS10" s="34"/>
      <c r="KXT10" s="64"/>
      <c r="KXU10" s="4"/>
      <c r="KXV10" s="65"/>
      <c r="KXW10" s="4"/>
      <c r="KXX10" s="4"/>
      <c r="KXY10" s="4"/>
      <c r="KYB10" s="34"/>
      <c r="KYC10" s="34"/>
      <c r="KYE10" s="34"/>
      <c r="KYF10" s="72"/>
      <c r="KYG10" s="63"/>
      <c r="KYH10" s="34"/>
      <c r="KYI10" s="64"/>
      <c r="KYJ10" s="4"/>
      <c r="KYK10" s="65"/>
      <c r="KYL10" s="4"/>
      <c r="KYM10" s="4"/>
      <c r="KYN10" s="4"/>
      <c r="KYQ10" s="34"/>
      <c r="KYR10" s="34"/>
      <c r="KYT10" s="34"/>
      <c r="KYU10" s="72"/>
      <c r="KYV10" s="63"/>
      <c r="KYW10" s="34"/>
      <c r="KYX10" s="64"/>
      <c r="KYY10" s="4"/>
      <c r="KYZ10" s="65"/>
      <c r="KZA10" s="4"/>
      <c r="KZB10" s="4"/>
      <c r="KZC10" s="4"/>
      <c r="KZF10" s="34"/>
      <c r="KZG10" s="34"/>
      <c r="KZI10" s="34"/>
      <c r="KZJ10" s="72"/>
      <c r="KZK10" s="63"/>
      <c r="KZL10" s="34"/>
      <c r="KZM10" s="64"/>
      <c r="KZN10" s="4"/>
      <c r="KZO10" s="65"/>
      <c r="KZP10" s="4"/>
      <c r="KZQ10" s="4"/>
      <c r="KZR10" s="4"/>
      <c r="KZU10" s="34"/>
      <c r="KZV10" s="34"/>
      <c r="KZX10" s="34"/>
      <c r="KZY10" s="72"/>
      <c r="KZZ10" s="63"/>
      <c r="LAA10" s="34"/>
      <c r="LAB10" s="64"/>
      <c r="LAC10" s="4"/>
      <c r="LAD10" s="65"/>
      <c r="LAE10" s="4"/>
      <c r="LAF10" s="4"/>
      <c r="LAG10" s="4"/>
      <c r="LAJ10" s="34"/>
      <c r="LAK10" s="34"/>
      <c r="LAM10" s="34"/>
      <c r="LAN10" s="72"/>
      <c r="LAO10" s="63"/>
      <c r="LAP10" s="34"/>
      <c r="LAQ10" s="64"/>
      <c r="LAR10" s="4"/>
      <c r="LAS10" s="65"/>
      <c r="LAT10" s="4"/>
      <c r="LAU10" s="4"/>
      <c r="LAV10" s="4"/>
      <c r="LAY10" s="34"/>
      <c r="LAZ10" s="34"/>
      <c r="LBB10" s="34"/>
      <c r="LBC10" s="72"/>
      <c r="LBD10" s="63"/>
      <c r="LBE10" s="34"/>
      <c r="LBF10" s="64"/>
      <c r="LBG10" s="4"/>
      <c r="LBH10" s="65"/>
      <c r="LBI10" s="4"/>
      <c r="LBJ10" s="4"/>
      <c r="LBK10" s="4"/>
      <c r="LBN10" s="34"/>
      <c r="LBO10" s="34"/>
      <c r="LBQ10" s="34"/>
      <c r="LBR10" s="72"/>
      <c r="LBS10" s="63"/>
      <c r="LBT10" s="34"/>
      <c r="LBU10" s="64"/>
      <c r="LBV10" s="4"/>
      <c r="LBW10" s="65"/>
      <c r="LBX10" s="4"/>
      <c r="LBY10" s="4"/>
      <c r="LBZ10" s="4"/>
      <c r="LCC10" s="34"/>
      <c r="LCD10" s="34"/>
      <c r="LCF10" s="34"/>
      <c r="LCG10" s="72"/>
      <c r="LCH10" s="63"/>
      <c r="LCI10" s="34"/>
      <c r="LCJ10" s="64"/>
      <c r="LCK10" s="4"/>
      <c r="LCL10" s="65"/>
      <c r="LCM10" s="4"/>
      <c r="LCN10" s="4"/>
      <c r="LCO10" s="4"/>
      <c r="LCR10" s="34"/>
      <c r="LCS10" s="34"/>
      <c r="LCU10" s="34"/>
      <c r="LCV10" s="72"/>
      <c r="LCW10" s="63"/>
      <c r="LCX10" s="34"/>
      <c r="LCY10" s="64"/>
      <c r="LCZ10" s="4"/>
      <c r="LDA10" s="65"/>
      <c r="LDB10" s="4"/>
      <c r="LDC10" s="4"/>
      <c r="LDD10" s="4"/>
      <c r="LDG10" s="34"/>
      <c r="LDH10" s="34"/>
      <c r="LDJ10" s="34"/>
      <c r="LDK10" s="72"/>
      <c r="LDL10" s="63"/>
      <c r="LDM10" s="34"/>
      <c r="LDN10" s="64"/>
      <c r="LDO10" s="4"/>
      <c r="LDP10" s="65"/>
      <c r="LDQ10" s="4"/>
      <c r="LDR10" s="4"/>
      <c r="LDS10" s="4"/>
      <c r="LDV10" s="34"/>
      <c r="LDW10" s="34"/>
      <c r="LDY10" s="34"/>
      <c r="LDZ10" s="72"/>
      <c r="LEA10" s="63"/>
      <c r="LEB10" s="34"/>
      <c r="LEC10" s="64"/>
      <c r="LED10" s="4"/>
      <c r="LEE10" s="65"/>
      <c r="LEF10" s="4"/>
      <c r="LEG10" s="4"/>
      <c r="LEH10" s="4"/>
      <c r="LEK10" s="34"/>
      <c r="LEL10" s="34"/>
      <c r="LEN10" s="34"/>
      <c r="LEO10" s="72"/>
      <c r="LEP10" s="63"/>
      <c r="LEQ10" s="34"/>
      <c r="LER10" s="64"/>
      <c r="LES10" s="4"/>
      <c r="LET10" s="65"/>
      <c r="LEU10" s="4"/>
      <c r="LEV10" s="4"/>
      <c r="LEW10" s="4"/>
      <c r="LEZ10" s="34"/>
      <c r="LFA10" s="34"/>
      <c r="LFC10" s="34"/>
      <c r="LFD10" s="72"/>
      <c r="LFE10" s="63"/>
      <c r="LFF10" s="34"/>
      <c r="LFG10" s="64"/>
      <c r="LFH10" s="4"/>
      <c r="LFI10" s="65"/>
      <c r="LFJ10" s="4"/>
      <c r="LFK10" s="4"/>
      <c r="LFL10" s="4"/>
      <c r="LFO10" s="34"/>
      <c r="LFP10" s="34"/>
      <c r="LFR10" s="34"/>
      <c r="LFS10" s="72"/>
      <c r="LFT10" s="63"/>
      <c r="LFU10" s="34"/>
      <c r="LFV10" s="64"/>
      <c r="LFW10" s="4"/>
      <c r="LFX10" s="65"/>
      <c r="LFY10" s="4"/>
      <c r="LFZ10" s="4"/>
      <c r="LGA10" s="4"/>
      <c r="LGD10" s="34"/>
      <c r="LGE10" s="34"/>
      <c r="LGG10" s="34"/>
      <c r="LGH10" s="72"/>
      <c r="LGI10" s="63"/>
      <c r="LGJ10" s="34"/>
      <c r="LGK10" s="64"/>
      <c r="LGL10" s="4"/>
      <c r="LGM10" s="65"/>
      <c r="LGN10" s="4"/>
      <c r="LGO10" s="4"/>
      <c r="LGP10" s="4"/>
      <c r="LGS10" s="34"/>
      <c r="LGT10" s="34"/>
      <c r="LGV10" s="34"/>
      <c r="LGW10" s="72"/>
      <c r="LGX10" s="63"/>
      <c r="LGY10" s="34"/>
      <c r="LGZ10" s="64"/>
      <c r="LHA10" s="4"/>
      <c r="LHB10" s="65"/>
      <c r="LHC10" s="4"/>
      <c r="LHD10" s="4"/>
      <c r="LHE10" s="4"/>
      <c r="LHH10" s="34"/>
      <c r="LHI10" s="34"/>
      <c r="LHK10" s="34"/>
      <c r="LHL10" s="72"/>
      <c r="LHM10" s="63"/>
      <c r="LHN10" s="34"/>
      <c r="LHO10" s="64"/>
      <c r="LHP10" s="4"/>
      <c r="LHQ10" s="65"/>
      <c r="LHR10" s="4"/>
      <c r="LHS10" s="4"/>
      <c r="LHT10" s="4"/>
      <c r="LHW10" s="34"/>
      <c r="LHX10" s="34"/>
      <c r="LHZ10" s="34"/>
      <c r="LIA10" s="72"/>
      <c r="LIB10" s="63"/>
      <c r="LIC10" s="34"/>
      <c r="LID10" s="64"/>
      <c r="LIE10" s="4"/>
      <c r="LIF10" s="65"/>
      <c r="LIG10" s="4"/>
      <c r="LIH10" s="4"/>
      <c r="LII10" s="4"/>
      <c r="LIL10" s="34"/>
      <c r="LIM10" s="34"/>
      <c r="LIO10" s="34"/>
      <c r="LIP10" s="72"/>
      <c r="LIQ10" s="63"/>
      <c r="LIR10" s="34"/>
      <c r="LIS10" s="64"/>
      <c r="LIT10" s="4"/>
      <c r="LIU10" s="65"/>
      <c r="LIV10" s="4"/>
      <c r="LIW10" s="4"/>
      <c r="LIX10" s="4"/>
      <c r="LJA10" s="34"/>
      <c r="LJB10" s="34"/>
      <c r="LJD10" s="34"/>
      <c r="LJE10" s="72"/>
      <c r="LJF10" s="63"/>
      <c r="LJG10" s="34"/>
      <c r="LJH10" s="64"/>
      <c r="LJI10" s="4"/>
      <c r="LJJ10" s="65"/>
      <c r="LJK10" s="4"/>
      <c r="LJL10" s="4"/>
      <c r="LJM10" s="4"/>
      <c r="LJP10" s="34"/>
      <c r="LJQ10" s="34"/>
      <c r="LJS10" s="34"/>
      <c r="LJT10" s="72"/>
      <c r="LJU10" s="63"/>
      <c r="LJV10" s="34"/>
      <c r="LJW10" s="64"/>
      <c r="LJX10" s="4"/>
      <c r="LJY10" s="65"/>
      <c r="LJZ10" s="4"/>
      <c r="LKA10" s="4"/>
      <c r="LKB10" s="4"/>
      <c r="LKE10" s="34"/>
      <c r="LKF10" s="34"/>
      <c r="LKH10" s="34"/>
      <c r="LKI10" s="72"/>
      <c r="LKJ10" s="63"/>
      <c r="LKK10" s="34"/>
      <c r="LKL10" s="64"/>
      <c r="LKM10" s="4"/>
      <c r="LKN10" s="65"/>
      <c r="LKO10" s="4"/>
      <c r="LKP10" s="4"/>
      <c r="LKQ10" s="4"/>
      <c r="LKT10" s="34"/>
      <c r="LKU10" s="34"/>
      <c r="LKW10" s="34"/>
      <c r="LKX10" s="72"/>
      <c r="LKY10" s="63"/>
      <c r="LKZ10" s="34"/>
      <c r="LLA10" s="64"/>
      <c r="LLB10" s="4"/>
      <c r="LLC10" s="65"/>
      <c r="LLD10" s="4"/>
      <c r="LLE10" s="4"/>
      <c r="LLF10" s="4"/>
      <c r="LLI10" s="34"/>
      <c r="LLJ10" s="34"/>
      <c r="LLL10" s="34"/>
      <c r="LLM10" s="72"/>
      <c r="LLN10" s="63"/>
      <c r="LLO10" s="34"/>
      <c r="LLP10" s="64"/>
      <c r="LLQ10" s="4"/>
      <c r="LLR10" s="65"/>
      <c r="LLS10" s="4"/>
      <c r="LLT10" s="4"/>
      <c r="LLU10" s="4"/>
      <c r="LLX10" s="34"/>
      <c r="LLY10" s="34"/>
      <c r="LMA10" s="34"/>
      <c r="LMB10" s="72"/>
      <c r="LMC10" s="63"/>
      <c r="LMD10" s="34"/>
      <c r="LME10" s="64"/>
      <c r="LMF10" s="4"/>
      <c r="LMG10" s="65"/>
      <c r="LMH10" s="4"/>
      <c r="LMI10" s="4"/>
      <c r="LMJ10" s="4"/>
      <c r="LMM10" s="34"/>
      <c r="LMN10" s="34"/>
      <c r="LMP10" s="34"/>
      <c r="LMQ10" s="72"/>
      <c r="LMR10" s="63"/>
      <c r="LMS10" s="34"/>
      <c r="LMT10" s="64"/>
      <c r="LMU10" s="4"/>
      <c r="LMV10" s="65"/>
      <c r="LMW10" s="4"/>
      <c r="LMX10" s="4"/>
      <c r="LMY10" s="4"/>
      <c r="LNB10" s="34"/>
      <c r="LNC10" s="34"/>
      <c r="LNE10" s="34"/>
      <c r="LNF10" s="72"/>
      <c r="LNG10" s="63"/>
      <c r="LNH10" s="34"/>
      <c r="LNI10" s="64"/>
      <c r="LNJ10" s="4"/>
      <c r="LNK10" s="65"/>
      <c r="LNL10" s="4"/>
      <c r="LNM10" s="4"/>
      <c r="LNN10" s="4"/>
      <c r="LNQ10" s="34"/>
      <c r="LNR10" s="34"/>
      <c r="LNT10" s="34"/>
      <c r="LNU10" s="72"/>
      <c r="LNV10" s="63"/>
      <c r="LNW10" s="34"/>
      <c r="LNX10" s="64"/>
      <c r="LNY10" s="4"/>
      <c r="LNZ10" s="65"/>
      <c r="LOA10" s="4"/>
      <c r="LOB10" s="4"/>
      <c r="LOC10" s="4"/>
      <c r="LOF10" s="34"/>
      <c r="LOG10" s="34"/>
      <c r="LOI10" s="34"/>
      <c r="LOJ10" s="72"/>
      <c r="LOK10" s="63"/>
      <c r="LOL10" s="34"/>
      <c r="LOM10" s="64"/>
      <c r="LON10" s="4"/>
      <c r="LOO10" s="65"/>
      <c r="LOP10" s="4"/>
      <c r="LOQ10" s="4"/>
      <c r="LOR10" s="4"/>
      <c r="LOU10" s="34"/>
      <c r="LOV10" s="34"/>
      <c r="LOX10" s="34"/>
      <c r="LOY10" s="72"/>
      <c r="LOZ10" s="63"/>
      <c r="LPA10" s="34"/>
      <c r="LPB10" s="64"/>
      <c r="LPC10" s="4"/>
      <c r="LPD10" s="65"/>
      <c r="LPE10" s="4"/>
      <c r="LPF10" s="4"/>
      <c r="LPG10" s="4"/>
      <c r="LPJ10" s="34"/>
      <c r="LPK10" s="34"/>
      <c r="LPM10" s="34"/>
      <c r="LPN10" s="72"/>
      <c r="LPO10" s="63"/>
      <c r="LPP10" s="34"/>
      <c r="LPQ10" s="64"/>
      <c r="LPR10" s="4"/>
      <c r="LPS10" s="65"/>
      <c r="LPT10" s="4"/>
      <c r="LPU10" s="4"/>
      <c r="LPV10" s="4"/>
      <c r="LPY10" s="34"/>
      <c r="LPZ10" s="34"/>
      <c r="LQB10" s="34"/>
      <c r="LQC10" s="72"/>
      <c r="LQD10" s="63"/>
      <c r="LQE10" s="34"/>
      <c r="LQF10" s="64"/>
      <c r="LQG10" s="4"/>
      <c r="LQH10" s="65"/>
      <c r="LQI10" s="4"/>
      <c r="LQJ10" s="4"/>
      <c r="LQK10" s="4"/>
      <c r="LQN10" s="34"/>
      <c r="LQO10" s="34"/>
      <c r="LQQ10" s="34"/>
      <c r="LQR10" s="72"/>
      <c r="LQS10" s="63"/>
      <c r="LQT10" s="34"/>
      <c r="LQU10" s="64"/>
      <c r="LQV10" s="4"/>
      <c r="LQW10" s="65"/>
      <c r="LQX10" s="4"/>
      <c r="LQY10" s="4"/>
      <c r="LQZ10" s="4"/>
      <c r="LRC10" s="34"/>
      <c r="LRD10" s="34"/>
      <c r="LRF10" s="34"/>
      <c r="LRG10" s="72"/>
      <c r="LRH10" s="63"/>
      <c r="LRI10" s="34"/>
      <c r="LRJ10" s="64"/>
      <c r="LRK10" s="4"/>
      <c r="LRL10" s="65"/>
      <c r="LRM10" s="4"/>
      <c r="LRN10" s="4"/>
      <c r="LRO10" s="4"/>
      <c r="LRR10" s="34"/>
      <c r="LRS10" s="34"/>
      <c r="LRU10" s="34"/>
      <c r="LRV10" s="72"/>
      <c r="LRW10" s="63"/>
      <c r="LRX10" s="34"/>
      <c r="LRY10" s="64"/>
      <c r="LRZ10" s="4"/>
      <c r="LSA10" s="65"/>
      <c r="LSB10" s="4"/>
      <c r="LSC10" s="4"/>
      <c r="LSD10" s="4"/>
      <c r="LSG10" s="34"/>
      <c r="LSH10" s="34"/>
      <c r="LSJ10" s="34"/>
      <c r="LSK10" s="72"/>
      <c r="LSL10" s="63"/>
      <c r="LSM10" s="34"/>
      <c r="LSN10" s="64"/>
      <c r="LSO10" s="4"/>
      <c r="LSP10" s="65"/>
      <c r="LSQ10" s="4"/>
      <c r="LSR10" s="4"/>
      <c r="LSS10" s="4"/>
      <c r="LSV10" s="34"/>
      <c r="LSW10" s="34"/>
      <c r="LSY10" s="34"/>
      <c r="LSZ10" s="72"/>
      <c r="LTA10" s="63"/>
      <c r="LTB10" s="34"/>
      <c r="LTC10" s="64"/>
      <c r="LTD10" s="4"/>
      <c r="LTE10" s="65"/>
      <c r="LTF10" s="4"/>
      <c r="LTG10" s="4"/>
      <c r="LTH10" s="4"/>
      <c r="LTK10" s="34"/>
      <c r="LTL10" s="34"/>
      <c r="LTN10" s="34"/>
      <c r="LTO10" s="72"/>
      <c r="LTP10" s="63"/>
      <c r="LTQ10" s="34"/>
      <c r="LTR10" s="64"/>
      <c r="LTS10" s="4"/>
      <c r="LTT10" s="65"/>
      <c r="LTU10" s="4"/>
      <c r="LTV10" s="4"/>
      <c r="LTW10" s="4"/>
      <c r="LTZ10" s="34"/>
      <c r="LUA10" s="34"/>
      <c r="LUC10" s="34"/>
      <c r="LUD10" s="72"/>
      <c r="LUE10" s="63"/>
      <c r="LUF10" s="34"/>
      <c r="LUG10" s="64"/>
      <c r="LUH10" s="4"/>
      <c r="LUI10" s="65"/>
      <c r="LUJ10" s="4"/>
      <c r="LUK10" s="4"/>
      <c r="LUL10" s="4"/>
      <c r="LUO10" s="34"/>
      <c r="LUP10" s="34"/>
      <c r="LUR10" s="34"/>
      <c r="LUS10" s="72"/>
      <c r="LUT10" s="63"/>
      <c r="LUU10" s="34"/>
      <c r="LUV10" s="64"/>
      <c r="LUW10" s="4"/>
      <c r="LUX10" s="65"/>
      <c r="LUY10" s="4"/>
      <c r="LUZ10" s="4"/>
      <c r="LVA10" s="4"/>
      <c r="LVD10" s="34"/>
      <c r="LVE10" s="34"/>
      <c r="LVG10" s="34"/>
      <c r="LVH10" s="72"/>
      <c r="LVI10" s="63"/>
      <c r="LVJ10" s="34"/>
      <c r="LVK10" s="64"/>
      <c r="LVL10" s="4"/>
      <c r="LVM10" s="65"/>
      <c r="LVN10" s="4"/>
      <c r="LVO10" s="4"/>
      <c r="LVP10" s="4"/>
      <c r="LVS10" s="34"/>
      <c r="LVT10" s="34"/>
      <c r="LVV10" s="34"/>
      <c r="LVW10" s="72"/>
      <c r="LVX10" s="63"/>
      <c r="LVY10" s="34"/>
      <c r="LVZ10" s="64"/>
      <c r="LWA10" s="4"/>
      <c r="LWB10" s="65"/>
      <c r="LWC10" s="4"/>
      <c r="LWD10" s="4"/>
      <c r="LWE10" s="4"/>
      <c r="LWH10" s="34"/>
      <c r="LWI10" s="34"/>
      <c r="LWK10" s="34"/>
      <c r="LWL10" s="72"/>
      <c r="LWM10" s="63"/>
      <c r="LWN10" s="34"/>
      <c r="LWO10" s="64"/>
      <c r="LWP10" s="4"/>
      <c r="LWQ10" s="65"/>
      <c r="LWR10" s="4"/>
      <c r="LWS10" s="4"/>
      <c r="LWT10" s="4"/>
      <c r="LWW10" s="34"/>
      <c r="LWX10" s="34"/>
      <c r="LWZ10" s="34"/>
      <c r="LXA10" s="72"/>
      <c r="LXB10" s="63"/>
      <c r="LXC10" s="34"/>
      <c r="LXD10" s="64"/>
      <c r="LXE10" s="4"/>
      <c r="LXF10" s="65"/>
      <c r="LXG10" s="4"/>
      <c r="LXH10" s="4"/>
      <c r="LXI10" s="4"/>
      <c r="LXL10" s="34"/>
      <c r="LXM10" s="34"/>
      <c r="LXO10" s="34"/>
      <c r="LXP10" s="72"/>
      <c r="LXQ10" s="63"/>
      <c r="LXR10" s="34"/>
      <c r="LXS10" s="64"/>
      <c r="LXT10" s="4"/>
      <c r="LXU10" s="65"/>
      <c r="LXV10" s="4"/>
      <c r="LXW10" s="4"/>
      <c r="LXX10" s="4"/>
      <c r="LYA10" s="34"/>
      <c r="LYB10" s="34"/>
      <c r="LYD10" s="34"/>
      <c r="LYE10" s="72"/>
      <c r="LYF10" s="63"/>
      <c r="LYG10" s="34"/>
      <c r="LYH10" s="64"/>
      <c r="LYI10" s="4"/>
      <c r="LYJ10" s="65"/>
      <c r="LYK10" s="4"/>
      <c r="LYL10" s="4"/>
      <c r="LYM10" s="4"/>
      <c r="LYP10" s="34"/>
      <c r="LYQ10" s="34"/>
      <c r="LYS10" s="34"/>
      <c r="LYT10" s="72"/>
      <c r="LYU10" s="63"/>
      <c r="LYV10" s="34"/>
      <c r="LYW10" s="64"/>
      <c r="LYX10" s="4"/>
      <c r="LYY10" s="65"/>
      <c r="LYZ10" s="4"/>
      <c r="LZA10" s="4"/>
      <c r="LZB10" s="4"/>
      <c r="LZE10" s="34"/>
      <c r="LZF10" s="34"/>
      <c r="LZH10" s="34"/>
      <c r="LZI10" s="72"/>
      <c r="LZJ10" s="63"/>
      <c r="LZK10" s="34"/>
      <c r="LZL10" s="64"/>
      <c r="LZM10" s="4"/>
      <c r="LZN10" s="65"/>
      <c r="LZO10" s="4"/>
      <c r="LZP10" s="4"/>
      <c r="LZQ10" s="4"/>
      <c r="LZT10" s="34"/>
      <c r="LZU10" s="34"/>
      <c r="LZW10" s="34"/>
      <c r="LZX10" s="72"/>
      <c r="LZY10" s="63"/>
      <c r="LZZ10" s="34"/>
      <c r="MAA10" s="64"/>
      <c r="MAB10" s="4"/>
      <c r="MAC10" s="65"/>
      <c r="MAD10" s="4"/>
      <c r="MAE10" s="4"/>
      <c r="MAF10" s="4"/>
      <c r="MAI10" s="34"/>
      <c r="MAJ10" s="34"/>
      <c r="MAL10" s="34"/>
      <c r="MAM10" s="72"/>
      <c r="MAN10" s="63"/>
      <c r="MAO10" s="34"/>
      <c r="MAP10" s="64"/>
      <c r="MAQ10" s="4"/>
      <c r="MAR10" s="65"/>
      <c r="MAS10" s="4"/>
      <c r="MAT10" s="4"/>
      <c r="MAU10" s="4"/>
      <c r="MAX10" s="34"/>
      <c r="MAY10" s="34"/>
      <c r="MBA10" s="34"/>
      <c r="MBB10" s="72"/>
      <c r="MBC10" s="63"/>
      <c r="MBD10" s="34"/>
      <c r="MBE10" s="64"/>
      <c r="MBF10" s="4"/>
      <c r="MBG10" s="65"/>
      <c r="MBH10" s="4"/>
      <c r="MBI10" s="4"/>
      <c r="MBJ10" s="4"/>
      <c r="MBM10" s="34"/>
      <c r="MBN10" s="34"/>
      <c r="MBP10" s="34"/>
      <c r="MBQ10" s="72"/>
      <c r="MBR10" s="63"/>
      <c r="MBS10" s="34"/>
      <c r="MBT10" s="64"/>
      <c r="MBU10" s="4"/>
      <c r="MBV10" s="65"/>
      <c r="MBW10" s="4"/>
      <c r="MBX10" s="4"/>
      <c r="MBY10" s="4"/>
      <c r="MCB10" s="34"/>
      <c r="MCC10" s="34"/>
      <c r="MCE10" s="34"/>
      <c r="MCF10" s="72"/>
      <c r="MCG10" s="63"/>
      <c r="MCH10" s="34"/>
      <c r="MCI10" s="64"/>
      <c r="MCJ10" s="4"/>
      <c r="MCK10" s="65"/>
      <c r="MCL10" s="4"/>
      <c r="MCM10" s="4"/>
      <c r="MCN10" s="4"/>
      <c r="MCQ10" s="34"/>
      <c r="MCR10" s="34"/>
      <c r="MCT10" s="34"/>
      <c r="MCU10" s="72"/>
      <c r="MCV10" s="63"/>
      <c r="MCW10" s="34"/>
      <c r="MCX10" s="64"/>
      <c r="MCY10" s="4"/>
      <c r="MCZ10" s="65"/>
      <c r="MDA10" s="4"/>
      <c r="MDB10" s="4"/>
      <c r="MDC10" s="4"/>
      <c r="MDF10" s="34"/>
      <c r="MDG10" s="34"/>
      <c r="MDI10" s="34"/>
      <c r="MDJ10" s="72"/>
      <c r="MDK10" s="63"/>
      <c r="MDL10" s="34"/>
      <c r="MDM10" s="64"/>
      <c r="MDN10" s="4"/>
      <c r="MDO10" s="65"/>
      <c r="MDP10" s="4"/>
      <c r="MDQ10" s="4"/>
      <c r="MDR10" s="4"/>
      <c r="MDU10" s="34"/>
      <c r="MDV10" s="34"/>
      <c r="MDX10" s="34"/>
      <c r="MDY10" s="72"/>
      <c r="MDZ10" s="63"/>
      <c r="MEA10" s="34"/>
      <c r="MEB10" s="64"/>
      <c r="MEC10" s="4"/>
      <c r="MED10" s="65"/>
      <c r="MEE10" s="4"/>
      <c r="MEF10" s="4"/>
      <c r="MEG10" s="4"/>
      <c r="MEJ10" s="34"/>
      <c r="MEK10" s="34"/>
      <c r="MEM10" s="34"/>
      <c r="MEN10" s="72"/>
      <c r="MEO10" s="63"/>
      <c r="MEP10" s="34"/>
      <c r="MEQ10" s="64"/>
      <c r="MER10" s="4"/>
      <c r="MES10" s="65"/>
      <c r="MET10" s="4"/>
      <c r="MEU10" s="4"/>
      <c r="MEV10" s="4"/>
      <c r="MEY10" s="34"/>
      <c r="MEZ10" s="34"/>
      <c r="MFB10" s="34"/>
      <c r="MFC10" s="72"/>
      <c r="MFD10" s="63"/>
      <c r="MFE10" s="34"/>
      <c r="MFF10" s="64"/>
      <c r="MFG10" s="4"/>
      <c r="MFH10" s="65"/>
      <c r="MFI10" s="4"/>
      <c r="MFJ10" s="4"/>
      <c r="MFK10" s="4"/>
      <c r="MFN10" s="34"/>
      <c r="MFO10" s="34"/>
      <c r="MFQ10" s="34"/>
      <c r="MFR10" s="72"/>
      <c r="MFS10" s="63"/>
      <c r="MFT10" s="34"/>
      <c r="MFU10" s="64"/>
      <c r="MFV10" s="4"/>
      <c r="MFW10" s="65"/>
      <c r="MFX10" s="4"/>
      <c r="MFY10" s="4"/>
      <c r="MFZ10" s="4"/>
      <c r="MGC10" s="34"/>
      <c r="MGD10" s="34"/>
      <c r="MGF10" s="34"/>
      <c r="MGG10" s="72"/>
      <c r="MGH10" s="63"/>
      <c r="MGI10" s="34"/>
      <c r="MGJ10" s="64"/>
      <c r="MGK10" s="4"/>
      <c r="MGL10" s="65"/>
      <c r="MGM10" s="4"/>
      <c r="MGN10" s="4"/>
      <c r="MGO10" s="4"/>
      <c r="MGR10" s="34"/>
      <c r="MGS10" s="34"/>
      <c r="MGU10" s="34"/>
      <c r="MGV10" s="72"/>
      <c r="MGW10" s="63"/>
      <c r="MGX10" s="34"/>
      <c r="MGY10" s="64"/>
      <c r="MGZ10" s="4"/>
      <c r="MHA10" s="65"/>
      <c r="MHB10" s="4"/>
      <c r="MHC10" s="4"/>
      <c r="MHD10" s="4"/>
      <c r="MHG10" s="34"/>
      <c r="MHH10" s="34"/>
      <c r="MHJ10" s="34"/>
      <c r="MHK10" s="72"/>
      <c r="MHL10" s="63"/>
      <c r="MHM10" s="34"/>
      <c r="MHN10" s="64"/>
      <c r="MHO10" s="4"/>
      <c r="MHP10" s="65"/>
      <c r="MHQ10" s="4"/>
      <c r="MHR10" s="4"/>
      <c r="MHS10" s="4"/>
      <c r="MHV10" s="34"/>
      <c r="MHW10" s="34"/>
      <c r="MHY10" s="34"/>
      <c r="MHZ10" s="72"/>
      <c r="MIA10" s="63"/>
      <c r="MIB10" s="34"/>
      <c r="MIC10" s="64"/>
      <c r="MID10" s="4"/>
      <c r="MIE10" s="65"/>
      <c r="MIF10" s="4"/>
      <c r="MIG10" s="4"/>
      <c r="MIH10" s="4"/>
      <c r="MIK10" s="34"/>
      <c r="MIL10" s="34"/>
      <c r="MIN10" s="34"/>
      <c r="MIO10" s="72"/>
      <c r="MIP10" s="63"/>
      <c r="MIQ10" s="34"/>
      <c r="MIR10" s="64"/>
      <c r="MIS10" s="4"/>
      <c r="MIT10" s="65"/>
      <c r="MIU10" s="4"/>
      <c r="MIV10" s="4"/>
      <c r="MIW10" s="4"/>
      <c r="MIZ10" s="34"/>
      <c r="MJA10" s="34"/>
      <c r="MJC10" s="34"/>
      <c r="MJD10" s="72"/>
      <c r="MJE10" s="63"/>
      <c r="MJF10" s="34"/>
      <c r="MJG10" s="64"/>
      <c r="MJH10" s="4"/>
      <c r="MJI10" s="65"/>
      <c r="MJJ10" s="4"/>
      <c r="MJK10" s="4"/>
      <c r="MJL10" s="4"/>
      <c r="MJO10" s="34"/>
      <c r="MJP10" s="34"/>
      <c r="MJR10" s="34"/>
      <c r="MJS10" s="72"/>
      <c r="MJT10" s="63"/>
      <c r="MJU10" s="34"/>
      <c r="MJV10" s="64"/>
      <c r="MJW10" s="4"/>
      <c r="MJX10" s="65"/>
      <c r="MJY10" s="4"/>
      <c r="MJZ10" s="4"/>
      <c r="MKA10" s="4"/>
      <c r="MKD10" s="34"/>
      <c r="MKE10" s="34"/>
      <c r="MKG10" s="34"/>
      <c r="MKH10" s="72"/>
      <c r="MKI10" s="63"/>
      <c r="MKJ10" s="34"/>
      <c r="MKK10" s="64"/>
      <c r="MKL10" s="4"/>
      <c r="MKM10" s="65"/>
      <c r="MKN10" s="4"/>
      <c r="MKO10" s="4"/>
      <c r="MKP10" s="4"/>
      <c r="MKS10" s="34"/>
      <c r="MKT10" s="34"/>
      <c r="MKV10" s="34"/>
      <c r="MKW10" s="72"/>
      <c r="MKX10" s="63"/>
      <c r="MKY10" s="34"/>
      <c r="MKZ10" s="64"/>
      <c r="MLA10" s="4"/>
      <c r="MLB10" s="65"/>
      <c r="MLC10" s="4"/>
      <c r="MLD10" s="4"/>
      <c r="MLE10" s="4"/>
      <c r="MLH10" s="34"/>
      <c r="MLI10" s="34"/>
      <c r="MLK10" s="34"/>
      <c r="MLL10" s="72"/>
      <c r="MLM10" s="63"/>
      <c r="MLN10" s="34"/>
      <c r="MLO10" s="64"/>
      <c r="MLP10" s="4"/>
      <c r="MLQ10" s="65"/>
      <c r="MLR10" s="4"/>
      <c r="MLS10" s="4"/>
      <c r="MLT10" s="4"/>
      <c r="MLW10" s="34"/>
      <c r="MLX10" s="34"/>
      <c r="MLZ10" s="34"/>
      <c r="MMA10" s="72"/>
      <c r="MMB10" s="63"/>
      <c r="MMC10" s="34"/>
      <c r="MMD10" s="64"/>
      <c r="MME10" s="4"/>
      <c r="MMF10" s="65"/>
      <c r="MMG10" s="4"/>
      <c r="MMH10" s="4"/>
      <c r="MMI10" s="4"/>
      <c r="MML10" s="34"/>
      <c r="MMM10" s="34"/>
      <c r="MMO10" s="34"/>
      <c r="MMP10" s="72"/>
      <c r="MMQ10" s="63"/>
      <c r="MMR10" s="34"/>
      <c r="MMS10" s="64"/>
      <c r="MMT10" s="4"/>
      <c r="MMU10" s="65"/>
      <c r="MMV10" s="4"/>
      <c r="MMW10" s="4"/>
      <c r="MMX10" s="4"/>
      <c r="MNA10" s="34"/>
      <c r="MNB10" s="34"/>
      <c r="MND10" s="34"/>
      <c r="MNE10" s="72"/>
      <c r="MNF10" s="63"/>
      <c r="MNG10" s="34"/>
      <c r="MNH10" s="64"/>
      <c r="MNI10" s="4"/>
      <c r="MNJ10" s="65"/>
      <c r="MNK10" s="4"/>
      <c r="MNL10" s="4"/>
      <c r="MNM10" s="4"/>
      <c r="MNP10" s="34"/>
      <c r="MNQ10" s="34"/>
      <c r="MNS10" s="34"/>
      <c r="MNT10" s="72"/>
      <c r="MNU10" s="63"/>
      <c r="MNV10" s="34"/>
      <c r="MNW10" s="64"/>
      <c r="MNX10" s="4"/>
      <c r="MNY10" s="65"/>
      <c r="MNZ10" s="4"/>
      <c r="MOA10" s="4"/>
      <c r="MOB10" s="4"/>
      <c r="MOE10" s="34"/>
      <c r="MOF10" s="34"/>
      <c r="MOH10" s="34"/>
      <c r="MOI10" s="72"/>
      <c r="MOJ10" s="63"/>
      <c r="MOK10" s="34"/>
      <c r="MOL10" s="64"/>
      <c r="MOM10" s="4"/>
      <c r="MON10" s="65"/>
      <c r="MOO10" s="4"/>
      <c r="MOP10" s="4"/>
      <c r="MOQ10" s="4"/>
      <c r="MOT10" s="34"/>
      <c r="MOU10" s="34"/>
      <c r="MOW10" s="34"/>
      <c r="MOX10" s="72"/>
      <c r="MOY10" s="63"/>
      <c r="MOZ10" s="34"/>
      <c r="MPA10" s="64"/>
      <c r="MPB10" s="4"/>
      <c r="MPC10" s="65"/>
      <c r="MPD10" s="4"/>
      <c r="MPE10" s="4"/>
      <c r="MPF10" s="4"/>
      <c r="MPI10" s="34"/>
      <c r="MPJ10" s="34"/>
      <c r="MPL10" s="34"/>
      <c r="MPM10" s="72"/>
      <c r="MPN10" s="63"/>
      <c r="MPO10" s="34"/>
      <c r="MPP10" s="64"/>
      <c r="MPQ10" s="4"/>
      <c r="MPR10" s="65"/>
      <c r="MPS10" s="4"/>
      <c r="MPT10" s="4"/>
      <c r="MPU10" s="4"/>
      <c r="MPX10" s="34"/>
      <c r="MPY10" s="34"/>
      <c r="MQA10" s="34"/>
      <c r="MQB10" s="72"/>
      <c r="MQC10" s="63"/>
      <c r="MQD10" s="34"/>
      <c r="MQE10" s="64"/>
      <c r="MQF10" s="4"/>
      <c r="MQG10" s="65"/>
      <c r="MQH10" s="4"/>
      <c r="MQI10" s="4"/>
      <c r="MQJ10" s="4"/>
      <c r="MQM10" s="34"/>
      <c r="MQN10" s="34"/>
      <c r="MQP10" s="34"/>
      <c r="MQQ10" s="72"/>
      <c r="MQR10" s="63"/>
      <c r="MQS10" s="34"/>
      <c r="MQT10" s="64"/>
      <c r="MQU10" s="4"/>
      <c r="MQV10" s="65"/>
      <c r="MQW10" s="4"/>
      <c r="MQX10" s="4"/>
      <c r="MQY10" s="4"/>
      <c r="MRB10" s="34"/>
      <c r="MRC10" s="34"/>
      <c r="MRE10" s="34"/>
      <c r="MRF10" s="72"/>
      <c r="MRG10" s="63"/>
      <c r="MRH10" s="34"/>
      <c r="MRI10" s="64"/>
      <c r="MRJ10" s="4"/>
      <c r="MRK10" s="65"/>
      <c r="MRL10" s="4"/>
      <c r="MRM10" s="4"/>
      <c r="MRN10" s="4"/>
      <c r="MRQ10" s="34"/>
      <c r="MRR10" s="34"/>
      <c r="MRT10" s="34"/>
      <c r="MRU10" s="72"/>
      <c r="MRV10" s="63"/>
      <c r="MRW10" s="34"/>
      <c r="MRX10" s="64"/>
      <c r="MRY10" s="4"/>
      <c r="MRZ10" s="65"/>
      <c r="MSA10" s="4"/>
      <c r="MSB10" s="4"/>
      <c r="MSC10" s="4"/>
      <c r="MSF10" s="34"/>
      <c r="MSG10" s="34"/>
      <c r="MSI10" s="34"/>
      <c r="MSJ10" s="72"/>
      <c r="MSK10" s="63"/>
      <c r="MSL10" s="34"/>
      <c r="MSM10" s="64"/>
      <c r="MSN10" s="4"/>
      <c r="MSO10" s="65"/>
      <c r="MSP10" s="4"/>
      <c r="MSQ10" s="4"/>
      <c r="MSR10" s="4"/>
      <c r="MSU10" s="34"/>
      <c r="MSV10" s="34"/>
      <c r="MSX10" s="34"/>
      <c r="MSY10" s="72"/>
      <c r="MSZ10" s="63"/>
      <c r="MTA10" s="34"/>
      <c r="MTB10" s="64"/>
      <c r="MTC10" s="4"/>
      <c r="MTD10" s="65"/>
      <c r="MTE10" s="4"/>
      <c r="MTF10" s="4"/>
      <c r="MTG10" s="4"/>
      <c r="MTJ10" s="34"/>
      <c r="MTK10" s="34"/>
      <c r="MTM10" s="34"/>
      <c r="MTN10" s="72"/>
      <c r="MTO10" s="63"/>
      <c r="MTP10" s="34"/>
      <c r="MTQ10" s="64"/>
      <c r="MTR10" s="4"/>
      <c r="MTS10" s="65"/>
      <c r="MTT10" s="4"/>
      <c r="MTU10" s="4"/>
      <c r="MTV10" s="4"/>
      <c r="MTY10" s="34"/>
      <c r="MTZ10" s="34"/>
      <c r="MUB10" s="34"/>
      <c r="MUC10" s="72"/>
      <c r="MUD10" s="63"/>
      <c r="MUE10" s="34"/>
      <c r="MUF10" s="64"/>
      <c r="MUG10" s="4"/>
      <c r="MUH10" s="65"/>
      <c r="MUI10" s="4"/>
      <c r="MUJ10" s="4"/>
      <c r="MUK10" s="4"/>
      <c r="MUN10" s="34"/>
      <c r="MUO10" s="34"/>
      <c r="MUQ10" s="34"/>
      <c r="MUR10" s="72"/>
      <c r="MUS10" s="63"/>
      <c r="MUT10" s="34"/>
      <c r="MUU10" s="64"/>
      <c r="MUV10" s="4"/>
      <c r="MUW10" s="65"/>
      <c r="MUX10" s="4"/>
      <c r="MUY10" s="4"/>
      <c r="MUZ10" s="4"/>
      <c r="MVC10" s="34"/>
      <c r="MVD10" s="34"/>
      <c r="MVF10" s="34"/>
      <c r="MVG10" s="72"/>
      <c r="MVH10" s="63"/>
      <c r="MVI10" s="34"/>
      <c r="MVJ10" s="64"/>
      <c r="MVK10" s="4"/>
      <c r="MVL10" s="65"/>
      <c r="MVM10" s="4"/>
      <c r="MVN10" s="4"/>
      <c r="MVO10" s="4"/>
      <c r="MVR10" s="34"/>
      <c r="MVS10" s="34"/>
      <c r="MVU10" s="34"/>
      <c r="MVV10" s="72"/>
      <c r="MVW10" s="63"/>
      <c r="MVX10" s="34"/>
      <c r="MVY10" s="64"/>
      <c r="MVZ10" s="4"/>
      <c r="MWA10" s="65"/>
      <c r="MWB10" s="4"/>
      <c r="MWC10" s="4"/>
      <c r="MWD10" s="4"/>
      <c r="MWG10" s="34"/>
      <c r="MWH10" s="34"/>
      <c r="MWJ10" s="34"/>
      <c r="MWK10" s="72"/>
      <c r="MWL10" s="63"/>
      <c r="MWM10" s="34"/>
      <c r="MWN10" s="64"/>
      <c r="MWO10" s="4"/>
      <c r="MWP10" s="65"/>
      <c r="MWQ10" s="4"/>
      <c r="MWR10" s="4"/>
      <c r="MWS10" s="4"/>
      <c r="MWV10" s="34"/>
      <c r="MWW10" s="34"/>
      <c r="MWY10" s="34"/>
      <c r="MWZ10" s="72"/>
      <c r="MXA10" s="63"/>
      <c r="MXB10" s="34"/>
      <c r="MXC10" s="64"/>
      <c r="MXD10" s="4"/>
      <c r="MXE10" s="65"/>
      <c r="MXF10" s="4"/>
      <c r="MXG10" s="4"/>
      <c r="MXH10" s="4"/>
      <c r="MXK10" s="34"/>
      <c r="MXL10" s="34"/>
      <c r="MXN10" s="34"/>
      <c r="MXO10" s="72"/>
      <c r="MXP10" s="63"/>
      <c r="MXQ10" s="34"/>
      <c r="MXR10" s="64"/>
      <c r="MXS10" s="4"/>
      <c r="MXT10" s="65"/>
      <c r="MXU10" s="4"/>
      <c r="MXV10" s="4"/>
      <c r="MXW10" s="4"/>
      <c r="MXZ10" s="34"/>
      <c r="MYA10" s="34"/>
      <c r="MYC10" s="34"/>
      <c r="MYD10" s="72"/>
      <c r="MYE10" s="63"/>
      <c r="MYF10" s="34"/>
      <c r="MYG10" s="64"/>
      <c r="MYH10" s="4"/>
      <c r="MYI10" s="65"/>
      <c r="MYJ10" s="4"/>
      <c r="MYK10" s="4"/>
      <c r="MYL10" s="4"/>
      <c r="MYO10" s="34"/>
      <c r="MYP10" s="34"/>
      <c r="MYR10" s="34"/>
      <c r="MYS10" s="72"/>
      <c r="MYT10" s="63"/>
      <c r="MYU10" s="34"/>
      <c r="MYV10" s="64"/>
      <c r="MYW10" s="4"/>
      <c r="MYX10" s="65"/>
      <c r="MYY10" s="4"/>
      <c r="MYZ10" s="4"/>
      <c r="MZA10" s="4"/>
      <c r="MZD10" s="34"/>
      <c r="MZE10" s="34"/>
      <c r="MZG10" s="34"/>
      <c r="MZH10" s="72"/>
      <c r="MZI10" s="63"/>
      <c r="MZJ10" s="34"/>
      <c r="MZK10" s="64"/>
      <c r="MZL10" s="4"/>
      <c r="MZM10" s="65"/>
      <c r="MZN10" s="4"/>
      <c r="MZO10" s="4"/>
      <c r="MZP10" s="4"/>
      <c r="MZS10" s="34"/>
      <c r="MZT10" s="34"/>
      <c r="MZV10" s="34"/>
      <c r="MZW10" s="72"/>
      <c r="MZX10" s="63"/>
      <c r="MZY10" s="34"/>
      <c r="MZZ10" s="64"/>
      <c r="NAA10" s="4"/>
      <c r="NAB10" s="65"/>
      <c r="NAC10" s="4"/>
      <c r="NAD10" s="4"/>
      <c r="NAE10" s="4"/>
      <c r="NAH10" s="34"/>
      <c r="NAI10" s="34"/>
      <c r="NAK10" s="34"/>
      <c r="NAL10" s="72"/>
      <c r="NAM10" s="63"/>
      <c r="NAN10" s="34"/>
      <c r="NAO10" s="64"/>
      <c r="NAP10" s="4"/>
      <c r="NAQ10" s="65"/>
      <c r="NAR10" s="4"/>
      <c r="NAS10" s="4"/>
      <c r="NAT10" s="4"/>
      <c r="NAW10" s="34"/>
      <c r="NAX10" s="34"/>
      <c r="NAZ10" s="34"/>
      <c r="NBA10" s="72"/>
      <c r="NBB10" s="63"/>
      <c r="NBC10" s="34"/>
      <c r="NBD10" s="64"/>
      <c r="NBE10" s="4"/>
      <c r="NBF10" s="65"/>
      <c r="NBG10" s="4"/>
      <c r="NBH10" s="4"/>
      <c r="NBI10" s="4"/>
      <c r="NBL10" s="34"/>
      <c r="NBM10" s="34"/>
      <c r="NBO10" s="34"/>
      <c r="NBP10" s="72"/>
      <c r="NBQ10" s="63"/>
      <c r="NBR10" s="34"/>
      <c r="NBS10" s="64"/>
      <c r="NBT10" s="4"/>
      <c r="NBU10" s="65"/>
      <c r="NBV10" s="4"/>
      <c r="NBW10" s="4"/>
      <c r="NBX10" s="4"/>
      <c r="NCA10" s="34"/>
      <c r="NCB10" s="34"/>
      <c r="NCD10" s="34"/>
      <c r="NCE10" s="72"/>
      <c r="NCF10" s="63"/>
      <c r="NCG10" s="34"/>
      <c r="NCH10" s="64"/>
      <c r="NCI10" s="4"/>
      <c r="NCJ10" s="65"/>
      <c r="NCK10" s="4"/>
      <c r="NCL10" s="4"/>
      <c r="NCM10" s="4"/>
      <c r="NCP10" s="34"/>
      <c r="NCQ10" s="34"/>
      <c r="NCS10" s="34"/>
      <c r="NCT10" s="72"/>
      <c r="NCU10" s="63"/>
      <c r="NCV10" s="34"/>
      <c r="NCW10" s="64"/>
      <c r="NCX10" s="4"/>
      <c r="NCY10" s="65"/>
      <c r="NCZ10" s="4"/>
      <c r="NDA10" s="4"/>
      <c r="NDB10" s="4"/>
      <c r="NDE10" s="34"/>
      <c r="NDF10" s="34"/>
      <c r="NDH10" s="34"/>
      <c r="NDI10" s="72"/>
      <c r="NDJ10" s="63"/>
      <c r="NDK10" s="34"/>
      <c r="NDL10" s="64"/>
      <c r="NDM10" s="4"/>
      <c r="NDN10" s="65"/>
      <c r="NDO10" s="4"/>
      <c r="NDP10" s="4"/>
      <c r="NDQ10" s="4"/>
      <c r="NDT10" s="34"/>
      <c r="NDU10" s="34"/>
      <c r="NDW10" s="34"/>
      <c r="NDX10" s="72"/>
      <c r="NDY10" s="63"/>
      <c r="NDZ10" s="34"/>
      <c r="NEA10" s="64"/>
      <c r="NEB10" s="4"/>
      <c r="NEC10" s="65"/>
      <c r="NED10" s="4"/>
      <c r="NEE10" s="4"/>
      <c r="NEF10" s="4"/>
      <c r="NEI10" s="34"/>
      <c r="NEJ10" s="34"/>
      <c r="NEL10" s="34"/>
      <c r="NEM10" s="72"/>
      <c r="NEN10" s="63"/>
      <c r="NEO10" s="34"/>
      <c r="NEP10" s="64"/>
      <c r="NEQ10" s="4"/>
      <c r="NER10" s="65"/>
      <c r="NES10" s="4"/>
      <c r="NET10" s="4"/>
      <c r="NEU10" s="4"/>
      <c r="NEX10" s="34"/>
      <c r="NEY10" s="34"/>
      <c r="NFA10" s="34"/>
      <c r="NFB10" s="72"/>
      <c r="NFC10" s="63"/>
      <c r="NFD10" s="34"/>
      <c r="NFE10" s="64"/>
      <c r="NFF10" s="4"/>
      <c r="NFG10" s="65"/>
      <c r="NFH10" s="4"/>
      <c r="NFI10" s="4"/>
      <c r="NFJ10" s="4"/>
      <c r="NFM10" s="34"/>
      <c r="NFN10" s="34"/>
      <c r="NFP10" s="34"/>
      <c r="NFQ10" s="72"/>
      <c r="NFR10" s="63"/>
      <c r="NFS10" s="34"/>
      <c r="NFT10" s="64"/>
      <c r="NFU10" s="4"/>
      <c r="NFV10" s="65"/>
      <c r="NFW10" s="4"/>
      <c r="NFX10" s="4"/>
      <c r="NFY10" s="4"/>
      <c r="NGB10" s="34"/>
      <c r="NGC10" s="34"/>
      <c r="NGE10" s="34"/>
      <c r="NGF10" s="72"/>
      <c r="NGG10" s="63"/>
      <c r="NGH10" s="34"/>
      <c r="NGI10" s="64"/>
      <c r="NGJ10" s="4"/>
      <c r="NGK10" s="65"/>
      <c r="NGL10" s="4"/>
      <c r="NGM10" s="4"/>
      <c r="NGN10" s="4"/>
      <c r="NGQ10" s="34"/>
      <c r="NGR10" s="34"/>
      <c r="NGT10" s="34"/>
      <c r="NGU10" s="72"/>
      <c r="NGV10" s="63"/>
      <c r="NGW10" s="34"/>
      <c r="NGX10" s="64"/>
      <c r="NGY10" s="4"/>
      <c r="NGZ10" s="65"/>
      <c r="NHA10" s="4"/>
      <c r="NHB10" s="4"/>
      <c r="NHC10" s="4"/>
      <c r="NHF10" s="34"/>
      <c r="NHG10" s="34"/>
      <c r="NHI10" s="34"/>
      <c r="NHJ10" s="72"/>
      <c r="NHK10" s="63"/>
      <c r="NHL10" s="34"/>
      <c r="NHM10" s="64"/>
      <c r="NHN10" s="4"/>
      <c r="NHO10" s="65"/>
      <c r="NHP10" s="4"/>
      <c r="NHQ10" s="4"/>
      <c r="NHR10" s="4"/>
      <c r="NHU10" s="34"/>
      <c r="NHV10" s="34"/>
      <c r="NHX10" s="34"/>
      <c r="NHY10" s="72"/>
      <c r="NHZ10" s="63"/>
      <c r="NIA10" s="34"/>
      <c r="NIB10" s="64"/>
      <c r="NIC10" s="4"/>
      <c r="NID10" s="65"/>
      <c r="NIE10" s="4"/>
      <c r="NIF10" s="4"/>
      <c r="NIG10" s="4"/>
      <c r="NIJ10" s="34"/>
      <c r="NIK10" s="34"/>
      <c r="NIM10" s="34"/>
      <c r="NIN10" s="72"/>
      <c r="NIO10" s="63"/>
      <c r="NIP10" s="34"/>
      <c r="NIQ10" s="64"/>
      <c r="NIR10" s="4"/>
      <c r="NIS10" s="65"/>
      <c r="NIT10" s="4"/>
      <c r="NIU10" s="4"/>
      <c r="NIV10" s="4"/>
      <c r="NIY10" s="34"/>
      <c r="NIZ10" s="34"/>
      <c r="NJB10" s="34"/>
      <c r="NJC10" s="72"/>
      <c r="NJD10" s="63"/>
      <c r="NJE10" s="34"/>
      <c r="NJF10" s="64"/>
      <c r="NJG10" s="4"/>
      <c r="NJH10" s="65"/>
      <c r="NJI10" s="4"/>
      <c r="NJJ10" s="4"/>
      <c r="NJK10" s="4"/>
      <c r="NJN10" s="34"/>
      <c r="NJO10" s="34"/>
      <c r="NJQ10" s="34"/>
      <c r="NJR10" s="72"/>
      <c r="NJS10" s="63"/>
      <c r="NJT10" s="34"/>
      <c r="NJU10" s="64"/>
      <c r="NJV10" s="4"/>
      <c r="NJW10" s="65"/>
      <c r="NJX10" s="4"/>
      <c r="NJY10" s="4"/>
      <c r="NJZ10" s="4"/>
      <c r="NKC10" s="34"/>
      <c r="NKD10" s="34"/>
      <c r="NKF10" s="34"/>
      <c r="NKG10" s="72"/>
      <c r="NKH10" s="63"/>
      <c r="NKI10" s="34"/>
      <c r="NKJ10" s="64"/>
      <c r="NKK10" s="4"/>
      <c r="NKL10" s="65"/>
      <c r="NKM10" s="4"/>
      <c r="NKN10" s="4"/>
      <c r="NKO10" s="4"/>
      <c r="NKR10" s="34"/>
      <c r="NKS10" s="34"/>
      <c r="NKU10" s="34"/>
      <c r="NKV10" s="72"/>
      <c r="NKW10" s="63"/>
      <c r="NKX10" s="34"/>
      <c r="NKY10" s="64"/>
      <c r="NKZ10" s="4"/>
      <c r="NLA10" s="65"/>
      <c r="NLB10" s="4"/>
      <c r="NLC10" s="4"/>
      <c r="NLD10" s="4"/>
      <c r="NLG10" s="34"/>
      <c r="NLH10" s="34"/>
      <c r="NLJ10" s="34"/>
      <c r="NLK10" s="72"/>
      <c r="NLL10" s="63"/>
      <c r="NLM10" s="34"/>
      <c r="NLN10" s="64"/>
      <c r="NLO10" s="4"/>
      <c r="NLP10" s="65"/>
      <c r="NLQ10" s="4"/>
      <c r="NLR10" s="4"/>
      <c r="NLS10" s="4"/>
      <c r="NLV10" s="34"/>
      <c r="NLW10" s="34"/>
      <c r="NLY10" s="34"/>
      <c r="NLZ10" s="72"/>
      <c r="NMA10" s="63"/>
      <c r="NMB10" s="34"/>
      <c r="NMC10" s="64"/>
      <c r="NMD10" s="4"/>
      <c r="NME10" s="65"/>
      <c r="NMF10" s="4"/>
      <c r="NMG10" s="4"/>
      <c r="NMH10" s="4"/>
      <c r="NMK10" s="34"/>
      <c r="NML10" s="34"/>
      <c r="NMN10" s="34"/>
      <c r="NMO10" s="72"/>
      <c r="NMP10" s="63"/>
      <c r="NMQ10" s="34"/>
      <c r="NMR10" s="64"/>
      <c r="NMS10" s="4"/>
      <c r="NMT10" s="65"/>
      <c r="NMU10" s="4"/>
      <c r="NMV10" s="4"/>
      <c r="NMW10" s="4"/>
      <c r="NMZ10" s="34"/>
      <c r="NNA10" s="34"/>
      <c r="NNC10" s="34"/>
      <c r="NND10" s="72"/>
      <c r="NNE10" s="63"/>
      <c r="NNF10" s="34"/>
      <c r="NNG10" s="64"/>
      <c r="NNH10" s="4"/>
      <c r="NNI10" s="65"/>
      <c r="NNJ10" s="4"/>
      <c r="NNK10" s="4"/>
      <c r="NNL10" s="4"/>
      <c r="NNO10" s="34"/>
      <c r="NNP10" s="34"/>
      <c r="NNR10" s="34"/>
      <c r="NNS10" s="72"/>
      <c r="NNT10" s="63"/>
      <c r="NNU10" s="34"/>
      <c r="NNV10" s="64"/>
      <c r="NNW10" s="4"/>
      <c r="NNX10" s="65"/>
      <c r="NNY10" s="4"/>
      <c r="NNZ10" s="4"/>
      <c r="NOA10" s="4"/>
      <c r="NOD10" s="34"/>
      <c r="NOE10" s="34"/>
      <c r="NOG10" s="34"/>
      <c r="NOH10" s="72"/>
      <c r="NOI10" s="63"/>
      <c r="NOJ10" s="34"/>
      <c r="NOK10" s="64"/>
      <c r="NOL10" s="4"/>
      <c r="NOM10" s="65"/>
      <c r="NON10" s="4"/>
      <c r="NOO10" s="4"/>
      <c r="NOP10" s="4"/>
      <c r="NOS10" s="34"/>
      <c r="NOT10" s="34"/>
      <c r="NOV10" s="34"/>
      <c r="NOW10" s="72"/>
      <c r="NOX10" s="63"/>
      <c r="NOY10" s="34"/>
      <c r="NOZ10" s="64"/>
      <c r="NPA10" s="4"/>
      <c r="NPB10" s="65"/>
      <c r="NPC10" s="4"/>
      <c r="NPD10" s="4"/>
      <c r="NPE10" s="4"/>
      <c r="NPH10" s="34"/>
      <c r="NPI10" s="34"/>
      <c r="NPK10" s="34"/>
      <c r="NPL10" s="72"/>
      <c r="NPM10" s="63"/>
      <c r="NPN10" s="34"/>
      <c r="NPO10" s="64"/>
      <c r="NPP10" s="4"/>
      <c r="NPQ10" s="65"/>
      <c r="NPR10" s="4"/>
      <c r="NPS10" s="4"/>
      <c r="NPT10" s="4"/>
      <c r="NPW10" s="34"/>
      <c r="NPX10" s="34"/>
      <c r="NPZ10" s="34"/>
      <c r="NQA10" s="72"/>
      <c r="NQB10" s="63"/>
      <c r="NQC10" s="34"/>
      <c r="NQD10" s="64"/>
      <c r="NQE10" s="4"/>
      <c r="NQF10" s="65"/>
      <c r="NQG10" s="4"/>
      <c r="NQH10" s="4"/>
      <c r="NQI10" s="4"/>
      <c r="NQL10" s="34"/>
      <c r="NQM10" s="34"/>
      <c r="NQO10" s="34"/>
      <c r="NQP10" s="72"/>
      <c r="NQQ10" s="63"/>
      <c r="NQR10" s="34"/>
      <c r="NQS10" s="64"/>
      <c r="NQT10" s="4"/>
      <c r="NQU10" s="65"/>
      <c r="NQV10" s="4"/>
      <c r="NQW10" s="4"/>
      <c r="NQX10" s="4"/>
      <c r="NRA10" s="34"/>
      <c r="NRB10" s="34"/>
      <c r="NRD10" s="34"/>
      <c r="NRE10" s="72"/>
      <c r="NRF10" s="63"/>
      <c r="NRG10" s="34"/>
      <c r="NRH10" s="64"/>
      <c r="NRI10" s="4"/>
      <c r="NRJ10" s="65"/>
      <c r="NRK10" s="4"/>
      <c r="NRL10" s="4"/>
      <c r="NRM10" s="4"/>
      <c r="NRP10" s="34"/>
      <c r="NRQ10" s="34"/>
      <c r="NRS10" s="34"/>
      <c r="NRT10" s="72"/>
      <c r="NRU10" s="63"/>
      <c r="NRV10" s="34"/>
      <c r="NRW10" s="64"/>
      <c r="NRX10" s="4"/>
      <c r="NRY10" s="65"/>
      <c r="NRZ10" s="4"/>
      <c r="NSA10" s="4"/>
      <c r="NSB10" s="4"/>
      <c r="NSE10" s="34"/>
      <c r="NSF10" s="34"/>
      <c r="NSH10" s="34"/>
      <c r="NSI10" s="72"/>
      <c r="NSJ10" s="63"/>
      <c r="NSK10" s="34"/>
      <c r="NSL10" s="64"/>
      <c r="NSM10" s="4"/>
      <c r="NSN10" s="65"/>
      <c r="NSO10" s="4"/>
      <c r="NSP10" s="4"/>
      <c r="NSQ10" s="4"/>
      <c r="NST10" s="34"/>
      <c r="NSU10" s="34"/>
      <c r="NSW10" s="34"/>
      <c r="NSX10" s="72"/>
      <c r="NSY10" s="63"/>
      <c r="NSZ10" s="34"/>
      <c r="NTA10" s="64"/>
      <c r="NTB10" s="4"/>
      <c r="NTC10" s="65"/>
      <c r="NTD10" s="4"/>
      <c r="NTE10" s="4"/>
      <c r="NTF10" s="4"/>
      <c r="NTI10" s="34"/>
      <c r="NTJ10" s="34"/>
      <c r="NTL10" s="34"/>
      <c r="NTM10" s="72"/>
      <c r="NTN10" s="63"/>
      <c r="NTO10" s="34"/>
      <c r="NTP10" s="64"/>
      <c r="NTQ10" s="4"/>
      <c r="NTR10" s="65"/>
      <c r="NTS10" s="4"/>
      <c r="NTT10" s="4"/>
      <c r="NTU10" s="4"/>
      <c r="NTX10" s="34"/>
      <c r="NTY10" s="34"/>
      <c r="NUA10" s="34"/>
      <c r="NUB10" s="72"/>
      <c r="NUC10" s="63"/>
      <c r="NUD10" s="34"/>
      <c r="NUE10" s="64"/>
      <c r="NUF10" s="4"/>
      <c r="NUG10" s="65"/>
      <c r="NUH10" s="4"/>
      <c r="NUI10" s="4"/>
      <c r="NUJ10" s="4"/>
      <c r="NUM10" s="34"/>
      <c r="NUN10" s="34"/>
      <c r="NUP10" s="34"/>
      <c r="NUQ10" s="72"/>
      <c r="NUR10" s="63"/>
      <c r="NUS10" s="34"/>
      <c r="NUT10" s="64"/>
      <c r="NUU10" s="4"/>
      <c r="NUV10" s="65"/>
      <c r="NUW10" s="4"/>
      <c r="NUX10" s="4"/>
      <c r="NUY10" s="4"/>
      <c r="NVB10" s="34"/>
      <c r="NVC10" s="34"/>
      <c r="NVE10" s="34"/>
      <c r="NVF10" s="72"/>
      <c r="NVG10" s="63"/>
      <c r="NVH10" s="34"/>
      <c r="NVI10" s="64"/>
      <c r="NVJ10" s="4"/>
      <c r="NVK10" s="65"/>
      <c r="NVL10" s="4"/>
      <c r="NVM10" s="4"/>
      <c r="NVN10" s="4"/>
      <c r="NVQ10" s="34"/>
      <c r="NVR10" s="34"/>
      <c r="NVT10" s="34"/>
      <c r="NVU10" s="72"/>
      <c r="NVV10" s="63"/>
      <c r="NVW10" s="34"/>
      <c r="NVX10" s="64"/>
      <c r="NVY10" s="4"/>
      <c r="NVZ10" s="65"/>
      <c r="NWA10" s="4"/>
      <c r="NWB10" s="4"/>
      <c r="NWC10" s="4"/>
      <c r="NWF10" s="34"/>
      <c r="NWG10" s="34"/>
      <c r="NWI10" s="34"/>
      <c r="NWJ10" s="72"/>
      <c r="NWK10" s="63"/>
      <c r="NWL10" s="34"/>
      <c r="NWM10" s="64"/>
      <c r="NWN10" s="4"/>
      <c r="NWO10" s="65"/>
      <c r="NWP10" s="4"/>
      <c r="NWQ10" s="4"/>
      <c r="NWR10" s="4"/>
      <c r="NWU10" s="34"/>
      <c r="NWV10" s="34"/>
      <c r="NWX10" s="34"/>
      <c r="NWY10" s="72"/>
      <c r="NWZ10" s="63"/>
      <c r="NXA10" s="34"/>
      <c r="NXB10" s="64"/>
      <c r="NXC10" s="4"/>
      <c r="NXD10" s="65"/>
      <c r="NXE10" s="4"/>
      <c r="NXF10" s="4"/>
      <c r="NXG10" s="4"/>
      <c r="NXJ10" s="34"/>
      <c r="NXK10" s="34"/>
      <c r="NXM10" s="34"/>
      <c r="NXN10" s="72"/>
      <c r="NXO10" s="63"/>
      <c r="NXP10" s="34"/>
      <c r="NXQ10" s="64"/>
      <c r="NXR10" s="4"/>
      <c r="NXS10" s="65"/>
      <c r="NXT10" s="4"/>
      <c r="NXU10" s="4"/>
      <c r="NXV10" s="4"/>
      <c r="NXY10" s="34"/>
      <c r="NXZ10" s="34"/>
      <c r="NYB10" s="34"/>
      <c r="NYC10" s="72"/>
      <c r="NYD10" s="63"/>
      <c r="NYE10" s="34"/>
      <c r="NYF10" s="64"/>
      <c r="NYG10" s="4"/>
      <c r="NYH10" s="65"/>
      <c r="NYI10" s="4"/>
      <c r="NYJ10" s="4"/>
      <c r="NYK10" s="4"/>
      <c r="NYN10" s="34"/>
      <c r="NYO10" s="34"/>
      <c r="NYQ10" s="34"/>
      <c r="NYR10" s="72"/>
      <c r="NYS10" s="63"/>
      <c r="NYT10" s="34"/>
      <c r="NYU10" s="64"/>
      <c r="NYV10" s="4"/>
      <c r="NYW10" s="65"/>
      <c r="NYX10" s="4"/>
      <c r="NYY10" s="4"/>
      <c r="NYZ10" s="4"/>
      <c r="NZC10" s="34"/>
      <c r="NZD10" s="34"/>
      <c r="NZF10" s="34"/>
      <c r="NZG10" s="72"/>
      <c r="NZH10" s="63"/>
      <c r="NZI10" s="34"/>
      <c r="NZJ10" s="64"/>
      <c r="NZK10" s="4"/>
      <c r="NZL10" s="65"/>
      <c r="NZM10" s="4"/>
      <c r="NZN10" s="4"/>
      <c r="NZO10" s="4"/>
      <c r="NZR10" s="34"/>
      <c r="NZS10" s="34"/>
      <c r="NZU10" s="34"/>
      <c r="NZV10" s="72"/>
      <c r="NZW10" s="63"/>
      <c r="NZX10" s="34"/>
      <c r="NZY10" s="64"/>
      <c r="NZZ10" s="4"/>
      <c r="OAA10" s="65"/>
      <c r="OAB10" s="4"/>
      <c r="OAC10" s="4"/>
      <c r="OAD10" s="4"/>
      <c r="OAG10" s="34"/>
      <c r="OAH10" s="34"/>
      <c r="OAJ10" s="34"/>
      <c r="OAK10" s="72"/>
      <c r="OAL10" s="63"/>
      <c r="OAM10" s="34"/>
      <c r="OAN10" s="64"/>
      <c r="OAO10" s="4"/>
      <c r="OAP10" s="65"/>
      <c r="OAQ10" s="4"/>
      <c r="OAR10" s="4"/>
      <c r="OAS10" s="4"/>
      <c r="OAV10" s="34"/>
      <c r="OAW10" s="34"/>
      <c r="OAY10" s="34"/>
      <c r="OAZ10" s="72"/>
      <c r="OBA10" s="63"/>
      <c r="OBB10" s="34"/>
      <c r="OBC10" s="64"/>
      <c r="OBD10" s="4"/>
      <c r="OBE10" s="65"/>
      <c r="OBF10" s="4"/>
      <c r="OBG10" s="4"/>
      <c r="OBH10" s="4"/>
      <c r="OBK10" s="34"/>
      <c r="OBL10" s="34"/>
      <c r="OBN10" s="34"/>
      <c r="OBO10" s="72"/>
      <c r="OBP10" s="63"/>
      <c r="OBQ10" s="34"/>
      <c r="OBR10" s="64"/>
      <c r="OBS10" s="4"/>
      <c r="OBT10" s="65"/>
      <c r="OBU10" s="4"/>
      <c r="OBV10" s="4"/>
      <c r="OBW10" s="4"/>
      <c r="OBZ10" s="34"/>
      <c r="OCA10" s="34"/>
      <c r="OCC10" s="34"/>
      <c r="OCD10" s="72"/>
      <c r="OCE10" s="63"/>
      <c r="OCF10" s="34"/>
      <c r="OCG10" s="64"/>
      <c r="OCH10" s="4"/>
      <c r="OCI10" s="65"/>
      <c r="OCJ10" s="4"/>
      <c r="OCK10" s="4"/>
      <c r="OCL10" s="4"/>
      <c r="OCO10" s="34"/>
      <c r="OCP10" s="34"/>
      <c r="OCR10" s="34"/>
      <c r="OCS10" s="72"/>
      <c r="OCT10" s="63"/>
      <c r="OCU10" s="34"/>
      <c r="OCV10" s="64"/>
      <c r="OCW10" s="4"/>
      <c r="OCX10" s="65"/>
      <c r="OCY10" s="4"/>
      <c r="OCZ10" s="4"/>
      <c r="ODA10" s="4"/>
      <c r="ODD10" s="34"/>
      <c r="ODE10" s="34"/>
      <c r="ODG10" s="34"/>
      <c r="ODH10" s="72"/>
      <c r="ODI10" s="63"/>
      <c r="ODJ10" s="34"/>
      <c r="ODK10" s="64"/>
      <c r="ODL10" s="4"/>
      <c r="ODM10" s="65"/>
      <c r="ODN10" s="4"/>
      <c r="ODO10" s="4"/>
      <c r="ODP10" s="4"/>
      <c r="ODS10" s="34"/>
      <c r="ODT10" s="34"/>
      <c r="ODV10" s="34"/>
      <c r="ODW10" s="72"/>
      <c r="ODX10" s="63"/>
      <c r="ODY10" s="34"/>
      <c r="ODZ10" s="64"/>
      <c r="OEA10" s="4"/>
      <c r="OEB10" s="65"/>
      <c r="OEC10" s="4"/>
      <c r="OED10" s="4"/>
      <c r="OEE10" s="4"/>
      <c r="OEH10" s="34"/>
      <c r="OEI10" s="34"/>
      <c r="OEK10" s="34"/>
      <c r="OEL10" s="72"/>
      <c r="OEM10" s="63"/>
      <c r="OEN10" s="34"/>
      <c r="OEO10" s="64"/>
      <c r="OEP10" s="4"/>
      <c r="OEQ10" s="65"/>
      <c r="OER10" s="4"/>
      <c r="OES10" s="4"/>
      <c r="OET10" s="4"/>
      <c r="OEW10" s="34"/>
      <c r="OEX10" s="34"/>
      <c r="OEZ10" s="34"/>
      <c r="OFA10" s="72"/>
      <c r="OFB10" s="63"/>
      <c r="OFC10" s="34"/>
      <c r="OFD10" s="64"/>
      <c r="OFE10" s="4"/>
      <c r="OFF10" s="65"/>
      <c r="OFG10" s="4"/>
      <c r="OFH10" s="4"/>
      <c r="OFI10" s="4"/>
      <c r="OFL10" s="34"/>
      <c r="OFM10" s="34"/>
      <c r="OFO10" s="34"/>
      <c r="OFP10" s="72"/>
      <c r="OFQ10" s="63"/>
      <c r="OFR10" s="34"/>
      <c r="OFS10" s="64"/>
      <c r="OFT10" s="4"/>
      <c r="OFU10" s="65"/>
      <c r="OFV10" s="4"/>
      <c r="OFW10" s="4"/>
      <c r="OFX10" s="4"/>
      <c r="OGA10" s="34"/>
      <c r="OGB10" s="34"/>
      <c r="OGD10" s="34"/>
      <c r="OGE10" s="72"/>
      <c r="OGF10" s="63"/>
      <c r="OGG10" s="34"/>
      <c r="OGH10" s="64"/>
      <c r="OGI10" s="4"/>
      <c r="OGJ10" s="65"/>
      <c r="OGK10" s="4"/>
      <c r="OGL10" s="4"/>
      <c r="OGM10" s="4"/>
      <c r="OGP10" s="34"/>
      <c r="OGQ10" s="34"/>
      <c r="OGS10" s="34"/>
      <c r="OGT10" s="72"/>
      <c r="OGU10" s="63"/>
      <c r="OGV10" s="34"/>
      <c r="OGW10" s="64"/>
      <c r="OGX10" s="4"/>
      <c r="OGY10" s="65"/>
      <c r="OGZ10" s="4"/>
      <c r="OHA10" s="4"/>
      <c r="OHB10" s="4"/>
      <c r="OHE10" s="34"/>
      <c r="OHF10" s="34"/>
      <c r="OHH10" s="34"/>
      <c r="OHI10" s="72"/>
      <c r="OHJ10" s="63"/>
      <c r="OHK10" s="34"/>
      <c r="OHL10" s="64"/>
      <c r="OHM10" s="4"/>
      <c r="OHN10" s="65"/>
      <c r="OHO10" s="4"/>
      <c r="OHP10" s="4"/>
      <c r="OHQ10" s="4"/>
      <c r="OHT10" s="34"/>
      <c r="OHU10" s="34"/>
      <c r="OHW10" s="34"/>
      <c r="OHX10" s="72"/>
      <c r="OHY10" s="63"/>
      <c r="OHZ10" s="34"/>
      <c r="OIA10" s="64"/>
      <c r="OIB10" s="4"/>
      <c r="OIC10" s="65"/>
      <c r="OID10" s="4"/>
      <c r="OIE10" s="4"/>
      <c r="OIF10" s="4"/>
      <c r="OII10" s="34"/>
      <c r="OIJ10" s="34"/>
      <c r="OIL10" s="34"/>
      <c r="OIM10" s="72"/>
      <c r="OIN10" s="63"/>
      <c r="OIO10" s="34"/>
      <c r="OIP10" s="64"/>
      <c r="OIQ10" s="4"/>
      <c r="OIR10" s="65"/>
      <c r="OIS10" s="4"/>
      <c r="OIT10" s="4"/>
      <c r="OIU10" s="4"/>
      <c r="OIX10" s="34"/>
      <c r="OIY10" s="34"/>
      <c r="OJA10" s="34"/>
      <c r="OJB10" s="72"/>
      <c r="OJC10" s="63"/>
      <c r="OJD10" s="34"/>
      <c r="OJE10" s="64"/>
      <c r="OJF10" s="4"/>
      <c r="OJG10" s="65"/>
      <c r="OJH10" s="4"/>
      <c r="OJI10" s="4"/>
      <c r="OJJ10" s="4"/>
      <c r="OJM10" s="34"/>
      <c r="OJN10" s="34"/>
      <c r="OJP10" s="34"/>
      <c r="OJQ10" s="72"/>
      <c r="OJR10" s="63"/>
      <c r="OJS10" s="34"/>
      <c r="OJT10" s="64"/>
      <c r="OJU10" s="4"/>
      <c r="OJV10" s="65"/>
      <c r="OJW10" s="4"/>
      <c r="OJX10" s="4"/>
      <c r="OJY10" s="4"/>
      <c r="OKB10" s="34"/>
      <c r="OKC10" s="34"/>
      <c r="OKE10" s="34"/>
      <c r="OKF10" s="72"/>
      <c r="OKG10" s="63"/>
      <c r="OKH10" s="34"/>
      <c r="OKI10" s="64"/>
      <c r="OKJ10" s="4"/>
      <c r="OKK10" s="65"/>
      <c r="OKL10" s="4"/>
      <c r="OKM10" s="4"/>
      <c r="OKN10" s="4"/>
      <c r="OKQ10" s="34"/>
      <c r="OKR10" s="34"/>
      <c r="OKT10" s="34"/>
      <c r="OKU10" s="72"/>
      <c r="OKV10" s="63"/>
      <c r="OKW10" s="34"/>
      <c r="OKX10" s="64"/>
      <c r="OKY10" s="4"/>
      <c r="OKZ10" s="65"/>
      <c r="OLA10" s="4"/>
      <c r="OLB10" s="4"/>
      <c r="OLC10" s="4"/>
      <c r="OLF10" s="34"/>
      <c r="OLG10" s="34"/>
      <c r="OLI10" s="34"/>
      <c r="OLJ10" s="72"/>
      <c r="OLK10" s="63"/>
      <c r="OLL10" s="34"/>
      <c r="OLM10" s="64"/>
      <c r="OLN10" s="4"/>
      <c r="OLO10" s="65"/>
      <c r="OLP10" s="4"/>
      <c r="OLQ10" s="4"/>
      <c r="OLR10" s="4"/>
      <c r="OLU10" s="34"/>
      <c r="OLV10" s="34"/>
      <c r="OLX10" s="34"/>
      <c r="OLY10" s="72"/>
      <c r="OLZ10" s="63"/>
      <c r="OMA10" s="34"/>
      <c r="OMB10" s="64"/>
      <c r="OMC10" s="4"/>
      <c r="OMD10" s="65"/>
      <c r="OME10" s="4"/>
      <c r="OMF10" s="4"/>
      <c r="OMG10" s="4"/>
      <c r="OMJ10" s="34"/>
      <c r="OMK10" s="34"/>
      <c r="OMM10" s="34"/>
      <c r="OMN10" s="72"/>
      <c r="OMO10" s="63"/>
      <c r="OMP10" s="34"/>
      <c r="OMQ10" s="64"/>
      <c r="OMR10" s="4"/>
      <c r="OMS10" s="65"/>
      <c r="OMT10" s="4"/>
      <c r="OMU10" s="4"/>
      <c r="OMV10" s="4"/>
      <c r="OMY10" s="34"/>
      <c r="OMZ10" s="34"/>
      <c r="ONB10" s="34"/>
      <c r="ONC10" s="72"/>
      <c r="OND10" s="63"/>
      <c r="ONE10" s="34"/>
      <c r="ONF10" s="64"/>
      <c r="ONG10" s="4"/>
      <c r="ONH10" s="65"/>
      <c r="ONI10" s="4"/>
      <c r="ONJ10" s="4"/>
      <c r="ONK10" s="4"/>
      <c r="ONN10" s="34"/>
      <c r="ONO10" s="34"/>
      <c r="ONQ10" s="34"/>
      <c r="ONR10" s="72"/>
      <c r="ONS10" s="63"/>
      <c r="ONT10" s="34"/>
      <c r="ONU10" s="64"/>
      <c r="ONV10" s="4"/>
      <c r="ONW10" s="65"/>
      <c r="ONX10" s="4"/>
      <c r="ONY10" s="4"/>
      <c r="ONZ10" s="4"/>
      <c r="OOC10" s="34"/>
      <c r="OOD10" s="34"/>
      <c r="OOF10" s="34"/>
      <c r="OOG10" s="72"/>
      <c r="OOH10" s="63"/>
      <c r="OOI10" s="34"/>
      <c r="OOJ10" s="64"/>
      <c r="OOK10" s="4"/>
      <c r="OOL10" s="65"/>
      <c r="OOM10" s="4"/>
      <c r="OON10" s="4"/>
      <c r="OOO10" s="4"/>
      <c r="OOR10" s="34"/>
      <c r="OOS10" s="34"/>
      <c r="OOU10" s="34"/>
      <c r="OOV10" s="72"/>
      <c r="OOW10" s="63"/>
      <c r="OOX10" s="34"/>
      <c r="OOY10" s="64"/>
      <c r="OOZ10" s="4"/>
      <c r="OPA10" s="65"/>
      <c r="OPB10" s="4"/>
      <c r="OPC10" s="4"/>
      <c r="OPD10" s="4"/>
      <c r="OPG10" s="34"/>
      <c r="OPH10" s="34"/>
      <c r="OPJ10" s="34"/>
      <c r="OPK10" s="72"/>
      <c r="OPL10" s="63"/>
      <c r="OPM10" s="34"/>
      <c r="OPN10" s="64"/>
      <c r="OPO10" s="4"/>
      <c r="OPP10" s="65"/>
      <c r="OPQ10" s="4"/>
      <c r="OPR10" s="4"/>
      <c r="OPS10" s="4"/>
      <c r="OPV10" s="34"/>
      <c r="OPW10" s="34"/>
      <c r="OPY10" s="34"/>
      <c r="OPZ10" s="72"/>
      <c r="OQA10" s="63"/>
      <c r="OQB10" s="34"/>
      <c r="OQC10" s="64"/>
      <c r="OQD10" s="4"/>
      <c r="OQE10" s="65"/>
      <c r="OQF10" s="4"/>
      <c r="OQG10" s="4"/>
      <c r="OQH10" s="4"/>
      <c r="OQK10" s="34"/>
      <c r="OQL10" s="34"/>
      <c r="OQN10" s="34"/>
      <c r="OQO10" s="72"/>
      <c r="OQP10" s="63"/>
      <c r="OQQ10" s="34"/>
      <c r="OQR10" s="64"/>
      <c r="OQS10" s="4"/>
      <c r="OQT10" s="65"/>
      <c r="OQU10" s="4"/>
      <c r="OQV10" s="4"/>
      <c r="OQW10" s="4"/>
      <c r="OQZ10" s="34"/>
      <c r="ORA10" s="34"/>
      <c r="ORC10" s="34"/>
      <c r="ORD10" s="72"/>
      <c r="ORE10" s="63"/>
      <c r="ORF10" s="34"/>
      <c r="ORG10" s="64"/>
      <c r="ORH10" s="4"/>
      <c r="ORI10" s="65"/>
      <c r="ORJ10" s="4"/>
      <c r="ORK10" s="4"/>
      <c r="ORL10" s="4"/>
      <c r="ORO10" s="34"/>
      <c r="ORP10" s="34"/>
      <c r="ORR10" s="34"/>
      <c r="ORS10" s="72"/>
      <c r="ORT10" s="63"/>
      <c r="ORU10" s="34"/>
      <c r="ORV10" s="64"/>
      <c r="ORW10" s="4"/>
      <c r="ORX10" s="65"/>
      <c r="ORY10" s="4"/>
      <c r="ORZ10" s="4"/>
      <c r="OSA10" s="4"/>
      <c r="OSD10" s="34"/>
      <c r="OSE10" s="34"/>
      <c r="OSG10" s="34"/>
      <c r="OSH10" s="72"/>
      <c r="OSI10" s="63"/>
      <c r="OSJ10" s="34"/>
      <c r="OSK10" s="64"/>
      <c r="OSL10" s="4"/>
      <c r="OSM10" s="65"/>
      <c r="OSN10" s="4"/>
      <c r="OSO10" s="4"/>
      <c r="OSP10" s="4"/>
      <c r="OSS10" s="34"/>
      <c r="OST10" s="34"/>
      <c r="OSV10" s="34"/>
      <c r="OSW10" s="72"/>
      <c r="OSX10" s="63"/>
      <c r="OSY10" s="34"/>
      <c r="OSZ10" s="64"/>
      <c r="OTA10" s="4"/>
      <c r="OTB10" s="65"/>
      <c r="OTC10" s="4"/>
      <c r="OTD10" s="4"/>
      <c r="OTE10" s="4"/>
      <c r="OTH10" s="34"/>
      <c r="OTI10" s="34"/>
      <c r="OTK10" s="34"/>
      <c r="OTL10" s="72"/>
      <c r="OTM10" s="63"/>
      <c r="OTN10" s="34"/>
      <c r="OTO10" s="64"/>
      <c r="OTP10" s="4"/>
      <c r="OTQ10" s="65"/>
      <c r="OTR10" s="4"/>
      <c r="OTS10" s="4"/>
      <c r="OTT10" s="4"/>
      <c r="OTW10" s="34"/>
      <c r="OTX10" s="34"/>
      <c r="OTZ10" s="34"/>
      <c r="OUA10" s="72"/>
      <c r="OUB10" s="63"/>
      <c r="OUC10" s="34"/>
      <c r="OUD10" s="64"/>
      <c r="OUE10" s="4"/>
      <c r="OUF10" s="65"/>
      <c r="OUG10" s="4"/>
      <c r="OUH10" s="4"/>
      <c r="OUI10" s="4"/>
      <c r="OUL10" s="34"/>
      <c r="OUM10" s="34"/>
      <c r="OUO10" s="34"/>
      <c r="OUP10" s="72"/>
      <c r="OUQ10" s="63"/>
      <c r="OUR10" s="34"/>
      <c r="OUS10" s="64"/>
      <c r="OUT10" s="4"/>
      <c r="OUU10" s="65"/>
      <c r="OUV10" s="4"/>
      <c r="OUW10" s="4"/>
      <c r="OUX10" s="4"/>
      <c r="OVA10" s="34"/>
      <c r="OVB10" s="34"/>
      <c r="OVD10" s="34"/>
      <c r="OVE10" s="72"/>
      <c r="OVF10" s="63"/>
      <c r="OVG10" s="34"/>
      <c r="OVH10" s="64"/>
      <c r="OVI10" s="4"/>
      <c r="OVJ10" s="65"/>
      <c r="OVK10" s="4"/>
      <c r="OVL10" s="4"/>
      <c r="OVM10" s="4"/>
      <c r="OVP10" s="34"/>
      <c r="OVQ10" s="34"/>
      <c r="OVS10" s="34"/>
      <c r="OVT10" s="72"/>
      <c r="OVU10" s="63"/>
      <c r="OVV10" s="34"/>
      <c r="OVW10" s="64"/>
      <c r="OVX10" s="4"/>
      <c r="OVY10" s="65"/>
      <c r="OVZ10" s="4"/>
      <c r="OWA10" s="4"/>
      <c r="OWB10" s="4"/>
      <c r="OWE10" s="34"/>
      <c r="OWF10" s="34"/>
      <c r="OWH10" s="34"/>
      <c r="OWI10" s="72"/>
      <c r="OWJ10" s="63"/>
      <c r="OWK10" s="34"/>
      <c r="OWL10" s="64"/>
      <c r="OWM10" s="4"/>
      <c r="OWN10" s="65"/>
      <c r="OWO10" s="4"/>
      <c r="OWP10" s="4"/>
      <c r="OWQ10" s="4"/>
      <c r="OWT10" s="34"/>
      <c r="OWU10" s="34"/>
      <c r="OWW10" s="34"/>
      <c r="OWX10" s="72"/>
      <c r="OWY10" s="63"/>
      <c r="OWZ10" s="34"/>
      <c r="OXA10" s="64"/>
      <c r="OXB10" s="4"/>
      <c r="OXC10" s="65"/>
      <c r="OXD10" s="4"/>
      <c r="OXE10" s="4"/>
      <c r="OXF10" s="4"/>
      <c r="OXI10" s="34"/>
      <c r="OXJ10" s="34"/>
      <c r="OXL10" s="34"/>
      <c r="OXM10" s="72"/>
      <c r="OXN10" s="63"/>
      <c r="OXO10" s="34"/>
      <c r="OXP10" s="64"/>
      <c r="OXQ10" s="4"/>
      <c r="OXR10" s="65"/>
      <c r="OXS10" s="4"/>
      <c r="OXT10" s="4"/>
      <c r="OXU10" s="4"/>
      <c r="OXX10" s="34"/>
      <c r="OXY10" s="34"/>
      <c r="OYA10" s="34"/>
      <c r="OYB10" s="72"/>
      <c r="OYC10" s="63"/>
      <c r="OYD10" s="34"/>
      <c r="OYE10" s="64"/>
      <c r="OYF10" s="4"/>
      <c r="OYG10" s="65"/>
      <c r="OYH10" s="4"/>
      <c r="OYI10" s="4"/>
      <c r="OYJ10" s="4"/>
      <c r="OYM10" s="34"/>
      <c r="OYN10" s="34"/>
      <c r="OYP10" s="34"/>
      <c r="OYQ10" s="72"/>
      <c r="OYR10" s="63"/>
      <c r="OYS10" s="34"/>
      <c r="OYT10" s="64"/>
      <c r="OYU10" s="4"/>
      <c r="OYV10" s="65"/>
      <c r="OYW10" s="4"/>
      <c r="OYX10" s="4"/>
      <c r="OYY10" s="4"/>
      <c r="OZB10" s="34"/>
      <c r="OZC10" s="34"/>
      <c r="OZE10" s="34"/>
      <c r="OZF10" s="72"/>
      <c r="OZG10" s="63"/>
      <c r="OZH10" s="34"/>
      <c r="OZI10" s="64"/>
      <c r="OZJ10" s="4"/>
      <c r="OZK10" s="65"/>
      <c r="OZL10" s="4"/>
      <c r="OZM10" s="4"/>
      <c r="OZN10" s="4"/>
      <c r="OZQ10" s="34"/>
      <c r="OZR10" s="34"/>
      <c r="OZT10" s="34"/>
      <c r="OZU10" s="72"/>
      <c r="OZV10" s="63"/>
      <c r="OZW10" s="34"/>
      <c r="OZX10" s="64"/>
      <c r="OZY10" s="4"/>
      <c r="OZZ10" s="65"/>
      <c r="PAA10" s="4"/>
      <c r="PAB10" s="4"/>
      <c r="PAC10" s="4"/>
      <c r="PAF10" s="34"/>
      <c r="PAG10" s="34"/>
      <c r="PAI10" s="34"/>
      <c r="PAJ10" s="72"/>
      <c r="PAK10" s="63"/>
      <c r="PAL10" s="34"/>
      <c r="PAM10" s="64"/>
      <c r="PAN10" s="4"/>
      <c r="PAO10" s="65"/>
      <c r="PAP10" s="4"/>
      <c r="PAQ10" s="4"/>
      <c r="PAR10" s="4"/>
      <c r="PAU10" s="34"/>
      <c r="PAV10" s="34"/>
      <c r="PAX10" s="34"/>
      <c r="PAY10" s="72"/>
      <c r="PAZ10" s="63"/>
      <c r="PBA10" s="34"/>
      <c r="PBB10" s="64"/>
      <c r="PBC10" s="4"/>
      <c r="PBD10" s="65"/>
      <c r="PBE10" s="4"/>
      <c r="PBF10" s="4"/>
      <c r="PBG10" s="4"/>
      <c r="PBJ10" s="34"/>
      <c r="PBK10" s="34"/>
      <c r="PBM10" s="34"/>
      <c r="PBN10" s="72"/>
      <c r="PBO10" s="63"/>
      <c r="PBP10" s="34"/>
      <c r="PBQ10" s="64"/>
      <c r="PBR10" s="4"/>
      <c r="PBS10" s="65"/>
      <c r="PBT10" s="4"/>
      <c r="PBU10" s="4"/>
      <c r="PBV10" s="4"/>
      <c r="PBY10" s="34"/>
      <c r="PBZ10" s="34"/>
      <c r="PCB10" s="34"/>
      <c r="PCC10" s="72"/>
      <c r="PCD10" s="63"/>
      <c r="PCE10" s="34"/>
      <c r="PCF10" s="64"/>
      <c r="PCG10" s="4"/>
      <c r="PCH10" s="65"/>
      <c r="PCI10" s="4"/>
      <c r="PCJ10" s="4"/>
      <c r="PCK10" s="4"/>
      <c r="PCN10" s="34"/>
      <c r="PCO10" s="34"/>
      <c r="PCQ10" s="34"/>
      <c r="PCR10" s="72"/>
      <c r="PCS10" s="63"/>
      <c r="PCT10" s="34"/>
      <c r="PCU10" s="64"/>
      <c r="PCV10" s="4"/>
      <c r="PCW10" s="65"/>
      <c r="PCX10" s="4"/>
      <c r="PCY10" s="4"/>
      <c r="PCZ10" s="4"/>
      <c r="PDC10" s="34"/>
      <c r="PDD10" s="34"/>
      <c r="PDF10" s="34"/>
      <c r="PDG10" s="72"/>
      <c r="PDH10" s="63"/>
      <c r="PDI10" s="34"/>
      <c r="PDJ10" s="64"/>
      <c r="PDK10" s="4"/>
      <c r="PDL10" s="65"/>
      <c r="PDM10" s="4"/>
      <c r="PDN10" s="4"/>
      <c r="PDO10" s="4"/>
      <c r="PDR10" s="34"/>
      <c r="PDS10" s="34"/>
      <c r="PDU10" s="34"/>
      <c r="PDV10" s="72"/>
      <c r="PDW10" s="63"/>
      <c r="PDX10" s="34"/>
      <c r="PDY10" s="64"/>
      <c r="PDZ10" s="4"/>
      <c r="PEA10" s="65"/>
      <c r="PEB10" s="4"/>
      <c r="PEC10" s="4"/>
      <c r="PED10" s="4"/>
      <c r="PEG10" s="34"/>
      <c r="PEH10" s="34"/>
      <c r="PEJ10" s="34"/>
      <c r="PEK10" s="72"/>
      <c r="PEL10" s="63"/>
      <c r="PEM10" s="34"/>
      <c r="PEN10" s="64"/>
      <c r="PEO10" s="4"/>
      <c r="PEP10" s="65"/>
      <c r="PEQ10" s="4"/>
      <c r="PER10" s="4"/>
      <c r="PES10" s="4"/>
      <c r="PEV10" s="34"/>
      <c r="PEW10" s="34"/>
      <c r="PEY10" s="34"/>
      <c r="PEZ10" s="72"/>
      <c r="PFA10" s="63"/>
      <c r="PFB10" s="34"/>
      <c r="PFC10" s="64"/>
      <c r="PFD10" s="4"/>
      <c r="PFE10" s="65"/>
      <c r="PFF10" s="4"/>
      <c r="PFG10" s="4"/>
      <c r="PFH10" s="4"/>
      <c r="PFK10" s="34"/>
      <c r="PFL10" s="34"/>
      <c r="PFN10" s="34"/>
      <c r="PFO10" s="72"/>
      <c r="PFP10" s="63"/>
      <c r="PFQ10" s="34"/>
      <c r="PFR10" s="64"/>
      <c r="PFS10" s="4"/>
      <c r="PFT10" s="65"/>
      <c r="PFU10" s="4"/>
      <c r="PFV10" s="4"/>
      <c r="PFW10" s="4"/>
      <c r="PFZ10" s="34"/>
      <c r="PGA10" s="34"/>
      <c r="PGC10" s="34"/>
      <c r="PGD10" s="72"/>
      <c r="PGE10" s="63"/>
      <c r="PGF10" s="34"/>
      <c r="PGG10" s="64"/>
      <c r="PGH10" s="4"/>
      <c r="PGI10" s="65"/>
      <c r="PGJ10" s="4"/>
      <c r="PGK10" s="4"/>
      <c r="PGL10" s="4"/>
      <c r="PGO10" s="34"/>
      <c r="PGP10" s="34"/>
      <c r="PGR10" s="34"/>
      <c r="PGS10" s="72"/>
      <c r="PGT10" s="63"/>
      <c r="PGU10" s="34"/>
      <c r="PGV10" s="64"/>
      <c r="PGW10" s="4"/>
      <c r="PGX10" s="65"/>
      <c r="PGY10" s="4"/>
      <c r="PGZ10" s="4"/>
      <c r="PHA10" s="4"/>
      <c r="PHD10" s="34"/>
      <c r="PHE10" s="34"/>
      <c r="PHG10" s="34"/>
      <c r="PHH10" s="72"/>
      <c r="PHI10" s="63"/>
      <c r="PHJ10" s="34"/>
      <c r="PHK10" s="64"/>
      <c r="PHL10" s="4"/>
      <c r="PHM10" s="65"/>
      <c r="PHN10" s="4"/>
      <c r="PHO10" s="4"/>
      <c r="PHP10" s="4"/>
      <c r="PHS10" s="34"/>
      <c r="PHT10" s="34"/>
      <c r="PHV10" s="34"/>
      <c r="PHW10" s="72"/>
      <c r="PHX10" s="63"/>
      <c r="PHY10" s="34"/>
      <c r="PHZ10" s="64"/>
      <c r="PIA10" s="4"/>
      <c r="PIB10" s="65"/>
      <c r="PIC10" s="4"/>
      <c r="PID10" s="4"/>
      <c r="PIE10" s="4"/>
      <c r="PIH10" s="34"/>
      <c r="PII10" s="34"/>
      <c r="PIK10" s="34"/>
      <c r="PIL10" s="72"/>
      <c r="PIM10" s="63"/>
      <c r="PIN10" s="34"/>
      <c r="PIO10" s="64"/>
      <c r="PIP10" s="4"/>
      <c r="PIQ10" s="65"/>
      <c r="PIR10" s="4"/>
      <c r="PIS10" s="4"/>
      <c r="PIT10" s="4"/>
      <c r="PIW10" s="34"/>
      <c r="PIX10" s="34"/>
      <c r="PIZ10" s="34"/>
      <c r="PJA10" s="72"/>
      <c r="PJB10" s="63"/>
      <c r="PJC10" s="34"/>
      <c r="PJD10" s="64"/>
      <c r="PJE10" s="4"/>
      <c r="PJF10" s="65"/>
      <c r="PJG10" s="4"/>
      <c r="PJH10" s="4"/>
      <c r="PJI10" s="4"/>
      <c r="PJL10" s="34"/>
      <c r="PJM10" s="34"/>
      <c r="PJO10" s="34"/>
      <c r="PJP10" s="72"/>
      <c r="PJQ10" s="63"/>
      <c r="PJR10" s="34"/>
      <c r="PJS10" s="64"/>
      <c r="PJT10" s="4"/>
      <c r="PJU10" s="65"/>
      <c r="PJV10" s="4"/>
      <c r="PJW10" s="4"/>
      <c r="PJX10" s="4"/>
      <c r="PKA10" s="34"/>
      <c r="PKB10" s="34"/>
      <c r="PKD10" s="34"/>
      <c r="PKE10" s="72"/>
      <c r="PKF10" s="63"/>
      <c r="PKG10" s="34"/>
      <c r="PKH10" s="64"/>
      <c r="PKI10" s="4"/>
      <c r="PKJ10" s="65"/>
      <c r="PKK10" s="4"/>
      <c r="PKL10" s="4"/>
      <c r="PKM10" s="4"/>
      <c r="PKP10" s="34"/>
      <c r="PKQ10" s="34"/>
      <c r="PKS10" s="34"/>
      <c r="PKT10" s="72"/>
      <c r="PKU10" s="63"/>
      <c r="PKV10" s="34"/>
      <c r="PKW10" s="64"/>
      <c r="PKX10" s="4"/>
      <c r="PKY10" s="65"/>
      <c r="PKZ10" s="4"/>
      <c r="PLA10" s="4"/>
      <c r="PLB10" s="4"/>
      <c r="PLE10" s="34"/>
      <c r="PLF10" s="34"/>
      <c r="PLH10" s="34"/>
      <c r="PLI10" s="72"/>
      <c r="PLJ10" s="63"/>
      <c r="PLK10" s="34"/>
      <c r="PLL10" s="64"/>
      <c r="PLM10" s="4"/>
      <c r="PLN10" s="65"/>
      <c r="PLO10" s="4"/>
      <c r="PLP10" s="4"/>
      <c r="PLQ10" s="4"/>
      <c r="PLT10" s="34"/>
      <c r="PLU10" s="34"/>
      <c r="PLW10" s="34"/>
      <c r="PLX10" s="72"/>
      <c r="PLY10" s="63"/>
      <c r="PLZ10" s="34"/>
      <c r="PMA10" s="64"/>
      <c r="PMB10" s="4"/>
      <c r="PMC10" s="65"/>
      <c r="PMD10" s="4"/>
      <c r="PME10" s="4"/>
      <c r="PMF10" s="4"/>
      <c r="PMI10" s="34"/>
      <c r="PMJ10" s="34"/>
      <c r="PML10" s="34"/>
      <c r="PMM10" s="72"/>
      <c r="PMN10" s="63"/>
      <c r="PMO10" s="34"/>
      <c r="PMP10" s="64"/>
      <c r="PMQ10" s="4"/>
      <c r="PMR10" s="65"/>
      <c r="PMS10" s="4"/>
      <c r="PMT10" s="4"/>
      <c r="PMU10" s="4"/>
      <c r="PMX10" s="34"/>
      <c r="PMY10" s="34"/>
      <c r="PNA10" s="34"/>
      <c r="PNB10" s="72"/>
      <c r="PNC10" s="63"/>
      <c r="PND10" s="34"/>
      <c r="PNE10" s="64"/>
      <c r="PNF10" s="4"/>
      <c r="PNG10" s="65"/>
      <c r="PNH10" s="4"/>
      <c r="PNI10" s="4"/>
      <c r="PNJ10" s="4"/>
      <c r="PNM10" s="34"/>
      <c r="PNN10" s="34"/>
      <c r="PNP10" s="34"/>
      <c r="PNQ10" s="72"/>
      <c r="PNR10" s="63"/>
      <c r="PNS10" s="34"/>
      <c r="PNT10" s="64"/>
      <c r="PNU10" s="4"/>
      <c r="PNV10" s="65"/>
      <c r="PNW10" s="4"/>
      <c r="PNX10" s="4"/>
      <c r="PNY10" s="4"/>
      <c r="POB10" s="34"/>
      <c r="POC10" s="34"/>
      <c r="POE10" s="34"/>
      <c r="POF10" s="72"/>
      <c r="POG10" s="63"/>
      <c r="POH10" s="34"/>
      <c r="POI10" s="64"/>
      <c r="POJ10" s="4"/>
      <c r="POK10" s="65"/>
      <c r="POL10" s="4"/>
      <c r="POM10" s="4"/>
      <c r="PON10" s="4"/>
      <c r="POQ10" s="34"/>
      <c r="POR10" s="34"/>
      <c r="POT10" s="34"/>
      <c r="POU10" s="72"/>
      <c r="POV10" s="63"/>
      <c r="POW10" s="34"/>
      <c r="POX10" s="64"/>
      <c r="POY10" s="4"/>
      <c r="POZ10" s="65"/>
      <c r="PPA10" s="4"/>
      <c r="PPB10" s="4"/>
      <c r="PPC10" s="4"/>
      <c r="PPF10" s="34"/>
      <c r="PPG10" s="34"/>
      <c r="PPI10" s="34"/>
      <c r="PPJ10" s="72"/>
      <c r="PPK10" s="63"/>
      <c r="PPL10" s="34"/>
      <c r="PPM10" s="64"/>
      <c r="PPN10" s="4"/>
      <c r="PPO10" s="65"/>
      <c r="PPP10" s="4"/>
      <c r="PPQ10" s="4"/>
      <c r="PPR10" s="4"/>
      <c r="PPU10" s="34"/>
      <c r="PPV10" s="34"/>
      <c r="PPX10" s="34"/>
      <c r="PPY10" s="72"/>
      <c r="PPZ10" s="63"/>
      <c r="PQA10" s="34"/>
      <c r="PQB10" s="64"/>
      <c r="PQC10" s="4"/>
      <c r="PQD10" s="65"/>
      <c r="PQE10" s="4"/>
      <c r="PQF10" s="4"/>
      <c r="PQG10" s="4"/>
      <c r="PQJ10" s="34"/>
      <c r="PQK10" s="34"/>
      <c r="PQM10" s="34"/>
      <c r="PQN10" s="72"/>
      <c r="PQO10" s="63"/>
      <c r="PQP10" s="34"/>
      <c r="PQQ10" s="64"/>
      <c r="PQR10" s="4"/>
      <c r="PQS10" s="65"/>
      <c r="PQT10" s="4"/>
      <c r="PQU10" s="4"/>
      <c r="PQV10" s="4"/>
      <c r="PQY10" s="34"/>
      <c r="PQZ10" s="34"/>
      <c r="PRB10" s="34"/>
      <c r="PRC10" s="72"/>
      <c r="PRD10" s="63"/>
      <c r="PRE10" s="34"/>
      <c r="PRF10" s="64"/>
      <c r="PRG10" s="4"/>
      <c r="PRH10" s="65"/>
      <c r="PRI10" s="4"/>
      <c r="PRJ10" s="4"/>
      <c r="PRK10" s="4"/>
      <c r="PRN10" s="34"/>
      <c r="PRO10" s="34"/>
      <c r="PRQ10" s="34"/>
      <c r="PRR10" s="72"/>
      <c r="PRS10" s="63"/>
      <c r="PRT10" s="34"/>
      <c r="PRU10" s="64"/>
      <c r="PRV10" s="4"/>
      <c r="PRW10" s="65"/>
      <c r="PRX10" s="4"/>
      <c r="PRY10" s="4"/>
      <c r="PRZ10" s="4"/>
      <c r="PSC10" s="34"/>
      <c r="PSD10" s="34"/>
      <c r="PSF10" s="34"/>
      <c r="PSG10" s="72"/>
      <c r="PSH10" s="63"/>
      <c r="PSI10" s="34"/>
      <c r="PSJ10" s="64"/>
      <c r="PSK10" s="4"/>
      <c r="PSL10" s="65"/>
      <c r="PSM10" s="4"/>
      <c r="PSN10" s="4"/>
      <c r="PSO10" s="4"/>
      <c r="PSR10" s="34"/>
      <c r="PSS10" s="34"/>
      <c r="PSU10" s="34"/>
      <c r="PSV10" s="72"/>
      <c r="PSW10" s="63"/>
      <c r="PSX10" s="34"/>
      <c r="PSY10" s="64"/>
      <c r="PSZ10" s="4"/>
      <c r="PTA10" s="65"/>
      <c r="PTB10" s="4"/>
      <c r="PTC10" s="4"/>
      <c r="PTD10" s="4"/>
      <c r="PTG10" s="34"/>
      <c r="PTH10" s="34"/>
      <c r="PTJ10" s="34"/>
      <c r="PTK10" s="72"/>
      <c r="PTL10" s="63"/>
      <c r="PTM10" s="34"/>
      <c r="PTN10" s="64"/>
      <c r="PTO10" s="4"/>
      <c r="PTP10" s="65"/>
      <c r="PTQ10" s="4"/>
      <c r="PTR10" s="4"/>
      <c r="PTS10" s="4"/>
      <c r="PTV10" s="34"/>
      <c r="PTW10" s="34"/>
      <c r="PTY10" s="34"/>
      <c r="PTZ10" s="72"/>
      <c r="PUA10" s="63"/>
      <c r="PUB10" s="34"/>
      <c r="PUC10" s="64"/>
      <c r="PUD10" s="4"/>
      <c r="PUE10" s="65"/>
      <c r="PUF10" s="4"/>
      <c r="PUG10" s="4"/>
      <c r="PUH10" s="4"/>
      <c r="PUK10" s="34"/>
      <c r="PUL10" s="34"/>
      <c r="PUN10" s="34"/>
      <c r="PUO10" s="72"/>
      <c r="PUP10" s="63"/>
      <c r="PUQ10" s="34"/>
      <c r="PUR10" s="64"/>
      <c r="PUS10" s="4"/>
      <c r="PUT10" s="65"/>
      <c r="PUU10" s="4"/>
      <c r="PUV10" s="4"/>
      <c r="PUW10" s="4"/>
      <c r="PUZ10" s="34"/>
      <c r="PVA10" s="34"/>
      <c r="PVC10" s="34"/>
      <c r="PVD10" s="72"/>
      <c r="PVE10" s="63"/>
      <c r="PVF10" s="34"/>
      <c r="PVG10" s="64"/>
      <c r="PVH10" s="4"/>
      <c r="PVI10" s="65"/>
      <c r="PVJ10" s="4"/>
      <c r="PVK10" s="4"/>
      <c r="PVL10" s="4"/>
      <c r="PVO10" s="34"/>
      <c r="PVP10" s="34"/>
      <c r="PVR10" s="34"/>
      <c r="PVS10" s="72"/>
      <c r="PVT10" s="63"/>
      <c r="PVU10" s="34"/>
      <c r="PVV10" s="64"/>
      <c r="PVW10" s="4"/>
      <c r="PVX10" s="65"/>
      <c r="PVY10" s="4"/>
      <c r="PVZ10" s="4"/>
      <c r="PWA10" s="4"/>
      <c r="PWD10" s="34"/>
      <c r="PWE10" s="34"/>
      <c r="PWG10" s="34"/>
      <c r="PWH10" s="72"/>
      <c r="PWI10" s="63"/>
      <c r="PWJ10" s="34"/>
      <c r="PWK10" s="64"/>
      <c r="PWL10" s="4"/>
      <c r="PWM10" s="65"/>
      <c r="PWN10" s="4"/>
      <c r="PWO10" s="4"/>
      <c r="PWP10" s="4"/>
      <c r="PWS10" s="34"/>
      <c r="PWT10" s="34"/>
      <c r="PWV10" s="34"/>
      <c r="PWW10" s="72"/>
      <c r="PWX10" s="63"/>
      <c r="PWY10" s="34"/>
      <c r="PWZ10" s="64"/>
      <c r="PXA10" s="4"/>
      <c r="PXB10" s="65"/>
      <c r="PXC10" s="4"/>
      <c r="PXD10" s="4"/>
      <c r="PXE10" s="4"/>
      <c r="PXH10" s="34"/>
      <c r="PXI10" s="34"/>
      <c r="PXK10" s="34"/>
      <c r="PXL10" s="72"/>
      <c r="PXM10" s="63"/>
      <c r="PXN10" s="34"/>
      <c r="PXO10" s="64"/>
      <c r="PXP10" s="4"/>
      <c r="PXQ10" s="65"/>
      <c r="PXR10" s="4"/>
      <c r="PXS10" s="4"/>
      <c r="PXT10" s="4"/>
      <c r="PXW10" s="34"/>
      <c r="PXX10" s="34"/>
      <c r="PXZ10" s="34"/>
      <c r="PYA10" s="72"/>
      <c r="PYB10" s="63"/>
      <c r="PYC10" s="34"/>
      <c r="PYD10" s="64"/>
      <c r="PYE10" s="4"/>
      <c r="PYF10" s="65"/>
      <c r="PYG10" s="4"/>
      <c r="PYH10" s="4"/>
      <c r="PYI10" s="4"/>
      <c r="PYL10" s="34"/>
      <c r="PYM10" s="34"/>
      <c r="PYO10" s="34"/>
      <c r="PYP10" s="72"/>
      <c r="PYQ10" s="63"/>
      <c r="PYR10" s="34"/>
      <c r="PYS10" s="64"/>
      <c r="PYT10" s="4"/>
      <c r="PYU10" s="65"/>
      <c r="PYV10" s="4"/>
      <c r="PYW10" s="4"/>
      <c r="PYX10" s="4"/>
      <c r="PZA10" s="34"/>
      <c r="PZB10" s="34"/>
      <c r="PZD10" s="34"/>
      <c r="PZE10" s="72"/>
      <c r="PZF10" s="63"/>
      <c r="PZG10" s="34"/>
      <c r="PZH10" s="64"/>
      <c r="PZI10" s="4"/>
      <c r="PZJ10" s="65"/>
      <c r="PZK10" s="4"/>
      <c r="PZL10" s="4"/>
      <c r="PZM10" s="4"/>
      <c r="PZP10" s="34"/>
      <c r="PZQ10" s="34"/>
      <c r="PZS10" s="34"/>
      <c r="PZT10" s="72"/>
      <c r="PZU10" s="63"/>
      <c r="PZV10" s="34"/>
      <c r="PZW10" s="64"/>
      <c r="PZX10" s="4"/>
      <c r="PZY10" s="65"/>
      <c r="PZZ10" s="4"/>
      <c r="QAA10" s="4"/>
      <c r="QAB10" s="4"/>
      <c r="QAE10" s="34"/>
      <c r="QAF10" s="34"/>
      <c r="QAH10" s="34"/>
      <c r="QAI10" s="72"/>
      <c r="QAJ10" s="63"/>
      <c r="QAK10" s="34"/>
      <c r="QAL10" s="64"/>
      <c r="QAM10" s="4"/>
      <c r="QAN10" s="65"/>
      <c r="QAO10" s="4"/>
      <c r="QAP10" s="4"/>
      <c r="QAQ10" s="4"/>
      <c r="QAT10" s="34"/>
      <c r="QAU10" s="34"/>
      <c r="QAW10" s="34"/>
      <c r="QAX10" s="72"/>
      <c r="QAY10" s="63"/>
      <c r="QAZ10" s="34"/>
      <c r="QBA10" s="64"/>
      <c r="QBB10" s="4"/>
      <c r="QBC10" s="65"/>
      <c r="QBD10" s="4"/>
      <c r="QBE10" s="4"/>
      <c r="QBF10" s="4"/>
      <c r="QBI10" s="34"/>
      <c r="QBJ10" s="34"/>
      <c r="QBL10" s="34"/>
      <c r="QBM10" s="72"/>
      <c r="QBN10" s="63"/>
      <c r="QBO10" s="34"/>
      <c r="QBP10" s="64"/>
      <c r="QBQ10" s="4"/>
      <c r="QBR10" s="65"/>
      <c r="QBS10" s="4"/>
      <c r="QBT10" s="4"/>
      <c r="QBU10" s="4"/>
      <c r="QBX10" s="34"/>
      <c r="QBY10" s="34"/>
      <c r="QCA10" s="34"/>
      <c r="QCB10" s="72"/>
      <c r="QCC10" s="63"/>
      <c r="QCD10" s="34"/>
      <c r="QCE10" s="64"/>
      <c r="QCF10" s="4"/>
      <c r="QCG10" s="65"/>
      <c r="QCH10" s="4"/>
      <c r="QCI10" s="4"/>
      <c r="QCJ10" s="4"/>
      <c r="QCM10" s="34"/>
      <c r="QCN10" s="34"/>
      <c r="QCP10" s="34"/>
      <c r="QCQ10" s="72"/>
      <c r="QCR10" s="63"/>
      <c r="QCS10" s="34"/>
      <c r="QCT10" s="64"/>
      <c r="QCU10" s="4"/>
      <c r="QCV10" s="65"/>
      <c r="QCW10" s="4"/>
      <c r="QCX10" s="4"/>
      <c r="QCY10" s="4"/>
      <c r="QDB10" s="34"/>
      <c r="QDC10" s="34"/>
      <c r="QDE10" s="34"/>
      <c r="QDF10" s="72"/>
      <c r="QDG10" s="63"/>
      <c r="QDH10" s="34"/>
      <c r="QDI10" s="64"/>
      <c r="QDJ10" s="4"/>
      <c r="QDK10" s="65"/>
      <c r="QDL10" s="4"/>
      <c r="QDM10" s="4"/>
      <c r="QDN10" s="4"/>
      <c r="QDQ10" s="34"/>
      <c r="QDR10" s="34"/>
      <c r="QDT10" s="34"/>
      <c r="QDU10" s="72"/>
      <c r="QDV10" s="63"/>
      <c r="QDW10" s="34"/>
      <c r="QDX10" s="64"/>
      <c r="QDY10" s="4"/>
      <c r="QDZ10" s="65"/>
      <c r="QEA10" s="4"/>
      <c r="QEB10" s="4"/>
      <c r="QEC10" s="4"/>
      <c r="QEF10" s="34"/>
      <c r="QEG10" s="34"/>
      <c r="QEI10" s="34"/>
      <c r="QEJ10" s="72"/>
      <c r="QEK10" s="63"/>
      <c r="QEL10" s="34"/>
      <c r="QEM10" s="64"/>
      <c r="QEN10" s="4"/>
      <c r="QEO10" s="65"/>
      <c r="QEP10" s="4"/>
      <c r="QEQ10" s="4"/>
      <c r="QER10" s="4"/>
      <c r="QEU10" s="34"/>
      <c r="QEV10" s="34"/>
      <c r="QEX10" s="34"/>
      <c r="QEY10" s="72"/>
      <c r="QEZ10" s="63"/>
      <c r="QFA10" s="34"/>
      <c r="QFB10" s="64"/>
      <c r="QFC10" s="4"/>
      <c r="QFD10" s="65"/>
      <c r="QFE10" s="4"/>
      <c r="QFF10" s="4"/>
      <c r="QFG10" s="4"/>
      <c r="QFJ10" s="34"/>
      <c r="QFK10" s="34"/>
      <c r="QFM10" s="34"/>
      <c r="QFN10" s="72"/>
      <c r="QFO10" s="63"/>
      <c r="QFP10" s="34"/>
      <c r="QFQ10" s="64"/>
      <c r="QFR10" s="4"/>
      <c r="QFS10" s="65"/>
      <c r="QFT10" s="4"/>
      <c r="QFU10" s="4"/>
      <c r="QFV10" s="4"/>
      <c r="QFY10" s="34"/>
      <c r="QFZ10" s="34"/>
      <c r="QGB10" s="34"/>
      <c r="QGC10" s="72"/>
      <c r="QGD10" s="63"/>
      <c r="QGE10" s="34"/>
      <c r="QGF10" s="64"/>
      <c r="QGG10" s="4"/>
      <c r="QGH10" s="65"/>
      <c r="QGI10" s="4"/>
      <c r="QGJ10" s="4"/>
      <c r="QGK10" s="4"/>
      <c r="QGN10" s="34"/>
      <c r="QGO10" s="34"/>
      <c r="QGQ10" s="34"/>
      <c r="QGR10" s="72"/>
      <c r="QGS10" s="63"/>
      <c r="QGT10" s="34"/>
      <c r="QGU10" s="64"/>
      <c r="QGV10" s="4"/>
      <c r="QGW10" s="65"/>
      <c r="QGX10" s="4"/>
      <c r="QGY10" s="4"/>
      <c r="QGZ10" s="4"/>
      <c r="QHC10" s="34"/>
      <c r="QHD10" s="34"/>
      <c r="QHF10" s="34"/>
      <c r="QHG10" s="72"/>
      <c r="QHH10" s="63"/>
      <c r="QHI10" s="34"/>
      <c r="QHJ10" s="64"/>
      <c r="QHK10" s="4"/>
      <c r="QHL10" s="65"/>
      <c r="QHM10" s="4"/>
      <c r="QHN10" s="4"/>
      <c r="QHO10" s="4"/>
      <c r="QHR10" s="34"/>
      <c r="QHS10" s="34"/>
      <c r="QHU10" s="34"/>
      <c r="QHV10" s="72"/>
      <c r="QHW10" s="63"/>
      <c r="QHX10" s="34"/>
      <c r="QHY10" s="64"/>
      <c r="QHZ10" s="4"/>
      <c r="QIA10" s="65"/>
      <c r="QIB10" s="4"/>
      <c r="QIC10" s="4"/>
      <c r="QID10" s="4"/>
      <c r="QIG10" s="34"/>
      <c r="QIH10" s="34"/>
      <c r="QIJ10" s="34"/>
      <c r="QIK10" s="72"/>
      <c r="QIL10" s="63"/>
      <c r="QIM10" s="34"/>
      <c r="QIN10" s="64"/>
      <c r="QIO10" s="4"/>
      <c r="QIP10" s="65"/>
      <c r="QIQ10" s="4"/>
      <c r="QIR10" s="4"/>
      <c r="QIS10" s="4"/>
      <c r="QIV10" s="34"/>
      <c r="QIW10" s="34"/>
      <c r="QIY10" s="34"/>
      <c r="QIZ10" s="72"/>
      <c r="QJA10" s="63"/>
      <c r="QJB10" s="34"/>
      <c r="QJC10" s="64"/>
      <c r="QJD10" s="4"/>
      <c r="QJE10" s="65"/>
      <c r="QJF10" s="4"/>
      <c r="QJG10" s="4"/>
      <c r="QJH10" s="4"/>
      <c r="QJK10" s="34"/>
      <c r="QJL10" s="34"/>
      <c r="QJN10" s="34"/>
      <c r="QJO10" s="72"/>
      <c r="QJP10" s="63"/>
      <c r="QJQ10" s="34"/>
      <c r="QJR10" s="64"/>
      <c r="QJS10" s="4"/>
      <c r="QJT10" s="65"/>
      <c r="QJU10" s="4"/>
      <c r="QJV10" s="4"/>
      <c r="QJW10" s="4"/>
      <c r="QJZ10" s="34"/>
      <c r="QKA10" s="34"/>
      <c r="QKC10" s="34"/>
      <c r="QKD10" s="72"/>
      <c r="QKE10" s="63"/>
      <c r="QKF10" s="34"/>
      <c r="QKG10" s="64"/>
      <c r="QKH10" s="4"/>
      <c r="QKI10" s="65"/>
      <c r="QKJ10" s="4"/>
      <c r="QKK10" s="4"/>
      <c r="QKL10" s="4"/>
      <c r="QKO10" s="34"/>
      <c r="QKP10" s="34"/>
      <c r="QKR10" s="34"/>
      <c r="QKS10" s="72"/>
      <c r="QKT10" s="63"/>
      <c r="QKU10" s="34"/>
      <c r="QKV10" s="64"/>
      <c r="QKW10" s="4"/>
      <c r="QKX10" s="65"/>
      <c r="QKY10" s="4"/>
      <c r="QKZ10" s="4"/>
      <c r="QLA10" s="4"/>
      <c r="QLD10" s="34"/>
      <c r="QLE10" s="34"/>
      <c r="QLG10" s="34"/>
      <c r="QLH10" s="72"/>
      <c r="QLI10" s="63"/>
      <c r="QLJ10" s="34"/>
      <c r="QLK10" s="64"/>
      <c r="QLL10" s="4"/>
      <c r="QLM10" s="65"/>
      <c r="QLN10" s="4"/>
      <c r="QLO10" s="4"/>
      <c r="QLP10" s="4"/>
      <c r="QLS10" s="34"/>
      <c r="QLT10" s="34"/>
      <c r="QLV10" s="34"/>
      <c r="QLW10" s="72"/>
      <c r="QLX10" s="63"/>
      <c r="QLY10" s="34"/>
      <c r="QLZ10" s="64"/>
      <c r="QMA10" s="4"/>
      <c r="QMB10" s="65"/>
      <c r="QMC10" s="4"/>
      <c r="QMD10" s="4"/>
      <c r="QME10" s="4"/>
      <c r="QMH10" s="34"/>
      <c r="QMI10" s="34"/>
      <c r="QMK10" s="34"/>
      <c r="QML10" s="72"/>
      <c r="QMM10" s="63"/>
      <c r="QMN10" s="34"/>
      <c r="QMO10" s="64"/>
      <c r="QMP10" s="4"/>
      <c r="QMQ10" s="65"/>
      <c r="QMR10" s="4"/>
      <c r="QMS10" s="4"/>
      <c r="QMT10" s="4"/>
      <c r="QMW10" s="34"/>
      <c r="QMX10" s="34"/>
      <c r="QMZ10" s="34"/>
      <c r="QNA10" s="72"/>
      <c r="QNB10" s="63"/>
      <c r="QNC10" s="34"/>
      <c r="QND10" s="64"/>
      <c r="QNE10" s="4"/>
      <c r="QNF10" s="65"/>
      <c r="QNG10" s="4"/>
      <c r="QNH10" s="4"/>
      <c r="QNI10" s="4"/>
      <c r="QNL10" s="34"/>
      <c r="QNM10" s="34"/>
      <c r="QNO10" s="34"/>
      <c r="QNP10" s="72"/>
      <c r="QNQ10" s="63"/>
      <c r="QNR10" s="34"/>
      <c r="QNS10" s="64"/>
      <c r="QNT10" s="4"/>
      <c r="QNU10" s="65"/>
      <c r="QNV10" s="4"/>
      <c r="QNW10" s="4"/>
      <c r="QNX10" s="4"/>
      <c r="QOA10" s="34"/>
      <c r="QOB10" s="34"/>
      <c r="QOD10" s="34"/>
      <c r="QOE10" s="72"/>
      <c r="QOF10" s="63"/>
      <c r="QOG10" s="34"/>
      <c r="QOH10" s="64"/>
      <c r="QOI10" s="4"/>
      <c r="QOJ10" s="65"/>
      <c r="QOK10" s="4"/>
      <c r="QOL10" s="4"/>
      <c r="QOM10" s="4"/>
      <c r="QOP10" s="34"/>
      <c r="QOQ10" s="34"/>
      <c r="QOS10" s="34"/>
      <c r="QOT10" s="72"/>
      <c r="QOU10" s="63"/>
      <c r="QOV10" s="34"/>
      <c r="QOW10" s="64"/>
      <c r="QOX10" s="4"/>
      <c r="QOY10" s="65"/>
      <c r="QOZ10" s="4"/>
      <c r="QPA10" s="4"/>
      <c r="QPB10" s="4"/>
      <c r="QPE10" s="34"/>
      <c r="QPF10" s="34"/>
      <c r="QPH10" s="34"/>
      <c r="QPI10" s="72"/>
      <c r="QPJ10" s="63"/>
      <c r="QPK10" s="34"/>
      <c r="QPL10" s="64"/>
      <c r="QPM10" s="4"/>
      <c r="QPN10" s="65"/>
      <c r="QPO10" s="4"/>
      <c r="QPP10" s="4"/>
      <c r="QPQ10" s="4"/>
      <c r="QPT10" s="34"/>
      <c r="QPU10" s="34"/>
      <c r="QPW10" s="34"/>
      <c r="QPX10" s="72"/>
      <c r="QPY10" s="63"/>
      <c r="QPZ10" s="34"/>
      <c r="QQA10" s="64"/>
      <c r="QQB10" s="4"/>
      <c r="QQC10" s="65"/>
      <c r="QQD10" s="4"/>
      <c r="QQE10" s="4"/>
      <c r="QQF10" s="4"/>
      <c r="QQI10" s="34"/>
      <c r="QQJ10" s="34"/>
      <c r="QQL10" s="34"/>
      <c r="QQM10" s="72"/>
      <c r="QQN10" s="63"/>
      <c r="QQO10" s="34"/>
      <c r="QQP10" s="64"/>
      <c r="QQQ10" s="4"/>
      <c r="QQR10" s="65"/>
      <c r="QQS10" s="4"/>
      <c r="QQT10" s="4"/>
      <c r="QQU10" s="4"/>
      <c r="QQX10" s="34"/>
      <c r="QQY10" s="34"/>
      <c r="QRA10" s="34"/>
      <c r="QRB10" s="72"/>
      <c r="QRC10" s="63"/>
      <c r="QRD10" s="34"/>
      <c r="QRE10" s="64"/>
      <c r="QRF10" s="4"/>
      <c r="QRG10" s="65"/>
      <c r="QRH10" s="4"/>
      <c r="QRI10" s="4"/>
      <c r="QRJ10" s="4"/>
      <c r="QRM10" s="34"/>
      <c r="QRN10" s="34"/>
      <c r="QRP10" s="34"/>
      <c r="QRQ10" s="72"/>
      <c r="QRR10" s="63"/>
      <c r="QRS10" s="34"/>
      <c r="QRT10" s="64"/>
      <c r="QRU10" s="4"/>
      <c r="QRV10" s="65"/>
      <c r="QRW10" s="4"/>
      <c r="QRX10" s="4"/>
      <c r="QRY10" s="4"/>
      <c r="QSB10" s="34"/>
      <c r="QSC10" s="34"/>
      <c r="QSE10" s="34"/>
      <c r="QSF10" s="72"/>
      <c r="QSG10" s="63"/>
      <c r="QSH10" s="34"/>
      <c r="QSI10" s="64"/>
      <c r="QSJ10" s="4"/>
      <c r="QSK10" s="65"/>
      <c r="QSL10" s="4"/>
      <c r="QSM10" s="4"/>
      <c r="QSN10" s="4"/>
      <c r="QSQ10" s="34"/>
      <c r="QSR10" s="34"/>
      <c r="QST10" s="34"/>
      <c r="QSU10" s="72"/>
      <c r="QSV10" s="63"/>
      <c r="QSW10" s="34"/>
      <c r="QSX10" s="64"/>
      <c r="QSY10" s="4"/>
      <c r="QSZ10" s="65"/>
      <c r="QTA10" s="4"/>
      <c r="QTB10" s="4"/>
      <c r="QTC10" s="4"/>
      <c r="QTF10" s="34"/>
      <c r="QTG10" s="34"/>
      <c r="QTI10" s="34"/>
      <c r="QTJ10" s="72"/>
      <c r="QTK10" s="63"/>
      <c r="QTL10" s="34"/>
      <c r="QTM10" s="64"/>
      <c r="QTN10" s="4"/>
      <c r="QTO10" s="65"/>
      <c r="QTP10" s="4"/>
      <c r="QTQ10" s="4"/>
      <c r="QTR10" s="4"/>
      <c r="QTU10" s="34"/>
      <c r="QTV10" s="34"/>
      <c r="QTX10" s="34"/>
      <c r="QTY10" s="72"/>
      <c r="QTZ10" s="63"/>
      <c r="QUA10" s="34"/>
      <c r="QUB10" s="64"/>
      <c r="QUC10" s="4"/>
      <c r="QUD10" s="65"/>
      <c r="QUE10" s="4"/>
      <c r="QUF10" s="4"/>
      <c r="QUG10" s="4"/>
      <c r="QUJ10" s="34"/>
      <c r="QUK10" s="34"/>
      <c r="QUM10" s="34"/>
      <c r="QUN10" s="72"/>
      <c r="QUO10" s="63"/>
      <c r="QUP10" s="34"/>
      <c r="QUQ10" s="64"/>
      <c r="QUR10" s="4"/>
      <c r="QUS10" s="65"/>
      <c r="QUT10" s="4"/>
      <c r="QUU10" s="4"/>
      <c r="QUV10" s="4"/>
      <c r="QUY10" s="34"/>
      <c r="QUZ10" s="34"/>
      <c r="QVB10" s="34"/>
      <c r="QVC10" s="72"/>
      <c r="QVD10" s="63"/>
      <c r="QVE10" s="34"/>
      <c r="QVF10" s="64"/>
      <c r="QVG10" s="4"/>
      <c r="QVH10" s="65"/>
      <c r="QVI10" s="4"/>
      <c r="QVJ10" s="4"/>
      <c r="QVK10" s="4"/>
      <c r="QVN10" s="34"/>
      <c r="QVO10" s="34"/>
      <c r="QVQ10" s="34"/>
      <c r="QVR10" s="72"/>
      <c r="QVS10" s="63"/>
      <c r="QVT10" s="34"/>
      <c r="QVU10" s="64"/>
      <c r="QVV10" s="4"/>
      <c r="QVW10" s="65"/>
      <c r="QVX10" s="4"/>
      <c r="QVY10" s="4"/>
      <c r="QVZ10" s="4"/>
      <c r="QWC10" s="34"/>
      <c r="QWD10" s="34"/>
      <c r="QWF10" s="34"/>
      <c r="QWG10" s="72"/>
      <c r="QWH10" s="63"/>
      <c r="QWI10" s="34"/>
      <c r="QWJ10" s="64"/>
      <c r="QWK10" s="4"/>
      <c r="QWL10" s="65"/>
      <c r="QWM10" s="4"/>
      <c r="QWN10" s="4"/>
      <c r="QWO10" s="4"/>
      <c r="QWR10" s="34"/>
      <c r="QWS10" s="34"/>
      <c r="QWU10" s="34"/>
      <c r="QWV10" s="72"/>
      <c r="QWW10" s="63"/>
      <c r="QWX10" s="34"/>
      <c r="QWY10" s="64"/>
      <c r="QWZ10" s="4"/>
      <c r="QXA10" s="65"/>
      <c r="QXB10" s="4"/>
      <c r="QXC10" s="4"/>
      <c r="QXD10" s="4"/>
      <c r="QXG10" s="34"/>
      <c r="QXH10" s="34"/>
      <c r="QXJ10" s="34"/>
      <c r="QXK10" s="72"/>
      <c r="QXL10" s="63"/>
      <c r="QXM10" s="34"/>
      <c r="QXN10" s="64"/>
      <c r="QXO10" s="4"/>
      <c r="QXP10" s="65"/>
      <c r="QXQ10" s="4"/>
      <c r="QXR10" s="4"/>
      <c r="QXS10" s="4"/>
      <c r="QXV10" s="34"/>
      <c r="QXW10" s="34"/>
      <c r="QXY10" s="34"/>
      <c r="QXZ10" s="72"/>
      <c r="QYA10" s="63"/>
      <c r="QYB10" s="34"/>
      <c r="QYC10" s="64"/>
      <c r="QYD10" s="4"/>
      <c r="QYE10" s="65"/>
      <c r="QYF10" s="4"/>
      <c r="QYG10" s="4"/>
      <c r="QYH10" s="4"/>
      <c r="QYK10" s="34"/>
      <c r="QYL10" s="34"/>
      <c r="QYN10" s="34"/>
      <c r="QYO10" s="72"/>
      <c r="QYP10" s="63"/>
      <c r="QYQ10" s="34"/>
      <c r="QYR10" s="64"/>
      <c r="QYS10" s="4"/>
      <c r="QYT10" s="65"/>
      <c r="QYU10" s="4"/>
      <c r="QYV10" s="4"/>
      <c r="QYW10" s="4"/>
      <c r="QYZ10" s="34"/>
      <c r="QZA10" s="34"/>
      <c r="QZC10" s="34"/>
      <c r="QZD10" s="72"/>
      <c r="QZE10" s="63"/>
      <c r="QZF10" s="34"/>
      <c r="QZG10" s="64"/>
      <c r="QZH10" s="4"/>
      <c r="QZI10" s="65"/>
      <c r="QZJ10" s="4"/>
      <c r="QZK10" s="4"/>
      <c r="QZL10" s="4"/>
      <c r="QZO10" s="34"/>
      <c r="QZP10" s="34"/>
      <c r="QZR10" s="34"/>
      <c r="QZS10" s="72"/>
      <c r="QZT10" s="63"/>
      <c r="QZU10" s="34"/>
      <c r="QZV10" s="64"/>
      <c r="QZW10" s="4"/>
      <c r="QZX10" s="65"/>
      <c r="QZY10" s="4"/>
      <c r="QZZ10" s="4"/>
      <c r="RAA10" s="4"/>
      <c r="RAD10" s="34"/>
      <c r="RAE10" s="34"/>
      <c r="RAG10" s="34"/>
      <c r="RAH10" s="72"/>
      <c r="RAI10" s="63"/>
      <c r="RAJ10" s="34"/>
      <c r="RAK10" s="64"/>
      <c r="RAL10" s="4"/>
      <c r="RAM10" s="65"/>
      <c r="RAN10" s="4"/>
      <c r="RAO10" s="4"/>
      <c r="RAP10" s="4"/>
      <c r="RAS10" s="34"/>
      <c r="RAT10" s="34"/>
      <c r="RAV10" s="34"/>
      <c r="RAW10" s="72"/>
      <c r="RAX10" s="63"/>
      <c r="RAY10" s="34"/>
      <c r="RAZ10" s="64"/>
      <c r="RBA10" s="4"/>
      <c r="RBB10" s="65"/>
      <c r="RBC10" s="4"/>
      <c r="RBD10" s="4"/>
      <c r="RBE10" s="4"/>
      <c r="RBH10" s="34"/>
      <c r="RBI10" s="34"/>
      <c r="RBK10" s="34"/>
      <c r="RBL10" s="72"/>
      <c r="RBM10" s="63"/>
      <c r="RBN10" s="34"/>
      <c r="RBO10" s="64"/>
      <c r="RBP10" s="4"/>
      <c r="RBQ10" s="65"/>
      <c r="RBR10" s="4"/>
      <c r="RBS10" s="4"/>
      <c r="RBT10" s="4"/>
      <c r="RBW10" s="34"/>
      <c r="RBX10" s="34"/>
      <c r="RBZ10" s="34"/>
      <c r="RCA10" s="72"/>
      <c r="RCB10" s="63"/>
      <c r="RCC10" s="34"/>
      <c r="RCD10" s="64"/>
      <c r="RCE10" s="4"/>
      <c r="RCF10" s="65"/>
      <c r="RCG10" s="4"/>
      <c r="RCH10" s="4"/>
      <c r="RCI10" s="4"/>
      <c r="RCL10" s="34"/>
      <c r="RCM10" s="34"/>
      <c r="RCO10" s="34"/>
      <c r="RCP10" s="72"/>
      <c r="RCQ10" s="63"/>
      <c r="RCR10" s="34"/>
      <c r="RCS10" s="64"/>
      <c r="RCT10" s="4"/>
      <c r="RCU10" s="65"/>
      <c r="RCV10" s="4"/>
      <c r="RCW10" s="4"/>
      <c r="RCX10" s="4"/>
      <c r="RDA10" s="34"/>
      <c r="RDB10" s="34"/>
      <c r="RDD10" s="34"/>
      <c r="RDE10" s="72"/>
      <c r="RDF10" s="63"/>
      <c r="RDG10" s="34"/>
      <c r="RDH10" s="64"/>
      <c r="RDI10" s="4"/>
      <c r="RDJ10" s="65"/>
      <c r="RDK10" s="4"/>
      <c r="RDL10" s="4"/>
      <c r="RDM10" s="4"/>
      <c r="RDP10" s="34"/>
      <c r="RDQ10" s="34"/>
      <c r="RDS10" s="34"/>
      <c r="RDT10" s="72"/>
      <c r="RDU10" s="63"/>
      <c r="RDV10" s="34"/>
      <c r="RDW10" s="64"/>
      <c r="RDX10" s="4"/>
      <c r="RDY10" s="65"/>
      <c r="RDZ10" s="4"/>
      <c r="REA10" s="4"/>
      <c r="REB10" s="4"/>
      <c r="REE10" s="34"/>
      <c r="REF10" s="34"/>
      <c r="REH10" s="34"/>
      <c r="REI10" s="72"/>
      <c r="REJ10" s="63"/>
      <c r="REK10" s="34"/>
      <c r="REL10" s="64"/>
      <c r="REM10" s="4"/>
      <c r="REN10" s="65"/>
      <c r="REO10" s="4"/>
      <c r="REP10" s="4"/>
      <c r="REQ10" s="4"/>
      <c r="RET10" s="34"/>
      <c r="REU10" s="34"/>
      <c r="REW10" s="34"/>
      <c r="REX10" s="72"/>
      <c r="REY10" s="63"/>
      <c r="REZ10" s="34"/>
      <c r="RFA10" s="64"/>
      <c r="RFB10" s="4"/>
      <c r="RFC10" s="65"/>
      <c r="RFD10" s="4"/>
      <c r="RFE10" s="4"/>
      <c r="RFF10" s="4"/>
      <c r="RFI10" s="34"/>
      <c r="RFJ10" s="34"/>
      <c r="RFL10" s="34"/>
      <c r="RFM10" s="72"/>
      <c r="RFN10" s="63"/>
      <c r="RFO10" s="34"/>
      <c r="RFP10" s="64"/>
      <c r="RFQ10" s="4"/>
      <c r="RFR10" s="65"/>
      <c r="RFS10" s="4"/>
      <c r="RFT10" s="4"/>
      <c r="RFU10" s="4"/>
      <c r="RFX10" s="34"/>
      <c r="RFY10" s="34"/>
      <c r="RGA10" s="34"/>
      <c r="RGB10" s="72"/>
      <c r="RGC10" s="63"/>
      <c r="RGD10" s="34"/>
      <c r="RGE10" s="64"/>
      <c r="RGF10" s="4"/>
      <c r="RGG10" s="65"/>
      <c r="RGH10" s="4"/>
      <c r="RGI10" s="4"/>
      <c r="RGJ10" s="4"/>
      <c r="RGM10" s="34"/>
      <c r="RGN10" s="34"/>
      <c r="RGP10" s="34"/>
      <c r="RGQ10" s="72"/>
      <c r="RGR10" s="63"/>
      <c r="RGS10" s="34"/>
      <c r="RGT10" s="64"/>
      <c r="RGU10" s="4"/>
      <c r="RGV10" s="65"/>
      <c r="RGW10" s="4"/>
      <c r="RGX10" s="4"/>
      <c r="RGY10" s="4"/>
      <c r="RHB10" s="34"/>
      <c r="RHC10" s="34"/>
      <c r="RHE10" s="34"/>
      <c r="RHF10" s="72"/>
      <c r="RHG10" s="63"/>
      <c r="RHH10" s="34"/>
      <c r="RHI10" s="64"/>
      <c r="RHJ10" s="4"/>
      <c r="RHK10" s="65"/>
      <c r="RHL10" s="4"/>
      <c r="RHM10" s="4"/>
      <c r="RHN10" s="4"/>
      <c r="RHQ10" s="34"/>
      <c r="RHR10" s="34"/>
      <c r="RHT10" s="34"/>
      <c r="RHU10" s="72"/>
      <c r="RHV10" s="63"/>
      <c r="RHW10" s="34"/>
      <c r="RHX10" s="64"/>
      <c r="RHY10" s="4"/>
      <c r="RHZ10" s="65"/>
      <c r="RIA10" s="4"/>
      <c r="RIB10" s="4"/>
      <c r="RIC10" s="4"/>
      <c r="RIF10" s="34"/>
      <c r="RIG10" s="34"/>
      <c r="RII10" s="34"/>
      <c r="RIJ10" s="72"/>
      <c r="RIK10" s="63"/>
      <c r="RIL10" s="34"/>
      <c r="RIM10" s="64"/>
      <c r="RIN10" s="4"/>
      <c r="RIO10" s="65"/>
      <c r="RIP10" s="4"/>
      <c r="RIQ10" s="4"/>
      <c r="RIR10" s="4"/>
      <c r="RIU10" s="34"/>
      <c r="RIV10" s="34"/>
      <c r="RIX10" s="34"/>
      <c r="RIY10" s="72"/>
      <c r="RIZ10" s="63"/>
      <c r="RJA10" s="34"/>
      <c r="RJB10" s="64"/>
      <c r="RJC10" s="4"/>
      <c r="RJD10" s="65"/>
      <c r="RJE10" s="4"/>
      <c r="RJF10" s="4"/>
      <c r="RJG10" s="4"/>
      <c r="RJJ10" s="34"/>
      <c r="RJK10" s="34"/>
      <c r="RJM10" s="34"/>
      <c r="RJN10" s="72"/>
      <c r="RJO10" s="63"/>
      <c r="RJP10" s="34"/>
      <c r="RJQ10" s="64"/>
      <c r="RJR10" s="4"/>
      <c r="RJS10" s="65"/>
      <c r="RJT10" s="4"/>
      <c r="RJU10" s="4"/>
      <c r="RJV10" s="4"/>
      <c r="RJY10" s="34"/>
      <c r="RJZ10" s="34"/>
      <c r="RKB10" s="34"/>
      <c r="RKC10" s="72"/>
      <c r="RKD10" s="63"/>
      <c r="RKE10" s="34"/>
      <c r="RKF10" s="64"/>
      <c r="RKG10" s="4"/>
      <c r="RKH10" s="65"/>
      <c r="RKI10" s="4"/>
      <c r="RKJ10" s="4"/>
      <c r="RKK10" s="4"/>
      <c r="RKN10" s="34"/>
      <c r="RKO10" s="34"/>
      <c r="RKQ10" s="34"/>
      <c r="RKR10" s="72"/>
      <c r="RKS10" s="63"/>
      <c r="RKT10" s="34"/>
      <c r="RKU10" s="64"/>
      <c r="RKV10" s="4"/>
      <c r="RKW10" s="65"/>
      <c r="RKX10" s="4"/>
      <c r="RKY10" s="4"/>
      <c r="RKZ10" s="4"/>
      <c r="RLC10" s="34"/>
      <c r="RLD10" s="34"/>
      <c r="RLF10" s="34"/>
      <c r="RLG10" s="72"/>
      <c r="RLH10" s="63"/>
      <c r="RLI10" s="34"/>
      <c r="RLJ10" s="64"/>
      <c r="RLK10" s="4"/>
      <c r="RLL10" s="65"/>
      <c r="RLM10" s="4"/>
      <c r="RLN10" s="4"/>
      <c r="RLO10" s="4"/>
      <c r="RLR10" s="34"/>
      <c r="RLS10" s="34"/>
      <c r="RLU10" s="34"/>
      <c r="RLV10" s="72"/>
      <c r="RLW10" s="63"/>
      <c r="RLX10" s="34"/>
      <c r="RLY10" s="64"/>
      <c r="RLZ10" s="4"/>
      <c r="RMA10" s="65"/>
      <c r="RMB10" s="4"/>
      <c r="RMC10" s="4"/>
      <c r="RMD10" s="4"/>
      <c r="RMG10" s="34"/>
      <c r="RMH10" s="34"/>
      <c r="RMJ10" s="34"/>
      <c r="RMK10" s="72"/>
      <c r="RML10" s="63"/>
      <c r="RMM10" s="34"/>
      <c r="RMN10" s="64"/>
      <c r="RMO10" s="4"/>
      <c r="RMP10" s="65"/>
      <c r="RMQ10" s="4"/>
      <c r="RMR10" s="4"/>
      <c r="RMS10" s="4"/>
      <c r="RMV10" s="34"/>
      <c r="RMW10" s="34"/>
      <c r="RMY10" s="34"/>
      <c r="RMZ10" s="72"/>
      <c r="RNA10" s="63"/>
      <c r="RNB10" s="34"/>
      <c r="RNC10" s="64"/>
      <c r="RND10" s="4"/>
      <c r="RNE10" s="65"/>
      <c r="RNF10" s="4"/>
      <c r="RNG10" s="4"/>
      <c r="RNH10" s="4"/>
      <c r="RNK10" s="34"/>
      <c r="RNL10" s="34"/>
      <c r="RNN10" s="34"/>
      <c r="RNO10" s="72"/>
      <c r="RNP10" s="63"/>
      <c r="RNQ10" s="34"/>
      <c r="RNR10" s="64"/>
      <c r="RNS10" s="4"/>
      <c r="RNT10" s="65"/>
      <c r="RNU10" s="4"/>
      <c r="RNV10" s="4"/>
      <c r="RNW10" s="4"/>
      <c r="RNZ10" s="34"/>
      <c r="ROA10" s="34"/>
      <c r="ROC10" s="34"/>
      <c r="ROD10" s="72"/>
      <c r="ROE10" s="63"/>
      <c r="ROF10" s="34"/>
      <c r="ROG10" s="64"/>
      <c r="ROH10" s="4"/>
      <c r="ROI10" s="65"/>
      <c r="ROJ10" s="4"/>
      <c r="ROK10" s="4"/>
      <c r="ROL10" s="4"/>
      <c r="ROO10" s="34"/>
      <c r="ROP10" s="34"/>
      <c r="ROR10" s="34"/>
      <c r="ROS10" s="72"/>
      <c r="ROT10" s="63"/>
      <c r="ROU10" s="34"/>
      <c r="ROV10" s="64"/>
      <c r="ROW10" s="4"/>
      <c r="ROX10" s="65"/>
      <c r="ROY10" s="4"/>
      <c r="ROZ10" s="4"/>
      <c r="RPA10" s="4"/>
      <c r="RPD10" s="34"/>
      <c r="RPE10" s="34"/>
      <c r="RPG10" s="34"/>
      <c r="RPH10" s="72"/>
      <c r="RPI10" s="63"/>
      <c r="RPJ10" s="34"/>
      <c r="RPK10" s="64"/>
      <c r="RPL10" s="4"/>
      <c r="RPM10" s="65"/>
      <c r="RPN10" s="4"/>
      <c r="RPO10" s="4"/>
      <c r="RPP10" s="4"/>
      <c r="RPS10" s="34"/>
      <c r="RPT10" s="34"/>
      <c r="RPV10" s="34"/>
      <c r="RPW10" s="72"/>
      <c r="RPX10" s="63"/>
      <c r="RPY10" s="34"/>
      <c r="RPZ10" s="64"/>
      <c r="RQA10" s="4"/>
      <c r="RQB10" s="65"/>
      <c r="RQC10" s="4"/>
      <c r="RQD10" s="4"/>
      <c r="RQE10" s="4"/>
      <c r="RQH10" s="34"/>
      <c r="RQI10" s="34"/>
      <c r="RQK10" s="34"/>
      <c r="RQL10" s="72"/>
      <c r="RQM10" s="63"/>
      <c r="RQN10" s="34"/>
      <c r="RQO10" s="64"/>
      <c r="RQP10" s="4"/>
      <c r="RQQ10" s="65"/>
      <c r="RQR10" s="4"/>
      <c r="RQS10" s="4"/>
      <c r="RQT10" s="4"/>
      <c r="RQW10" s="34"/>
      <c r="RQX10" s="34"/>
      <c r="RQZ10" s="34"/>
      <c r="RRA10" s="72"/>
      <c r="RRB10" s="63"/>
      <c r="RRC10" s="34"/>
      <c r="RRD10" s="64"/>
      <c r="RRE10" s="4"/>
      <c r="RRF10" s="65"/>
      <c r="RRG10" s="4"/>
      <c r="RRH10" s="4"/>
      <c r="RRI10" s="4"/>
      <c r="RRL10" s="34"/>
      <c r="RRM10" s="34"/>
      <c r="RRO10" s="34"/>
      <c r="RRP10" s="72"/>
      <c r="RRQ10" s="63"/>
      <c r="RRR10" s="34"/>
      <c r="RRS10" s="64"/>
      <c r="RRT10" s="4"/>
      <c r="RRU10" s="65"/>
      <c r="RRV10" s="4"/>
      <c r="RRW10" s="4"/>
      <c r="RRX10" s="4"/>
      <c r="RSA10" s="34"/>
      <c r="RSB10" s="34"/>
      <c r="RSD10" s="34"/>
      <c r="RSE10" s="72"/>
      <c r="RSF10" s="63"/>
      <c r="RSG10" s="34"/>
      <c r="RSH10" s="64"/>
      <c r="RSI10" s="4"/>
      <c r="RSJ10" s="65"/>
      <c r="RSK10" s="4"/>
      <c r="RSL10" s="4"/>
      <c r="RSM10" s="4"/>
      <c r="RSP10" s="34"/>
      <c r="RSQ10" s="34"/>
      <c r="RSS10" s="34"/>
      <c r="RST10" s="72"/>
      <c r="RSU10" s="63"/>
      <c r="RSV10" s="34"/>
      <c r="RSW10" s="64"/>
      <c r="RSX10" s="4"/>
      <c r="RSY10" s="65"/>
      <c r="RSZ10" s="4"/>
      <c r="RTA10" s="4"/>
      <c r="RTB10" s="4"/>
      <c r="RTE10" s="34"/>
      <c r="RTF10" s="34"/>
      <c r="RTH10" s="34"/>
      <c r="RTI10" s="72"/>
      <c r="RTJ10" s="63"/>
      <c r="RTK10" s="34"/>
      <c r="RTL10" s="64"/>
      <c r="RTM10" s="4"/>
      <c r="RTN10" s="65"/>
      <c r="RTO10" s="4"/>
      <c r="RTP10" s="4"/>
      <c r="RTQ10" s="4"/>
      <c r="RTT10" s="34"/>
      <c r="RTU10" s="34"/>
      <c r="RTW10" s="34"/>
      <c r="RTX10" s="72"/>
      <c r="RTY10" s="63"/>
      <c r="RTZ10" s="34"/>
      <c r="RUA10" s="64"/>
      <c r="RUB10" s="4"/>
      <c r="RUC10" s="65"/>
      <c r="RUD10" s="4"/>
      <c r="RUE10" s="4"/>
      <c r="RUF10" s="4"/>
      <c r="RUI10" s="34"/>
      <c r="RUJ10" s="34"/>
      <c r="RUL10" s="34"/>
      <c r="RUM10" s="72"/>
      <c r="RUN10" s="63"/>
      <c r="RUO10" s="34"/>
      <c r="RUP10" s="64"/>
      <c r="RUQ10" s="4"/>
      <c r="RUR10" s="65"/>
      <c r="RUS10" s="4"/>
      <c r="RUT10" s="4"/>
      <c r="RUU10" s="4"/>
      <c r="RUX10" s="34"/>
      <c r="RUY10" s="34"/>
      <c r="RVA10" s="34"/>
      <c r="RVB10" s="72"/>
      <c r="RVC10" s="63"/>
      <c r="RVD10" s="34"/>
      <c r="RVE10" s="64"/>
      <c r="RVF10" s="4"/>
      <c r="RVG10" s="65"/>
      <c r="RVH10" s="4"/>
      <c r="RVI10" s="4"/>
      <c r="RVJ10" s="4"/>
      <c r="RVM10" s="34"/>
      <c r="RVN10" s="34"/>
      <c r="RVP10" s="34"/>
      <c r="RVQ10" s="72"/>
      <c r="RVR10" s="63"/>
      <c r="RVS10" s="34"/>
      <c r="RVT10" s="64"/>
      <c r="RVU10" s="4"/>
      <c r="RVV10" s="65"/>
      <c r="RVW10" s="4"/>
      <c r="RVX10" s="4"/>
      <c r="RVY10" s="4"/>
      <c r="RWB10" s="34"/>
      <c r="RWC10" s="34"/>
      <c r="RWE10" s="34"/>
      <c r="RWF10" s="72"/>
      <c r="RWG10" s="63"/>
      <c r="RWH10" s="34"/>
      <c r="RWI10" s="64"/>
      <c r="RWJ10" s="4"/>
      <c r="RWK10" s="65"/>
      <c r="RWL10" s="4"/>
      <c r="RWM10" s="4"/>
      <c r="RWN10" s="4"/>
      <c r="RWQ10" s="34"/>
      <c r="RWR10" s="34"/>
      <c r="RWT10" s="34"/>
      <c r="RWU10" s="72"/>
      <c r="RWV10" s="63"/>
      <c r="RWW10" s="34"/>
      <c r="RWX10" s="64"/>
      <c r="RWY10" s="4"/>
      <c r="RWZ10" s="65"/>
      <c r="RXA10" s="4"/>
      <c r="RXB10" s="4"/>
      <c r="RXC10" s="4"/>
      <c r="RXF10" s="34"/>
      <c r="RXG10" s="34"/>
      <c r="RXI10" s="34"/>
      <c r="RXJ10" s="72"/>
      <c r="RXK10" s="63"/>
      <c r="RXL10" s="34"/>
      <c r="RXM10" s="64"/>
      <c r="RXN10" s="4"/>
      <c r="RXO10" s="65"/>
      <c r="RXP10" s="4"/>
      <c r="RXQ10" s="4"/>
      <c r="RXR10" s="4"/>
      <c r="RXU10" s="34"/>
      <c r="RXV10" s="34"/>
      <c r="RXX10" s="34"/>
      <c r="RXY10" s="72"/>
      <c r="RXZ10" s="63"/>
      <c r="RYA10" s="34"/>
      <c r="RYB10" s="64"/>
      <c r="RYC10" s="4"/>
      <c r="RYD10" s="65"/>
      <c r="RYE10" s="4"/>
      <c r="RYF10" s="4"/>
      <c r="RYG10" s="4"/>
      <c r="RYJ10" s="34"/>
      <c r="RYK10" s="34"/>
      <c r="RYM10" s="34"/>
      <c r="RYN10" s="72"/>
      <c r="RYO10" s="63"/>
      <c r="RYP10" s="34"/>
      <c r="RYQ10" s="64"/>
      <c r="RYR10" s="4"/>
      <c r="RYS10" s="65"/>
      <c r="RYT10" s="4"/>
      <c r="RYU10" s="4"/>
      <c r="RYV10" s="4"/>
      <c r="RYY10" s="34"/>
      <c r="RYZ10" s="34"/>
      <c r="RZB10" s="34"/>
      <c r="RZC10" s="72"/>
      <c r="RZD10" s="63"/>
      <c r="RZE10" s="34"/>
      <c r="RZF10" s="64"/>
      <c r="RZG10" s="4"/>
      <c r="RZH10" s="65"/>
      <c r="RZI10" s="4"/>
      <c r="RZJ10" s="4"/>
      <c r="RZK10" s="4"/>
      <c r="RZN10" s="34"/>
      <c r="RZO10" s="34"/>
      <c r="RZQ10" s="34"/>
      <c r="RZR10" s="72"/>
      <c r="RZS10" s="63"/>
      <c r="RZT10" s="34"/>
      <c r="RZU10" s="64"/>
      <c r="RZV10" s="4"/>
      <c r="RZW10" s="65"/>
      <c r="RZX10" s="4"/>
      <c r="RZY10" s="4"/>
      <c r="RZZ10" s="4"/>
      <c r="SAC10" s="34"/>
      <c r="SAD10" s="34"/>
      <c r="SAF10" s="34"/>
      <c r="SAG10" s="72"/>
      <c r="SAH10" s="63"/>
      <c r="SAI10" s="34"/>
      <c r="SAJ10" s="64"/>
      <c r="SAK10" s="4"/>
      <c r="SAL10" s="65"/>
      <c r="SAM10" s="4"/>
      <c r="SAN10" s="4"/>
      <c r="SAO10" s="4"/>
      <c r="SAR10" s="34"/>
      <c r="SAS10" s="34"/>
      <c r="SAU10" s="34"/>
      <c r="SAV10" s="72"/>
      <c r="SAW10" s="63"/>
      <c r="SAX10" s="34"/>
      <c r="SAY10" s="64"/>
      <c r="SAZ10" s="4"/>
      <c r="SBA10" s="65"/>
      <c r="SBB10" s="4"/>
      <c r="SBC10" s="4"/>
      <c r="SBD10" s="4"/>
      <c r="SBG10" s="34"/>
      <c r="SBH10" s="34"/>
      <c r="SBJ10" s="34"/>
      <c r="SBK10" s="72"/>
      <c r="SBL10" s="63"/>
      <c r="SBM10" s="34"/>
      <c r="SBN10" s="64"/>
      <c r="SBO10" s="4"/>
      <c r="SBP10" s="65"/>
      <c r="SBQ10" s="4"/>
      <c r="SBR10" s="4"/>
      <c r="SBS10" s="4"/>
      <c r="SBV10" s="34"/>
      <c r="SBW10" s="34"/>
      <c r="SBY10" s="34"/>
      <c r="SBZ10" s="72"/>
      <c r="SCA10" s="63"/>
      <c r="SCB10" s="34"/>
      <c r="SCC10" s="64"/>
      <c r="SCD10" s="4"/>
      <c r="SCE10" s="65"/>
      <c r="SCF10" s="4"/>
      <c r="SCG10" s="4"/>
      <c r="SCH10" s="4"/>
      <c r="SCK10" s="34"/>
      <c r="SCL10" s="34"/>
      <c r="SCN10" s="34"/>
      <c r="SCO10" s="72"/>
      <c r="SCP10" s="63"/>
      <c r="SCQ10" s="34"/>
      <c r="SCR10" s="64"/>
      <c r="SCS10" s="4"/>
      <c r="SCT10" s="65"/>
      <c r="SCU10" s="4"/>
      <c r="SCV10" s="4"/>
      <c r="SCW10" s="4"/>
      <c r="SCZ10" s="34"/>
      <c r="SDA10" s="34"/>
      <c r="SDC10" s="34"/>
      <c r="SDD10" s="72"/>
      <c r="SDE10" s="63"/>
      <c r="SDF10" s="34"/>
      <c r="SDG10" s="64"/>
      <c r="SDH10" s="4"/>
      <c r="SDI10" s="65"/>
      <c r="SDJ10" s="4"/>
      <c r="SDK10" s="4"/>
      <c r="SDL10" s="4"/>
      <c r="SDO10" s="34"/>
      <c r="SDP10" s="34"/>
      <c r="SDR10" s="34"/>
      <c r="SDS10" s="72"/>
      <c r="SDT10" s="63"/>
      <c r="SDU10" s="34"/>
      <c r="SDV10" s="64"/>
      <c r="SDW10" s="4"/>
      <c r="SDX10" s="65"/>
      <c r="SDY10" s="4"/>
      <c r="SDZ10" s="4"/>
      <c r="SEA10" s="4"/>
      <c r="SED10" s="34"/>
      <c r="SEE10" s="34"/>
      <c r="SEG10" s="34"/>
      <c r="SEH10" s="72"/>
      <c r="SEI10" s="63"/>
      <c r="SEJ10" s="34"/>
      <c r="SEK10" s="64"/>
      <c r="SEL10" s="4"/>
      <c r="SEM10" s="65"/>
      <c r="SEN10" s="4"/>
      <c r="SEO10" s="4"/>
      <c r="SEP10" s="4"/>
      <c r="SES10" s="34"/>
      <c r="SET10" s="34"/>
      <c r="SEV10" s="34"/>
      <c r="SEW10" s="72"/>
      <c r="SEX10" s="63"/>
      <c r="SEY10" s="34"/>
      <c r="SEZ10" s="64"/>
      <c r="SFA10" s="4"/>
      <c r="SFB10" s="65"/>
      <c r="SFC10" s="4"/>
      <c r="SFD10" s="4"/>
      <c r="SFE10" s="4"/>
      <c r="SFH10" s="34"/>
      <c r="SFI10" s="34"/>
      <c r="SFK10" s="34"/>
      <c r="SFL10" s="72"/>
      <c r="SFM10" s="63"/>
      <c r="SFN10" s="34"/>
      <c r="SFO10" s="64"/>
      <c r="SFP10" s="4"/>
      <c r="SFQ10" s="65"/>
      <c r="SFR10" s="4"/>
      <c r="SFS10" s="4"/>
      <c r="SFT10" s="4"/>
      <c r="SFW10" s="34"/>
      <c r="SFX10" s="34"/>
      <c r="SFZ10" s="34"/>
      <c r="SGA10" s="72"/>
      <c r="SGB10" s="63"/>
      <c r="SGC10" s="34"/>
      <c r="SGD10" s="64"/>
      <c r="SGE10" s="4"/>
      <c r="SGF10" s="65"/>
      <c r="SGG10" s="4"/>
      <c r="SGH10" s="4"/>
      <c r="SGI10" s="4"/>
      <c r="SGL10" s="34"/>
      <c r="SGM10" s="34"/>
      <c r="SGO10" s="34"/>
      <c r="SGP10" s="72"/>
      <c r="SGQ10" s="63"/>
      <c r="SGR10" s="34"/>
      <c r="SGS10" s="64"/>
      <c r="SGT10" s="4"/>
      <c r="SGU10" s="65"/>
      <c r="SGV10" s="4"/>
      <c r="SGW10" s="4"/>
      <c r="SGX10" s="4"/>
      <c r="SHA10" s="34"/>
      <c r="SHB10" s="34"/>
      <c r="SHD10" s="34"/>
      <c r="SHE10" s="72"/>
      <c r="SHF10" s="63"/>
      <c r="SHG10" s="34"/>
      <c r="SHH10" s="64"/>
      <c r="SHI10" s="4"/>
      <c r="SHJ10" s="65"/>
      <c r="SHK10" s="4"/>
      <c r="SHL10" s="4"/>
      <c r="SHM10" s="4"/>
      <c r="SHP10" s="34"/>
      <c r="SHQ10" s="34"/>
      <c r="SHS10" s="34"/>
      <c r="SHT10" s="72"/>
      <c r="SHU10" s="63"/>
      <c r="SHV10" s="34"/>
      <c r="SHW10" s="64"/>
      <c r="SHX10" s="4"/>
      <c r="SHY10" s="65"/>
      <c r="SHZ10" s="4"/>
      <c r="SIA10" s="4"/>
      <c r="SIB10" s="4"/>
      <c r="SIE10" s="34"/>
      <c r="SIF10" s="34"/>
      <c r="SIH10" s="34"/>
      <c r="SII10" s="72"/>
      <c r="SIJ10" s="63"/>
      <c r="SIK10" s="34"/>
      <c r="SIL10" s="64"/>
      <c r="SIM10" s="4"/>
      <c r="SIN10" s="65"/>
      <c r="SIO10" s="4"/>
      <c r="SIP10" s="4"/>
      <c r="SIQ10" s="4"/>
      <c r="SIT10" s="34"/>
      <c r="SIU10" s="34"/>
      <c r="SIW10" s="34"/>
      <c r="SIX10" s="72"/>
      <c r="SIY10" s="63"/>
      <c r="SIZ10" s="34"/>
      <c r="SJA10" s="64"/>
      <c r="SJB10" s="4"/>
      <c r="SJC10" s="65"/>
      <c r="SJD10" s="4"/>
      <c r="SJE10" s="4"/>
      <c r="SJF10" s="4"/>
      <c r="SJI10" s="34"/>
      <c r="SJJ10" s="34"/>
      <c r="SJL10" s="34"/>
      <c r="SJM10" s="72"/>
      <c r="SJN10" s="63"/>
      <c r="SJO10" s="34"/>
      <c r="SJP10" s="64"/>
      <c r="SJQ10" s="4"/>
      <c r="SJR10" s="65"/>
      <c r="SJS10" s="4"/>
      <c r="SJT10" s="4"/>
      <c r="SJU10" s="4"/>
      <c r="SJX10" s="34"/>
      <c r="SJY10" s="34"/>
      <c r="SKA10" s="34"/>
      <c r="SKB10" s="72"/>
      <c r="SKC10" s="63"/>
      <c r="SKD10" s="34"/>
      <c r="SKE10" s="64"/>
      <c r="SKF10" s="4"/>
      <c r="SKG10" s="65"/>
      <c r="SKH10" s="4"/>
      <c r="SKI10" s="4"/>
      <c r="SKJ10" s="4"/>
      <c r="SKM10" s="34"/>
      <c r="SKN10" s="34"/>
      <c r="SKP10" s="34"/>
      <c r="SKQ10" s="72"/>
      <c r="SKR10" s="63"/>
      <c r="SKS10" s="34"/>
      <c r="SKT10" s="64"/>
      <c r="SKU10" s="4"/>
      <c r="SKV10" s="65"/>
      <c r="SKW10" s="4"/>
      <c r="SKX10" s="4"/>
      <c r="SKY10" s="4"/>
      <c r="SLB10" s="34"/>
      <c r="SLC10" s="34"/>
      <c r="SLE10" s="34"/>
      <c r="SLF10" s="72"/>
      <c r="SLG10" s="63"/>
      <c r="SLH10" s="34"/>
      <c r="SLI10" s="64"/>
      <c r="SLJ10" s="4"/>
      <c r="SLK10" s="65"/>
      <c r="SLL10" s="4"/>
      <c r="SLM10" s="4"/>
      <c r="SLN10" s="4"/>
      <c r="SLQ10" s="34"/>
      <c r="SLR10" s="34"/>
      <c r="SLT10" s="34"/>
      <c r="SLU10" s="72"/>
      <c r="SLV10" s="63"/>
      <c r="SLW10" s="34"/>
      <c r="SLX10" s="64"/>
      <c r="SLY10" s="4"/>
      <c r="SLZ10" s="65"/>
      <c r="SMA10" s="4"/>
      <c r="SMB10" s="4"/>
      <c r="SMC10" s="4"/>
      <c r="SMF10" s="34"/>
      <c r="SMG10" s="34"/>
      <c r="SMI10" s="34"/>
      <c r="SMJ10" s="72"/>
      <c r="SMK10" s="63"/>
      <c r="SML10" s="34"/>
      <c r="SMM10" s="64"/>
      <c r="SMN10" s="4"/>
      <c r="SMO10" s="65"/>
      <c r="SMP10" s="4"/>
      <c r="SMQ10" s="4"/>
      <c r="SMR10" s="4"/>
      <c r="SMU10" s="34"/>
      <c r="SMV10" s="34"/>
      <c r="SMX10" s="34"/>
      <c r="SMY10" s="72"/>
      <c r="SMZ10" s="63"/>
      <c r="SNA10" s="34"/>
      <c r="SNB10" s="64"/>
      <c r="SNC10" s="4"/>
      <c r="SND10" s="65"/>
      <c r="SNE10" s="4"/>
      <c r="SNF10" s="4"/>
      <c r="SNG10" s="4"/>
      <c r="SNJ10" s="34"/>
      <c r="SNK10" s="34"/>
      <c r="SNM10" s="34"/>
      <c r="SNN10" s="72"/>
      <c r="SNO10" s="63"/>
      <c r="SNP10" s="34"/>
      <c r="SNQ10" s="64"/>
      <c r="SNR10" s="4"/>
      <c r="SNS10" s="65"/>
      <c r="SNT10" s="4"/>
      <c r="SNU10" s="4"/>
      <c r="SNV10" s="4"/>
      <c r="SNY10" s="34"/>
      <c r="SNZ10" s="34"/>
      <c r="SOB10" s="34"/>
      <c r="SOC10" s="72"/>
      <c r="SOD10" s="63"/>
      <c r="SOE10" s="34"/>
      <c r="SOF10" s="64"/>
      <c r="SOG10" s="4"/>
      <c r="SOH10" s="65"/>
      <c r="SOI10" s="4"/>
      <c r="SOJ10" s="4"/>
      <c r="SOK10" s="4"/>
      <c r="SON10" s="34"/>
      <c r="SOO10" s="34"/>
      <c r="SOQ10" s="34"/>
      <c r="SOR10" s="72"/>
      <c r="SOS10" s="63"/>
      <c r="SOT10" s="34"/>
      <c r="SOU10" s="64"/>
      <c r="SOV10" s="4"/>
      <c r="SOW10" s="65"/>
      <c r="SOX10" s="4"/>
      <c r="SOY10" s="4"/>
      <c r="SOZ10" s="4"/>
      <c r="SPC10" s="34"/>
      <c r="SPD10" s="34"/>
      <c r="SPF10" s="34"/>
      <c r="SPG10" s="72"/>
      <c r="SPH10" s="63"/>
      <c r="SPI10" s="34"/>
      <c r="SPJ10" s="64"/>
      <c r="SPK10" s="4"/>
      <c r="SPL10" s="65"/>
      <c r="SPM10" s="4"/>
      <c r="SPN10" s="4"/>
      <c r="SPO10" s="4"/>
      <c r="SPR10" s="34"/>
      <c r="SPS10" s="34"/>
      <c r="SPU10" s="34"/>
      <c r="SPV10" s="72"/>
      <c r="SPW10" s="63"/>
      <c r="SPX10" s="34"/>
      <c r="SPY10" s="64"/>
      <c r="SPZ10" s="4"/>
      <c r="SQA10" s="65"/>
      <c r="SQB10" s="4"/>
      <c r="SQC10" s="4"/>
      <c r="SQD10" s="4"/>
      <c r="SQG10" s="34"/>
      <c r="SQH10" s="34"/>
      <c r="SQJ10" s="34"/>
      <c r="SQK10" s="72"/>
      <c r="SQL10" s="63"/>
      <c r="SQM10" s="34"/>
      <c r="SQN10" s="64"/>
      <c r="SQO10" s="4"/>
      <c r="SQP10" s="65"/>
      <c r="SQQ10" s="4"/>
      <c r="SQR10" s="4"/>
      <c r="SQS10" s="4"/>
      <c r="SQV10" s="34"/>
      <c r="SQW10" s="34"/>
      <c r="SQY10" s="34"/>
      <c r="SQZ10" s="72"/>
      <c r="SRA10" s="63"/>
      <c r="SRB10" s="34"/>
      <c r="SRC10" s="64"/>
      <c r="SRD10" s="4"/>
      <c r="SRE10" s="65"/>
      <c r="SRF10" s="4"/>
      <c r="SRG10" s="4"/>
      <c r="SRH10" s="4"/>
      <c r="SRK10" s="34"/>
      <c r="SRL10" s="34"/>
      <c r="SRN10" s="34"/>
      <c r="SRO10" s="72"/>
      <c r="SRP10" s="63"/>
      <c r="SRQ10" s="34"/>
      <c r="SRR10" s="64"/>
      <c r="SRS10" s="4"/>
      <c r="SRT10" s="65"/>
      <c r="SRU10" s="4"/>
      <c r="SRV10" s="4"/>
      <c r="SRW10" s="4"/>
      <c r="SRZ10" s="34"/>
      <c r="SSA10" s="34"/>
      <c r="SSC10" s="34"/>
      <c r="SSD10" s="72"/>
      <c r="SSE10" s="63"/>
      <c r="SSF10" s="34"/>
      <c r="SSG10" s="64"/>
      <c r="SSH10" s="4"/>
      <c r="SSI10" s="65"/>
      <c r="SSJ10" s="4"/>
      <c r="SSK10" s="4"/>
      <c r="SSL10" s="4"/>
      <c r="SSO10" s="34"/>
      <c r="SSP10" s="34"/>
      <c r="SSR10" s="34"/>
      <c r="SSS10" s="72"/>
      <c r="SST10" s="63"/>
      <c r="SSU10" s="34"/>
      <c r="SSV10" s="64"/>
      <c r="SSW10" s="4"/>
      <c r="SSX10" s="65"/>
      <c r="SSY10" s="4"/>
      <c r="SSZ10" s="4"/>
      <c r="STA10" s="4"/>
      <c r="STD10" s="34"/>
      <c r="STE10" s="34"/>
      <c r="STG10" s="34"/>
      <c r="STH10" s="72"/>
      <c r="STI10" s="63"/>
      <c r="STJ10" s="34"/>
      <c r="STK10" s="64"/>
      <c r="STL10" s="4"/>
      <c r="STM10" s="65"/>
      <c r="STN10" s="4"/>
      <c r="STO10" s="4"/>
      <c r="STP10" s="4"/>
      <c r="STS10" s="34"/>
      <c r="STT10" s="34"/>
      <c r="STV10" s="34"/>
      <c r="STW10" s="72"/>
      <c r="STX10" s="63"/>
      <c r="STY10" s="34"/>
      <c r="STZ10" s="64"/>
      <c r="SUA10" s="4"/>
      <c r="SUB10" s="65"/>
      <c r="SUC10" s="4"/>
      <c r="SUD10" s="4"/>
      <c r="SUE10" s="4"/>
      <c r="SUH10" s="34"/>
      <c r="SUI10" s="34"/>
      <c r="SUK10" s="34"/>
      <c r="SUL10" s="72"/>
      <c r="SUM10" s="63"/>
      <c r="SUN10" s="34"/>
      <c r="SUO10" s="64"/>
      <c r="SUP10" s="4"/>
      <c r="SUQ10" s="65"/>
      <c r="SUR10" s="4"/>
      <c r="SUS10" s="4"/>
      <c r="SUT10" s="4"/>
      <c r="SUW10" s="34"/>
      <c r="SUX10" s="34"/>
      <c r="SUZ10" s="34"/>
      <c r="SVA10" s="72"/>
      <c r="SVB10" s="63"/>
      <c r="SVC10" s="34"/>
      <c r="SVD10" s="64"/>
      <c r="SVE10" s="4"/>
      <c r="SVF10" s="65"/>
      <c r="SVG10" s="4"/>
      <c r="SVH10" s="4"/>
      <c r="SVI10" s="4"/>
      <c r="SVL10" s="34"/>
      <c r="SVM10" s="34"/>
      <c r="SVO10" s="34"/>
      <c r="SVP10" s="72"/>
      <c r="SVQ10" s="63"/>
      <c r="SVR10" s="34"/>
      <c r="SVS10" s="64"/>
      <c r="SVT10" s="4"/>
      <c r="SVU10" s="65"/>
      <c r="SVV10" s="4"/>
      <c r="SVW10" s="4"/>
      <c r="SVX10" s="4"/>
      <c r="SWA10" s="34"/>
      <c r="SWB10" s="34"/>
      <c r="SWD10" s="34"/>
      <c r="SWE10" s="72"/>
      <c r="SWF10" s="63"/>
      <c r="SWG10" s="34"/>
      <c r="SWH10" s="64"/>
      <c r="SWI10" s="4"/>
      <c r="SWJ10" s="65"/>
      <c r="SWK10" s="4"/>
      <c r="SWL10" s="4"/>
      <c r="SWM10" s="4"/>
      <c r="SWP10" s="34"/>
      <c r="SWQ10" s="34"/>
      <c r="SWS10" s="34"/>
      <c r="SWT10" s="72"/>
      <c r="SWU10" s="63"/>
      <c r="SWV10" s="34"/>
      <c r="SWW10" s="64"/>
      <c r="SWX10" s="4"/>
      <c r="SWY10" s="65"/>
      <c r="SWZ10" s="4"/>
      <c r="SXA10" s="4"/>
      <c r="SXB10" s="4"/>
      <c r="SXE10" s="34"/>
      <c r="SXF10" s="34"/>
      <c r="SXH10" s="34"/>
      <c r="SXI10" s="72"/>
      <c r="SXJ10" s="63"/>
      <c r="SXK10" s="34"/>
      <c r="SXL10" s="64"/>
      <c r="SXM10" s="4"/>
      <c r="SXN10" s="65"/>
      <c r="SXO10" s="4"/>
      <c r="SXP10" s="4"/>
      <c r="SXQ10" s="4"/>
      <c r="SXT10" s="34"/>
      <c r="SXU10" s="34"/>
      <c r="SXW10" s="34"/>
      <c r="SXX10" s="72"/>
      <c r="SXY10" s="63"/>
      <c r="SXZ10" s="34"/>
      <c r="SYA10" s="64"/>
      <c r="SYB10" s="4"/>
      <c r="SYC10" s="65"/>
      <c r="SYD10" s="4"/>
      <c r="SYE10" s="4"/>
      <c r="SYF10" s="4"/>
      <c r="SYI10" s="34"/>
      <c r="SYJ10" s="34"/>
      <c r="SYL10" s="34"/>
      <c r="SYM10" s="72"/>
      <c r="SYN10" s="63"/>
      <c r="SYO10" s="34"/>
      <c r="SYP10" s="64"/>
      <c r="SYQ10" s="4"/>
      <c r="SYR10" s="65"/>
      <c r="SYS10" s="4"/>
      <c r="SYT10" s="4"/>
      <c r="SYU10" s="4"/>
      <c r="SYX10" s="34"/>
      <c r="SYY10" s="34"/>
      <c r="SZA10" s="34"/>
      <c r="SZB10" s="72"/>
      <c r="SZC10" s="63"/>
      <c r="SZD10" s="34"/>
      <c r="SZE10" s="64"/>
      <c r="SZF10" s="4"/>
      <c r="SZG10" s="65"/>
      <c r="SZH10" s="4"/>
      <c r="SZI10" s="4"/>
      <c r="SZJ10" s="4"/>
      <c r="SZM10" s="34"/>
      <c r="SZN10" s="34"/>
      <c r="SZP10" s="34"/>
      <c r="SZQ10" s="72"/>
      <c r="SZR10" s="63"/>
      <c r="SZS10" s="34"/>
      <c r="SZT10" s="64"/>
      <c r="SZU10" s="4"/>
      <c r="SZV10" s="65"/>
      <c r="SZW10" s="4"/>
      <c r="SZX10" s="4"/>
      <c r="SZY10" s="4"/>
      <c r="TAB10" s="34"/>
      <c r="TAC10" s="34"/>
      <c r="TAE10" s="34"/>
      <c r="TAF10" s="72"/>
      <c r="TAG10" s="63"/>
      <c r="TAH10" s="34"/>
      <c r="TAI10" s="64"/>
      <c r="TAJ10" s="4"/>
      <c r="TAK10" s="65"/>
      <c r="TAL10" s="4"/>
      <c r="TAM10" s="4"/>
      <c r="TAN10" s="4"/>
      <c r="TAQ10" s="34"/>
      <c r="TAR10" s="34"/>
      <c r="TAT10" s="34"/>
      <c r="TAU10" s="72"/>
      <c r="TAV10" s="63"/>
      <c r="TAW10" s="34"/>
      <c r="TAX10" s="64"/>
      <c r="TAY10" s="4"/>
      <c r="TAZ10" s="65"/>
      <c r="TBA10" s="4"/>
      <c r="TBB10" s="4"/>
      <c r="TBC10" s="4"/>
      <c r="TBF10" s="34"/>
      <c r="TBG10" s="34"/>
      <c r="TBI10" s="34"/>
      <c r="TBJ10" s="72"/>
      <c r="TBK10" s="63"/>
      <c r="TBL10" s="34"/>
      <c r="TBM10" s="64"/>
      <c r="TBN10" s="4"/>
      <c r="TBO10" s="65"/>
      <c r="TBP10" s="4"/>
      <c r="TBQ10" s="4"/>
      <c r="TBR10" s="4"/>
      <c r="TBU10" s="34"/>
      <c r="TBV10" s="34"/>
      <c r="TBX10" s="34"/>
      <c r="TBY10" s="72"/>
      <c r="TBZ10" s="63"/>
      <c r="TCA10" s="34"/>
      <c r="TCB10" s="64"/>
      <c r="TCC10" s="4"/>
      <c r="TCD10" s="65"/>
      <c r="TCE10" s="4"/>
      <c r="TCF10" s="4"/>
      <c r="TCG10" s="4"/>
      <c r="TCJ10" s="34"/>
      <c r="TCK10" s="34"/>
      <c r="TCM10" s="34"/>
      <c r="TCN10" s="72"/>
      <c r="TCO10" s="63"/>
      <c r="TCP10" s="34"/>
      <c r="TCQ10" s="64"/>
      <c r="TCR10" s="4"/>
      <c r="TCS10" s="65"/>
      <c r="TCT10" s="4"/>
      <c r="TCU10" s="4"/>
      <c r="TCV10" s="4"/>
      <c r="TCY10" s="34"/>
      <c r="TCZ10" s="34"/>
      <c r="TDB10" s="34"/>
      <c r="TDC10" s="72"/>
      <c r="TDD10" s="63"/>
      <c r="TDE10" s="34"/>
      <c r="TDF10" s="64"/>
      <c r="TDG10" s="4"/>
      <c r="TDH10" s="65"/>
      <c r="TDI10" s="4"/>
      <c r="TDJ10" s="4"/>
      <c r="TDK10" s="4"/>
      <c r="TDN10" s="34"/>
      <c r="TDO10" s="34"/>
      <c r="TDQ10" s="34"/>
      <c r="TDR10" s="72"/>
      <c r="TDS10" s="63"/>
      <c r="TDT10" s="34"/>
      <c r="TDU10" s="64"/>
      <c r="TDV10" s="4"/>
      <c r="TDW10" s="65"/>
      <c r="TDX10" s="4"/>
      <c r="TDY10" s="4"/>
      <c r="TDZ10" s="4"/>
      <c r="TEC10" s="34"/>
      <c r="TED10" s="34"/>
      <c r="TEF10" s="34"/>
      <c r="TEG10" s="72"/>
      <c r="TEH10" s="63"/>
      <c r="TEI10" s="34"/>
      <c r="TEJ10" s="64"/>
      <c r="TEK10" s="4"/>
      <c r="TEL10" s="65"/>
      <c r="TEM10" s="4"/>
      <c r="TEN10" s="4"/>
      <c r="TEO10" s="4"/>
      <c r="TER10" s="34"/>
      <c r="TES10" s="34"/>
      <c r="TEU10" s="34"/>
      <c r="TEV10" s="72"/>
      <c r="TEW10" s="63"/>
      <c r="TEX10" s="34"/>
      <c r="TEY10" s="64"/>
      <c r="TEZ10" s="4"/>
      <c r="TFA10" s="65"/>
      <c r="TFB10" s="4"/>
      <c r="TFC10" s="4"/>
      <c r="TFD10" s="4"/>
      <c r="TFG10" s="34"/>
      <c r="TFH10" s="34"/>
      <c r="TFJ10" s="34"/>
      <c r="TFK10" s="72"/>
      <c r="TFL10" s="63"/>
      <c r="TFM10" s="34"/>
      <c r="TFN10" s="64"/>
      <c r="TFO10" s="4"/>
      <c r="TFP10" s="65"/>
      <c r="TFQ10" s="4"/>
      <c r="TFR10" s="4"/>
      <c r="TFS10" s="4"/>
      <c r="TFV10" s="34"/>
      <c r="TFW10" s="34"/>
      <c r="TFY10" s="34"/>
      <c r="TFZ10" s="72"/>
      <c r="TGA10" s="63"/>
      <c r="TGB10" s="34"/>
      <c r="TGC10" s="64"/>
      <c r="TGD10" s="4"/>
      <c r="TGE10" s="65"/>
      <c r="TGF10" s="4"/>
      <c r="TGG10" s="4"/>
      <c r="TGH10" s="4"/>
      <c r="TGK10" s="34"/>
      <c r="TGL10" s="34"/>
      <c r="TGN10" s="34"/>
      <c r="TGO10" s="72"/>
      <c r="TGP10" s="63"/>
      <c r="TGQ10" s="34"/>
      <c r="TGR10" s="64"/>
      <c r="TGS10" s="4"/>
      <c r="TGT10" s="65"/>
      <c r="TGU10" s="4"/>
      <c r="TGV10" s="4"/>
      <c r="TGW10" s="4"/>
      <c r="TGZ10" s="34"/>
      <c r="THA10" s="34"/>
      <c r="THC10" s="34"/>
      <c r="THD10" s="72"/>
      <c r="THE10" s="63"/>
      <c r="THF10" s="34"/>
      <c r="THG10" s="64"/>
      <c r="THH10" s="4"/>
      <c r="THI10" s="65"/>
      <c r="THJ10" s="4"/>
      <c r="THK10" s="4"/>
      <c r="THL10" s="4"/>
      <c r="THO10" s="34"/>
      <c r="THP10" s="34"/>
      <c r="THR10" s="34"/>
      <c r="THS10" s="72"/>
      <c r="THT10" s="63"/>
      <c r="THU10" s="34"/>
      <c r="THV10" s="64"/>
      <c r="THW10" s="4"/>
      <c r="THX10" s="65"/>
      <c r="THY10" s="4"/>
      <c r="THZ10" s="4"/>
      <c r="TIA10" s="4"/>
      <c r="TID10" s="34"/>
      <c r="TIE10" s="34"/>
      <c r="TIG10" s="34"/>
      <c r="TIH10" s="72"/>
      <c r="TII10" s="63"/>
      <c r="TIJ10" s="34"/>
      <c r="TIK10" s="64"/>
      <c r="TIL10" s="4"/>
      <c r="TIM10" s="65"/>
      <c r="TIN10" s="4"/>
      <c r="TIO10" s="4"/>
      <c r="TIP10" s="4"/>
      <c r="TIS10" s="34"/>
      <c r="TIT10" s="34"/>
      <c r="TIV10" s="34"/>
      <c r="TIW10" s="72"/>
      <c r="TIX10" s="63"/>
      <c r="TIY10" s="34"/>
      <c r="TIZ10" s="64"/>
      <c r="TJA10" s="4"/>
      <c r="TJB10" s="65"/>
      <c r="TJC10" s="4"/>
      <c r="TJD10" s="4"/>
      <c r="TJE10" s="4"/>
      <c r="TJH10" s="34"/>
      <c r="TJI10" s="34"/>
      <c r="TJK10" s="34"/>
      <c r="TJL10" s="72"/>
      <c r="TJM10" s="63"/>
      <c r="TJN10" s="34"/>
      <c r="TJO10" s="64"/>
      <c r="TJP10" s="4"/>
      <c r="TJQ10" s="65"/>
      <c r="TJR10" s="4"/>
      <c r="TJS10" s="4"/>
      <c r="TJT10" s="4"/>
      <c r="TJW10" s="34"/>
      <c r="TJX10" s="34"/>
      <c r="TJZ10" s="34"/>
      <c r="TKA10" s="72"/>
      <c r="TKB10" s="63"/>
      <c r="TKC10" s="34"/>
      <c r="TKD10" s="64"/>
      <c r="TKE10" s="4"/>
      <c r="TKF10" s="65"/>
      <c r="TKG10" s="4"/>
      <c r="TKH10" s="4"/>
      <c r="TKI10" s="4"/>
      <c r="TKL10" s="34"/>
      <c r="TKM10" s="34"/>
      <c r="TKO10" s="34"/>
      <c r="TKP10" s="72"/>
      <c r="TKQ10" s="63"/>
      <c r="TKR10" s="34"/>
      <c r="TKS10" s="64"/>
      <c r="TKT10" s="4"/>
      <c r="TKU10" s="65"/>
      <c r="TKV10" s="4"/>
      <c r="TKW10" s="4"/>
      <c r="TKX10" s="4"/>
      <c r="TLA10" s="34"/>
      <c r="TLB10" s="34"/>
      <c r="TLD10" s="34"/>
      <c r="TLE10" s="72"/>
      <c r="TLF10" s="63"/>
      <c r="TLG10" s="34"/>
      <c r="TLH10" s="64"/>
      <c r="TLI10" s="4"/>
      <c r="TLJ10" s="65"/>
      <c r="TLK10" s="4"/>
      <c r="TLL10" s="4"/>
      <c r="TLM10" s="4"/>
      <c r="TLP10" s="34"/>
      <c r="TLQ10" s="34"/>
      <c r="TLS10" s="34"/>
      <c r="TLT10" s="72"/>
      <c r="TLU10" s="63"/>
      <c r="TLV10" s="34"/>
      <c r="TLW10" s="64"/>
      <c r="TLX10" s="4"/>
      <c r="TLY10" s="65"/>
      <c r="TLZ10" s="4"/>
      <c r="TMA10" s="4"/>
      <c r="TMB10" s="4"/>
      <c r="TME10" s="34"/>
      <c r="TMF10" s="34"/>
      <c r="TMH10" s="34"/>
      <c r="TMI10" s="72"/>
      <c r="TMJ10" s="63"/>
      <c r="TMK10" s="34"/>
      <c r="TML10" s="64"/>
      <c r="TMM10" s="4"/>
      <c r="TMN10" s="65"/>
      <c r="TMO10" s="4"/>
      <c r="TMP10" s="4"/>
      <c r="TMQ10" s="4"/>
      <c r="TMT10" s="34"/>
      <c r="TMU10" s="34"/>
      <c r="TMW10" s="34"/>
      <c r="TMX10" s="72"/>
      <c r="TMY10" s="63"/>
      <c r="TMZ10" s="34"/>
      <c r="TNA10" s="64"/>
      <c r="TNB10" s="4"/>
      <c r="TNC10" s="65"/>
      <c r="TND10" s="4"/>
      <c r="TNE10" s="4"/>
      <c r="TNF10" s="4"/>
      <c r="TNI10" s="34"/>
      <c r="TNJ10" s="34"/>
      <c r="TNL10" s="34"/>
      <c r="TNM10" s="72"/>
      <c r="TNN10" s="63"/>
      <c r="TNO10" s="34"/>
      <c r="TNP10" s="64"/>
      <c r="TNQ10" s="4"/>
      <c r="TNR10" s="65"/>
      <c r="TNS10" s="4"/>
      <c r="TNT10" s="4"/>
      <c r="TNU10" s="4"/>
      <c r="TNX10" s="34"/>
      <c r="TNY10" s="34"/>
      <c r="TOA10" s="34"/>
      <c r="TOB10" s="72"/>
      <c r="TOC10" s="63"/>
      <c r="TOD10" s="34"/>
      <c r="TOE10" s="64"/>
      <c r="TOF10" s="4"/>
      <c r="TOG10" s="65"/>
      <c r="TOH10" s="4"/>
      <c r="TOI10" s="4"/>
      <c r="TOJ10" s="4"/>
      <c r="TOM10" s="34"/>
      <c r="TON10" s="34"/>
      <c r="TOP10" s="34"/>
      <c r="TOQ10" s="72"/>
      <c r="TOR10" s="63"/>
      <c r="TOS10" s="34"/>
      <c r="TOT10" s="64"/>
      <c r="TOU10" s="4"/>
      <c r="TOV10" s="65"/>
      <c r="TOW10" s="4"/>
      <c r="TOX10" s="4"/>
      <c r="TOY10" s="4"/>
      <c r="TPB10" s="34"/>
      <c r="TPC10" s="34"/>
      <c r="TPE10" s="34"/>
      <c r="TPF10" s="72"/>
      <c r="TPG10" s="63"/>
      <c r="TPH10" s="34"/>
      <c r="TPI10" s="64"/>
      <c r="TPJ10" s="4"/>
      <c r="TPK10" s="65"/>
      <c r="TPL10" s="4"/>
      <c r="TPM10" s="4"/>
      <c r="TPN10" s="4"/>
      <c r="TPQ10" s="34"/>
      <c r="TPR10" s="34"/>
      <c r="TPT10" s="34"/>
      <c r="TPU10" s="72"/>
      <c r="TPV10" s="63"/>
      <c r="TPW10" s="34"/>
      <c r="TPX10" s="64"/>
      <c r="TPY10" s="4"/>
      <c r="TPZ10" s="65"/>
      <c r="TQA10" s="4"/>
      <c r="TQB10" s="4"/>
      <c r="TQC10" s="4"/>
      <c r="TQF10" s="34"/>
      <c r="TQG10" s="34"/>
      <c r="TQI10" s="34"/>
      <c r="TQJ10" s="72"/>
      <c r="TQK10" s="63"/>
      <c r="TQL10" s="34"/>
      <c r="TQM10" s="64"/>
      <c r="TQN10" s="4"/>
      <c r="TQO10" s="65"/>
      <c r="TQP10" s="4"/>
      <c r="TQQ10" s="4"/>
      <c r="TQR10" s="4"/>
      <c r="TQU10" s="34"/>
      <c r="TQV10" s="34"/>
      <c r="TQX10" s="34"/>
      <c r="TQY10" s="72"/>
      <c r="TQZ10" s="63"/>
      <c r="TRA10" s="34"/>
      <c r="TRB10" s="64"/>
      <c r="TRC10" s="4"/>
      <c r="TRD10" s="65"/>
      <c r="TRE10" s="4"/>
      <c r="TRF10" s="4"/>
      <c r="TRG10" s="4"/>
      <c r="TRJ10" s="34"/>
      <c r="TRK10" s="34"/>
      <c r="TRM10" s="34"/>
      <c r="TRN10" s="72"/>
      <c r="TRO10" s="63"/>
      <c r="TRP10" s="34"/>
      <c r="TRQ10" s="64"/>
      <c r="TRR10" s="4"/>
      <c r="TRS10" s="65"/>
      <c r="TRT10" s="4"/>
      <c r="TRU10" s="4"/>
      <c r="TRV10" s="4"/>
      <c r="TRY10" s="34"/>
      <c r="TRZ10" s="34"/>
      <c r="TSB10" s="34"/>
      <c r="TSC10" s="72"/>
      <c r="TSD10" s="63"/>
      <c r="TSE10" s="34"/>
      <c r="TSF10" s="64"/>
      <c r="TSG10" s="4"/>
      <c r="TSH10" s="65"/>
      <c r="TSI10" s="4"/>
      <c r="TSJ10" s="4"/>
      <c r="TSK10" s="4"/>
      <c r="TSN10" s="34"/>
      <c r="TSO10" s="34"/>
      <c r="TSQ10" s="34"/>
      <c r="TSR10" s="72"/>
      <c r="TSS10" s="63"/>
      <c r="TST10" s="34"/>
      <c r="TSU10" s="64"/>
      <c r="TSV10" s="4"/>
      <c r="TSW10" s="65"/>
      <c r="TSX10" s="4"/>
      <c r="TSY10" s="4"/>
      <c r="TSZ10" s="4"/>
      <c r="TTC10" s="34"/>
      <c r="TTD10" s="34"/>
      <c r="TTF10" s="34"/>
      <c r="TTG10" s="72"/>
      <c r="TTH10" s="63"/>
      <c r="TTI10" s="34"/>
      <c r="TTJ10" s="64"/>
      <c r="TTK10" s="4"/>
      <c r="TTL10" s="65"/>
      <c r="TTM10" s="4"/>
      <c r="TTN10" s="4"/>
      <c r="TTO10" s="4"/>
      <c r="TTR10" s="34"/>
      <c r="TTS10" s="34"/>
      <c r="TTU10" s="34"/>
      <c r="TTV10" s="72"/>
      <c r="TTW10" s="63"/>
      <c r="TTX10" s="34"/>
      <c r="TTY10" s="64"/>
      <c r="TTZ10" s="4"/>
      <c r="TUA10" s="65"/>
      <c r="TUB10" s="4"/>
      <c r="TUC10" s="4"/>
      <c r="TUD10" s="4"/>
      <c r="TUG10" s="34"/>
      <c r="TUH10" s="34"/>
      <c r="TUJ10" s="34"/>
      <c r="TUK10" s="72"/>
      <c r="TUL10" s="63"/>
      <c r="TUM10" s="34"/>
      <c r="TUN10" s="64"/>
      <c r="TUO10" s="4"/>
      <c r="TUP10" s="65"/>
      <c r="TUQ10" s="4"/>
      <c r="TUR10" s="4"/>
      <c r="TUS10" s="4"/>
      <c r="TUV10" s="34"/>
      <c r="TUW10" s="34"/>
      <c r="TUY10" s="34"/>
      <c r="TUZ10" s="72"/>
      <c r="TVA10" s="63"/>
      <c r="TVB10" s="34"/>
      <c r="TVC10" s="64"/>
      <c r="TVD10" s="4"/>
      <c r="TVE10" s="65"/>
      <c r="TVF10" s="4"/>
      <c r="TVG10" s="4"/>
      <c r="TVH10" s="4"/>
      <c r="TVK10" s="34"/>
      <c r="TVL10" s="34"/>
      <c r="TVN10" s="34"/>
      <c r="TVO10" s="72"/>
      <c r="TVP10" s="63"/>
      <c r="TVQ10" s="34"/>
      <c r="TVR10" s="64"/>
      <c r="TVS10" s="4"/>
      <c r="TVT10" s="65"/>
      <c r="TVU10" s="4"/>
      <c r="TVV10" s="4"/>
      <c r="TVW10" s="4"/>
      <c r="TVZ10" s="34"/>
      <c r="TWA10" s="34"/>
      <c r="TWC10" s="34"/>
      <c r="TWD10" s="72"/>
      <c r="TWE10" s="63"/>
      <c r="TWF10" s="34"/>
      <c r="TWG10" s="64"/>
      <c r="TWH10" s="4"/>
      <c r="TWI10" s="65"/>
      <c r="TWJ10" s="4"/>
      <c r="TWK10" s="4"/>
      <c r="TWL10" s="4"/>
      <c r="TWO10" s="34"/>
      <c r="TWP10" s="34"/>
      <c r="TWR10" s="34"/>
      <c r="TWS10" s="72"/>
      <c r="TWT10" s="63"/>
      <c r="TWU10" s="34"/>
      <c r="TWV10" s="64"/>
      <c r="TWW10" s="4"/>
      <c r="TWX10" s="65"/>
      <c r="TWY10" s="4"/>
      <c r="TWZ10" s="4"/>
      <c r="TXA10" s="4"/>
      <c r="TXD10" s="34"/>
      <c r="TXE10" s="34"/>
      <c r="TXG10" s="34"/>
      <c r="TXH10" s="72"/>
      <c r="TXI10" s="63"/>
      <c r="TXJ10" s="34"/>
      <c r="TXK10" s="64"/>
      <c r="TXL10" s="4"/>
      <c r="TXM10" s="65"/>
      <c r="TXN10" s="4"/>
      <c r="TXO10" s="4"/>
      <c r="TXP10" s="4"/>
      <c r="TXS10" s="34"/>
      <c r="TXT10" s="34"/>
      <c r="TXV10" s="34"/>
      <c r="TXW10" s="72"/>
      <c r="TXX10" s="63"/>
      <c r="TXY10" s="34"/>
      <c r="TXZ10" s="64"/>
      <c r="TYA10" s="4"/>
      <c r="TYB10" s="65"/>
      <c r="TYC10" s="4"/>
      <c r="TYD10" s="4"/>
      <c r="TYE10" s="4"/>
      <c r="TYH10" s="34"/>
      <c r="TYI10" s="34"/>
      <c r="TYK10" s="34"/>
      <c r="TYL10" s="72"/>
      <c r="TYM10" s="63"/>
      <c r="TYN10" s="34"/>
      <c r="TYO10" s="64"/>
      <c r="TYP10" s="4"/>
      <c r="TYQ10" s="65"/>
      <c r="TYR10" s="4"/>
      <c r="TYS10" s="4"/>
      <c r="TYT10" s="4"/>
      <c r="TYW10" s="34"/>
      <c r="TYX10" s="34"/>
      <c r="TYZ10" s="34"/>
      <c r="TZA10" s="72"/>
      <c r="TZB10" s="63"/>
      <c r="TZC10" s="34"/>
      <c r="TZD10" s="64"/>
      <c r="TZE10" s="4"/>
      <c r="TZF10" s="65"/>
      <c r="TZG10" s="4"/>
      <c r="TZH10" s="4"/>
      <c r="TZI10" s="4"/>
      <c r="TZL10" s="34"/>
      <c r="TZM10" s="34"/>
      <c r="TZO10" s="34"/>
      <c r="TZP10" s="72"/>
      <c r="TZQ10" s="63"/>
      <c r="TZR10" s="34"/>
      <c r="TZS10" s="64"/>
      <c r="TZT10" s="4"/>
      <c r="TZU10" s="65"/>
      <c r="TZV10" s="4"/>
      <c r="TZW10" s="4"/>
      <c r="TZX10" s="4"/>
      <c r="UAA10" s="34"/>
      <c r="UAB10" s="34"/>
      <c r="UAD10" s="34"/>
      <c r="UAE10" s="72"/>
      <c r="UAF10" s="63"/>
      <c r="UAG10" s="34"/>
      <c r="UAH10" s="64"/>
      <c r="UAI10" s="4"/>
      <c r="UAJ10" s="65"/>
      <c r="UAK10" s="4"/>
      <c r="UAL10" s="4"/>
      <c r="UAM10" s="4"/>
      <c r="UAP10" s="34"/>
      <c r="UAQ10" s="34"/>
      <c r="UAS10" s="34"/>
      <c r="UAT10" s="72"/>
      <c r="UAU10" s="63"/>
      <c r="UAV10" s="34"/>
      <c r="UAW10" s="64"/>
      <c r="UAX10" s="4"/>
      <c r="UAY10" s="65"/>
      <c r="UAZ10" s="4"/>
      <c r="UBA10" s="4"/>
      <c r="UBB10" s="4"/>
      <c r="UBE10" s="34"/>
      <c r="UBF10" s="34"/>
      <c r="UBH10" s="34"/>
      <c r="UBI10" s="72"/>
      <c r="UBJ10" s="63"/>
      <c r="UBK10" s="34"/>
      <c r="UBL10" s="64"/>
      <c r="UBM10" s="4"/>
      <c r="UBN10" s="65"/>
      <c r="UBO10" s="4"/>
      <c r="UBP10" s="4"/>
      <c r="UBQ10" s="4"/>
      <c r="UBT10" s="34"/>
      <c r="UBU10" s="34"/>
      <c r="UBW10" s="34"/>
      <c r="UBX10" s="72"/>
      <c r="UBY10" s="63"/>
      <c r="UBZ10" s="34"/>
      <c r="UCA10" s="64"/>
      <c r="UCB10" s="4"/>
      <c r="UCC10" s="65"/>
      <c r="UCD10" s="4"/>
      <c r="UCE10" s="4"/>
      <c r="UCF10" s="4"/>
      <c r="UCI10" s="34"/>
      <c r="UCJ10" s="34"/>
      <c r="UCL10" s="34"/>
      <c r="UCM10" s="72"/>
      <c r="UCN10" s="63"/>
      <c r="UCO10" s="34"/>
      <c r="UCP10" s="64"/>
      <c r="UCQ10" s="4"/>
      <c r="UCR10" s="65"/>
      <c r="UCS10" s="4"/>
      <c r="UCT10" s="4"/>
      <c r="UCU10" s="4"/>
      <c r="UCX10" s="34"/>
      <c r="UCY10" s="34"/>
      <c r="UDA10" s="34"/>
      <c r="UDB10" s="72"/>
      <c r="UDC10" s="63"/>
      <c r="UDD10" s="34"/>
      <c r="UDE10" s="64"/>
      <c r="UDF10" s="4"/>
      <c r="UDG10" s="65"/>
      <c r="UDH10" s="4"/>
      <c r="UDI10" s="4"/>
      <c r="UDJ10" s="4"/>
      <c r="UDM10" s="34"/>
      <c r="UDN10" s="34"/>
      <c r="UDP10" s="34"/>
      <c r="UDQ10" s="72"/>
      <c r="UDR10" s="63"/>
      <c r="UDS10" s="34"/>
      <c r="UDT10" s="64"/>
      <c r="UDU10" s="4"/>
      <c r="UDV10" s="65"/>
      <c r="UDW10" s="4"/>
      <c r="UDX10" s="4"/>
      <c r="UDY10" s="4"/>
      <c r="UEB10" s="34"/>
      <c r="UEC10" s="34"/>
      <c r="UEE10" s="34"/>
      <c r="UEF10" s="72"/>
      <c r="UEG10" s="63"/>
      <c r="UEH10" s="34"/>
      <c r="UEI10" s="64"/>
      <c r="UEJ10" s="4"/>
      <c r="UEK10" s="65"/>
      <c r="UEL10" s="4"/>
      <c r="UEM10" s="4"/>
      <c r="UEN10" s="4"/>
      <c r="UEQ10" s="34"/>
      <c r="UER10" s="34"/>
      <c r="UET10" s="34"/>
      <c r="UEU10" s="72"/>
      <c r="UEV10" s="63"/>
      <c r="UEW10" s="34"/>
      <c r="UEX10" s="64"/>
      <c r="UEY10" s="4"/>
      <c r="UEZ10" s="65"/>
      <c r="UFA10" s="4"/>
      <c r="UFB10" s="4"/>
      <c r="UFC10" s="4"/>
      <c r="UFF10" s="34"/>
      <c r="UFG10" s="34"/>
      <c r="UFI10" s="34"/>
      <c r="UFJ10" s="72"/>
      <c r="UFK10" s="63"/>
      <c r="UFL10" s="34"/>
      <c r="UFM10" s="64"/>
      <c r="UFN10" s="4"/>
      <c r="UFO10" s="65"/>
      <c r="UFP10" s="4"/>
      <c r="UFQ10" s="4"/>
      <c r="UFR10" s="4"/>
      <c r="UFU10" s="34"/>
      <c r="UFV10" s="34"/>
      <c r="UFX10" s="34"/>
      <c r="UFY10" s="72"/>
      <c r="UFZ10" s="63"/>
      <c r="UGA10" s="34"/>
      <c r="UGB10" s="64"/>
      <c r="UGC10" s="4"/>
      <c r="UGD10" s="65"/>
      <c r="UGE10" s="4"/>
      <c r="UGF10" s="4"/>
      <c r="UGG10" s="4"/>
      <c r="UGJ10" s="34"/>
      <c r="UGK10" s="34"/>
      <c r="UGM10" s="34"/>
      <c r="UGN10" s="72"/>
      <c r="UGO10" s="63"/>
      <c r="UGP10" s="34"/>
      <c r="UGQ10" s="64"/>
      <c r="UGR10" s="4"/>
      <c r="UGS10" s="65"/>
      <c r="UGT10" s="4"/>
      <c r="UGU10" s="4"/>
      <c r="UGV10" s="4"/>
      <c r="UGY10" s="34"/>
      <c r="UGZ10" s="34"/>
      <c r="UHB10" s="34"/>
      <c r="UHC10" s="72"/>
      <c r="UHD10" s="63"/>
      <c r="UHE10" s="34"/>
      <c r="UHF10" s="64"/>
      <c r="UHG10" s="4"/>
      <c r="UHH10" s="65"/>
      <c r="UHI10" s="4"/>
      <c r="UHJ10" s="4"/>
      <c r="UHK10" s="4"/>
      <c r="UHN10" s="34"/>
      <c r="UHO10" s="34"/>
      <c r="UHQ10" s="34"/>
      <c r="UHR10" s="72"/>
      <c r="UHS10" s="63"/>
      <c r="UHT10" s="34"/>
      <c r="UHU10" s="64"/>
      <c r="UHV10" s="4"/>
      <c r="UHW10" s="65"/>
      <c r="UHX10" s="4"/>
      <c r="UHY10" s="4"/>
      <c r="UHZ10" s="4"/>
      <c r="UIC10" s="34"/>
      <c r="UID10" s="34"/>
      <c r="UIF10" s="34"/>
      <c r="UIG10" s="72"/>
      <c r="UIH10" s="63"/>
      <c r="UII10" s="34"/>
      <c r="UIJ10" s="64"/>
      <c r="UIK10" s="4"/>
      <c r="UIL10" s="65"/>
      <c r="UIM10" s="4"/>
      <c r="UIN10" s="4"/>
      <c r="UIO10" s="4"/>
      <c r="UIR10" s="34"/>
      <c r="UIS10" s="34"/>
      <c r="UIU10" s="34"/>
      <c r="UIV10" s="72"/>
      <c r="UIW10" s="63"/>
      <c r="UIX10" s="34"/>
      <c r="UIY10" s="64"/>
      <c r="UIZ10" s="4"/>
      <c r="UJA10" s="65"/>
      <c r="UJB10" s="4"/>
      <c r="UJC10" s="4"/>
      <c r="UJD10" s="4"/>
      <c r="UJG10" s="34"/>
      <c r="UJH10" s="34"/>
      <c r="UJJ10" s="34"/>
      <c r="UJK10" s="72"/>
      <c r="UJL10" s="63"/>
      <c r="UJM10" s="34"/>
      <c r="UJN10" s="64"/>
      <c r="UJO10" s="4"/>
      <c r="UJP10" s="65"/>
      <c r="UJQ10" s="4"/>
      <c r="UJR10" s="4"/>
      <c r="UJS10" s="4"/>
      <c r="UJV10" s="34"/>
      <c r="UJW10" s="34"/>
      <c r="UJY10" s="34"/>
      <c r="UJZ10" s="72"/>
      <c r="UKA10" s="63"/>
      <c r="UKB10" s="34"/>
      <c r="UKC10" s="64"/>
      <c r="UKD10" s="4"/>
      <c r="UKE10" s="65"/>
      <c r="UKF10" s="4"/>
      <c r="UKG10" s="4"/>
      <c r="UKH10" s="4"/>
      <c r="UKK10" s="34"/>
      <c r="UKL10" s="34"/>
      <c r="UKN10" s="34"/>
      <c r="UKO10" s="72"/>
      <c r="UKP10" s="63"/>
      <c r="UKQ10" s="34"/>
      <c r="UKR10" s="64"/>
      <c r="UKS10" s="4"/>
      <c r="UKT10" s="65"/>
      <c r="UKU10" s="4"/>
      <c r="UKV10" s="4"/>
      <c r="UKW10" s="4"/>
      <c r="UKZ10" s="34"/>
      <c r="ULA10" s="34"/>
      <c r="ULC10" s="34"/>
      <c r="ULD10" s="72"/>
      <c r="ULE10" s="63"/>
      <c r="ULF10" s="34"/>
      <c r="ULG10" s="64"/>
      <c r="ULH10" s="4"/>
      <c r="ULI10" s="65"/>
      <c r="ULJ10" s="4"/>
      <c r="ULK10" s="4"/>
      <c r="ULL10" s="4"/>
      <c r="ULO10" s="34"/>
      <c r="ULP10" s="34"/>
      <c r="ULR10" s="34"/>
      <c r="ULS10" s="72"/>
      <c r="ULT10" s="63"/>
      <c r="ULU10" s="34"/>
      <c r="ULV10" s="64"/>
      <c r="ULW10" s="4"/>
      <c r="ULX10" s="65"/>
      <c r="ULY10" s="4"/>
      <c r="ULZ10" s="4"/>
      <c r="UMA10" s="4"/>
      <c r="UMD10" s="34"/>
      <c r="UME10" s="34"/>
      <c r="UMG10" s="34"/>
      <c r="UMH10" s="72"/>
      <c r="UMI10" s="63"/>
      <c r="UMJ10" s="34"/>
      <c r="UMK10" s="64"/>
      <c r="UML10" s="4"/>
      <c r="UMM10" s="65"/>
      <c r="UMN10" s="4"/>
      <c r="UMO10" s="4"/>
      <c r="UMP10" s="4"/>
      <c r="UMS10" s="34"/>
      <c r="UMT10" s="34"/>
      <c r="UMV10" s="34"/>
      <c r="UMW10" s="72"/>
      <c r="UMX10" s="63"/>
      <c r="UMY10" s="34"/>
      <c r="UMZ10" s="64"/>
      <c r="UNA10" s="4"/>
      <c r="UNB10" s="65"/>
      <c r="UNC10" s="4"/>
      <c r="UND10" s="4"/>
      <c r="UNE10" s="4"/>
      <c r="UNH10" s="34"/>
      <c r="UNI10" s="34"/>
      <c r="UNK10" s="34"/>
      <c r="UNL10" s="72"/>
      <c r="UNM10" s="63"/>
      <c r="UNN10" s="34"/>
      <c r="UNO10" s="64"/>
      <c r="UNP10" s="4"/>
      <c r="UNQ10" s="65"/>
      <c r="UNR10" s="4"/>
      <c r="UNS10" s="4"/>
      <c r="UNT10" s="4"/>
      <c r="UNW10" s="34"/>
      <c r="UNX10" s="34"/>
      <c r="UNZ10" s="34"/>
      <c r="UOA10" s="72"/>
      <c r="UOB10" s="63"/>
      <c r="UOC10" s="34"/>
      <c r="UOD10" s="64"/>
      <c r="UOE10" s="4"/>
      <c r="UOF10" s="65"/>
      <c r="UOG10" s="4"/>
      <c r="UOH10" s="4"/>
      <c r="UOI10" s="4"/>
      <c r="UOL10" s="34"/>
      <c r="UOM10" s="34"/>
      <c r="UOO10" s="34"/>
      <c r="UOP10" s="72"/>
      <c r="UOQ10" s="63"/>
      <c r="UOR10" s="34"/>
      <c r="UOS10" s="64"/>
      <c r="UOT10" s="4"/>
      <c r="UOU10" s="65"/>
      <c r="UOV10" s="4"/>
      <c r="UOW10" s="4"/>
      <c r="UOX10" s="4"/>
      <c r="UPA10" s="34"/>
      <c r="UPB10" s="34"/>
      <c r="UPD10" s="34"/>
      <c r="UPE10" s="72"/>
      <c r="UPF10" s="63"/>
      <c r="UPG10" s="34"/>
      <c r="UPH10" s="64"/>
      <c r="UPI10" s="4"/>
      <c r="UPJ10" s="65"/>
      <c r="UPK10" s="4"/>
      <c r="UPL10" s="4"/>
      <c r="UPM10" s="4"/>
      <c r="UPP10" s="34"/>
      <c r="UPQ10" s="34"/>
      <c r="UPS10" s="34"/>
      <c r="UPT10" s="72"/>
      <c r="UPU10" s="63"/>
      <c r="UPV10" s="34"/>
      <c r="UPW10" s="64"/>
      <c r="UPX10" s="4"/>
      <c r="UPY10" s="65"/>
      <c r="UPZ10" s="4"/>
      <c r="UQA10" s="4"/>
      <c r="UQB10" s="4"/>
      <c r="UQE10" s="34"/>
      <c r="UQF10" s="34"/>
      <c r="UQH10" s="34"/>
      <c r="UQI10" s="72"/>
      <c r="UQJ10" s="63"/>
      <c r="UQK10" s="34"/>
      <c r="UQL10" s="64"/>
      <c r="UQM10" s="4"/>
      <c r="UQN10" s="65"/>
      <c r="UQO10" s="4"/>
      <c r="UQP10" s="4"/>
      <c r="UQQ10" s="4"/>
      <c r="UQT10" s="34"/>
      <c r="UQU10" s="34"/>
      <c r="UQW10" s="34"/>
      <c r="UQX10" s="72"/>
      <c r="UQY10" s="63"/>
      <c r="UQZ10" s="34"/>
      <c r="URA10" s="64"/>
      <c r="URB10" s="4"/>
      <c r="URC10" s="65"/>
      <c r="URD10" s="4"/>
      <c r="URE10" s="4"/>
      <c r="URF10" s="4"/>
      <c r="URI10" s="34"/>
      <c r="URJ10" s="34"/>
      <c r="URL10" s="34"/>
      <c r="URM10" s="72"/>
      <c r="URN10" s="63"/>
      <c r="URO10" s="34"/>
      <c r="URP10" s="64"/>
      <c r="URQ10" s="4"/>
      <c r="URR10" s="65"/>
      <c r="URS10" s="4"/>
      <c r="URT10" s="4"/>
      <c r="URU10" s="4"/>
      <c r="URX10" s="34"/>
      <c r="URY10" s="34"/>
      <c r="USA10" s="34"/>
      <c r="USB10" s="72"/>
      <c r="USC10" s="63"/>
      <c r="USD10" s="34"/>
      <c r="USE10" s="64"/>
      <c r="USF10" s="4"/>
      <c r="USG10" s="65"/>
      <c r="USH10" s="4"/>
      <c r="USI10" s="4"/>
      <c r="USJ10" s="4"/>
      <c r="USM10" s="34"/>
      <c r="USN10" s="34"/>
      <c r="USP10" s="34"/>
      <c r="USQ10" s="72"/>
      <c r="USR10" s="63"/>
      <c r="USS10" s="34"/>
      <c r="UST10" s="64"/>
      <c r="USU10" s="4"/>
      <c r="USV10" s="65"/>
      <c r="USW10" s="4"/>
      <c r="USX10" s="4"/>
      <c r="USY10" s="4"/>
      <c r="UTB10" s="34"/>
      <c r="UTC10" s="34"/>
      <c r="UTE10" s="34"/>
      <c r="UTF10" s="72"/>
      <c r="UTG10" s="63"/>
      <c r="UTH10" s="34"/>
      <c r="UTI10" s="64"/>
      <c r="UTJ10" s="4"/>
      <c r="UTK10" s="65"/>
      <c r="UTL10" s="4"/>
      <c r="UTM10" s="4"/>
      <c r="UTN10" s="4"/>
      <c r="UTQ10" s="34"/>
      <c r="UTR10" s="34"/>
      <c r="UTT10" s="34"/>
      <c r="UTU10" s="72"/>
      <c r="UTV10" s="63"/>
      <c r="UTW10" s="34"/>
      <c r="UTX10" s="64"/>
      <c r="UTY10" s="4"/>
      <c r="UTZ10" s="65"/>
      <c r="UUA10" s="4"/>
      <c r="UUB10" s="4"/>
      <c r="UUC10" s="4"/>
      <c r="UUF10" s="34"/>
      <c r="UUG10" s="34"/>
      <c r="UUI10" s="34"/>
      <c r="UUJ10" s="72"/>
      <c r="UUK10" s="63"/>
      <c r="UUL10" s="34"/>
      <c r="UUM10" s="64"/>
      <c r="UUN10" s="4"/>
      <c r="UUO10" s="65"/>
      <c r="UUP10" s="4"/>
      <c r="UUQ10" s="4"/>
      <c r="UUR10" s="4"/>
      <c r="UUU10" s="34"/>
      <c r="UUV10" s="34"/>
      <c r="UUX10" s="34"/>
      <c r="UUY10" s="72"/>
      <c r="UUZ10" s="63"/>
      <c r="UVA10" s="34"/>
      <c r="UVB10" s="64"/>
      <c r="UVC10" s="4"/>
      <c r="UVD10" s="65"/>
      <c r="UVE10" s="4"/>
      <c r="UVF10" s="4"/>
      <c r="UVG10" s="4"/>
      <c r="UVJ10" s="34"/>
      <c r="UVK10" s="34"/>
      <c r="UVM10" s="34"/>
      <c r="UVN10" s="72"/>
      <c r="UVO10" s="63"/>
      <c r="UVP10" s="34"/>
      <c r="UVQ10" s="64"/>
      <c r="UVR10" s="4"/>
      <c r="UVS10" s="65"/>
      <c r="UVT10" s="4"/>
      <c r="UVU10" s="4"/>
      <c r="UVV10" s="4"/>
      <c r="UVY10" s="34"/>
      <c r="UVZ10" s="34"/>
      <c r="UWB10" s="34"/>
      <c r="UWC10" s="72"/>
      <c r="UWD10" s="63"/>
      <c r="UWE10" s="34"/>
      <c r="UWF10" s="64"/>
      <c r="UWG10" s="4"/>
      <c r="UWH10" s="65"/>
      <c r="UWI10" s="4"/>
      <c r="UWJ10" s="4"/>
      <c r="UWK10" s="4"/>
      <c r="UWN10" s="34"/>
      <c r="UWO10" s="34"/>
      <c r="UWQ10" s="34"/>
      <c r="UWR10" s="72"/>
      <c r="UWS10" s="63"/>
      <c r="UWT10" s="34"/>
      <c r="UWU10" s="64"/>
      <c r="UWV10" s="4"/>
      <c r="UWW10" s="65"/>
      <c r="UWX10" s="4"/>
      <c r="UWY10" s="4"/>
      <c r="UWZ10" s="4"/>
      <c r="UXC10" s="34"/>
      <c r="UXD10" s="34"/>
      <c r="UXF10" s="34"/>
      <c r="UXG10" s="72"/>
      <c r="UXH10" s="63"/>
      <c r="UXI10" s="34"/>
      <c r="UXJ10" s="64"/>
      <c r="UXK10" s="4"/>
      <c r="UXL10" s="65"/>
      <c r="UXM10" s="4"/>
      <c r="UXN10" s="4"/>
      <c r="UXO10" s="4"/>
      <c r="UXR10" s="34"/>
      <c r="UXS10" s="34"/>
      <c r="UXU10" s="34"/>
      <c r="UXV10" s="72"/>
      <c r="UXW10" s="63"/>
      <c r="UXX10" s="34"/>
      <c r="UXY10" s="64"/>
      <c r="UXZ10" s="4"/>
      <c r="UYA10" s="65"/>
      <c r="UYB10" s="4"/>
      <c r="UYC10" s="4"/>
      <c r="UYD10" s="4"/>
      <c r="UYG10" s="34"/>
      <c r="UYH10" s="34"/>
      <c r="UYJ10" s="34"/>
      <c r="UYK10" s="72"/>
      <c r="UYL10" s="63"/>
      <c r="UYM10" s="34"/>
      <c r="UYN10" s="64"/>
      <c r="UYO10" s="4"/>
      <c r="UYP10" s="65"/>
      <c r="UYQ10" s="4"/>
      <c r="UYR10" s="4"/>
      <c r="UYS10" s="4"/>
      <c r="UYV10" s="34"/>
      <c r="UYW10" s="34"/>
      <c r="UYY10" s="34"/>
      <c r="UYZ10" s="72"/>
      <c r="UZA10" s="63"/>
      <c r="UZB10" s="34"/>
      <c r="UZC10" s="64"/>
      <c r="UZD10" s="4"/>
      <c r="UZE10" s="65"/>
      <c r="UZF10" s="4"/>
      <c r="UZG10" s="4"/>
      <c r="UZH10" s="4"/>
      <c r="UZK10" s="34"/>
      <c r="UZL10" s="34"/>
      <c r="UZN10" s="34"/>
      <c r="UZO10" s="72"/>
      <c r="UZP10" s="63"/>
      <c r="UZQ10" s="34"/>
      <c r="UZR10" s="64"/>
      <c r="UZS10" s="4"/>
      <c r="UZT10" s="65"/>
      <c r="UZU10" s="4"/>
      <c r="UZV10" s="4"/>
      <c r="UZW10" s="4"/>
      <c r="UZZ10" s="34"/>
      <c r="VAA10" s="34"/>
      <c r="VAC10" s="34"/>
      <c r="VAD10" s="72"/>
      <c r="VAE10" s="63"/>
      <c r="VAF10" s="34"/>
      <c r="VAG10" s="64"/>
      <c r="VAH10" s="4"/>
      <c r="VAI10" s="65"/>
      <c r="VAJ10" s="4"/>
      <c r="VAK10" s="4"/>
      <c r="VAL10" s="4"/>
      <c r="VAO10" s="34"/>
      <c r="VAP10" s="34"/>
      <c r="VAR10" s="34"/>
      <c r="VAS10" s="72"/>
      <c r="VAT10" s="63"/>
      <c r="VAU10" s="34"/>
      <c r="VAV10" s="64"/>
      <c r="VAW10" s="4"/>
      <c r="VAX10" s="65"/>
      <c r="VAY10" s="4"/>
      <c r="VAZ10" s="4"/>
      <c r="VBA10" s="4"/>
      <c r="VBD10" s="34"/>
      <c r="VBE10" s="34"/>
      <c r="VBG10" s="34"/>
      <c r="VBH10" s="72"/>
      <c r="VBI10" s="63"/>
      <c r="VBJ10" s="34"/>
      <c r="VBK10" s="64"/>
      <c r="VBL10" s="4"/>
      <c r="VBM10" s="65"/>
      <c r="VBN10" s="4"/>
      <c r="VBO10" s="4"/>
      <c r="VBP10" s="4"/>
      <c r="VBS10" s="34"/>
      <c r="VBT10" s="34"/>
      <c r="VBV10" s="34"/>
      <c r="VBW10" s="72"/>
      <c r="VBX10" s="63"/>
      <c r="VBY10" s="34"/>
      <c r="VBZ10" s="64"/>
      <c r="VCA10" s="4"/>
      <c r="VCB10" s="65"/>
      <c r="VCC10" s="4"/>
      <c r="VCD10" s="4"/>
      <c r="VCE10" s="4"/>
      <c r="VCH10" s="34"/>
      <c r="VCI10" s="34"/>
      <c r="VCK10" s="34"/>
      <c r="VCL10" s="72"/>
      <c r="VCM10" s="63"/>
      <c r="VCN10" s="34"/>
      <c r="VCO10" s="64"/>
      <c r="VCP10" s="4"/>
      <c r="VCQ10" s="65"/>
      <c r="VCR10" s="4"/>
      <c r="VCS10" s="4"/>
      <c r="VCT10" s="4"/>
      <c r="VCW10" s="34"/>
      <c r="VCX10" s="34"/>
      <c r="VCZ10" s="34"/>
      <c r="VDA10" s="72"/>
      <c r="VDB10" s="63"/>
      <c r="VDC10" s="34"/>
      <c r="VDD10" s="64"/>
      <c r="VDE10" s="4"/>
      <c r="VDF10" s="65"/>
      <c r="VDG10" s="4"/>
      <c r="VDH10" s="4"/>
      <c r="VDI10" s="4"/>
      <c r="VDL10" s="34"/>
      <c r="VDM10" s="34"/>
      <c r="VDO10" s="34"/>
      <c r="VDP10" s="72"/>
      <c r="VDQ10" s="63"/>
      <c r="VDR10" s="34"/>
      <c r="VDS10" s="64"/>
      <c r="VDT10" s="4"/>
      <c r="VDU10" s="65"/>
      <c r="VDV10" s="4"/>
      <c r="VDW10" s="4"/>
      <c r="VDX10" s="4"/>
      <c r="VEA10" s="34"/>
      <c r="VEB10" s="34"/>
      <c r="VED10" s="34"/>
      <c r="VEE10" s="72"/>
      <c r="VEF10" s="63"/>
      <c r="VEG10" s="34"/>
      <c r="VEH10" s="64"/>
      <c r="VEI10" s="4"/>
      <c r="VEJ10" s="65"/>
      <c r="VEK10" s="4"/>
      <c r="VEL10" s="4"/>
      <c r="VEM10" s="4"/>
      <c r="VEP10" s="34"/>
      <c r="VEQ10" s="34"/>
      <c r="VES10" s="34"/>
      <c r="VET10" s="72"/>
      <c r="VEU10" s="63"/>
      <c r="VEV10" s="34"/>
      <c r="VEW10" s="64"/>
      <c r="VEX10" s="4"/>
      <c r="VEY10" s="65"/>
      <c r="VEZ10" s="4"/>
      <c r="VFA10" s="4"/>
      <c r="VFB10" s="4"/>
      <c r="VFE10" s="34"/>
      <c r="VFF10" s="34"/>
      <c r="VFH10" s="34"/>
      <c r="VFI10" s="72"/>
      <c r="VFJ10" s="63"/>
      <c r="VFK10" s="34"/>
      <c r="VFL10" s="64"/>
      <c r="VFM10" s="4"/>
      <c r="VFN10" s="65"/>
      <c r="VFO10" s="4"/>
      <c r="VFP10" s="4"/>
      <c r="VFQ10" s="4"/>
      <c r="VFT10" s="34"/>
      <c r="VFU10" s="34"/>
      <c r="VFW10" s="34"/>
      <c r="VFX10" s="72"/>
      <c r="VFY10" s="63"/>
      <c r="VFZ10" s="34"/>
      <c r="VGA10" s="64"/>
      <c r="VGB10" s="4"/>
      <c r="VGC10" s="65"/>
      <c r="VGD10" s="4"/>
      <c r="VGE10" s="4"/>
      <c r="VGF10" s="4"/>
      <c r="VGI10" s="34"/>
      <c r="VGJ10" s="34"/>
      <c r="VGL10" s="34"/>
      <c r="VGM10" s="72"/>
      <c r="VGN10" s="63"/>
      <c r="VGO10" s="34"/>
      <c r="VGP10" s="64"/>
      <c r="VGQ10" s="4"/>
      <c r="VGR10" s="65"/>
      <c r="VGS10" s="4"/>
      <c r="VGT10" s="4"/>
      <c r="VGU10" s="4"/>
      <c r="VGX10" s="34"/>
      <c r="VGY10" s="34"/>
      <c r="VHA10" s="34"/>
      <c r="VHB10" s="72"/>
      <c r="VHC10" s="63"/>
      <c r="VHD10" s="34"/>
      <c r="VHE10" s="64"/>
      <c r="VHF10" s="4"/>
      <c r="VHG10" s="65"/>
      <c r="VHH10" s="4"/>
      <c r="VHI10" s="4"/>
      <c r="VHJ10" s="4"/>
      <c r="VHM10" s="34"/>
      <c r="VHN10" s="34"/>
      <c r="VHP10" s="34"/>
      <c r="VHQ10" s="72"/>
      <c r="VHR10" s="63"/>
      <c r="VHS10" s="34"/>
      <c r="VHT10" s="64"/>
      <c r="VHU10" s="4"/>
      <c r="VHV10" s="65"/>
      <c r="VHW10" s="4"/>
      <c r="VHX10" s="4"/>
      <c r="VHY10" s="4"/>
      <c r="VIB10" s="34"/>
      <c r="VIC10" s="34"/>
      <c r="VIE10" s="34"/>
      <c r="VIF10" s="72"/>
      <c r="VIG10" s="63"/>
      <c r="VIH10" s="34"/>
      <c r="VII10" s="64"/>
      <c r="VIJ10" s="4"/>
      <c r="VIK10" s="65"/>
      <c r="VIL10" s="4"/>
      <c r="VIM10" s="4"/>
      <c r="VIN10" s="4"/>
      <c r="VIQ10" s="34"/>
      <c r="VIR10" s="34"/>
      <c r="VIT10" s="34"/>
      <c r="VIU10" s="72"/>
      <c r="VIV10" s="63"/>
      <c r="VIW10" s="34"/>
      <c r="VIX10" s="64"/>
      <c r="VIY10" s="4"/>
      <c r="VIZ10" s="65"/>
      <c r="VJA10" s="4"/>
      <c r="VJB10" s="4"/>
      <c r="VJC10" s="4"/>
      <c r="VJF10" s="34"/>
      <c r="VJG10" s="34"/>
      <c r="VJI10" s="34"/>
      <c r="VJJ10" s="72"/>
      <c r="VJK10" s="63"/>
      <c r="VJL10" s="34"/>
      <c r="VJM10" s="64"/>
      <c r="VJN10" s="4"/>
      <c r="VJO10" s="65"/>
      <c r="VJP10" s="4"/>
      <c r="VJQ10" s="4"/>
      <c r="VJR10" s="4"/>
      <c r="VJU10" s="34"/>
      <c r="VJV10" s="34"/>
      <c r="VJX10" s="34"/>
      <c r="VJY10" s="72"/>
      <c r="VJZ10" s="63"/>
      <c r="VKA10" s="34"/>
      <c r="VKB10" s="64"/>
      <c r="VKC10" s="4"/>
      <c r="VKD10" s="65"/>
      <c r="VKE10" s="4"/>
      <c r="VKF10" s="4"/>
      <c r="VKG10" s="4"/>
      <c r="VKJ10" s="34"/>
      <c r="VKK10" s="34"/>
      <c r="VKM10" s="34"/>
      <c r="VKN10" s="72"/>
      <c r="VKO10" s="63"/>
      <c r="VKP10" s="34"/>
      <c r="VKQ10" s="64"/>
      <c r="VKR10" s="4"/>
      <c r="VKS10" s="65"/>
      <c r="VKT10" s="4"/>
      <c r="VKU10" s="4"/>
      <c r="VKV10" s="4"/>
      <c r="VKY10" s="34"/>
      <c r="VKZ10" s="34"/>
      <c r="VLB10" s="34"/>
      <c r="VLC10" s="72"/>
      <c r="VLD10" s="63"/>
      <c r="VLE10" s="34"/>
      <c r="VLF10" s="64"/>
      <c r="VLG10" s="4"/>
      <c r="VLH10" s="65"/>
      <c r="VLI10" s="4"/>
      <c r="VLJ10" s="4"/>
      <c r="VLK10" s="4"/>
      <c r="VLN10" s="34"/>
      <c r="VLO10" s="34"/>
      <c r="VLQ10" s="34"/>
      <c r="VLR10" s="72"/>
      <c r="VLS10" s="63"/>
      <c r="VLT10" s="34"/>
      <c r="VLU10" s="64"/>
      <c r="VLV10" s="4"/>
      <c r="VLW10" s="65"/>
      <c r="VLX10" s="4"/>
      <c r="VLY10" s="4"/>
      <c r="VLZ10" s="4"/>
      <c r="VMC10" s="34"/>
      <c r="VMD10" s="34"/>
      <c r="VMF10" s="34"/>
      <c r="VMG10" s="72"/>
      <c r="VMH10" s="63"/>
      <c r="VMI10" s="34"/>
      <c r="VMJ10" s="64"/>
      <c r="VMK10" s="4"/>
      <c r="VML10" s="65"/>
      <c r="VMM10" s="4"/>
      <c r="VMN10" s="4"/>
      <c r="VMO10" s="4"/>
      <c r="VMR10" s="34"/>
      <c r="VMS10" s="34"/>
      <c r="VMU10" s="34"/>
      <c r="VMV10" s="72"/>
      <c r="VMW10" s="63"/>
      <c r="VMX10" s="34"/>
      <c r="VMY10" s="64"/>
      <c r="VMZ10" s="4"/>
      <c r="VNA10" s="65"/>
      <c r="VNB10" s="4"/>
      <c r="VNC10" s="4"/>
      <c r="VND10" s="4"/>
      <c r="VNG10" s="34"/>
      <c r="VNH10" s="34"/>
      <c r="VNJ10" s="34"/>
      <c r="VNK10" s="72"/>
      <c r="VNL10" s="63"/>
      <c r="VNM10" s="34"/>
      <c r="VNN10" s="64"/>
      <c r="VNO10" s="4"/>
      <c r="VNP10" s="65"/>
      <c r="VNQ10" s="4"/>
      <c r="VNR10" s="4"/>
      <c r="VNS10" s="4"/>
      <c r="VNV10" s="34"/>
      <c r="VNW10" s="34"/>
      <c r="VNY10" s="34"/>
      <c r="VNZ10" s="72"/>
      <c r="VOA10" s="63"/>
      <c r="VOB10" s="34"/>
      <c r="VOC10" s="64"/>
      <c r="VOD10" s="4"/>
      <c r="VOE10" s="65"/>
      <c r="VOF10" s="4"/>
      <c r="VOG10" s="4"/>
      <c r="VOH10" s="4"/>
      <c r="VOK10" s="34"/>
      <c r="VOL10" s="34"/>
      <c r="VON10" s="34"/>
      <c r="VOO10" s="72"/>
      <c r="VOP10" s="63"/>
      <c r="VOQ10" s="34"/>
      <c r="VOR10" s="64"/>
      <c r="VOS10" s="4"/>
      <c r="VOT10" s="65"/>
      <c r="VOU10" s="4"/>
      <c r="VOV10" s="4"/>
      <c r="VOW10" s="4"/>
      <c r="VOZ10" s="34"/>
      <c r="VPA10" s="34"/>
      <c r="VPC10" s="34"/>
      <c r="VPD10" s="72"/>
      <c r="VPE10" s="63"/>
      <c r="VPF10" s="34"/>
      <c r="VPG10" s="64"/>
      <c r="VPH10" s="4"/>
      <c r="VPI10" s="65"/>
      <c r="VPJ10" s="4"/>
      <c r="VPK10" s="4"/>
      <c r="VPL10" s="4"/>
      <c r="VPO10" s="34"/>
      <c r="VPP10" s="34"/>
      <c r="VPR10" s="34"/>
      <c r="VPS10" s="72"/>
      <c r="VPT10" s="63"/>
      <c r="VPU10" s="34"/>
      <c r="VPV10" s="64"/>
      <c r="VPW10" s="4"/>
      <c r="VPX10" s="65"/>
      <c r="VPY10" s="4"/>
      <c r="VPZ10" s="4"/>
      <c r="VQA10" s="4"/>
      <c r="VQD10" s="34"/>
      <c r="VQE10" s="34"/>
      <c r="VQG10" s="34"/>
      <c r="VQH10" s="72"/>
      <c r="VQI10" s="63"/>
      <c r="VQJ10" s="34"/>
      <c r="VQK10" s="64"/>
      <c r="VQL10" s="4"/>
      <c r="VQM10" s="65"/>
      <c r="VQN10" s="4"/>
      <c r="VQO10" s="4"/>
      <c r="VQP10" s="4"/>
      <c r="VQS10" s="34"/>
      <c r="VQT10" s="34"/>
      <c r="VQV10" s="34"/>
      <c r="VQW10" s="72"/>
      <c r="VQX10" s="63"/>
      <c r="VQY10" s="34"/>
      <c r="VQZ10" s="64"/>
      <c r="VRA10" s="4"/>
      <c r="VRB10" s="65"/>
      <c r="VRC10" s="4"/>
      <c r="VRD10" s="4"/>
      <c r="VRE10" s="4"/>
      <c r="VRH10" s="34"/>
      <c r="VRI10" s="34"/>
      <c r="VRK10" s="34"/>
      <c r="VRL10" s="72"/>
      <c r="VRM10" s="63"/>
      <c r="VRN10" s="34"/>
      <c r="VRO10" s="64"/>
      <c r="VRP10" s="4"/>
      <c r="VRQ10" s="65"/>
      <c r="VRR10" s="4"/>
      <c r="VRS10" s="4"/>
      <c r="VRT10" s="4"/>
      <c r="VRW10" s="34"/>
      <c r="VRX10" s="34"/>
      <c r="VRZ10" s="34"/>
      <c r="VSA10" s="72"/>
      <c r="VSB10" s="63"/>
      <c r="VSC10" s="34"/>
      <c r="VSD10" s="64"/>
      <c r="VSE10" s="4"/>
      <c r="VSF10" s="65"/>
      <c r="VSG10" s="4"/>
      <c r="VSH10" s="4"/>
      <c r="VSI10" s="4"/>
      <c r="VSL10" s="34"/>
      <c r="VSM10" s="34"/>
      <c r="VSO10" s="34"/>
      <c r="VSP10" s="72"/>
      <c r="VSQ10" s="63"/>
      <c r="VSR10" s="34"/>
      <c r="VSS10" s="64"/>
      <c r="VST10" s="4"/>
      <c r="VSU10" s="65"/>
      <c r="VSV10" s="4"/>
      <c r="VSW10" s="4"/>
      <c r="VSX10" s="4"/>
      <c r="VTA10" s="34"/>
      <c r="VTB10" s="34"/>
      <c r="VTD10" s="34"/>
      <c r="VTE10" s="72"/>
      <c r="VTF10" s="63"/>
      <c r="VTG10" s="34"/>
      <c r="VTH10" s="64"/>
      <c r="VTI10" s="4"/>
      <c r="VTJ10" s="65"/>
      <c r="VTK10" s="4"/>
      <c r="VTL10" s="4"/>
      <c r="VTM10" s="4"/>
      <c r="VTP10" s="34"/>
      <c r="VTQ10" s="34"/>
      <c r="VTS10" s="34"/>
      <c r="VTT10" s="72"/>
      <c r="VTU10" s="63"/>
      <c r="VTV10" s="34"/>
      <c r="VTW10" s="64"/>
      <c r="VTX10" s="4"/>
      <c r="VTY10" s="65"/>
      <c r="VTZ10" s="4"/>
      <c r="VUA10" s="4"/>
      <c r="VUB10" s="4"/>
      <c r="VUE10" s="34"/>
      <c r="VUF10" s="34"/>
      <c r="VUH10" s="34"/>
      <c r="VUI10" s="72"/>
      <c r="VUJ10" s="63"/>
      <c r="VUK10" s="34"/>
      <c r="VUL10" s="64"/>
      <c r="VUM10" s="4"/>
      <c r="VUN10" s="65"/>
      <c r="VUO10" s="4"/>
      <c r="VUP10" s="4"/>
      <c r="VUQ10" s="4"/>
      <c r="VUT10" s="34"/>
      <c r="VUU10" s="34"/>
      <c r="VUW10" s="34"/>
      <c r="VUX10" s="72"/>
      <c r="VUY10" s="63"/>
      <c r="VUZ10" s="34"/>
      <c r="VVA10" s="64"/>
      <c r="VVB10" s="4"/>
      <c r="VVC10" s="65"/>
      <c r="VVD10" s="4"/>
      <c r="VVE10" s="4"/>
      <c r="VVF10" s="4"/>
      <c r="VVI10" s="34"/>
      <c r="VVJ10" s="34"/>
      <c r="VVL10" s="34"/>
      <c r="VVM10" s="72"/>
      <c r="VVN10" s="63"/>
      <c r="VVO10" s="34"/>
      <c r="VVP10" s="64"/>
      <c r="VVQ10" s="4"/>
      <c r="VVR10" s="65"/>
      <c r="VVS10" s="4"/>
      <c r="VVT10" s="4"/>
      <c r="VVU10" s="4"/>
      <c r="VVX10" s="34"/>
      <c r="VVY10" s="34"/>
      <c r="VWA10" s="34"/>
      <c r="VWB10" s="72"/>
      <c r="VWC10" s="63"/>
      <c r="VWD10" s="34"/>
      <c r="VWE10" s="64"/>
      <c r="VWF10" s="4"/>
      <c r="VWG10" s="65"/>
      <c r="VWH10" s="4"/>
      <c r="VWI10" s="4"/>
      <c r="VWJ10" s="4"/>
      <c r="VWM10" s="34"/>
      <c r="VWN10" s="34"/>
      <c r="VWP10" s="34"/>
      <c r="VWQ10" s="72"/>
      <c r="VWR10" s="63"/>
      <c r="VWS10" s="34"/>
      <c r="VWT10" s="64"/>
      <c r="VWU10" s="4"/>
      <c r="VWV10" s="65"/>
      <c r="VWW10" s="4"/>
      <c r="VWX10" s="4"/>
      <c r="VWY10" s="4"/>
      <c r="VXB10" s="34"/>
      <c r="VXC10" s="34"/>
      <c r="VXE10" s="34"/>
      <c r="VXF10" s="72"/>
      <c r="VXG10" s="63"/>
      <c r="VXH10" s="34"/>
      <c r="VXI10" s="64"/>
      <c r="VXJ10" s="4"/>
      <c r="VXK10" s="65"/>
      <c r="VXL10" s="4"/>
      <c r="VXM10" s="4"/>
      <c r="VXN10" s="4"/>
      <c r="VXQ10" s="34"/>
      <c r="VXR10" s="34"/>
      <c r="VXT10" s="34"/>
      <c r="VXU10" s="72"/>
      <c r="VXV10" s="63"/>
      <c r="VXW10" s="34"/>
      <c r="VXX10" s="64"/>
      <c r="VXY10" s="4"/>
      <c r="VXZ10" s="65"/>
      <c r="VYA10" s="4"/>
      <c r="VYB10" s="4"/>
      <c r="VYC10" s="4"/>
      <c r="VYF10" s="34"/>
      <c r="VYG10" s="34"/>
      <c r="VYI10" s="34"/>
      <c r="VYJ10" s="72"/>
      <c r="VYK10" s="63"/>
      <c r="VYL10" s="34"/>
      <c r="VYM10" s="64"/>
      <c r="VYN10" s="4"/>
      <c r="VYO10" s="65"/>
      <c r="VYP10" s="4"/>
      <c r="VYQ10" s="4"/>
      <c r="VYR10" s="4"/>
      <c r="VYU10" s="34"/>
      <c r="VYV10" s="34"/>
      <c r="VYX10" s="34"/>
      <c r="VYY10" s="72"/>
      <c r="VYZ10" s="63"/>
      <c r="VZA10" s="34"/>
      <c r="VZB10" s="64"/>
      <c r="VZC10" s="4"/>
      <c r="VZD10" s="65"/>
      <c r="VZE10" s="4"/>
      <c r="VZF10" s="4"/>
      <c r="VZG10" s="4"/>
      <c r="VZJ10" s="34"/>
      <c r="VZK10" s="34"/>
      <c r="VZM10" s="34"/>
      <c r="VZN10" s="72"/>
      <c r="VZO10" s="63"/>
      <c r="VZP10" s="34"/>
      <c r="VZQ10" s="64"/>
      <c r="VZR10" s="4"/>
      <c r="VZS10" s="65"/>
      <c r="VZT10" s="4"/>
      <c r="VZU10" s="4"/>
      <c r="VZV10" s="4"/>
      <c r="VZY10" s="34"/>
      <c r="VZZ10" s="34"/>
      <c r="WAB10" s="34"/>
      <c r="WAC10" s="72"/>
      <c r="WAD10" s="63"/>
      <c r="WAE10" s="34"/>
      <c r="WAF10" s="64"/>
      <c r="WAG10" s="4"/>
      <c r="WAH10" s="65"/>
      <c r="WAI10" s="4"/>
      <c r="WAJ10" s="4"/>
      <c r="WAK10" s="4"/>
      <c r="WAN10" s="34"/>
      <c r="WAO10" s="34"/>
      <c r="WAQ10" s="34"/>
      <c r="WAR10" s="72"/>
      <c r="WAS10" s="63"/>
      <c r="WAT10" s="34"/>
      <c r="WAU10" s="64"/>
      <c r="WAV10" s="4"/>
      <c r="WAW10" s="65"/>
      <c r="WAX10" s="4"/>
      <c r="WAY10" s="4"/>
      <c r="WAZ10" s="4"/>
      <c r="WBC10" s="34"/>
      <c r="WBD10" s="34"/>
      <c r="WBF10" s="34"/>
      <c r="WBG10" s="72"/>
      <c r="WBH10" s="63"/>
      <c r="WBI10" s="34"/>
      <c r="WBJ10" s="64"/>
      <c r="WBK10" s="4"/>
      <c r="WBL10" s="65"/>
      <c r="WBM10" s="4"/>
      <c r="WBN10" s="4"/>
      <c r="WBO10" s="4"/>
      <c r="WBR10" s="34"/>
      <c r="WBS10" s="34"/>
      <c r="WBU10" s="34"/>
      <c r="WBV10" s="72"/>
      <c r="WBW10" s="63"/>
      <c r="WBX10" s="34"/>
      <c r="WBY10" s="64"/>
      <c r="WBZ10" s="4"/>
      <c r="WCA10" s="65"/>
      <c r="WCB10" s="4"/>
      <c r="WCC10" s="4"/>
      <c r="WCD10" s="4"/>
      <c r="WCG10" s="34"/>
      <c r="WCH10" s="34"/>
      <c r="WCJ10" s="34"/>
      <c r="WCK10" s="72"/>
      <c r="WCL10" s="63"/>
      <c r="WCM10" s="34"/>
      <c r="WCN10" s="64"/>
      <c r="WCO10" s="4"/>
      <c r="WCP10" s="65"/>
      <c r="WCQ10" s="4"/>
      <c r="WCR10" s="4"/>
      <c r="WCS10" s="4"/>
      <c r="WCV10" s="34"/>
      <c r="WCW10" s="34"/>
      <c r="WCY10" s="34"/>
      <c r="WCZ10" s="72"/>
      <c r="WDA10" s="63"/>
      <c r="WDB10" s="34"/>
      <c r="WDC10" s="64"/>
      <c r="WDD10" s="4"/>
      <c r="WDE10" s="65"/>
      <c r="WDF10" s="4"/>
      <c r="WDG10" s="4"/>
      <c r="WDH10" s="4"/>
      <c r="WDK10" s="34"/>
      <c r="WDL10" s="34"/>
      <c r="WDN10" s="34"/>
      <c r="WDO10" s="72"/>
      <c r="WDP10" s="63"/>
      <c r="WDQ10" s="34"/>
      <c r="WDR10" s="64"/>
      <c r="WDS10" s="4"/>
      <c r="WDT10" s="65"/>
      <c r="WDU10" s="4"/>
      <c r="WDV10" s="4"/>
      <c r="WDW10" s="4"/>
      <c r="WDZ10" s="34"/>
      <c r="WEA10" s="34"/>
      <c r="WEC10" s="34"/>
      <c r="WED10" s="72"/>
      <c r="WEE10" s="63"/>
      <c r="WEF10" s="34"/>
      <c r="WEG10" s="64"/>
      <c r="WEH10" s="4"/>
      <c r="WEI10" s="65"/>
      <c r="WEJ10" s="4"/>
      <c r="WEK10" s="4"/>
      <c r="WEL10" s="4"/>
      <c r="WEO10" s="34"/>
      <c r="WEP10" s="34"/>
      <c r="WER10" s="34"/>
      <c r="WES10" s="72"/>
      <c r="WET10" s="63"/>
      <c r="WEU10" s="34"/>
      <c r="WEV10" s="64"/>
      <c r="WEW10" s="4"/>
      <c r="WEX10" s="65"/>
      <c r="WEY10" s="4"/>
      <c r="WEZ10" s="4"/>
      <c r="WFA10" s="4"/>
      <c r="WFD10" s="34"/>
      <c r="WFE10" s="34"/>
      <c r="WFG10" s="34"/>
      <c r="WFH10" s="72"/>
      <c r="WFI10" s="63"/>
      <c r="WFJ10" s="34"/>
      <c r="WFK10" s="64"/>
      <c r="WFL10" s="4"/>
      <c r="WFM10" s="65"/>
      <c r="WFN10" s="4"/>
      <c r="WFO10" s="4"/>
      <c r="WFP10" s="4"/>
      <c r="WFS10" s="34"/>
      <c r="WFT10" s="34"/>
      <c r="WFV10" s="34"/>
      <c r="WFW10" s="72"/>
      <c r="WFX10" s="63"/>
      <c r="WFY10" s="34"/>
      <c r="WFZ10" s="64"/>
      <c r="WGA10" s="4"/>
      <c r="WGB10" s="65"/>
      <c r="WGC10" s="4"/>
      <c r="WGD10" s="4"/>
      <c r="WGE10" s="4"/>
      <c r="WGH10" s="34"/>
      <c r="WGI10" s="34"/>
      <c r="WGK10" s="34"/>
      <c r="WGL10" s="72"/>
      <c r="WGM10" s="63"/>
      <c r="WGN10" s="34"/>
      <c r="WGO10" s="64"/>
      <c r="WGP10" s="4"/>
      <c r="WGQ10" s="65"/>
      <c r="WGR10" s="4"/>
      <c r="WGS10" s="4"/>
      <c r="WGT10" s="4"/>
      <c r="WGW10" s="34"/>
      <c r="WGX10" s="34"/>
      <c r="WGZ10" s="34"/>
      <c r="WHA10" s="72"/>
      <c r="WHB10" s="63"/>
      <c r="WHC10" s="34"/>
      <c r="WHD10" s="64"/>
      <c r="WHE10" s="4"/>
      <c r="WHF10" s="65"/>
      <c r="WHG10" s="4"/>
      <c r="WHH10" s="4"/>
      <c r="WHI10" s="4"/>
      <c r="WHL10" s="34"/>
      <c r="WHM10" s="34"/>
      <c r="WHO10" s="34"/>
      <c r="WHP10" s="72"/>
      <c r="WHQ10" s="63"/>
      <c r="WHR10" s="34"/>
      <c r="WHS10" s="64"/>
      <c r="WHT10" s="4"/>
      <c r="WHU10" s="65"/>
      <c r="WHV10" s="4"/>
      <c r="WHW10" s="4"/>
      <c r="WHX10" s="4"/>
      <c r="WIA10" s="34"/>
      <c r="WIB10" s="34"/>
      <c r="WID10" s="34"/>
      <c r="WIE10" s="72"/>
      <c r="WIF10" s="63"/>
      <c r="WIG10" s="34"/>
      <c r="WIH10" s="64"/>
      <c r="WII10" s="4"/>
      <c r="WIJ10" s="65"/>
      <c r="WIK10" s="4"/>
      <c r="WIL10" s="4"/>
      <c r="WIM10" s="4"/>
      <c r="WIP10" s="34"/>
      <c r="WIQ10" s="34"/>
      <c r="WIS10" s="34"/>
      <c r="WIT10" s="72"/>
      <c r="WIU10" s="63"/>
      <c r="WIV10" s="34"/>
      <c r="WIW10" s="64"/>
      <c r="WIX10" s="4"/>
      <c r="WIY10" s="65"/>
      <c r="WIZ10" s="4"/>
      <c r="WJA10" s="4"/>
      <c r="WJB10" s="4"/>
      <c r="WJE10" s="34"/>
      <c r="WJF10" s="34"/>
      <c r="WJH10" s="34"/>
      <c r="WJI10" s="72"/>
      <c r="WJJ10" s="63"/>
      <c r="WJK10" s="34"/>
      <c r="WJL10" s="64"/>
      <c r="WJM10" s="4"/>
      <c r="WJN10" s="65"/>
      <c r="WJO10" s="4"/>
      <c r="WJP10" s="4"/>
      <c r="WJQ10" s="4"/>
      <c r="WJT10" s="34"/>
      <c r="WJU10" s="34"/>
      <c r="WJW10" s="34"/>
      <c r="WJX10" s="72"/>
      <c r="WJY10" s="63"/>
      <c r="WJZ10" s="34"/>
      <c r="WKA10" s="64"/>
      <c r="WKB10" s="4"/>
      <c r="WKC10" s="65"/>
      <c r="WKD10" s="4"/>
      <c r="WKE10" s="4"/>
      <c r="WKF10" s="4"/>
      <c r="WKI10" s="34"/>
      <c r="WKJ10" s="34"/>
      <c r="WKL10" s="34"/>
      <c r="WKM10" s="72"/>
      <c r="WKN10" s="63"/>
      <c r="WKO10" s="34"/>
      <c r="WKP10" s="64"/>
      <c r="WKQ10" s="4"/>
      <c r="WKR10" s="65"/>
      <c r="WKS10" s="4"/>
      <c r="WKT10" s="4"/>
      <c r="WKU10" s="4"/>
      <c r="WKX10" s="34"/>
      <c r="WKY10" s="34"/>
      <c r="WLA10" s="34"/>
      <c r="WLB10" s="72"/>
      <c r="WLC10" s="63"/>
      <c r="WLD10" s="34"/>
      <c r="WLE10" s="64"/>
      <c r="WLF10" s="4"/>
      <c r="WLG10" s="65"/>
      <c r="WLH10" s="4"/>
      <c r="WLI10" s="4"/>
      <c r="WLJ10" s="4"/>
      <c r="WLM10" s="34"/>
      <c r="WLN10" s="34"/>
      <c r="WLP10" s="34"/>
      <c r="WLQ10" s="72"/>
      <c r="WLR10" s="63"/>
      <c r="WLS10" s="34"/>
      <c r="WLT10" s="64"/>
      <c r="WLU10" s="4"/>
      <c r="WLV10" s="65"/>
      <c r="WLW10" s="4"/>
      <c r="WLX10" s="4"/>
      <c r="WLY10" s="4"/>
      <c r="WMB10" s="34"/>
      <c r="WMC10" s="34"/>
      <c r="WME10" s="34"/>
      <c r="WMF10" s="72"/>
      <c r="WMG10" s="63"/>
      <c r="WMH10" s="34"/>
      <c r="WMI10" s="64"/>
      <c r="WMJ10" s="4"/>
      <c r="WMK10" s="65"/>
      <c r="WML10" s="4"/>
      <c r="WMM10" s="4"/>
      <c r="WMN10" s="4"/>
      <c r="WMQ10" s="34"/>
      <c r="WMR10" s="34"/>
      <c r="WMT10" s="34"/>
      <c r="WMU10" s="72"/>
      <c r="WMV10" s="63"/>
      <c r="WMW10" s="34"/>
      <c r="WMX10" s="64"/>
      <c r="WMY10" s="4"/>
      <c r="WMZ10" s="65"/>
      <c r="WNA10" s="4"/>
      <c r="WNB10" s="4"/>
      <c r="WNC10" s="4"/>
      <c r="WNF10" s="34"/>
      <c r="WNG10" s="34"/>
      <c r="WNI10" s="34"/>
      <c r="WNJ10" s="72"/>
      <c r="WNK10" s="63"/>
      <c r="WNL10" s="34"/>
      <c r="WNM10" s="64"/>
      <c r="WNN10" s="4"/>
      <c r="WNO10" s="65"/>
      <c r="WNP10" s="4"/>
      <c r="WNQ10" s="4"/>
      <c r="WNR10" s="4"/>
      <c r="WNU10" s="34"/>
      <c r="WNV10" s="34"/>
      <c r="WNX10" s="34"/>
      <c r="WNY10" s="72"/>
      <c r="WNZ10" s="63"/>
      <c r="WOA10" s="34"/>
      <c r="WOB10" s="64"/>
      <c r="WOC10" s="4"/>
      <c r="WOD10" s="65"/>
      <c r="WOE10" s="4"/>
      <c r="WOF10" s="4"/>
      <c r="WOG10" s="4"/>
      <c r="WOJ10" s="34"/>
      <c r="WOK10" s="34"/>
      <c r="WOM10" s="34"/>
      <c r="WON10" s="72"/>
      <c r="WOO10" s="63"/>
      <c r="WOP10" s="34"/>
      <c r="WOQ10" s="64"/>
      <c r="WOR10" s="4"/>
      <c r="WOS10" s="65"/>
      <c r="WOT10" s="4"/>
      <c r="WOU10" s="4"/>
      <c r="WOV10" s="4"/>
      <c r="WOY10" s="34"/>
      <c r="WOZ10" s="34"/>
      <c r="WPB10" s="34"/>
      <c r="WPC10" s="72"/>
      <c r="WPD10" s="63"/>
      <c r="WPE10" s="34"/>
      <c r="WPF10" s="64"/>
      <c r="WPG10" s="4"/>
      <c r="WPH10" s="65"/>
      <c r="WPI10" s="4"/>
      <c r="WPJ10" s="4"/>
      <c r="WPK10" s="4"/>
      <c r="WPN10" s="34"/>
      <c r="WPO10" s="34"/>
      <c r="WPQ10" s="34"/>
      <c r="WPR10" s="72"/>
      <c r="WPS10" s="63"/>
      <c r="WPT10" s="34"/>
      <c r="WPU10" s="64"/>
      <c r="WPV10" s="4"/>
      <c r="WPW10" s="65"/>
      <c r="WPX10" s="4"/>
      <c r="WPY10" s="4"/>
      <c r="WPZ10" s="4"/>
      <c r="WQC10" s="34"/>
      <c r="WQD10" s="34"/>
      <c r="WQF10" s="34"/>
      <c r="WQG10" s="72"/>
      <c r="WQH10" s="63"/>
      <c r="WQI10" s="34"/>
      <c r="WQJ10" s="64"/>
      <c r="WQK10" s="4"/>
      <c r="WQL10" s="65"/>
      <c r="WQM10" s="4"/>
      <c r="WQN10" s="4"/>
      <c r="WQO10" s="4"/>
      <c r="WQR10" s="34"/>
      <c r="WQS10" s="34"/>
      <c r="WQU10" s="34"/>
      <c r="WQV10" s="72"/>
      <c r="WQW10" s="63"/>
      <c r="WQX10" s="34"/>
      <c r="WQY10" s="64"/>
      <c r="WQZ10" s="4"/>
      <c r="WRA10" s="65"/>
      <c r="WRB10" s="4"/>
      <c r="WRC10" s="4"/>
      <c r="WRD10" s="4"/>
      <c r="WRG10" s="34"/>
      <c r="WRH10" s="34"/>
      <c r="WRJ10" s="34"/>
      <c r="WRK10" s="72"/>
      <c r="WRL10" s="63"/>
      <c r="WRM10" s="34"/>
      <c r="WRN10" s="64"/>
      <c r="WRO10" s="4"/>
      <c r="WRP10" s="65"/>
      <c r="WRQ10" s="4"/>
      <c r="WRR10" s="4"/>
      <c r="WRS10" s="4"/>
      <c r="WRV10" s="34"/>
      <c r="WRW10" s="34"/>
      <c r="WRY10" s="34"/>
      <c r="WRZ10" s="72"/>
      <c r="WSA10" s="63"/>
      <c r="WSB10" s="34"/>
      <c r="WSC10" s="64"/>
      <c r="WSD10" s="4"/>
      <c r="WSE10" s="65"/>
      <c r="WSF10" s="4"/>
      <c r="WSG10" s="4"/>
      <c r="WSH10" s="4"/>
      <c r="WSK10" s="34"/>
      <c r="WSL10" s="34"/>
      <c r="WSN10" s="34"/>
      <c r="WSO10" s="72"/>
      <c r="WSP10" s="63"/>
      <c r="WSQ10" s="34"/>
      <c r="WSR10" s="64"/>
      <c r="WSS10" s="4"/>
      <c r="WST10" s="65"/>
      <c r="WSU10" s="4"/>
      <c r="WSV10" s="4"/>
      <c r="WSW10" s="4"/>
      <c r="WSZ10" s="34"/>
      <c r="WTA10" s="34"/>
      <c r="WTC10" s="34"/>
      <c r="WTD10" s="72"/>
      <c r="WTE10" s="63"/>
      <c r="WTF10" s="34"/>
      <c r="WTG10" s="64"/>
      <c r="WTH10" s="4"/>
      <c r="WTI10" s="65"/>
      <c r="WTJ10" s="4"/>
      <c r="WTK10" s="4"/>
      <c r="WTL10" s="4"/>
      <c r="WTO10" s="34"/>
      <c r="WTP10" s="34"/>
      <c r="WTR10" s="34"/>
      <c r="WTS10" s="72"/>
      <c r="WTT10" s="63"/>
      <c r="WTU10" s="34"/>
      <c r="WTV10" s="64"/>
      <c r="WTW10" s="4"/>
      <c r="WTX10" s="65"/>
      <c r="WTY10" s="4"/>
      <c r="WTZ10" s="4"/>
      <c r="WUA10" s="4"/>
      <c r="WUD10" s="34"/>
      <c r="WUE10" s="34"/>
      <c r="WUG10" s="34"/>
      <c r="WUH10" s="72"/>
      <c r="WUI10" s="63"/>
      <c r="WUJ10" s="34"/>
      <c r="WUK10" s="64"/>
      <c r="WUL10" s="4"/>
      <c r="WUM10" s="65"/>
      <c r="WUN10" s="4"/>
      <c r="WUO10" s="4"/>
      <c r="WUP10" s="4"/>
      <c r="WUS10" s="34"/>
      <c r="WUT10" s="34"/>
      <c r="WUV10" s="34"/>
      <c r="WUW10" s="72"/>
      <c r="WUX10" s="63"/>
      <c r="WUY10" s="34"/>
      <c r="WUZ10" s="64"/>
      <c r="WVA10" s="4"/>
      <c r="WVB10" s="65"/>
      <c r="WVC10" s="4"/>
      <c r="WVD10" s="4"/>
      <c r="WVE10" s="4"/>
      <c r="WVH10" s="34"/>
      <c r="WVI10" s="34"/>
      <c r="WVK10" s="34"/>
      <c r="WVL10" s="72"/>
      <c r="WVM10" s="63"/>
      <c r="WVN10" s="34"/>
      <c r="WVO10" s="64"/>
      <c r="WVP10" s="4"/>
      <c r="WVQ10" s="65"/>
      <c r="WVR10" s="4"/>
      <c r="WVS10" s="4"/>
      <c r="WVT10" s="4"/>
      <c r="WVW10" s="34"/>
      <c r="WVX10" s="34"/>
      <c r="WVZ10" s="34"/>
      <c r="WWA10" s="72"/>
      <c r="WWB10" s="63"/>
      <c r="WWC10" s="34"/>
      <c r="WWD10" s="64"/>
      <c r="WWE10" s="4"/>
      <c r="WWF10" s="65"/>
      <c r="WWG10" s="4"/>
      <c r="WWH10" s="4"/>
      <c r="WWI10" s="4"/>
      <c r="WWL10" s="34"/>
      <c r="WWM10" s="34"/>
      <c r="WWO10" s="34"/>
      <c r="WWP10" s="72"/>
      <c r="WWQ10" s="63"/>
      <c r="WWR10" s="34"/>
      <c r="WWS10" s="64"/>
      <c r="WWT10" s="4"/>
      <c r="WWU10" s="65"/>
      <c r="WWV10" s="4"/>
      <c r="WWW10" s="4"/>
      <c r="WWX10" s="4"/>
      <c r="WXA10" s="34"/>
      <c r="WXB10" s="34"/>
      <c r="WXD10" s="34"/>
      <c r="WXE10" s="72"/>
      <c r="WXF10" s="63"/>
      <c r="WXG10" s="34"/>
      <c r="WXH10" s="64"/>
      <c r="WXI10" s="4"/>
      <c r="WXJ10" s="65"/>
      <c r="WXK10" s="4"/>
      <c r="WXL10" s="4"/>
      <c r="WXM10" s="4"/>
      <c r="WXP10" s="34"/>
      <c r="WXQ10" s="34"/>
      <c r="WXS10" s="34"/>
      <c r="WXT10" s="72"/>
      <c r="WXU10" s="63"/>
      <c r="WXV10" s="34"/>
      <c r="WXW10" s="64"/>
      <c r="WXX10" s="4"/>
      <c r="WXY10" s="65"/>
      <c r="WXZ10" s="4"/>
      <c r="WYA10" s="4"/>
      <c r="WYB10" s="4"/>
      <c r="WYE10" s="34"/>
      <c r="WYF10" s="34"/>
      <c r="WYH10" s="34"/>
      <c r="WYI10" s="72"/>
      <c r="WYJ10" s="63"/>
      <c r="WYK10" s="34"/>
      <c r="WYL10" s="64"/>
      <c r="WYM10" s="4"/>
      <c r="WYN10" s="65"/>
      <c r="WYO10" s="4"/>
      <c r="WYP10" s="4"/>
      <c r="WYQ10" s="4"/>
      <c r="WYT10" s="34"/>
      <c r="WYU10" s="34"/>
      <c r="WYW10" s="34"/>
      <c r="WYX10" s="72"/>
      <c r="WYY10" s="63"/>
      <c r="WYZ10" s="34"/>
      <c r="WZA10" s="64"/>
      <c r="WZB10" s="4"/>
      <c r="WZC10" s="65"/>
      <c r="WZD10" s="4"/>
      <c r="WZE10" s="4"/>
      <c r="WZF10" s="4"/>
      <c r="WZI10" s="34"/>
      <c r="WZJ10" s="34"/>
      <c r="WZL10" s="34"/>
      <c r="WZM10" s="72"/>
      <c r="WZN10" s="63"/>
      <c r="WZO10" s="34"/>
      <c r="WZP10" s="64"/>
      <c r="WZQ10" s="4"/>
      <c r="WZR10" s="65"/>
      <c r="WZS10" s="4"/>
      <c r="WZT10" s="4"/>
      <c r="WZU10" s="4"/>
      <c r="WZX10" s="34"/>
      <c r="WZY10" s="34"/>
      <c r="XAA10" s="34"/>
      <c r="XAB10" s="72"/>
      <c r="XAC10" s="63"/>
      <c r="XAD10" s="34"/>
      <c r="XAE10" s="64"/>
      <c r="XAF10" s="4"/>
      <c r="XAG10" s="65"/>
      <c r="XAH10" s="4"/>
      <c r="XAI10" s="4"/>
      <c r="XAJ10" s="4"/>
      <c r="XAM10" s="34"/>
      <c r="XAN10" s="34"/>
      <c r="XAP10" s="34"/>
      <c r="XAQ10" s="72"/>
      <c r="XAR10" s="63"/>
      <c r="XAS10" s="34"/>
      <c r="XAT10" s="64"/>
      <c r="XAU10" s="4"/>
      <c r="XAV10" s="65"/>
      <c r="XAW10" s="4"/>
      <c r="XAX10" s="4"/>
      <c r="XAY10" s="4"/>
      <c r="XBB10" s="34"/>
      <c r="XBC10" s="34"/>
      <c r="XBE10" s="34"/>
      <c r="XBF10" s="72"/>
      <c r="XBG10" s="63"/>
      <c r="XBH10" s="34"/>
      <c r="XBI10" s="64"/>
      <c r="XBJ10" s="4"/>
      <c r="XBK10" s="65"/>
      <c r="XBL10" s="4"/>
      <c r="XBM10" s="4"/>
      <c r="XBN10" s="4"/>
      <c r="XBQ10" s="34"/>
      <c r="XBR10" s="34"/>
      <c r="XBT10" s="34"/>
      <c r="XBU10" s="72"/>
      <c r="XBV10" s="63"/>
      <c r="XBW10" s="34"/>
      <c r="XBX10" s="64"/>
      <c r="XBY10" s="4"/>
      <c r="XBZ10" s="65"/>
      <c r="XCA10" s="4"/>
      <c r="XCB10" s="4"/>
      <c r="XCC10" s="4"/>
      <c r="XCF10" s="34"/>
      <c r="XCG10" s="34"/>
      <c r="XCI10" s="34"/>
      <c r="XCJ10" s="72"/>
      <c r="XCK10" s="63"/>
      <c r="XCL10" s="34"/>
      <c r="XCM10" s="64"/>
      <c r="XCN10" s="4"/>
      <c r="XCO10" s="65"/>
      <c r="XCP10" s="4"/>
      <c r="XCQ10" s="4"/>
      <c r="XCR10" s="4"/>
      <c r="XCU10" s="34"/>
      <c r="XCV10" s="34"/>
      <c r="XCX10" s="34"/>
      <c r="XCY10" s="72"/>
      <c r="XCZ10" s="63"/>
      <c r="XDA10" s="34"/>
      <c r="XDB10" s="64"/>
      <c r="XDC10" s="4"/>
      <c r="XDD10" s="65"/>
      <c r="XDE10" s="4"/>
      <c r="XDF10" s="4"/>
      <c r="XDG10" s="4"/>
      <c r="XDJ10" s="34"/>
      <c r="XDK10" s="34"/>
      <c r="XDM10" s="34"/>
      <c r="XDN10" s="72"/>
      <c r="XDO10" s="63"/>
      <c r="XDP10" s="34"/>
      <c r="XDQ10" s="64"/>
      <c r="XDR10" s="4"/>
      <c r="XDS10" s="65"/>
      <c r="XDT10" s="4"/>
      <c r="XDU10" s="4"/>
      <c r="XDV10" s="4"/>
      <c r="XDY10" s="34"/>
      <c r="XDZ10" s="34"/>
      <c r="XEB10" s="34"/>
      <c r="XEC10" s="72"/>
      <c r="XED10" s="63"/>
      <c r="XEE10" s="34"/>
      <c r="XEF10" s="64"/>
      <c r="XEG10" s="4"/>
      <c r="XEH10" s="65"/>
      <c r="XEI10" s="4"/>
      <c r="XEJ10" s="4"/>
      <c r="XEK10" s="4"/>
      <c r="XEN10" s="34"/>
      <c r="XEO10" s="34"/>
      <c r="XEQ10" s="34"/>
      <c r="XER10" s="72"/>
      <c r="XES10" s="63"/>
      <c r="XET10" s="34"/>
      <c r="XEU10" s="64"/>
      <c r="XEV10" s="4"/>
      <c r="XEW10" s="65"/>
      <c r="XEX10" s="4"/>
      <c r="XEY10" s="4"/>
      <c r="XEZ10" s="4"/>
      <c r="XFC10" s="34"/>
      <c r="XFD10" s="34"/>
    </row>
    <row r="11" spans="1:1024 1026:4095 4098:5119 5121:8190 8193:15360 15363:16384" x14ac:dyDescent="0.3">
      <c r="A11">
        <v>0</v>
      </c>
      <c r="B11">
        <v>0</v>
      </c>
      <c r="C11" s="34">
        <v>0.42032330030044834</v>
      </c>
      <c r="D11" s="34">
        <v>0.50235623897769222</v>
      </c>
      <c r="E11">
        <v>6</v>
      </c>
      <c r="F11" s="63">
        <v>1.9300000000000001E-3</v>
      </c>
      <c r="G11" s="90">
        <v>8.9983300300448321E-2</v>
      </c>
      <c r="H11" s="34">
        <v>7.894907786837474E-2</v>
      </c>
      <c r="I11" s="34">
        <v>0.58083832335329344</v>
      </c>
      <c r="J11" s="64">
        <v>0.6</v>
      </c>
      <c r="K11" s="4">
        <v>0.52941176470588236</v>
      </c>
      <c r="L11" s="65">
        <v>0.5625</v>
      </c>
      <c r="M11" s="4">
        <v>0.56521739130434778</v>
      </c>
      <c r="N11" s="4">
        <v>0.63414634146341464</v>
      </c>
      <c r="O11" s="4">
        <v>0.59770114942528729</v>
      </c>
      <c r="R11" s="34"/>
      <c r="S11" s="34"/>
      <c r="U11" s="34"/>
      <c r="V11" s="72"/>
      <c r="W11" s="63"/>
      <c r="X11" s="34"/>
      <c r="Y11" s="64"/>
      <c r="Z11" s="4"/>
      <c r="AA11" s="65"/>
      <c r="AB11" s="4"/>
      <c r="AC11" s="4"/>
      <c r="AD11" s="4"/>
      <c r="AG11" s="34"/>
      <c r="AH11" s="34"/>
      <c r="AJ11" s="34"/>
      <c r="AK11" s="72"/>
      <c r="AL11" s="63"/>
      <c r="AM11" s="34"/>
      <c r="AN11" s="64"/>
      <c r="AO11" s="4"/>
      <c r="AP11" s="65"/>
      <c r="AQ11" s="4"/>
      <c r="AR11" s="4"/>
      <c r="AS11" s="4"/>
      <c r="AV11" s="34"/>
      <c r="AW11" s="34"/>
      <c r="AY11" s="34"/>
      <c r="AZ11" s="72"/>
      <c r="BA11" s="63"/>
      <c r="BB11" s="34"/>
      <c r="BC11" s="64"/>
      <c r="BD11" s="4"/>
      <c r="BE11" s="65"/>
      <c r="BF11" s="4"/>
      <c r="BG11" s="4"/>
      <c r="BH11" s="4"/>
      <c r="BK11" s="34"/>
      <c r="BL11" s="34"/>
      <c r="BN11" s="34"/>
      <c r="BO11" s="72"/>
      <c r="BP11" s="63"/>
      <c r="BQ11" s="34"/>
      <c r="BR11" s="64"/>
      <c r="BS11" s="4"/>
      <c r="BT11" s="65"/>
      <c r="BU11" s="4"/>
      <c r="BV11" s="4"/>
      <c r="BW11" s="4"/>
      <c r="BZ11" s="34"/>
      <c r="CA11" s="34"/>
      <c r="CC11" s="34"/>
      <c r="CD11" s="72"/>
      <c r="CE11" s="63"/>
      <c r="CF11" s="34"/>
      <c r="CG11" s="64"/>
      <c r="CH11" s="4"/>
      <c r="CI11" s="65"/>
      <c r="CJ11" s="4"/>
      <c r="CK11" s="4"/>
      <c r="CL11" s="4"/>
      <c r="CO11" s="34"/>
      <c r="CP11" s="34"/>
      <c r="CR11" s="34"/>
      <c r="CS11" s="72"/>
      <c r="CT11" s="63"/>
      <c r="CU11" s="34"/>
      <c r="CV11" s="64"/>
      <c r="CW11" s="4"/>
      <c r="CX11" s="65"/>
      <c r="CY11" s="4"/>
      <c r="CZ11" s="4"/>
      <c r="DA11" s="4"/>
      <c r="DD11" s="34"/>
      <c r="DE11" s="34"/>
      <c r="DG11" s="34"/>
      <c r="DH11" s="72"/>
      <c r="DI11" s="63"/>
      <c r="DJ11" s="34"/>
      <c r="DK11" s="64"/>
      <c r="DL11" s="4"/>
      <c r="DM11" s="65"/>
      <c r="DN11" s="4"/>
      <c r="DO11" s="4"/>
      <c r="DP11" s="4"/>
      <c r="DS11" s="34"/>
      <c r="DT11" s="34"/>
      <c r="DV11" s="34"/>
      <c r="DW11" s="72"/>
      <c r="DX11" s="63"/>
      <c r="DY11" s="34"/>
      <c r="DZ11" s="64"/>
      <c r="EA11" s="4"/>
      <c r="EB11" s="65"/>
      <c r="EC11" s="4"/>
      <c r="ED11" s="4"/>
      <c r="EE11" s="4"/>
      <c r="EH11" s="34"/>
      <c r="EI11" s="34"/>
      <c r="EK11" s="34"/>
      <c r="EL11" s="72"/>
      <c r="EM11" s="63"/>
      <c r="EN11" s="34"/>
      <c r="EO11" s="64"/>
      <c r="EP11" s="4"/>
      <c r="EQ11" s="65"/>
      <c r="ER11" s="4"/>
      <c r="ES11" s="4"/>
      <c r="ET11" s="4"/>
      <c r="EW11" s="34"/>
      <c r="EX11" s="34"/>
      <c r="EZ11" s="34"/>
      <c r="FA11" s="72"/>
      <c r="FB11" s="63"/>
      <c r="FC11" s="34"/>
      <c r="FD11" s="64"/>
      <c r="FE11" s="4"/>
      <c r="FF11" s="65"/>
      <c r="FG11" s="4"/>
      <c r="FH11" s="4"/>
      <c r="FI11" s="4"/>
      <c r="FL11" s="34"/>
      <c r="FM11" s="34"/>
      <c r="FO11" s="34"/>
      <c r="FP11" s="72"/>
      <c r="FQ11" s="63"/>
      <c r="FR11" s="34"/>
      <c r="FS11" s="64"/>
      <c r="FT11" s="4"/>
      <c r="FU11" s="65"/>
      <c r="FV11" s="4"/>
      <c r="FW11" s="4"/>
      <c r="FX11" s="4"/>
      <c r="GA11" s="34"/>
      <c r="GB11" s="34"/>
      <c r="GD11" s="34"/>
      <c r="GE11" s="72"/>
      <c r="GF11" s="63"/>
      <c r="GG11" s="34"/>
      <c r="GH11" s="64"/>
      <c r="GI11" s="4"/>
      <c r="GJ11" s="65"/>
      <c r="GK11" s="4"/>
      <c r="GL11" s="4"/>
      <c r="GM11" s="4"/>
      <c r="GP11" s="34"/>
      <c r="GQ11" s="34"/>
      <c r="GS11" s="34"/>
      <c r="GT11" s="72"/>
      <c r="GU11" s="63"/>
      <c r="GV11" s="34"/>
      <c r="GW11" s="64"/>
      <c r="GX11" s="4"/>
      <c r="GY11" s="65"/>
      <c r="GZ11" s="4"/>
      <c r="HA11" s="4"/>
      <c r="HB11" s="4"/>
      <c r="HE11" s="34"/>
      <c r="HF11" s="34"/>
      <c r="HH11" s="34"/>
      <c r="HI11" s="72"/>
      <c r="HJ11" s="63"/>
      <c r="HK11" s="34"/>
      <c r="HL11" s="64"/>
      <c r="HM11" s="4"/>
      <c r="HN11" s="65"/>
      <c r="HO11" s="4"/>
      <c r="HP11" s="4"/>
      <c r="HQ11" s="4"/>
      <c r="HT11" s="34"/>
      <c r="HU11" s="34"/>
      <c r="HW11" s="34"/>
      <c r="HX11" s="72"/>
      <c r="HY11" s="63"/>
      <c r="HZ11" s="34"/>
      <c r="IA11" s="64"/>
      <c r="IB11" s="4"/>
      <c r="IC11" s="65"/>
      <c r="ID11" s="4"/>
      <c r="IE11" s="4"/>
      <c r="IF11" s="4"/>
      <c r="II11" s="34"/>
      <c r="IJ11" s="34"/>
      <c r="IL11" s="34"/>
      <c r="IM11" s="72"/>
      <c r="IN11" s="63"/>
      <c r="IO11" s="34"/>
      <c r="IP11" s="64"/>
      <c r="IQ11" s="4"/>
      <c r="IR11" s="65"/>
      <c r="IS11" s="4"/>
      <c r="IT11" s="4"/>
      <c r="IU11" s="4"/>
      <c r="IX11" s="34"/>
      <c r="IY11" s="34"/>
      <c r="JA11" s="34"/>
      <c r="JB11" s="72"/>
      <c r="JC11" s="63"/>
      <c r="JD11" s="34"/>
      <c r="JE11" s="64"/>
      <c r="JF11" s="4"/>
      <c r="JG11" s="65"/>
      <c r="JH11" s="4"/>
      <c r="JI11" s="4"/>
      <c r="JJ11" s="4"/>
      <c r="JM11" s="34"/>
      <c r="JN11" s="34"/>
      <c r="JP11" s="34"/>
      <c r="JQ11" s="72"/>
      <c r="JR11" s="63"/>
      <c r="JS11" s="34"/>
      <c r="JT11" s="64"/>
      <c r="JU11" s="4"/>
      <c r="JV11" s="65"/>
      <c r="JW11" s="4"/>
      <c r="JX11" s="4"/>
      <c r="JY11" s="4"/>
      <c r="KB11" s="34"/>
      <c r="KC11" s="34"/>
      <c r="KE11" s="34"/>
      <c r="KF11" s="72"/>
      <c r="KG11" s="63"/>
      <c r="KH11" s="34"/>
      <c r="KI11" s="64"/>
      <c r="KJ11" s="4"/>
      <c r="KK11" s="65"/>
      <c r="KL11" s="4"/>
      <c r="KM11" s="4"/>
      <c r="KN11" s="4"/>
      <c r="KQ11" s="34"/>
      <c r="KR11" s="34"/>
      <c r="KT11" s="34"/>
      <c r="KU11" s="72"/>
      <c r="KV11" s="63"/>
      <c r="KW11" s="34"/>
      <c r="KX11" s="64"/>
      <c r="KY11" s="4"/>
      <c r="KZ11" s="65"/>
      <c r="LA11" s="4"/>
      <c r="LB11" s="4"/>
      <c r="LC11" s="4"/>
      <c r="LF11" s="34"/>
      <c r="LG11" s="34"/>
      <c r="LI11" s="34"/>
      <c r="LJ11" s="72"/>
      <c r="LK11" s="63"/>
      <c r="LL11" s="34"/>
      <c r="LM11" s="64"/>
      <c r="LN11" s="4"/>
      <c r="LO11" s="65"/>
      <c r="LP11" s="4"/>
      <c r="LQ11" s="4"/>
      <c r="LR11" s="4"/>
      <c r="LU11" s="34"/>
      <c r="LV11" s="34"/>
      <c r="LX11" s="34"/>
      <c r="LY11" s="72"/>
      <c r="LZ11" s="63"/>
      <c r="MA11" s="34"/>
      <c r="MB11" s="64"/>
      <c r="MC11" s="4"/>
      <c r="MD11" s="65"/>
      <c r="ME11" s="4"/>
      <c r="MF11" s="4"/>
      <c r="MG11" s="4"/>
      <c r="MJ11" s="34"/>
      <c r="MK11" s="34"/>
      <c r="MM11" s="34"/>
      <c r="MN11" s="72"/>
      <c r="MO11" s="63"/>
      <c r="MP11" s="34"/>
      <c r="MQ11" s="64"/>
      <c r="MR11" s="4"/>
      <c r="MS11" s="65"/>
      <c r="MT11" s="4"/>
      <c r="MU11" s="4"/>
      <c r="MV11" s="4"/>
      <c r="MY11" s="34"/>
      <c r="MZ11" s="34"/>
      <c r="NB11" s="34"/>
      <c r="NC11" s="72"/>
      <c r="ND11" s="63"/>
      <c r="NE11" s="34"/>
      <c r="NF11" s="64"/>
      <c r="NG11" s="4"/>
      <c r="NH11" s="65"/>
      <c r="NI11" s="4"/>
      <c r="NJ11" s="4"/>
      <c r="NK11" s="4"/>
      <c r="NN11" s="34"/>
      <c r="NO11" s="34"/>
      <c r="NQ11" s="34"/>
      <c r="NR11" s="72"/>
      <c r="NS11" s="63"/>
      <c r="NT11" s="34"/>
      <c r="NU11" s="64"/>
      <c r="NV11" s="4"/>
      <c r="NW11" s="65"/>
      <c r="NX11" s="4"/>
      <c r="NY11" s="4"/>
      <c r="NZ11" s="4"/>
      <c r="OC11" s="34"/>
      <c r="OD11" s="34"/>
      <c r="OF11" s="34"/>
      <c r="OG11" s="72"/>
      <c r="OH11" s="63"/>
      <c r="OI11" s="34"/>
      <c r="OJ11" s="64"/>
      <c r="OK11" s="4"/>
      <c r="OL11" s="65"/>
      <c r="OM11" s="4"/>
      <c r="ON11" s="4"/>
      <c r="OO11" s="4"/>
      <c r="OR11" s="34"/>
      <c r="OS11" s="34"/>
      <c r="OU11" s="34"/>
      <c r="OV11" s="72"/>
      <c r="OW11" s="63"/>
      <c r="OX11" s="34"/>
      <c r="OY11" s="64"/>
      <c r="OZ11" s="4"/>
      <c r="PA11" s="65"/>
      <c r="PB11" s="4"/>
      <c r="PC11" s="4"/>
      <c r="PD11" s="4"/>
      <c r="PG11" s="34"/>
      <c r="PH11" s="34"/>
      <c r="PJ11" s="34"/>
      <c r="PK11" s="72"/>
      <c r="PL11" s="63"/>
      <c r="PM11" s="34"/>
      <c r="PN11" s="64"/>
      <c r="PO11" s="4"/>
      <c r="PP11" s="65"/>
      <c r="PQ11" s="4"/>
      <c r="PR11" s="4"/>
      <c r="PS11" s="4"/>
      <c r="PV11" s="34"/>
      <c r="PW11" s="34"/>
      <c r="PY11" s="34"/>
      <c r="PZ11" s="72"/>
      <c r="QA11" s="63"/>
      <c r="QB11" s="34"/>
      <c r="QC11" s="64"/>
      <c r="QD11" s="4"/>
      <c r="QE11" s="65"/>
      <c r="QF11" s="4"/>
      <c r="QG11" s="4"/>
      <c r="QH11" s="4"/>
      <c r="QK11" s="34"/>
      <c r="QL11" s="34"/>
      <c r="QN11" s="34"/>
      <c r="QO11" s="72"/>
      <c r="QP11" s="63"/>
      <c r="QQ11" s="34"/>
      <c r="QR11" s="64"/>
      <c r="QS11" s="4"/>
      <c r="QT11" s="65"/>
      <c r="QU11" s="4"/>
      <c r="QV11" s="4"/>
      <c r="QW11" s="4"/>
      <c r="QZ11" s="34"/>
      <c r="RA11" s="34"/>
      <c r="RC11" s="34"/>
      <c r="RD11" s="72"/>
      <c r="RE11" s="63"/>
      <c r="RF11" s="34"/>
      <c r="RG11" s="64"/>
      <c r="RH11" s="4"/>
      <c r="RI11" s="65"/>
      <c r="RJ11" s="4"/>
      <c r="RK11" s="4"/>
      <c r="RL11" s="4"/>
      <c r="RO11" s="34"/>
      <c r="RP11" s="34"/>
      <c r="RR11" s="34"/>
      <c r="RS11" s="72"/>
      <c r="RT11" s="63"/>
      <c r="RU11" s="34"/>
      <c r="RV11" s="64"/>
      <c r="RW11" s="4"/>
      <c r="RX11" s="65"/>
      <c r="RY11" s="4"/>
      <c r="RZ11" s="4"/>
      <c r="SA11" s="4"/>
      <c r="SD11" s="34"/>
      <c r="SE11" s="34"/>
      <c r="SG11" s="34"/>
      <c r="SH11" s="72"/>
      <c r="SI11" s="63"/>
      <c r="SJ11" s="34"/>
      <c r="SK11" s="64"/>
      <c r="SL11" s="4"/>
      <c r="SM11" s="65"/>
      <c r="SN11" s="4"/>
      <c r="SO11" s="4"/>
      <c r="SP11" s="4"/>
      <c r="SS11" s="34"/>
      <c r="ST11" s="34"/>
      <c r="SV11" s="34"/>
      <c r="SW11" s="72"/>
      <c r="SX11" s="63"/>
      <c r="SY11" s="34"/>
      <c r="SZ11" s="64"/>
      <c r="TA11" s="4"/>
      <c r="TB11" s="65"/>
      <c r="TC11" s="4"/>
      <c r="TD11" s="4"/>
      <c r="TE11" s="4"/>
      <c r="TH11" s="34"/>
      <c r="TI11" s="34"/>
      <c r="TK11" s="34"/>
      <c r="TL11" s="72"/>
      <c r="TM11" s="63"/>
      <c r="TN11" s="34"/>
      <c r="TO11" s="64"/>
      <c r="TP11" s="4"/>
      <c r="TQ11" s="65"/>
      <c r="TR11" s="4"/>
      <c r="TS11" s="4"/>
      <c r="TT11" s="4"/>
      <c r="TW11" s="34"/>
      <c r="TX11" s="34"/>
      <c r="TZ11" s="34"/>
      <c r="UA11" s="72"/>
      <c r="UB11" s="63"/>
      <c r="UC11" s="34"/>
      <c r="UD11" s="64"/>
      <c r="UE11" s="4"/>
      <c r="UF11" s="65"/>
      <c r="UG11" s="4"/>
      <c r="UH11" s="4"/>
      <c r="UI11" s="4"/>
      <c r="UL11" s="34"/>
      <c r="UM11" s="34"/>
      <c r="UO11" s="34"/>
      <c r="UP11" s="72"/>
      <c r="UQ11" s="63"/>
      <c r="UR11" s="34"/>
      <c r="US11" s="64"/>
      <c r="UT11" s="4"/>
      <c r="UU11" s="65"/>
      <c r="UV11" s="4"/>
      <c r="UW11" s="4"/>
      <c r="UX11" s="4"/>
      <c r="VA11" s="34"/>
      <c r="VB11" s="34"/>
      <c r="VD11" s="34"/>
      <c r="VE11" s="72"/>
      <c r="VF11" s="63"/>
      <c r="VG11" s="34"/>
      <c r="VH11" s="64"/>
      <c r="VI11" s="4"/>
      <c r="VJ11" s="65"/>
      <c r="VK11" s="4"/>
      <c r="VL11" s="4"/>
      <c r="VM11" s="4"/>
      <c r="VP11" s="34"/>
      <c r="VQ11" s="34"/>
      <c r="VS11" s="34"/>
      <c r="VT11" s="72"/>
      <c r="VU11" s="63"/>
      <c r="VV11" s="34"/>
      <c r="VW11" s="64"/>
      <c r="VX11" s="4"/>
      <c r="VY11" s="65"/>
      <c r="VZ11" s="4"/>
      <c r="WA11" s="4"/>
      <c r="WB11" s="4"/>
      <c r="WE11" s="34"/>
      <c r="WF11" s="34"/>
      <c r="WH11" s="34"/>
      <c r="WI11" s="72"/>
      <c r="WJ11" s="63"/>
      <c r="WK11" s="34"/>
      <c r="WL11" s="64"/>
      <c r="WM11" s="4"/>
      <c r="WN11" s="65"/>
      <c r="WO11" s="4"/>
      <c r="WP11" s="4"/>
      <c r="WQ11" s="4"/>
      <c r="WT11" s="34"/>
      <c r="WU11" s="34"/>
      <c r="WW11" s="34"/>
      <c r="WX11" s="72"/>
      <c r="WY11" s="63"/>
      <c r="WZ11" s="34"/>
      <c r="XA11" s="64"/>
      <c r="XB11" s="4"/>
      <c r="XC11" s="65"/>
      <c r="XD11" s="4"/>
      <c r="XE11" s="4"/>
      <c r="XF11" s="4"/>
      <c r="XI11" s="34"/>
      <c r="XJ11" s="34"/>
      <c r="XL11" s="34"/>
      <c r="XM11" s="72"/>
      <c r="XN11" s="63"/>
      <c r="XO11" s="34"/>
      <c r="XP11" s="64"/>
      <c r="XQ11" s="4"/>
      <c r="XR11" s="65"/>
      <c r="XS11" s="4"/>
      <c r="XT11" s="4"/>
      <c r="XU11" s="4"/>
      <c r="XX11" s="34"/>
      <c r="XY11" s="34"/>
      <c r="YA11" s="34"/>
      <c r="YB11" s="72"/>
      <c r="YC11" s="63"/>
      <c r="YD11" s="34"/>
      <c r="YE11" s="64"/>
      <c r="YF11" s="4"/>
      <c r="YG11" s="65"/>
      <c r="YH11" s="4"/>
      <c r="YI11" s="4"/>
      <c r="YJ11" s="4"/>
      <c r="YM11" s="34"/>
      <c r="YN11" s="34"/>
      <c r="YP11" s="34"/>
      <c r="YQ11" s="72"/>
      <c r="YR11" s="63"/>
      <c r="YS11" s="34"/>
      <c r="YT11" s="64"/>
      <c r="YU11" s="4"/>
      <c r="YV11" s="65"/>
      <c r="YW11" s="4"/>
      <c r="YX11" s="4"/>
      <c r="YY11" s="4"/>
      <c r="ZB11" s="34"/>
      <c r="ZC11" s="34"/>
      <c r="ZE11" s="34"/>
      <c r="ZF11" s="72"/>
      <c r="ZG11" s="63"/>
      <c r="ZH11" s="34"/>
      <c r="ZI11" s="64"/>
      <c r="ZJ11" s="4"/>
      <c r="ZK11" s="65"/>
      <c r="ZL11" s="4"/>
      <c r="ZM11" s="4"/>
      <c r="ZN11" s="4"/>
      <c r="ZQ11" s="34"/>
      <c r="ZR11" s="34"/>
      <c r="ZT11" s="34"/>
      <c r="ZU11" s="72"/>
      <c r="ZV11" s="63"/>
      <c r="ZW11" s="34"/>
      <c r="ZX11" s="64"/>
      <c r="ZY11" s="4"/>
      <c r="ZZ11" s="65"/>
      <c r="AAA11" s="4"/>
      <c r="AAB11" s="4"/>
      <c r="AAC11" s="4"/>
      <c r="AAF11" s="34"/>
      <c r="AAG11" s="34"/>
      <c r="AAI11" s="34"/>
      <c r="AAJ11" s="72"/>
      <c r="AAK11" s="63"/>
      <c r="AAL11" s="34"/>
      <c r="AAM11" s="64"/>
      <c r="AAN11" s="4"/>
      <c r="AAO11" s="65"/>
      <c r="AAP11" s="4"/>
      <c r="AAQ11" s="4"/>
      <c r="AAR11" s="4"/>
      <c r="AAU11" s="34"/>
      <c r="AAV11" s="34"/>
      <c r="AAX11" s="34"/>
      <c r="AAY11" s="72"/>
      <c r="AAZ11" s="63"/>
      <c r="ABA11" s="34"/>
      <c r="ABB11" s="64"/>
      <c r="ABC11" s="4"/>
      <c r="ABD11" s="65"/>
      <c r="ABE11" s="4"/>
      <c r="ABF11" s="4"/>
      <c r="ABG11" s="4"/>
      <c r="ABJ11" s="34"/>
      <c r="ABK11" s="34"/>
      <c r="ABM11" s="34"/>
      <c r="ABN11" s="72"/>
      <c r="ABO11" s="63"/>
      <c r="ABP11" s="34"/>
      <c r="ABQ11" s="64"/>
      <c r="ABR11" s="4"/>
      <c r="ABS11" s="65"/>
      <c r="ABT11" s="4"/>
      <c r="ABU11" s="4"/>
      <c r="ABV11" s="4"/>
      <c r="ABY11" s="34"/>
      <c r="ABZ11" s="34"/>
      <c r="ACB11" s="34"/>
      <c r="ACC11" s="72"/>
      <c r="ACD11" s="63"/>
      <c r="ACE11" s="34"/>
      <c r="ACF11" s="64"/>
      <c r="ACG11" s="4"/>
      <c r="ACH11" s="65"/>
      <c r="ACI11" s="4"/>
      <c r="ACJ11" s="4"/>
      <c r="ACK11" s="4"/>
      <c r="ACN11" s="34"/>
      <c r="ACO11" s="34"/>
      <c r="ACQ11" s="34"/>
      <c r="ACR11" s="72"/>
      <c r="ACS11" s="63"/>
      <c r="ACT11" s="34"/>
      <c r="ACU11" s="64"/>
      <c r="ACV11" s="4"/>
      <c r="ACW11" s="65"/>
      <c r="ACX11" s="4"/>
      <c r="ACY11" s="4"/>
      <c r="ACZ11" s="4"/>
      <c r="ADC11" s="34"/>
      <c r="ADD11" s="34"/>
      <c r="ADF11" s="34"/>
      <c r="ADG11" s="72"/>
      <c r="ADH11" s="63"/>
      <c r="ADI11" s="34"/>
      <c r="ADJ11" s="64"/>
      <c r="ADK11" s="4"/>
      <c r="ADL11" s="65"/>
      <c r="ADM11" s="4"/>
      <c r="ADN11" s="4"/>
      <c r="ADO11" s="4"/>
      <c r="ADR11" s="34"/>
      <c r="ADS11" s="34"/>
      <c r="ADU11" s="34"/>
      <c r="ADV11" s="72"/>
      <c r="ADW11" s="63"/>
      <c r="ADX11" s="34"/>
      <c r="ADY11" s="64"/>
      <c r="ADZ11" s="4"/>
      <c r="AEA11" s="65"/>
      <c r="AEB11" s="4"/>
      <c r="AEC11" s="4"/>
      <c r="AED11" s="4"/>
      <c r="AEG11" s="34"/>
      <c r="AEH11" s="34"/>
      <c r="AEJ11" s="34"/>
      <c r="AEK11" s="72"/>
      <c r="AEL11" s="63"/>
      <c r="AEM11" s="34"/>
      <c r="AEN11" s="64"/>
      <c r="AEO11" s="4"/>
      <c r="AEP11" s="65"/>
      <c r="AEQ11" s="4"/>
      <c r="AER11" s="4"/>
      <c r="AES11" s="4"/>
      <c r="AEV11" s="34"/>
      <c r="AEW11" s="34"/>
      <c r="AEY11" s="34"/>
      <c r="AEZ11" s="72"/>
      <c r="AFA11" s="63"/>
      <c r="AFB11" s="34"/>
      <c r="AFC11" s="64"/>
      <c r="AFD11" s="4"/>
      <c r="AFE11" s="65"/>
      <c r="AFF11" s="4"/>
      <c r="AFG11" s="4"/>
      <c r="AFH11" s="4"/>
      <c r="AFK11" s="34"/>
      <c r="AFL11" s="34"/>
      <c r="AFN11" s="34"/>
      <c r="AFO11" s="72"/>
      <c r="AFP11" s="63"/>
      <c r="AFQ11" s="34"/>
      <c r="AFR11" s="64"/>
      <c r="AFS11" s="4"/>
      <c r="AFT11" s="65"/>
      <c r="AFU11" s="4"/>
      <c r="AFV11" s="4"/>
      <c r="AFW11" s="4"/>
      <c r="AFZ11" s="34"/>
      <c r="AGA11" s="34"/>
      <c r="AGC11" s="34"/>
      <c r="AGD11" s="72"/>
      <c r="AGE11" s="63"/>
      <c r="AGF11" s="34"/>
      <c r="AGG11" s="64"/>
      <c r="AGH11" s="4"/>
      <c r="AGI11" s="65"/>
      <c r="AGJ11" s="4"/>
      <c r="AGK11" s="4"/>
      <c r="AGL11" s="4"/>
      <c r="AGO11" s="34"/>
      <c r="AGP11" s="34"/>
      <c r="AGR11" s="34"/>
      <c r="AGS11" s="72"/>
      <c r="AGT11" s="63"/>
      <c r="AGU11" s="34"/>
      <c r="AGV11" s="64"/>
      <c r="AGW11" s="4"/>
      <c r="AGX11" s="65"/>
      <c r="AGY11" s="4"/>
      <c r="AGZ11" s="4"/>
      <c r="AHA11" s="4"/>
      <c r="AHD11" s="34"/>
      <c r="AHE11" s="34"/>
      <c r="AHG11" s="34"/>
      <c r="AHH11" s="72"/>
      <c r="AHI11" s="63"/>
      <c r="AHJ11" s="34"/>
      <c r="AHK11" s="64"/>
      <c r="AHL11" s="4"/>
      <c r="AHM11" s="65"/>
      <c r="AHN11" s="4"/>
      <c r="AHO11" s="4"/>
      <c r="AHP11" s="4"/>
      <c r="AHS11" s="34"/>
      <c r="AHT11" s="34"/>
      <c r="AHV11" s="34"/>
      <c r="AHW11" s="72"/>
      <c r="AHX11" s="63"/>
      <c r="AHY11" s="34"/>
      <c r="AHZ11" s="64"/>
      <c r="AIA11" s="4"/>
      <c r="AIB11" s="65"/>
      <c r="AIC11" s="4"/>
      <c r="AID11" s="4"/>
      <c r="AIE11" s="4"/>
      <c r="AIH11" s="34"/>
      <c r="AII11" s="34"/>
      <c r="AIK11" s="34"/>
      <c r="AIL11" s="72"/>
      <c r="AIM11" s="63"/>
      <c r="AIN11" s="34"/>
      <c r="AIO11" s="64"/>
      <c r="AIP11" s="4"/>
      <c r="AIQ11" s="65"/>
      <c r="AIR11" s="4"/>
      <c r="AIS11" s="4"/>
      <c r="AIT11" s="4"/>
      <c r="AIW11" s="34"/>
      <c r="AIX11" s="34"/>
      <c r="AIZ11" s="34"/>
      <c r="AJA11" s="72"/>
      <c r="AJB11" s="63"/>
      <c r="AJC11" s="34"/>
      <c r="AJD11" s="64"/>
      <c r="AJE11" s="4"/>
      <c r="AJF11" s="65"/>
      <c r="AJG11" s="4"/>
      <c r="AJH11" s="4"/>
      <c r="AJI11" s="4"/>
      <c r="AJL11" s="34"/>
      <c r="AJM11" s="34"/>
      <c r="AJO11" s="34"/>
      <c r="AJP11" s="72"/>
      <c r="AJQ11" s="63"/>
      <c r="AJR11" s="34"/>
      <c r="AJS11" s="64"/>
      <c r="AJT11" s="4"/>
      <c r="AJU11" s="65"/>
      <c r="AJV11" s="4"/>
      <c r="AJW11" s="4"/>
      <c r="AJX11" s="4"/>
      <c r="AKA11" s="34"/>
      <c r="AKB11" s="34"/>
      <c r="AKD11" s="34"/>
      <c r="AKE11" s="72"/>
      <c r="AKF11" s="63"/>
      <c r="AKG11" s="34"/>
      <c r="AKH11" s="64"/>
      <c r="AKI11" s="4"/>
      <c r="AKJ11" s="65"/>
      <c r="AKK11" s="4"/>
      <c r="AKL11" s="4"/>
      <c r="AKM11" s="4"/>
      <c r="AKP11" s="34"/>
      <c r="AKQ11" s="34"/>
      <c r="AKS11" s="34"/>
      <c r="AKT11" s="72"/>
      <c r="AKU11" s="63"/>
      <c r="AKV11" s="34"/>
      <c r="AKW11" s="64"/>
      <c r="AKX11" s="4"/>
      <c r="AKY11" s="65"/>
      <c r="AKZ11" s="4"/>
      <c r="ALA11" s="4"/>
      <c r="ALB11" s="4"/>
      <c r="ALE11" s="34"/>
      <c r="ALF11" s="34"/>
      <c r="ALH11" s="34"/>
      <c r="ALI11" s="72"/>
      <c r="ALJ11" s="63"/>
      <c r="ALK11" s="34"/>
      <c r="ALL11" s="64"/>
      <c r="ALM11" s="4"/>
      <c r="ALN11" s="65"/>
      <c r="ALO11" s="4"/>
      <c r="ALP11" s="4"/>
      <c r="ALQ11" s="4"/>
      <c r="ALT11" s="34"/>
      <c r="ALU11" s="34"/>
      <c r="ALW11" s="34"/>
      <c r="ALX11" s="72"/>
      <c r="ALY11" s="63"/>
      <c r="ALZ11" s="34"/>
      <c r="AMA11" s="64"/>
      <c r="AMB11" s="4"/>
      <c r="AMC11" s="65"/>
      <c r="AMD11" s="4"/>
      <c r="AME11" s="4"/>
      <c r="AMF11" s="4"/>
      <c r="AMI11" s="34"/>
      <c r="AMJ11" s="34"/>
      <c r="AML11" s="34"/>
      <c r="AMM11" s="72"/>
      <c r="AMN11" s="63"/>
      <c r="AMO11" s="34"/>
      <c r="AMP11" s="64"/>
      <c r="AMQ11" s="4"/>
      <c r="AMR11" s="65"/>
      <c r="AMS11" s="4"/>
      <c r="AMT11" s="4"/>
      <c r="AMU11" s="4"/>
      <c r="AMX11" s="34"/>
      <c r="AMY11" s="34"/>
      <c r="ANA11" s="34"/>
      <c r="ANB11" s="72"/>
      <c r="ANC11" s="63"/>
      <c r="AND11" s="34"/>
      <c r="ANE11" s="64"/>
      <c r="ANF11" s="4"/>
      <c r="ANG11" s="65"/>
      <c r="ANH11" s="4"/>
      <c r="ANI11" s="4"/>
      <c r="ANJ11" s="4"/>
      <c r="ANM11" s="34"/>
      <c r="ANN11" s="34"/>
      <c r="ANP11" s="34"/>
      <c r="ANQ11" s="72"/>
      <c r="ANR11" s="63"/>
      <c r="ANS11" s="34"/>
      <c r="ANT11" s="64"/>
      <c r="ANU11" s="4"/>
      <c r="ANV11" s="65"/>
      <c r="ANW11" s="4"/>
      <c r="ANX11" s="4"/>
      <c r="ANY11" s="4"/>
      <c r="AOB11" s="34"/>
      <c r="AOC11" s="34"/>
      <c r="AOE11" s="34"/>
      <c r="AOF11" s="72"/>
      <c r="AOG11" s="63"/>
      <c r="AOH11" s="34"/>
      <c r="AOI11" s="64"/>
      <c r="AOJ11" s="4"/>
      <c r="AOK11" s="65"/>
      <c r="AOL11" s="4"/>
      <c r="AOM11" s="4"/>
      <c r="AON11" s="4"/>
      <c r="AOQ11" s="34"/>
      <c r="AOR11" s="34"/>
      <c r="AOT11" s="34"/>
      <c r="AOU11" s="72"/>
      <c r="AOV11" s="63"/>
      <c r="AOW11" s="34"/>
      <c r="AOX11" s="64"/>
      <c r="AOY11" s="4"/>
      <c r="AOZ11" s="65"/>
      <c r="APA11" s="4"/>
      <c r="APB11" s="4"/>
      <c r="APC11" s="4"/>
      <c r="APF11" s="34"/>
      <c r="APG11" s="34"/>
      <c r="API11" s="34"/>
      <c r="APJ11" s="72"/>
      <c r="APK11" s="63"/>
      <c r="APL11" s="34"/>
      <c r="APM11" s="64"/>
      <c r="APN11" s="4"/>
      <c r="APO11" s="65"/>
      <c r="APP11" s="4"/>
      <c r="APQ11" s="4"/>
      <c r="APR11" s="4"/>
      <c r="APU11" s="34"/>
      <c r="APV11" s="34"/>
      <c r="APX11" s="34"/>
      <c r="APY11" s="72"/>
      <c r="APZ11" s="63"/>
      <c r="AQA11" s="34"/>
      <c r="AQB11" s="64"/>
      <c r="AQC11" s="4"/>
      <c r="AQD11" s="65"/>
      <c r="AQE11" s="4"/>
      <c r="AQF11" s="4"/>
      <c r="AQG11" s="4"/>
      <c r="AQJ11" s="34"/>
      <c r="AQK11" s="34"/>
      <c r="AQM11" s="34"/>
      <c r="AQN11" s="72"/>
      <c r="AQO11" s="63"/>
      <c r="AQP11" s="34"/>
      <c r="AQQ11" s="64"/>
      <c r="AQR11" s="4"/>
      <c r="AQS11" s="65"/>
      <c r="AQT11" s="4"/>
      <c r="AQU11" s="4"/>
      <c r="AQV11" s="4"/>
      <c r="AQY11" s="34"/>
      <c r="AQZ11" s="34"/>
      <c r="ARB11" s="34"/>
      <c r="ARC11" s="72"/>
      <c r="ARD11" s="63"/>
      <c r="ARE11" s="34"/>
      <c r="ARF11" s="64"/>
      <c r="ARG11" s="4"/>
      <c r="ARH11" s="65"/>
      <c r="ARI11" s="4"/>
      <c r="ARJ11" s="4"/>
      <c r="ARK11" s="4"/>
      <c r="ARN11" s="34"/>
      <c r="ARO11" s="34"/>
      <c r="ARQ11" s="34"/>
      <c r="ARR11" s="72"/>
      <c r="ARS11" s="63"/>
      <c r="ART11" s="34"/>
      <c r="ARU11" s="64"/>
      <c r="ARV11" s="4"/>
      <c r="ARW11" s="65"/>
      <c r="ARX11" s="4"/>
      <c r="ARY11" s="4"/>
      <c r="ARZ11" s="4"/>
      <c r="ASC11" s="34"/>
      <c r="ASD11" s="34"/>
      <c r="ASF11" s="34"/>
      <c r="ASG11" s="72"/>
      <c r="ASH11" s="63"/>
      <c r="ASI11" s="34"/>
      <c r="ASJ11" s="64"/>
      <c r="ASK11" s="4"/>
      <c r="ASL11" s="65"/>
      <c r="ASM11" s="4"/>
      <c r="ASN11" s="4"/>
      <c r="ASO11" s="4"/>
      <c r="ASR11" s="34"/>
      <c r="ASS11" s="34"/>
      <c r="ASU11" s="34"/>
      <c r="ASV11" s="72"/>
      <c r="ASW11" s="63"/>
      <c r="ASX11" s="34"/>
      <c r="ASY11" s="64"/>
      <c r="ASZ11" s="4"/>
      <c r="ATA11" s="65"/>
      <c r="ATB11" s="4"/>
      <c r="ATC11" s="4"/>
      <c r="ATD11" s="4"/>
      <c r="ATG11" s="34"/>
      <c r="ATH11" s="34"/>
      <c r="ATJ11" s="34"/>
      <c r="ATK11" s="72"/>
      <c r="ATL11" s="63"/>
      <c r="ATM11" s="34"/>
      <c r="ATN11" s="64"/>
      <c r="ATO11" s="4"/>
      <c r="ATP11" s="65"/>
      <c r="ATQ11" s="4"/>
      <c r="ATR11" s="4"/>
      <c r="ATS11" s="4"/>
      <c r="ATV11" s="34"/>
      <c r="ATW11" s="34"/>
      <c r="ATY11" s="34"/>
      <c r="ATZ11" s="72"/>
      <c r="AUA11" s="63"/>
      <c r="AUB11" s="34"/>
      <c r="AUC11" s="64"/>
      <c r="AUD11" s="4"/>
      <c r="AUE11" s="65"/>
      <c r="AUF11" s="4"/>
      <c r="AUG11" s="4"/>
      <c r="AUH11" s="4"/>
      <c r="AUK11" s="34"/>
      <c r="AUL11" s="34"/>
      <c r="AUN11" s="34"/>
      <c r="AUO11" s="72"/>
      <c r="AUP11" s="63"/>
      <c r="AUQ11" s="34"/>
      <c r="AUR11" s="64"/>
      <c r="AUS11" s="4"/>
      <c r="AUT11" s="65"/>
      <c r="AUU11" s="4"/>
      <c r="AUV11" s="4"/>
      <c r="AUW11" s="4"/>
      <c r="AUZ11" s="34"/>
      <c r="AVA11" s="34"/>
      <c r="AVC11" s="34"/>
      <c r="AVD11" s="72"/>
      <c r="AVE11" s="63"/>
      <c r="AVF11" s="34"/>
      <c r="AVG11" s="64"/>
      <c r="AVH11" s="4"/>
      <c r="AVI11" s="65"/>
      <c r="AVJ11" s="4"/>
      <c r="AVK11" s="4"/>
      <c r="AVL11" s="4"/>
      <c r="AVO11" s="34"/>
      <c r="AVP11" s="34"/>
      <c r="AVR11" s="34"/>
      <c r="AVS11" s="72"/>
      <c r="AVT11" s="63"/>
      <c r="AVU11" s="34"/>
      <c r="AVV11" s="64"/>
      <c r="AVW11" s="4"/>
      <c r="AVX11" s="65"/>
      <c r="AVY11" s="4"/>
      <c r="AVZ11" s="4"/>
      <c r="AWA11" s="4"/>
      <c r="AWD11" s="34"/>
      <c r="AWE11" s="34"/>
      <c r="AWG11" s="34"/>
      <c r="AWH11" s="72"/>
      <c r="AWI11" s="63"/>
      <c r="AWJ11" s="34"/>
      <c r="AWK11" s="64"/>
      <c r="AWL11" s="4"/>
      <c r="AWM11" s="65"/>
      <c r="AWN11" s="4"/>
      <c r="AWO11" s="4"/>
      <c r="AWP11" s="4"/>
      <c r="AWS11" s="34"/>
      <c r="AWT11" s="34"/>
      <c r="AWV11" s="34"/>
      <c r="AWW11" s="72"/>
      <c r="AWX11" s="63"/>
      <c r="AWY11" s="34"/>
      <c r="AWZ11" s="64"/>
      <c r="AXA11" s="4"/>
      <c r="AXB11" s="65"/>
      <c r="AXC11" s="4"/>
      <c r="AXD11" s="4"/>
      <c r="AXE11" s="4"/>
      <c r="AXH11" s="34"/>
      <c r="AXI11" s="34"/>
      <c r="AXK11" s="34"/>
      <c r="AXL11" s="72"/>
      <c r="AXM11" s="63"/>
      <c r="AXN11" s="34"/>
      <c r="AXO11" s="64"/>
      <c r="AXP11" s="4"/>
      <c r="AXQ11" s="65"/>
      <c r="AXR11" s="4"/>
      <c r="AXS11" s="4"/>
      <c r="AXT11" s="4"/>
      <c r="AXW11" s="34"/>
      <c r="AXX11" s="34"/>
      <c r="AXZ11" s="34"/>
      <c r="AYA11" s="72"/>
      <c r="AYB11" s="63"/>
      <c r="AYC11" s="34"/>
      <c r="AYD11" s="64"/>
      <c r="AYE11" s="4"/>
      <c r="AYF11" s="65"/>
      <c r="AYG11" s="4"/>
      <c r="AYH11" s="4"/>
      <c r="AYI11" s="4"/>
      <c r="AYL11" s="34"/>
      <c r="AYM11" s="34"/>
      <c r="AYO11" s="34"/>
      <c r="AYP11" s="72"/>
      <c r="AYQ11" s="63"/>
      <c r="AYR11" s="34"/>
      <c r="AYS11" s="64"/>
      <c r="AYT11" s="4"/>
      <c r="AYU11" s="65"/>
      <c r="AYV11" s="4"/>
      <c r="AYW11" s="4"/>
      <c r="AYX11" s="4"/>
      <c r="AZA11" s="34"/>
      <c r="AZB11" s="34"/>
      <c r="AZD11" s="34"/>
      <c r="AZE11" s="72"/>
      <c r="AZF11" s="63"/>
      <c r="AZG11" s="34"/>
      <c r="AZH11" s="64"/>
      <c r="AZI11" s="4"/>
      <c r="AZJ11" s="65"/>
      <c r="AZK11" s="4"/>
      <c r="AZL11" s="4"/>
      <c r="AZM11" s="4"/>
      <c r="AZP11" s="34"/>
      <c r="AZQ11" s="34"/>
      <c r="AZS11" s="34"/>
      <c r="AZT11" s="72"/>
      <c r="AZU11" s="63"/>
      <c r="AZV11" s="34"/>
      <c r="AZW11" s="64"/>
      <c r="AZX11" s="4"/>
      <c r="AZY11" s="65"/>
      <c r="AZZ11" s="4"/>
      <c r="BAA11" s="4"/>
      <c r="BAB11" s="4"/>
      <c r="BAE11" s="34"/>
      <c r="BAF11" s="34"/>
      <c r="BAH11" s="34"/>
      <c r="BAI11" s="72"/>
      <c r="BAJ11" s="63"/>
      <c r="BAK11" s="34"/>
      <c r="BAL11" s="64"/>
      <c r="BAM11" s="4"/>
      <c r="BAN11" s="65"/>
      <c r="BAO11" s="4"/>
      <c r="BAP11" s="4"/>
      <c r="BAQ11" s="4"/>
      <c r="BAT11" s="34"/>
      <c r="BAU11" s="34"/>
      <c r="BAW11" s="34"/>
      <c r="BAX11" s="72"/>
      <c r="BAY11" s="63"/>
      <c r="BAZ11" s="34"/>
      <c r="BBA11" s="64"/>
      <c r="BBB11" s="4"/>
      <c r="BBC11" s="65"/>
      <c r="BBD11" s="4"/>
      <c r="BBE11" s="4"/>
      <c r="BBF11" s="4"/>
      <c r="BBI11" s="34"/>
      <c r="BBJ11" s="34"/>
      <c r="BBL11" s="34"/>
      <c r="BBM11" s="72"/>
      <c r="BBN11" s="63"/>
      <c r="BBO11" s="34"/>
      <c r="BBP11" s="64"/>
      <c r="BBQ11" s="4"/>
      <c r="BBR11" s="65"/>
      <c r="BBS11" s="4"/>
      <c r="BBT11" s="4"/>
      <c r="BBU11" s="4"/>
      <c r="BBX11" s="34"/>
      <c r="BBY11" s="34"/>
      <c r="BCA11" s="34"/>
      <c r="BCB11" s="72"/>
      <c r="BCC11" s="63"/>
      <c r="BCD11" s="34"/>
      <c r="BCE11" s="64"/>
      <c r="BCF11" s="4"/>
      <c r="BCG11" s="65"/>
      <c r="BCH11" s="4"/>
      <c r="BCI11" s="4"/>
      <c r="BCJ11" s="4"/>
      <c r="BCM11" s="34"/>
      <c r="BCN11" s="34"/>
      <c r="BCP11" s="34"/>
      <c r="BCQ11" s="72"/>
      <c r="BCR11" s="63"/>
      <c r="BCS11" s="34"/>
      <c r="BCT11" s="64"/>
      <c r="BCU11" s="4"/>
      <c r="BCV11" s="65"/>
      <c r="BCW11" s="4"/>
      <c r="BCX11" s="4"/>
      <c r="BCY11" s="4"/>
      <c r="BDB11" s="34"/>
      <c r="BDC11" s="34"/>
      <c r="BDE11" s="34"/>
      <c r="BDF11" s="72"/>
      <c r="BDG11" s="63"/>
      <c r="BDH11" s="34"/>
      <c r="BDI11" s="64"/>
      <c r="BDJ11" s="4"/>
      <c r="BDK11" s="65"/>
      <c r="BDL11" s="4"/>
      <c r="BDM11" s="4"/>
      <c r="BDN11" s="4"/>
      <c r="BDQ11" s="34"/>
      <c r="BDR11" s="34"/>
      <c r="BDT11" s="34"/>
      <c r="BDU11" s="72"/>
      <c r="BDV11" s="63"/>
      <c r="BDW11" s="34"/>
      <c r="BDX11" s="64"/>
      <c r="BDY11" s="4"/>
      <c r="BDZ11" s="65"/>
      <c r="BEA11" s="4"/>
      <c r="BEB11" s="4"/>
      <c r="BEC11" s="4"/>
      <c r="BEF11" s="34"/>
      <c r="BEG11" s="34"/>
      <c r="BEI11" s="34"/>
      <c r="BEJ11" s="72"/>
      <c r="BEK11" s="63"/>
      <c r="BEL11" s="34"/>
      <c r="BEM11" s="64"/>
      <c r="BEN11" s="4"/>
      <c r="BEO11" s="65"/>
      <c r="BEP11" s="4"/>
      <c r="BEQ11" s="4"/>
      <c r="BER11" s="4"/>
      <c r="BEU11" s="34"/>
      <c r="BEV11" s="34"/>
      <c r="BEX11" s="34"/>
      <c r="BEY11" s="72"/>
      <c r="BEZ11" s="63"/>
      <c r="BFA11" s="34"/>
      <c r="BFB11" s="64"/>
      <c r="BFC11" s="4"/>
      <c r="BFD11" s="65"/>
      <c r="BFE11" s="4"/>
      <c r="BFF11" s="4"/>
      <c r="BFG11" s="4"/>
      <c r="BFJ11" s="34"/>
      <c r="BFK11" s="34"/>
      <c r="BFM11" s="34"/>
      <c r="BFN11" s="72"/>
      <c r="BFO11" s="63"/>
      <c r="BFP11" s="34"/>
      <c r="BFQ11" s="64"/>
      <c r="BFR11" s="4"/>
      <c r="BFS11" s="65"/>
      <c r="BFT11" s="4"/>
      <c r="BFU11" s="4"/>
      <c r="BFV11" s="4"/>
      <c r="BFY11" s="34"/>
      <c r="BFZ11" s="34"/>
      <c r="BGB11" s="34"/>
      <c r="BGC11" s="72"/>
      <c r="BGD11" s="63"/>
      <c r="BGE11" s="34"/>
      <c r="BGF11" s="64"/>
      <c r="BGG11" s="4"/>
      <c r="BGH11" s="65"/>
      <c r="BGI11" s="4"/>
      <c r="BGJ11" s="4"/>
      <c r="BGK11" s="4"/>
      <c r="BGN11" s="34"/>
      <c r="BGO11" s="34"/>
      <c r="BGQ11" s="34"/>
      <c r="BGR11" s="72"/>
      <c r="BGS11" s="63"/>
      <c r="BGT11" s="34"/>
      <c r="BGU11" s="64"/>
      <c r="BGV11" s="4"/>
      <c r="BGW11" s="65"/>
      <c r="BGX11" s="4"/>
      <c r="BGY11" s="4"/>
      <c r="BGZ11" s="4"/>
      <c r="BHC11" s="34"/>
      <c r="BHD11" s="34"/>
      <c r="BHF11" s="34"/>
      <c r="BHG11" s="72"/>
      <c r="BHH11" s="63"/>
      <c r="BHI11" s="34"/>
      <c r="BHJ11" s="64"/>
      <c r="BHK11" s="4"/>
      <c r="BHL11" s="65"/>
      <c r="BHM11" s="4"/>
      <c r="BHN11" s="4"/>
      <c r="BHO11" s="4"/>
      <c r="BHR11" s="34"/>
      <c r="BHS11" s="34"/>
      <c r="BHU11" s="34"/>
      <c r="BHV11" s="72"/>
      <c r="BHW11" s="63"/>
      <c r="BHX11" s="34"/>
      <c r="BHY11" s="64"/>
      <c r="BHZ11" s="4"/>
      <c r="BIA11" s="65"/>
      <c r="BIB11" s="4"/>
      <c r="BIC11" s="4"/>
      <c r="BID11" s="4"/>
      <c r="BIG11" s="34"/>
      <c r="BIH11" s="34"/>
      <c r="BIJ11" s="34"/>
      <c r="BIK11" s="72"/>
      <c r="BIL11" s="63"/>
      <c r="BIM11" s="34"/>
      <c r="BIN11" s="64"/>
      <c r="BIO11" s="4"/>
      <c r="BIP11" s="65"/>
      <c r="BIQ11" s="4"/>
      <c r="BIR11" s="4"/>
      <c r="BIS11" s="4"/>
      <c r="BIV11" s="34"/>
      <c r="BIW11" s="34"/>
      <c r="BIY11" s="34"/>
      <c r="BIZ11" s="72"/>
      <c r="BJA11" s="63"/>
      <c r="BJB11" s="34"/>
      <c r="BJC11" s="64"/>
      <c r="BJD11" s="4"/>
      <c r="BJE11" s="65"/>
      <c r="BJF11" s="4"/>
      <c r="BJG11" s="4"/>
      <c r="BJH11" s="4"/>
      <c r="BJK11" s="34"/>
      <c r="BJL11" s="34"/>
      <c r="BJN11" s="34"/>
      <c r="BJO11" s="72"/>
      <c r="BJP11" s="63"/>
      <c r="BJQ11" s="34"/>
      <c r="BJR11" s="64"/>
      <c r="BJS11" s="4"/>
      <c r="BJT11" s="65"/>
      <c r="BJU11" s="4"/>
      <c r="BJV11" s="4"/>
      <c r="BJW11" s="4"/>
      <c r="BJZ11" s="34"/>
      <c r="BKA11" s="34"/>
      <c r="BKC11" s="34"/>
      <c r="BKD11" s="72"/>
      <c r="BKE11" s="63"/>
      <c r="BKF11" s="34"/>
      <c r="BKG11" s="64"/>
      <c r="BKH11" s="4"/>
      <c r="BKI11" s="65"/>
      <c r="BKJ11" s="4"/>
      <c r="BKK11" s="4"/>
      <c r="BKL11" s="4"/>
      <c r="BKO11" s="34"/>
      <c r="BKP11" s="34"/>
      <c r="BKR11" s="34"/>
      <c r="BKS11" s="72"/>
      <c r="BKT11" s="63"/>
      <c r="BKU11" s="34"/>
      <c r="BKV11" s="64"/>
      <c r="BKW11" s="4"/>
      <c r="BKX11" s="65"/>
      <c r="BKY11" s="4"/>
      <c r="BKZ11" s="4"/>
      <c r="BLA11" s="4"/>
      <c r="BLD11" s="34"/>
      <c r="BLE11" s="34"/>
      <c r="BLG11" s="34"/>
      <c r="BLH11" s="72"/>
      <c r="BLI11" s="63"/>
      <c r="BLJ11" s="34"/>
      <c r="BLK11" s="64"/>
      <c r="BLL11" s="4"/>
      <c r="BLM11" s="65"/>
      <c r="BLN11" s="4"/>
      <c r="BLO11" s="4"/>
      <c r="BLP11" s="4"/>
      <c r="BLS11" s="34"/>
      <c r="BLT11" s="34"/>
      <c r="BLV11" s="34"/>
      <c r="BLW11" s="72"/>
      <c r="BLX11" s="63"/>
      <c r="BLY11" s="34"/>
      <c r="BLZ11" s="64"/>
      <c r="BMA11" s="4"/>
      <c r="BMB11" s="65"/>
      <c r="BMC11" s="4"/>
      <c r="BMD11" s="4"/>
      <c r="BME11" s="4"/>
      <c r="BMH11" s="34"/>
      <c r="BMI11" s="34"/>
      <c r="BMK11" s="34"/>
      <c r="BML11" s="72"/>
      <c r="BMM11" s="63"/>
      <c r="BMN11" s="34"/>
      <c r="BMO11" s="64"/>
      <c r="BMP11" s="4"/>
      <c r="BMQ11" s="65"/>
      <c r="BMR11" s="4"/>
      <c r="BMS11" s="4"/>
      <c r="BMT11" s="4"/>
      <c r="BMW11" s="34"/>
      <c r="BMX11" s="34"/>
      <c r="BMZ11" s="34"/>
      <c r="BNA11" s="72"/>
      <c r="BNB11" s="63"/>
      <c r="BNC11" s="34"/>
      <c r="BND11" s="64"/>
      <c r="BNE11" s="4"/>
      <c r="BNF11" s="65"/>
      <c r="BNG11" s="4"/>
      <c r="BNH11" s="4"/>
      <c r="BNI11" s="4"/>
      <c r="BNL11" s="34"/>
      <c r="BNM11" s="34"/>
      <c r="BNO11" s="34"/>
      <c r="BNP11" s="72"/>
      <c r="BNQ11" s="63"/>
      <c r="BNR11" s="34"/>
      <c r="BNS11" s="64"/>
      <c r="BNT11" s="4"/>
      <c r="BNU11" s="65"/>
      <c r="BNV11" s="4"/>
      <c r="BNW11" s="4"/>
      <c r="BNX11" s="4"/>
      <c r="BOA11" s="34"/>
      <c r="BOB11" s="34"/>
      <c r="BOD11" s="34"/>
      <c r="BOE11" s="72"/>
      <c r="BOF11" s="63"/>
      <c r="BOG11" s="34"/>
      <c r="BOH11" s="64"/>
      <c r="BOI11" s="4"/>
      <c r="BOJ11" s="65"/>
      <c r="BOK11" s="4"/>
      <c r="BOL11" s="4"/>
      <c r="BOM11" s="4"/>
      <c r="BOP11" s="34"/>
      <c r="BOQ11" s="34"/>
      <c r="BOS11" s="34"/>
      <c r="BOT11" s="72"/>
      <c r="BOU11" s="63"/>
      <c r="BOV11" s="34"/>
      <c r="BOW11" s="64"/>
      <c r="BOX11" s="4"/>
      <c r="BOY11" s="65"/>
      <c r="BOZ11" s="4"/>
      <c r="BPA11" s="4"/>
      <c r="BPB11" s="4"/>
      <c r="BPE11" s="34"/>
      <c r="BPF11" s="34"/>
      <c r="BPH11" s="34"/>
      <c r="BPI11" s="72"/>
      <c r="BPJ11" s="63"/>
      <c r="BPK11" s="34"/>
      <c r="BPL11" s="64"/>
      <c r="BPM11" s="4"/>
      <c r="BPN11" s="65"/>
      <c r="BPO11" s="4"/>
      <c r="BPP11" s="4"/>
      <c r="BPQ11" s="4"/>
      <c r="BPT11" s="34"/>
      <c r="BPU11" s="34"/>
      <c r="BPW11" s="34"/>
      <c r="BPX11" s="72"/>
      <c r="BPY11" s="63"/>
      <c r="BPZ11" s="34"/>
      <c r="BQA11" s="64"/>
      <c r="BQB11" s="4"/>
      <c r="BQC11" s="65"/>
      <c r="BQD11" s="4"/>
      <c r="BQE11" s="4"/>
      <c r="BQF11" s="4"/>
      <c r="BQI11" s="34"/>
      <c r="BQJ11" s="34"/>
      <c r="BQL11" s="34"/>
      <c r="BQM11" s="72"/>
      <c r="BQN11" s="63"/>
      <c r="BQO11" s="34"/>
      <c r="BQP11" s="64"/>
      <c r="BQQ11" s="4"/>
      <c r="BQR11" s="65"/>
      <c r="BQS11" s="4"/>
      <c r="BQT11" s="4"/>
      <c r="BQU11" s="4"/>
      <c r="BQX11" s="34"/>
      <c r="BQY11" s="34"/>
      <c r="BRA11" s="34"/>
      <c r="BRB11" s="72"/>
      <c r="BRC11" s="63"/>
      <c r="BRD11" s="34"/>
      <c r="BRE11" s="64"/>
      <c r="BRF11" s="4"/>
      <c r="BRG11" s="65"/>
      <c r="BRH11" s="4"/>
      <c r="BRI11" s="4"/>
      <c r="BRJ11" s="4"/>
      <c r="BRM11" s="34"/>
      <c r="BRN11" s="34"/>
      <c r="BRP11" s="34"/>
      <c r="BRQ11" s="72"/>
      <c r="BRR11" s="63"/>
      <c r="BRS11" s="34"/>
      <c r="BRT11" s="64"/>
      <c r="BRU11" s="4"/>
      <c r="BRV11" s="65"/>
      <c r="BRW11" s="4"/>
      <c r="BRX11" s="4"/>
      <c r="BRY11" s="4"/>
      <c r="BSB11" s="34"/>
      <c r="BSC11" s="34"/>
      <c r="BSE11" s="34"/>
      <c r="BSF11" s="72"/>
      <c r="BSG11" s="63"/>
      <c r="BSH11" s="34"/>
      <c r="BSI11" s="64"/>
      <c r="BSJ11" s="4"/>
      <c r="BSK11" s="65"/>
      <c r="BSL11" s="4"/>
      <c r="BSM11" s="4"/>
      <c r="BSN11" s="4"/>
      <c r="BSQ11" s="34"/>
      <c r="BSR11" s="34"/>
      <c r="BST11" s="34"/>
      <c r="BSU11" s="72"/>
      <c r="BSV11" s="63"/>
      <c r="BSW11" s="34"/>
      <c r="BSX11" s="64"/>
      <c r="BSY11" s="4"/>
      <c r="BSZ11" s="65"/>
      <c r="BTA11" s="4"/>
      <c r="BTB11" s="4"/>
      <c r="BTC11" s="4"/>
      <c r="BTF11" s="34"/>
      <c r="BTG11" s="34"/>
      <c r="BTI11" s="34"/>
      <c r="BTJ11" s="72"/>
      <c r="BTK11" s="63"/>
      <c r="BTL11" s="34"/>
      <c r="BTM11" s="64"/>
      <c r="BTN11" s="4"/>
      <c r="BTO11" s="65"/>
      <c r="BTP11" s="4"/>
      <c r="BTQ11" s="4"/>
      <c r="BTR11" s="4"/>
      <c r="BTU11" s="34"/>
      <c r="BTV11" s="34"/>
      <c r="BTX11" s="34"/>
      <c r="BTY11" s="72"/>
      <c r="BTZ11" s="63"/>
      <c r="BUA11" s="34"/>
      <c r="BUB11" s="64"/>
      <c r="BUC11" s="4"/>
      <c r="BUD11" s="65"/>
      <c r="BUE11" s="4"/>
      <c r="BUF11" s="4"/>
      <c r="BUG11" s="4"/>
      <c r="BUJ11" s="34"/>
      <c r="BUK11" s="34"/>
      <c r="BUM11" s="34"/>
      <c r="BUN11" s="72"/>
      <c r="BUO11" s="63"/>
      <c r="BUP11" s="34"/>
      <c r="BUQ11" s="64"/>
      <c r="BUR11" s="4"/>
      <c r="BUS11" s="65"/>
      <c r="BUT11" s="4"/>
      <c r="BUU11" s="4"/>
      <c r="BUV11" s="4"/>
      <c r="BUY11" s="34"/>
      <c r="BUZ11" s="34"/>
      <c r="BVB11" s="34"/>
      <c r="BVC11" s="72"/>
      <c r="BVD11" s="63"/>
      <c r="BVE11" s="34"/>
      <c r="BVF11" s="64"/>
      <c r="BVG11" s="4"/>
      <c r="BVH11" s="65"/>
      <c r="BVI11" s="4"/>
      <c r="BVJ11" s="4"/>
      <c r="BVK11" s="4"/>
      <c r="BVN11" s="34"/>
      <c r="BVO11" s="34"/>
      <c r="BVQ11" s="34"/>
      <c r="BVR11" s="72"/>
      <c r="BVS11" s="63"/>
      <c r="BVT11" s="34"/>
      <c r="BVU11" s="64"/>
      <c r="BVV11" s="4"/>
      <c r="BVW11" s="65"/>
      <c r="BVX11" s="4"/>
      <c r="BVY11" s="4"/>
      <c r="BVZ11" s="4"/>
      <c r="BWC11" s="34"/>
      <c r="BWD11" s="34"/>
      <c r="BWF11" s="34"/>
      <c r="BWG11" s="72"/>
      <c r="BWH11" s="63"/>
      <c r="BWI11" s="34"/>
      <c r="BWJ11" s="64"/>
      <c r="BWK11" s="4"/>
      <c r="BWL11" s="65"/>
      <c r="BWM11" s="4"/>
      <c r="BWN11" s="4"/>
      <c r="BWO11" s="4"/>
      <c r="BWR11" s="34"/>
      <c r="BWS11" s="34"/>
      <c r="BWU11" s="34"/>
      <c r="BWV11" s="72"/>
      <c r="BWW11" s="63"/>
      <c r="BWX11" s="34"/>
      <c r="BWY11" s="64"/>
      <c r="BWZ11" s="4"/>
      <c r="BXA11" s="65"/>
      <c r="BXB11" s="4"/>
      <c r="BXC11" s="4"/>
      <c r="BXD11" s="4"/>
      <c r="BXG11" s="34"/>
      <c r="BXH11" s="34"/>
      <c r="BXJ11" s="34"/>
      <c r="BXK11" s="72"/>
      <c r="BXL11" s="63"/>
      <c r="BXM11" s="34"/>
      <c r="BXN11" s="64"/>
      <c r="BXO11" s="4"/>
      <c r="BXP11" s="65"/>
      <c r="BXQ11" s="4"/>
      <c r="BXR11" s="4"/>
      <c r="BXS11" s="4"/>
      <c r="BXV11" s="34"/>
      <c r="BXW11" s="34"/>
      <c r="BXY11" s="34"/>
      <c r="BXZ11" s="72"/>
      <c r="BYA11" s="63"/>
      <c r="BYB11" s="34"/>
      <c r="BYC11" s="64"/>
      <c r="BYD11" s="4"/>
      <c r="BYE11" s="65"/>
      <c r="BYF11" s="4"/>
      <c r="BYG11" s="4"/>
      <c r="BYH11" s="4"/>
      <c r="BYK11" s="34"/>
      <c r="BYL11" s="34"/>
      <c r="BYN11" s="34"/>
      <c r="BYO11" s="72"/>
      <c r="BYP11" s="63"/>
      <c r="BYQ11" s="34"/>
      <c r="BYR11" s="64"/>
      <c r="BYS11" s="4"/>
      <c r="BYT11" s="65"/>
      <c r="BYU11" s="4"/>
      <c r="BYV11" s="4"/>
      <c r="BYW11" s="4"/>
      <c r="BYZ11" s="34"/>
      <c r="BZA11" s="34"/>
      <c r="BZC11" s="34"/>
      <c r="BZD11" s="72"/>
      <c r="BZE11" s="63"/>
      <c r="BZF11" s="34"/>
      <c r="BZG11" s="64"/>
      <c r="BZH11" s="4"/>
      <c r="BZI11" s="65"/>
      <c r="BZJ11" s="4"/>
      <c r="BZK11" s="4"/>
      <c r="BZL11" s="4"/>
      <c r="BZO11" s="34"/>
      <c r="BZP11" s="34"/>
      <c r="BZR11" s="34"/>
      <c r="BZS11" s="72"/>
      <c r="BZT11" s="63"/>
      <c r="BZU11" s="34"/>
      <c r="BZV11" s="64"/>
      <c r="BZW11" s="4"/>
      <c r="BZX11" s="65"/>
      <c r="BZY11" s="4"/>
      <c r="BZZ11" s="4"/>
      <c r="CAA11" s="4"/>
      <c r="CAD11" s="34"/>
      <c r="CAE11" s="34"/>
      <c r="CAG11" s="34"/>
      <c r="CAH11" s="72"/>
      <c r="CAI11" s="63"/>
      <c r="CAJ11" s="34"/>
      <c r="CAK11" s="64"/>
      <c r="CAL11" s="4"/>
      <c r="CAM11" s="65"/>
      <c r="CAN11" s="4"/>
      <c r="CAO11" s="4"/>
      <c r="CAP11" s="4"/>
      <c r="CAS11" s="34"/>
      <c r="CAT11" s="34"/>
      <c r="CAV11" s="34"/>
      <c r="CAW11" s="72"/>
      <c r="CAX11" s="63"/>
      <c r="CAY11" s="34"/>
      <c r="CAZ11" s="64"/>
      <c r="CBA11" s="4"/>
      <c r="CBB11" s="65"/>
      <c r="CBC11" s="4"/>
      <c r="CBD11" s="4"/>
      <c r="CBE11" s="4"/>
      <c r="CBH11" s="34"/>
      <c r="CBI11" s="34"/>
      <c r="CBK11" s="34"/>
      <c r="CBL11" s="72"/>
      <c r="CBM11" s="63"/>
      <c r="CBN11" s="34"/>
      <c r="CBO11" s="64"/>
      <c r="CBP11" s="4"/>
      <c r="CBQ11" s="65"/>
      <c r="CBR11" s="4"/>
      <c r="CBS11" s="4"/>
      <c r="CBT11" s="4"/>
      <c r="CBW11" s="34"/>
      <c r="CBX11" s="34"/>
      <c r="CBZ11" s="34"/>
      <c r="CCA11" s="72"/>
      <c r="CCB11" s="63"/>
      <c r="CCC11" s="34"/>
      <c r="CCD11" s="64"/>
      <c r="CCE11" s="4"/>
      <c r="CCF11" s="65"/>
      <c r="CCG11" s="4"/>
      <c r="CCH11" s="4"/>
      <c r="CCI11" s="4"/>
      <c r="CCL11" s="34"/>
      <c r="CCM11" s="34"/>
      <c r="CCO11" s="34"/>
      <c r="CCP11" s="72"/>
      <c r="CCQ11" s="63"/>
      <c r="CCR11" s="34"/>
      <c r="CCS11" s="64"/>
      <c r="CCT11" s="4"/>
      <c r="CCU11" s="65"/>
      <c r="CCV11" s="4"/>
      <c r="CCW11" s="4"/>
      <c r="CCX11" s="4"/>
      <c r="CDA11" s="34"/>
      <c r="CDB11" s="34"/>
      <c r="CDD11" s="34"/>
      <c r="CDE11" s="72"/>
      <c r="CDF11" s="63"/>
      <c r="CDG11" s="34"/>
      <c r="CDH11" s="64"/>
      <c r="CDI11" s="4"/>
      <c r="CDJ11" s="65"/>
      <c r="CDK11" s="4"/>
      <c r="CDL11" s="4"/>
      <c r="CDM11" s="4"/>
      <c r="CDP11" s="34"/>
      <c r="CDQ11" s="34"/>
      <c r="CDS11" s="34"/>
      <c r="CDT11" s="72"/>
      <c r="CDU11" s="63"/>
      <c r="CDV11" s="34"/>
      <c r="CDW11" s="64"/>
      <c r="CDX11" s="4"/>
      <c r="CDY11" s="65"/>
      <c r="CDZ11" s="4"/>
      <c r="CEA11" s="4"/>
      <c r="CEB11" s="4"/>
      <c r="CEE11" s="34"/>
      <c r="CEF11" s="34"/>
      <c r="CEH11" s="34"/>
      <c r="CEI11" s="72"/>
      <c r="CEJ11" s="63"/>
      <c r="CEK11" s="34"/>
      <c r="CEL11" s="64"/>
      <c r="CEM11" s="4"/>
      <c r="CEN11" s="65"/>
      <c r="CEO11" s="4"/>
      <c r="CEP11" s="4"/>
      <c r="CEQ11" s="4"/>
      <c r="CET11" s="34"/>
      <c r="CEU11" s="34"/>
      <c r="CEW11" s="34"/>
      <c r="CEX11" s="72"/>
      <c r="CEY11" s="63"/>
      <c r="CEZ11" s="34"/>
      <c r="CFA11" s="64"/>
      <c r="CFB11" s="4"/>
      <c r="CFC11" s="65"/>
      <c r="CFD11" s="4"/>
      <c r="CFE11" s="4"/>
      <c r="CFF11" s="4"/>
      <c r="CFI11" s="34"/>
      <c r="CFJ11" s="34"/>
      <c r="CFL11" s="34"/>
      <c r="CFM11" s="72"/>
      <c r="CFN11" s="63"/>
      <c r="CFO11" s="34"/>
      <c r="CFP11" s="64"/>
      <c r="CFQ11" s="4"/>
      <c r="CFR11" s="65"/>
      <c r="CFS11" s="4"/>
      <c r="CFT11" s="4"/>
      <c r="CFU11" s="4"/>
      <c r="CFX11" s="34"/>
      <c r="CFY11" s="34"/>
      <c r="CGA11" s="34"/>
      <c r="CGB11" s="72"/>
      <c r="CGC11" s="63"/>
      <c r="CGD11" s="34"/>
      <c r="CGE11" s="64"/>
      <c r="CGF11" s="4"/>
      <c r="CGG11" s="65"/>
      <c r="CGH11" s="4"/>
      <c r="CGI11" s="4"/>
      <c r="CGJ11" s="4"/>
      <c r="CGM11" s="34"/>
      <c r="CGN11" s="34"/>
      <c r="CGP11" s="34"/>
      <c r="CGQ11" s="72"/>
      <c r="CGR11" s="63"/>
      <c r="CGS11" s="34"/>
      <c r="CGT11" s="64"/>
      <c r="CGU11" s="4"/>
      <c r="CGV11" s="65"/>
      <c r="CGW11" s="4"/>
      <c r="CGX11" s="4"/>
      <c r="CGY11" s="4"/>
      <c r="CHB11" s="34"/>
      <c r="CHC11" s="34"/>
      <c r="CHE11" s="34"/>
      <c r="CHF11" s="72"/>
      <c r="CHG11" s="63"/>
      <c r="CHH11" s="34"/>
      <c r="CHI11" s="64"/>
      <c r="CHJ11" s="4"/>
      <c r="CHK11" s="65"/>
      <c r="CHL11" s="4"/>
      <c r="CHM11" s="4"/>
      <c r="CHN11" s="4"/>
      <c r="CHQ11" s="34"/>
      <c r="CHR11" s="34"/>
      <c r="CHT11" s="34"/>
      <c r="CHU11" s="72"/>
      <c r="CHV11" s="63"/>
      <c r="CHW11" s="34"/>
      <c r="CHX11" s="64"/>
      <c r="CHY11" s="4"/>
      <c r="CHZ11" s="65"/>
      <c r="CIA11" s="4"/>
      <c r="CIB11" s="4"/>
      <c r="CIC11" s="4"/>
      <c r="CIF11" s="34"/>
      <c r="CIG11" s="34"/>
      <c r="CII11" s="34"/>
      <c r="CIJ11" s="72"/>
      <c r="CIK11" s="63"/>
      <c r="CIL11" s="34"/>
      <c r="CIM11" s="64"/>
      <c r="CIN11" s="4"/>
      <c r="CIO11" s="65"/>
      <c r="CIP11" s="4"/>
      <c r="CIQ11" s="4"/>
      <c r="CIR11" s="4"/>
      <c r="CIU11" s="34"/>
      <c r="CIV11" s="34"/>
      <c r="CIX11" s="34"/>
      <c r="CIY11" s="72"/>
      <c r="CIZ11" s="63"/>
      <c r="CJA11" s="34"/>
      <c r="CJB11" s="64"/>
      <c r="CJC11" s="4"/>
      <c r="CJD11" s="65"/>
      <c r="CJE11" s="4"/>
      <c r="CJF11" s="4"/>
      <c r="CJG11" s="4"/>
      <c r="CJJ11" s="34"/>
      <c r="CJK11" s="34"/>
      <c r="CJM11" s="34"/>
      <c r="CJN11" s="72"/>
      <c r="CJO11" s="63"/>
      <c r="CJP11" s="34"/>
      <c r="CJQ11" s="64"/>
      <c r="CJR11" s="4"/>
      <c r="CJS11" s="65"/>
      <c r="CJT11" s="4"/>
      <c r="CJU11" s="4"/>
      <c r="CJV11" s="4"/>
      <c r="CJY11" s="34"/>
      <c r="CJZ11" s="34"/>
      <c r="CKB11" s="34"/>
      <c r="CKC11" s="72"/>
      <c r="CKD11" s="63"/>
      <c r="CKE11" s="34"/>
      <c r="CKF11" s="64"/>
      <c r="CKG11" s="4"/>
      <c r="CKH11" s="65"/>
      <c r="CKI11" s="4"/>
      <c r="CKJ11" s="4"/>
      <c r="CKK11" s="4"/>
      <c r="CKN11" s="34"/>
      <c r="CKO11" s="34"/>
      <c r="CKQ11" s="34"/>
      <c r="CKR11" s="72"/>
      <c r="CKS11" s="63"/>
      <c r="CKT11" s="34"/>
      <c r="CKU11" s="64"/>
      <c r="CKV11" s="4"/>
      <c r="CKW11" s="65"/>
      <c r="CKX11" s="4"/>
      <c r="CKY11" s="4"/>
      <c r="CKZ11" s="4"/>
      <c r="CLC11" s="34"/>
      <c r="CLD11" s="34"/>
      <c r="CLF11" s="34"/>
      <c r="CLG11" s="72"/>
      <c r="CLH11" s="63"/>
      <c r="CLI11" s="34"/>
      <c r="CLJ11" s="64"/>
      <c r="CLK11" s="4"/>
      <c r="CLL11" s="65"/>
      <c r="CLM11" s="4"/>
      <c r="CLN11" s="4"/>
      <c r="CLO11" s="4"/>
      <c r="CLR11" s="34"/>
      <c r="CLS11" s="34"/>
      <c r="CLU11" s="34"/>
      <c r="CLV11" s="72"/>
      <c r="CLW11" s="63"/>
      <c r="CLX11" s="34"/>
      <c r="CLY11" s="64"/>
      <c r="CLZ11" s="4"/>
      <c r="CMA11" s="65"/>
      <c r="CMB11" s="4"/>
      <c r="CMC11" s="4"/>
      <c r="CMD11" s="4"/>
      <c r="CMG11" s="34"/>
      <c r="CMH11" s="34"/>
      <c r="CMJ11" s="34"/>
      <c r="CMK11" s="72"/>
      <c r="CML11" s="63"/>
      <c r="CMM11" s="34"/>
      <c r="CMN11" s="64"/>
      <c r="CMO11" s="4"/>
      <c r="CMP11" s="65"/>
      <c r="CMQ11" s="4"/>
      <c r="CMR11" s="4"/>
      <c r="CMS11" s="4"/>
      <c r="CMV11" s="34"/>
      <c r="CMW11" s="34"/>
      <c r="CMY11" s="34"/>
      <c r="CMZ11" s="72"/>
      <c r="CNA11" s="63"/>
      <c r="CNB11" s="34"/>
      <c r="CNC11" s="64"/>
      <c r="CND11" s="4"/>
      <c r="CNE11" s="65"/>
      <c r="CNF11" s="4"/>
      <c r="CNG11" s="4"/>
      <c r="CNH11" s="4"/>
      <c r="CNK11" s="34"/>
      <c r="CNL11" s="34"/>
      <c r="CNN11" s="34"/>
      <c r="CNO11" s="72"/>
      <c r="CNP11" s="63"/>
      <c r="CNQ11" s="34"/>
      <c r="CNR11" s="64"/>
      <c r="CNS11" s="4"/>
      <c r="CNT11" s="65"/>
      <c r="CNU11" s="4"/>
      <c r="CNV11" s="4"/>
      <c r="CNW11" s="4"/>
      <c r="CNZ11" s="34"/>
      <c r="COA11" s="34"/>
      <c r="COC11" s="34"/>
      <c r="COD11" s="72"/>
      <c r="COE11" s="63"/>
      <c r="COF11" s="34"/>
      <c r="COG11" s="64"/>
      <c r="COH11" s="4"/>
      <c r="COI11" s="65"/>
      <c r="COJ11" s="4"/>
      <c r="COK11" s="4"/>
      <c r="COL11" s="4"/>
      <c r="COO11" s="34"/>
      <c r="COP11" s="34"/>
      <c r="COR11" s="34"/>
      <c r="COS11" s="72"/>
      <c r="COT11" s="63"/>
      <c r="COU11" s="34"/>
      <c r="COV11" s="64"/>
      <c r="COW11" s="4"/>
      <c r="COX11" s="65"/>
      <c r="COY11" s="4"/>
      <c r="COZ11" s="4"/>
      <c r="CPA11" s="4"/>
      <c r="CPD11" s="34"/>
      <c r="CPE11" s="34"/>
      <c r="CPG11" s="34"/>
      <c r="CPH11" s="72"/>
      <c r="CPI11" s="63"/>
      <c r="CPJ11" s="34"/>
      <c r="CPK11" s="64"/>
      <c r="CPL11" s="4"/>
      <c r="CPM11" s="65"/>
      <c r="CPN11" s="4"/>
      <c r="CPO11" s="4"/>
      <c r="CPP11" s="4"/>
      <c r="CPS11" s="34"/>
      <c r="CPT11" s="34"/>
      <c r="CPV11" s="34"/>
      <c r="CPW11" s="72"/>
      <c r="CPX11" s="63"/>
      <c r="CPY11" s="34"/>
      <c r="CPZ11" s="64"/>
      <c r="CQA11" s="4"/>
      <c r="CQB11" s="65"/>
      <c r="CQC11" s="4"/>
      <c r="CQD11" s="4"/>
      <c r="CQE11" s="4"/>
      <c r="CQH11" s="34"/>
      <c r="CQI11" s="34"/>
      <c r="CQK11" s="34"/>
      <c r="CQL11" s="72"/>
      <c r="CQM11" s="63"/>
      <c r="CQN11" s="34"/>
      <c r="CQO11" s="64"/>
      <c r="CQP11" s="4"/>
      <c r="CQQ11" s="65"/>
      <c r="CQR11" s="4"/>
      <c r="CQS11" s="4"/>
      <c r="CQT11" s="4"/>
      <c r="CQW11" s="34"/>
      <c r="CQX11" s="34"/>
      <c r="CQZ11" s="34"/>
      <c r="CRA11" s="72"/>
      <c r="CRB11" s="63"/>
      <c r="CRC11" s="34"/>
      <c r="CRD11" s="64"/>
      <c r="CRE11" s="4"/>
      <c r="CRF11" s="65"/>
      <c r="CRG11" s="4"/>
      <c r="CRH11" s="4"/>
      <c r="CRI11" s="4"/>
      <c r="CRL11" s="34"/>
      <c r="CRM11" s="34"/>
      <c r="CRO11" s="34"/>
      <c r="CRP11" s="72"/>
      <c r="CRQ11" s="63"/>
      <c r="CRR11" s="34"/>
      <c r="CRS11" s="64"/>
      <c r="CRT11" s="4"/>
      <c r="CRU11" s="65"/>
      <c r="CRV11" s="4"/>
      <c r="CRW11" s="4"/>
      <c r="CRX11" s="4"/>
      <c r="CSA11" s="34"/>
      <c r="CSB11" s="34"/>
      <c r="CSD11" s="34"/>
      <c r="CSE11" s="72"/>
      <c r="CSF11" s="63"/>
      <c r="CSG11" s="34"/>
      <c r="CSH11" s="64"/>
      <c r="CSI11" s="4"/>
      <c r="CSJ11" s="65"/>
      <c r="CSK11" s="4"/>
      <c r="CSL11" s="4"/>
      <c r="CSM11" s="4"/>
      <c r="CSP11" s="34"/>
      <c r="CSQ11" s="34"/>
      <c r="CSS11" s="34"/>
      <c r="CST11" s="72"/>
      <c r="CSU11" s="63"/>
      <c r="CSV11" s="34"/>
      <c r="CSW11" s="64"/>
      <c r="CSX11" s="4"/>
      <c r="CSY11" s="65"/>
      <c r="CSZ11" s="4"/>
      <c r="CTA11" s="4"/>
      <c r="CTB11" s="4"/>
      <c r="CTE11" s="34"/>
      <c r="CTF11" s="34"/>
      <c r="CTH11" s="34"/>
      <c r="CTI11" s="72"/>
      <c r="CTJ11" s="63"/>
      <c r="CTK11" s="34"/>
      <c r="CTL11" s="64"/>
      <c r="CTM11" s="4"/>
      <c r="CTN11" s="65"/>
      <c r="CTO11" s="4"/>
      <c r="CTP11" s="4"/>
      <c r="CTQ11" s="4"/>
      <c r="CTT11" s="34"/>
      <c r="CTU11" s="34"/>
      <c r="CTW11" s="34"/>
      <c r="CTX11" s="72"/>
      <c r="CTY11" s="63"/>
      <c r="CTZ11" s="34"/>
      <c r="CUA11" s="64"/>
      <c r="CUB11" s="4"/>
      <c r="CUC11" s="65"/>
      <c r="CUD11" s="4"/>
      <c r="CUE11" s="4"/>
      <c r="CUF11" s="4"/>
      <c r="CUI11" s="34"/>
      <c r="CUJ11" s="34"/>
      <c r="CUL11" s="34"/>
      <c r="CUM11" s="72"/>
      <c r="CUN11" s="63"/>
      <c r="CUO11" s="34"/>
      <c r="CUP11" s="64"/>
      <c r="CUQ11" s="4"/>
      <c r="CUR11" s="65"/>
      <c r="CUS11" s="4"/>
      <c r="CUT11" s="4"/>
      <c r="CUU11" s="4"/>
      <c r="CUX11" s="34"/>
      <c r="CUY11" s="34"/>
      <c r="CVA11" s="34"/>
      <c r="CVB11" s="72"/>
      <c r="CVC11" s="63"/>
      <c r="CVD11" s="34"/>
      <c r="CVE11" s="64"/>
      <c r="CVF11" s="4"/>
      <c r="CVG11" s="65"/>
      <c r="CVH11" s="4"/>
      <c r="CVI11" s="4"/>
      <c r="CVJ11" s="4"/>
      <c r="CVM11" s="34"/>
      <c r="CVN11" s="34"/>
      <c r="CVP11" s="34"/>
      <c r="CVQ11" s="72"/>
      <c r="CVR11" s="63"/>
      <c r="CVS11" s="34"/>
      <c r="CVT11" s="64"/>
      <c r="CVU11" s="4"/>
      <c r="CVV11" s="65"/>
      <c r="CVW11" s="4"/>
      <c r="CVX11" s="4"/>
      <c r="CVY11" s="4"/>
      <c r="CWB11" s="34"/>
      <c r="CWC11" s="34"/>
      <c r="CWE11" s="34"/>
      <c r="CWF11" s="72"/>
      <c r="CWG11" s="63"/>
      <c r="CWH11" s="34"/>
      <c r="CWI11" s="64"/>
      <c r="CWJ11" s="4"/>
      <c r="CWK11" s="65"/>
      <c r="CWL11" s="4"/>
      <c r="CWM11" s="4"/>
      <c r="CWN11" s="4"/>
      <c r="CWQ11" s="34"/>
      <c r="CWR11" s="34"/>
      <c r="CWT11" s="34"/>
      <c r="CWU11" s="72"/>
      <c r="CWV11" s="63"/>
      <c r="CWW11" s="34"/>
      <c r="CWX11" s="64"/>
      <c r="CWY11" s="4"/>
      <c r="CWZ11" s="65"/>
      <c r="CXA11" s="4"/>
      <c r="CXB11" s="4"/>
      <c r="CXC11" s="4"/>
      <c r="CXF11" s="34"/>
      <c r="CXG11" s="34"/>
      <c r="CXI11" s="34"/>
      <c r="CXJ11" s="72"/>
      <c r="CXK11" s="63"/>
      <c r="CXL11" s="34"/>
      <c r="CXM11" s="64"/>
      <c r="CXN11" s="4"/>
      <c r="CXO11" s="65"/>
      <c r="CXP11" s="4"/>
      <c r="CXQ11" s="4"/>
      <c r="CXR11" s="4"/>
      <c r="CXU11" s="34"/>
      <c r="CXV11" s="34"/>
      <c r="CXX11" s="34"/>
      <c r="CXY11" s="72"/>
      <c r="CXZ11" s="63"/>
      <c r="CYA11" s="34"/>
      <c r="CYB11" s="64"/>
      <c r="CYC11" s="4"/>
      <c r="CYD11" s="65"/>
      <c r="CYE11" s="4"/>
      <c r="CYF11" s="4"/>
      <c r="CYG11" s="4"/>
      <c r="CYJ11" s="34"/>
      <c r="CYK11" s="34"/>
      <c r="CYM11" s="34"/>
      <c r="CYN11" s="72"/>
      <c r="CYO11" s="63"/>
      <c r="CYP11" s="34"/>
      <c r="CYQ11" s="64"/>
      <c r="CYR11" s="4"/>
      <c r="CYS11" s="65"/>
      <c r="CYT11" s="4"/>
      <c r="CYU11" s="4"/>
      <c r="CYV11" s="4"/>
      <c r="CYY11" s="34"/>
      <c r="CYZ11" s="34"/>
      <c r="CZB11" s="34"/>
      <c r="CZC11" s="72"/>
      <c r="CZD11" s="63"/>
      <c r="CZE11" s="34"/>
      <c r="CZF11" s="64"/>
      <c r="CZG11" s="4"/>
      <c r="CZH11" s="65"/>
      <c r="CZI11" s="4"/>
      <c r="CZJ11" s="4"/>
      <c r="CZK11" s="4"/>
      <c r="CZN11" s="34"/>
      <c r="CZO11" s="34"/>
      <c r="CZQ11" s="34"/>
      <c r="CZR11" s="72"/>
      <c r="CZS11" s="63"/>
      <c r="CZT11" s="34"/>
      <c r="CZU11" s="64"/>
      <c r="CZV11" s="4"/>
      <c r="CZW11" s="65"/>
      <c r="CZX11" s="4"/>
      <c r="CZY11" s="4"/>
      <c r="CZZ11" s="4"/>
      <c r="DAC11" s="34"/>
      <c r="DAD11" s="34"/>
      <c r="DAF11" s="34"/>
      <c r="DAG11" s="72"/>
      <c r="DAH11" s="63"/>
      <c r="DAI11" s="34"/>
      <c r="DAJ11" s="64"/>
      <c r="DAK11" s="4"/>
      <c r="DAL11" s="65"/>
      <c r="DAM11" s="4"/>
      <c r="DAN11" s="4"/>
      <c r="DAO11" s="4"/>
      <c r="DAR11" s="34"/>
      <c r="DAS11" s="34"/>
      <c r="DAU11" s="34"/>
      <c r="DAV11" s="72"/>
      <c r="DAW11" s="63"/>
      <c r="DAX11" s="34"/>
      <c r="DAY11" s="64"/>
      <c r="DAZ11" s="4"/>
      <c r="DBA11" s="65"/>
      <c r="DBB11" s="4"/>
      <c r="DBC11" s="4"/>
      <c r="DBD11" s="4"/>
      <c r="DBG11" s="34"/>
      <c r="DBH11" s="34"/>
      <c r="DBJ11" s="34"/>
      <c r="DBK11" s="72"/>
      <c r="DBL11" s="63"/>
      <c r="DBM11" s="34"/>
      <c r="DBN11" s="64"/>
      <c r="DBO11" s="4"/>
      <c r="DBP11" s="65"/>
      <c r="DBQ11" s="4"/>
      <c r="DBR11" s="4"/>
      <c r="DBS11" s="4"/>
      <c r="DBV11" s="34"/>
      <c r="DBW11" s="34"/>
      <c r="DBY11" s="34"/>
      <c r="DBZ11" s="72"/>
      <c r="DCA11" s="63"/>
      <c r="DCB11" s="34"/>
      <c r="DCC11" s="64"/>
      <c r="DCD11" s="4"/>
      <c r="DCE11" s="65"/>
      <c r="DCF11" s="4"/>
      <c r="DCG11" s="4"/>
      <c r="DCH11" s="4"/>
      <c r="DCK11" s="34"/>
      <c r="DCL11" s="34"/>
      <c r="DCN11" s="34"/>
      <c r="DCO11" s="72"/>
      <c r="DCP11" s="63"/>
      <c r="DCQ11" s="34"/>
      <c r="DCR11" s="64"/>
      <c r="DCS11" s="4"/>
      <c r="DCT11" s="65"/>
      <c r="DCU11" s="4"/>
      <c r="DCV11" s="4"/>
      <c r="DCW11" s="4"/>
      <c r="DCZ11" s="34"/>
      <c r="DDA11" s="34"/>
      <c r="DDC11" s="34"/>
      <c r="DDD11" s="72"/>
      <c r="DDE11" s="63"/>
      <c r="DDF11" s="34"/>
      <c r="DDG11" s="64"/>
      <c r="DDH11" s="4"/>
      <c r="DDI11" s="65"/>
      <c r="DDJ11" s="4"/>
      <c r="DDK11" s="4"/>
      <c r="DDL11" s="4"/>
      <c r="DDO11" s="34"/>
      <c r="DDP11" s="34"/>
      <c r="DDR11" s="34"/>
      <c r="DDS11" s="72"/>
      <c r="DDT11" s="63"/>
      <c r="DDU11" s="34"/>
      <c r="DDV11" s="64"/>
      <c r="DDW11" s="4"/>
      <c r="DDX11" s="65"/>
      <c r="DDY11" s="4"/>
      <c r="DDZ11" s="4"/>
      <c r="DEA11" s="4"/>
      <c r="DED11" s="34"/>
      <c r="DEE11" s="34"/>
      <c r="DEG11" s="34"/>
      <c r="DEH11" s="72"/>
      <c r="DEI11" s="63"/>
      <c r="DEJ11" s="34"/>
      <c r="DEK11" s="64"/>
      <c r="DEL11" s="4"/>
      <c r="DEM11" s="65"/>
      <c r="DEN11" s="4"/>
      <c r="DEO11" s="4"/>
      <c r="DEP11" s="4"/>
      <c r="DES11" s="34"/>
      <c r="DET11" s="34"/>
      <c r="DEV11" s="34"/>
      <c r="DEW11" s="72"/>
      <c r="DEX11" s="63"/>
      <c r="DEY11" s="34"/>
      <c r="DEZ11" s="64"/>
      <c r="DFA11" s="4"/>
      <c r="DFB11" s="65"/>
      <c r="DFC11" s="4"/>
      <c r="DFD11" s="4"/>
      <c r="DFE11" s="4"/>
      <c r="DFH11" s="34"/>
      <c r="DFI11" s="34"/>
      <c r="DFK11" s="34"/>
      <c r="DFL11" s="72"/>
      <c r="DFM11" s="63"/>
      <c r="DFN11" s="34"/>
      <c r="DFO11" s="64"/>
      <c r="DFP11" s="4"/>
      <c r="DFQ11" s="65"/>
      <c r="DFR11" s="4"/>
      <c r="DFS11" s="4"/>
      <c r="DFT11" s="4"/>
      <c r="DFW11" s="34"/>
      <c r="DFX11" s="34"/>
      <c r="DFZ11" s="34"/>
      <c r="DGA11" s="72"/>
      <c r="DGB11" s="63"/>
      <c r="DGC11" s="34"/>
      <c r="DGD11" s="64"/>
      <c r="DGE11" s="4"/>
      <c r="DGF11" s="65"/>
      <c r="DGG11" s="4"/>
      <c r="DGH11" s="4"/>
      <c r="DGI11" s="4"/>
      <c r="DGL11" s="34"/>
      <c r="DGM11" s="34"/>
      <c r="DGO11" s="34"/>
      <c r="DGP11" s="72"/>
      <c r="DGQ11" s="63"/>
      <c r="DGR11" s="34"/>
      <c r="DGS11" s="64"/>
      <c r="DGT11" s="4"/>
      <c r="DGU11" s="65"/>
      <c r="DGV11" s="4"/>
      <c r="DGW11" s="4"/>
      <c r="DGX11" s="4"/>
      <c r="DHA11" s="34"/>
      <c r="DHB11" s="34"/>
      <c r="DHD11" s="34"/>
      <c r="DHE11" s="72"/>
      <c r="DHF11" s="63"/>
      <c r="DHG11" s="34"/>
      <c r="DHH11" s="64"/>
      <c r="DHI11" s="4"/>
      <c r="DHJ11" s="65"/>
      <c r="DHK11" s="4"/>
      <c r="DHL11" s="4"/>
      <c r="DHM11" s="4"/>
      <c r="DHP11" s="34"/>
      <c r="DHQ11" s="34"/>
      <c r="DHS11" s="34"/>
      <c r="DHT11" s="72"/>
      <c r="DHU11" s="63"/>
      <c r="DHV11" s="34"/>
      <c r="DHW11" s="64"/>
      <c r="DHX11" s="4"/>
      <c r="DHY11" s="65"/>
      <c r="DHZ11" s="4"/>
      <c r="DIA11" s="4"/>
      <c r="DIB11" s="4"/>
      <c r="DIE11" s="34"/>
      <c r="DIF11" s="34"/>
      <c r="DIH11" s="34"/>
      <c r="DII11" s="72"/>
      <c r="DIJ11" s="63"/>
      <c r="DIK11" s="34"/>
      <c r="DIL11" s="64"/>
      <c r="DIM11" s="4"/>
      <c r="DIN11" s="65"/>
      <c r="DIO11" s="4"/>
      <c r="DIP11" s="4"/>
      <c r="DIQ11" s="4"/>
      <c r="DIT11" s="34"/>
      <c r="DIU11" s="34"/>
      <c r="DIW11" s="34"/>
      <c r="DIX11" s="72"/>
      <c r="DIY11" s="63"/>
      <c r="DIZ11" s="34"/>
      <c r="DJA11" s="64"/>
      <c r="DJB11" s="4"/>
      <c r="DJC11" s="65"/>
      <c r="DJD11" s="4"/>
      <c r="DJE11" s="4"/>
      <c r="DJF11" s="4"/>
      <c r="DJI11" s="34"/>
      <c r="DJJ11" s="34"/>
      <c r="DJL11" s="34"/>
      <c r="DJM11" s="72"/>
      <c r="DJN11" s="63"/>
      <c r="DJO11" s="34"/>
      <c r="DJP11" s="64"/>
      <c r="DJQ11" s="4"/>
      <c r="DJR11" s="65"/>
      <c r="DJS11" s="4"/>
      <c r="DJT11" s="4"/>
      <c r="DJU11" s="4"/>
      <c r="DJX11" s="34"/>
      <c r="DJY11" s="34"/>
      <c r="DKA11" s="34"/>
      <c r="DKB11" s="72"/>
      <c r="DKC11" s="63"/>
      <c r="DKD11" s="34"/>
      <c r="DKE11" s="64"/>
      <c r="DKF11" s="4"/>
      <c r="DKG11" s="65"/>
      <c r="DKH11" s="4"/>
      <c r="DKI11" s="4"/>
      <c r="DKJ11" s="4"/>
      <c r="DKM11" s="34"/>
      <c r="DKN11" s="34"/>
      <c r="DKP11" s="34"/>
      <c r="DKQ11" s="72"/>
      <c r="DKR11" s="63"/>
      <c r="DKS11" s="34"/>
      <c r="DKT11" s="64"/>
      <c r="DKU11" s="4"/>
      <c r="DKV11" s="65"/>
      <c r="DKW11" s="4"/>
      <c r="DKX11" s="4"/>
      <c r="DKY11" s="4"/>
      <c r="DLB11" s="34"/>
      <c r="DLC11" s="34"/>
      <c r="DLE11" s="34"/>
      <c r="DLF11" s="72"/>
      <c r="DLG11" s="63"/>
      <c r="DLH11" s="34"/>
      <c r="DLI11" s="64"/>
      <c r="DLJ11" s="4"/>
      <c r="DLK11" s="65"/>
      <c r="DLL11" s="4"/>
      <c r="DLM11" s="4"/>
      <c r="DLN11" s="4"/>
      <c r="DLQ11" s="34"/>
      <c r="DLR11" s="34"/>
      <c r="DLT11" s="34"/>
      <c r="DLU11" s="72"/>
      <c r="DLV11" s="63"/>
      <c r="DLW11" s="34"/>
      <c r="DLX11" s="64"/>
      <c r="DLY11" s="4"/>
      <c r="DLZ11" s="65"/>
      <c r="DMA11" s="4"/>
      <c r="DMB11" s="4"/>
      <c r="DMC11" s="4"/>
      <c r="DMF11" s="34"/>
      <c r="DMG11" s="34"/>
      <c r="DMI11" s="34"/>
      <c r="DMJ11" s="72"/>
      <c r="DMK11" s="63"/>
      <c r="DML11" s="34"/>
      <c r="DMM11" s="64"/>
      <c r="DMN11" s="4"/>
      <c r="DMO11" s="65"/>
      <c r="DMP11" s="4"/>
      <c r="DMQ11" s="4"/>
      <c r="DMR11" s="4"/>
      <c r="DMU11" s="34"/>
      <c r="DMV11" s="34"/>
      <c r="DMX11" s="34"/>
      <c r="DMY11" s="72"/>
      <c r="DMZ11" s="63"/>
      <c r="DNA11" s="34"/>
      <c r="DNB11" s="64"/>
      <c r="DNC11" s="4"/>
      <c r="DND11" s="65"/>
      <c r="DNE11" s="4"/>
      <c r="DNF11" s="4"/>
      <c r="DNG11" s="4"/>
      <c r="DNJ11" s="34"/>
      <c r="DNK11" s="34"/>
      <c r="DNM11" s="34"/>
      <c r="DNN11" s="72"/>
      <c r="DNO11" s="63"/>
      <c r="DNP11" s="34"/>
      <c r="DNQ11" s="64"/>
      <c r="DNR11" s="4"/>
      <c r="DNS11" s="65"/>
      <c r="DNT11" s="4"/>
      <c r="DNU11" s="4"/>
      <c r="DNV11" s="4"/>
      <c r="DNY11" s="34"/>
      <c r="DNZ11" s="34"/>
      <c r="DOB11" s="34"/>
      <c r="DOC11" s="72"/>
      <c r="DOD11" s="63"/>
      <c r="DOE11" s="34"/>
      <c r="DOF11" s="64"/>
      <c r="DOG11" s="4"/>
      <c r="DOH11" s="65"/>
      <c r="DOI11" s="4"/>
      <c r="DOJ11" s="4"/>
      <c r="DOK11" s="4"/>
      <c r="DON11" s="34"/>
      <c r="DOO11" s="34"/>
      <c r="DOQ11" s="34"/>
      <c r="DOR11" s="72"/>
      <c r="DOS11" s="63"/>
      <c r="DOT11" s="34"/>
      <c r="DOU11" s="64"/>
      <c r="DOV11" s="4"/>
      <c r="DOW11" s="65"/>
      <c r="DOX11" s="4"/>
      <c r="DOY11" s="4"/>
      <c r="DOZ11" s="4"/>
      <c r="DPC11" s="34"/>
      <c r="DPD11" s="34"/>
      <c r="DPF11" s="34"/>
      <c r="DPG11" s="72"/>
      <c r="DPH11" s="63"/>
      <c r="DPI11" s="34"/>
      <c r="DPJ11" s="64"/>
      <c r="DPK11" s="4"/>
      <c r="DPL11" s="65"/>
      <c r="DPM11" s="4"/>
      <c r="DPN11" s="4"/>
      <c r="DPO11" s="4"/>
      <c r="DPR11" s="34"/>
      <c r="DPS11" s="34"/>
      <c r="DPU11" s="34"/>
      <c r="DPV11" s="72"/>
      <c r="DPW11" s="63"/>
      <c r="DPX11" s="34"/>
      <c r="DPY11" s="64"/>
      <c r="DPZ11" s="4"/>
      <c r="DQA11" s="65"/>
      <c r="DQB11" s="4"/>
      <c r="DQC11" s="4"/>
      <c r="DQD11" s="4"/>
      <c r="DQG11" s="34"/>
      <c r="DQH11" s="34"/>
      <c r="DQJ11" s="34"/>
      <c r="DQK11" s="72"/>
      <c r="DQL11" s="63"/>
      <c r="DQM11" s="34"/>
      <c r="DQN11" s="64"/>
      <c r="DQO11" s="4"/>
      <c r="DQP11" s="65"/>
      <c r="DQQ11" s="4"/>
      <c r="DQR11" s="4"/>
      <c r="DQS11" s="4"/>
      <c r="DQV11" s="34"/>
      <c r="DQW11" s="34"/>
      <c r="DQY11" s="34"/>
      <c r="DQZ11" s="72"/>
      <c r="DRA11" s="63"/>
      <c r="DRB11" s="34"/>
      <c r="DRC11" s="64"/>
      <c r="DRD11" s="4"/>
      <c r="DRE11" s="65"/>
      <c r="DRF11" s="4"/>
      <c r="DRG11" s="4"/>
      <c r="DRH11" s="4"/>
      <c r="DRK11" s="34"/>
      <c r="DRL11" s="34"/>
      <c r="DRN11" s="34"/>
      <c r="DRO11" s="72"/>
      <c r="DRP11" s="63"/>
      <c r="DRQ11" s="34"/>
      <c r="DRR11" s="64"/>
      <c r="DRS11" s="4"/>
      <c r="DRT11" s="65"/>
      <c r="DRU11" s="4"/>
      <c r="DRV11" s="4"/>
      <c r="DRW11" s="4"/>
      <c r="DRZ11" s="34"/>
      <c r="DSA11" s="34"/>
      <c r="DSC11" s="34"/>
      <c r="DSD11" s="72"/>
      <c r="DSE11" s="63"/>
      <c r="DSF11" s="34"/>
      <c r="DSG11" s="64"/>
      <c r="DSH11" s="4"/>
      <c r="DSI11" s="65"/>
      <c r="DSJ11" s="4"/>
      <c r="DSK11" s="4"/>
      <c r="DSL11" s="4"/>
      <c r="DSO11" s="34"/>
      <c r="DSP11" s="34"/>
      <c r="DSR11" s="34"/>
      <c r="DSS11" s="72"/>
      <c r="DST11" s="63"/>
      <c r="DSU11" s="34"/>
      <c r="DSV11" s="64"/>
      <c r="DSW11" s="4"/>
      <c r="DSX11" s="65"/>
      <c r="DSY11" s="4"/>
      <c r="DSZ11" s="4"/>
      <c r="DTA11" s="4"/>
      <c r="DTD11" s="34"/>
      <c r="DTE11" s="34"/>
      <c r="DTG11" s="34"/>
      <c r="DTH11" s="72"/>
      <c r="DTI11" s="63"/>
      <c r="DTJ11" s="34"/>
      <c r="DTK11" s="64"/>
      <c r="DTL11" s="4"/>
      <c r="DTM11" s="65"/>
      <c r="DTN11" s="4"/>
      <c r="DTO11" s="4"/>
      <c r="DTP11" s="4"/>
      <c r="DTS11" s="34"/>
      <c r="DTT11" s="34"/>
      <c r="DTV11" s="34"/>
      <c r="DTW11" s="72"/>
      <c r="DTX11" s="63"/>
      <c r="DTY11" s="34"/>
      <c r="DTZ11" s="64"/>
      <c r="DUA11" s="4"/>
      <c r="DUB11" s="65"/>
      <c r="DUC11" s="4"/>
      <c r="DUD11" s="4"/>
      <c r="DUE11" s="4"/>
      <c r="DUH11" s="34"/>
      <c r="DUI11" s="34"/>
      <c r="DUK11" s="34"/>
      <c r="DUL11" s="72"/>
      <c r="DUM11" s="63"/>
      <c r="DUN11" s="34"/>
      <c r="DUO11" s="64"/>
      <c r="DUP11" s="4"/>
      <c r="DUQ11" s="65"/>
      <c r="DUR11" s="4"/>
      <c r="DUS11" s="4"/>
      <c r="DUT11" s="4"/>
      <c r="DUW11" s="34"/>
      <c r="DUX11" s="34"/>
      <c r="DUZ11" s="34"/>
      <c r="DVA11" s="72"/>
      <c r="DVB11" s="63"/>
      <c r="DVC11" s="34"/>
      <c r="DVD11" s="64"/>
      <c r="DVE11" s="4"/>
      <c r="DVF11" s="65"/>
      <c r="DVG11" s="4"/>
      <c r="DVH11" s="4"/>
      <c r="DVI11" s="4"/>
      <c r="DVL11" s="34"/>
      <c r="DVM11" s="34"/>
      <c r="DVO11" s="34"/>
      <c r="DVP11" s="72"/>
      <c r="DVQ11" s="63"/>
      <c r="DVR11" s="34"/>
      <c r="DVS11" s="64"/>
      <c r="DVT11" s="4"/>
      <c r="DVU11" s="65"/>
      <c r="DVV11" s="4"/>
      <c r="DVW11" s="4"/>
      <c r="DVX11" s="4"/>
      <c r="DWA11" s="34"/>
      <c r="DWB11" s="34"/>
      <c r="DWD11" s="34"/>
      <c r="DWE11" s="72"/>
      <c r="DWF11" s="63"/>
      <c r="DWG11" s="34"/>
      <c r="DWH11" s="64"/>
      <c r="DWI11" s="4"/>
      <c r="DWJ11" s="65"/>
      <c r="DWK11" s="4"/>
      <c r="DWL11" s="4"/>
      <c r="DWM11" s="4"/>
      <c r="DWP11" s="34"/>
      <c r="DWQ11" s="34"/>
      <c r="DWS11" s="34"/>
      <c r="DWT11" s="72"/>
      <c r="DWU11" s="63"/>
      <c r="DWV11" s="34"/>
      <c r="DWW11" s="64"/>
      <c r="DWX11" s="4"/>
      <c r="DWY11" s="65"/>
      <c r="DWZ11" s="4"/>
      <c r="DXA11" s="4"/>
      <c r="DXB11" s="4"/>
      <c r="DXE11" s="34"/>
      <c r="DXF11" s="34"/>
      <c r="DXH11" s="34"/>
      <c r="DXI11" s="72"/>
      <c r="DXJ11" s="63"/>
      <c r="DXK11" s="34"/>
      <c r="DXL11" s="64"/>
      <c r="DXM11" s="4"/>
      <c r="DXN11" s="65"/>
      <c r="DXO11" s="4"/>
      <c r="DXP11" s="4"/>
      <c r="DXQ11" s="4"/>
      <c r="DXT11" s="34"/>
      <c r="DXU11" s="34"/>
      <c r="DXW11" s="34"/>
      <c r="DXX11" s="72"/>
      <c r="DXY11" s="63"/>
      <c r="DXZ11" s="34"/>
      <c r="DYA11" s="64"/>
      <c r="DYB11" s="4"/>
      <c r="DYC11" s="65"/>
      <c r="DYD11" s="4"/>
      <c r="DYE11" s="4"/>
      <c r="DYF11" s="4"/>
      <c r="DYI11" s="34"/>
      <c r="DYJ11" s="34"/>
      <c r="DYL11" s="34"/>
      <c r="DYM11" s="72"/>
      <c r="DYN11" s="63"/>
      <c r="DYO11" s="34"/>
      <c r="DYP11" s="64"/>
      <c r="DYQ11" s="4"/>
      <c r="DYR11" s="65"/>
      <c r="DYS11" s="4"/>
      <c r="DYT11" s="4"/>
      <c r="DYU11" s="4"/>
      <c r="DYX11" s="34"/>
      <c r="DYY11" s="34"/>
      <c r="DZA11" s="34"/>
      <c r="DZB11" s="72"/>
      <c r="DZC11" s="63"/>
      <c r="DZD11" s="34"/>
      <c r="DZE11" s="64"/>
      <c r="DZF11" s="4"/>
      <c r="DZG11" s="65"/>
      <c r="DZH11" s="4"/>
      <c r="DZI11" s="4"/>
      <c r="DZJ11" s="4"/>
      <c r="DZM11" s="34"/>
      <c r="DZN11" s="34"/>
      <c r="DZP11" s="34"/>
      <c r="DZQ11" s="72"/>
      <c r="DZR11" s="63"/>
      <c r="DZS11" s="34"/>
      <c r="DZT11" s="64"/>
      <c r="DZU11" s="4"/>
      <c r="DZV11" s="65"/>
      <c r="DZW11" s="4"/>
      <c r="DZX11" s="4"/>
      <c r="DZY11" s="4"/>
      <c r="EAB11" s="34"/>
      <c r="EAC11" s="34"/>
      <c r="EAE11" s="34"/>
      <c r="EAF11" s="72"/>
      <c r="EAG11" s="63"/>
      <c r="EAH11" s="34"/>
      <c r="EAI11" s="64"/>
      <c r="EAJ11" s="4"/>
      <c r="EAK11" s="65"/>
      <c r="EAL11" s="4"/>
      <c r="EAM11" s="4"/>
      <c r="EAN11" s="4"/>
      <c r="EAQ11" s="34"/>
      <c r="EAR11" s="34"/>
      <c r="EAT11" s="34"/>
      <c r="EAU11" s="72"/>
      <c r="EAV11" s="63"/>
      <c r="EAW11" s="34"/>
      <c r="EAX11" s="64"/>
      <c r="EAY11" s="4"/>
      <c r="EAZ11" s="65"/>
      <c r="EBA11" s="4"/>
      <c r="EBB11" s="4"/>
      <c r="EBC11" s="4"/>
      <c r="EBF11" s="34"/>
      <c r="EBG11" s="34"/>
      <c r="EBI11" s="34"/>
      <c r="EBJ11" s="72"/>
      <c r="EBK11" s="63"/>
      <c r="EBL11" s="34"/>
      <c r="EBM11" s="64"/>
      <c r="EBN11" s="4"/>
      <c r="EBO11" s="65"/>
      <c r="EBP11" s="4"/>
      <c r="EBQ11" s="4"/>
      <c r="EBR11" s="4"/>
      <c r="EBU11" s="34"/>
      <c r="EBV11" s="34"/>
      <c r="EBX11" s="34"/>
      <c r="EBY11" s="72"/>
      <c r="EBZ11" s="63"/>
      <c r="ECA11" s="34"/>
      <c r="ECB11" s="64"/>
      <c r="ECC11" s="4"/>
      <c r="ECD11" s="65"/>
      <c r="ECE11" s="4"/>
      <c r="ECF11" s="4"/>
      <c r="ECG11" s="4"/>
      <c r="ECJ11" s="34"/>
      <c r="ECK11" s="34"/>
      <c r="ECM11" s="34"/>
      <c r="ECN11" s="72"/>
      <c r="ECO11" s="63"/>
      <c r="ECP11" s="34"/>
      <c r="ECQ11" s="64"/>
      <c r="ECR11" s="4"/>
      <c r="ECS11" s="65"/>
      <c r="ECT11" s="4"/>
      <c r="ECU11" s="4"/>
      <c r="ECV11" s="4"/>
      <c r="ECY11" s="34"/>
      <c r="ECZ11" s="34"/>
      <c r="EDB11" s="34"/>
      <c r="EDC11" s="72"/>
      <c r="EDD11" s="63"/>
      <c r="EDE11" s="34"/>
      <c r="EDF11" s="64"/>
      <c r="EDG11" s="4"/>
      <c r="EDH11" s="65"/>
      <c r="EDI11" s="4"/>
      <c r="EDJ11" s="4"/>
      <c r="EDK11" s="4"/>
      <c r="EDN11" s="34"/>
      <c r="EDO11" s="34"/>
      <c r="EDQ11" s="34"/>
      <c r="EDR11" s="72"/>
      <c r="EDS11" s="63"/>
      <c r="EDT11" s="34"/>
      <c r="EDU11" s="64"/>
      <c r="EDV11" s="4"/>
      <c r="EDW11" s="65"/>
      <c r="EDX11" s="4"/>
      <c r="EDY11" s="4"/>
      <c r="EDZ11" s="4"/>
      <c r="EEC11" s="34"/>
      <c r="EED11" s="34"/>
      <c r="EEF11" s="34"/>
      <c r="EEG11" s="72"/>
      <c r="EEH11" s="63"/>
      <c r="EEI11" s="34"/>
      <c r="EEJ11" s="64"/>
      <c r="EEK11" s="4"/>
      <c r="EEL11" s="65"/>
      <c r="EEM11" s="4"/>
      <c r="EEN11" s="4"/>
      <c r="EEO11" s="4"/>
      <c r="EER11" s="34"/>
      <c r="EES11" s="34"/>
      <c r="EEU11" s="34"/>
      <c r="EEV11" s="72"/>
      <c r="EEW11" s="63"/>
      <c r="EEX11" s="34"/>
      <c r="EEY11" s="64"/>
      <c r="EEZ11" s="4"/>
      <c r="EFA11" s="65"/>
      <c r="EFB11" s="4"/>
      <c r="EFC11" s="4"/>
      <c r="EFD11" s="4"/>
      <c r="EFG11" s="34"/>
      <c r="EFH11" s="34"/>
      <c r="EFJ11" s="34"/>
      <c r="EFK11" s="72"/>
      <c r="EFL11" s="63"/>
      <c r="EFM11" s="34"/>
      <c r="EFN11" s="64"/>
      <c r="EFO11" s="4"/>
      <c r="EFP11" s="65"/>
      <c r="EFQ11" s="4"/>
      <c r="EFR11" s="4"/>
      <c r="EFS11" s="4"/>
      <c r="EFV11" s="34"/>
      <c r="EFW11" s="34"/>
      <c r="EFY11" s="34"/>
      <c r="EFZ11" s="72"/>
      <c r="EGA11" s="63"/>
      <c r="EGB11" s="34"/>
      <c r="EGC11" s="64"/>
      <c r="EGD11" s="4"/>
      <c r="EGE11" s="65"/>
      <c r="EGF11" s="4"/>
      <c r="EGG11" s="4"/>
      <c r="EGH11" s="4"/>
      <c r="EGK11" s="34"/>
      <c r="EGL11" s="34"/>
      <c r="EGN11" s="34"/>
      <c r="EGO11" s="72"/>
      <c r="EGP11" s="63"/>
      <c r="EGQ11" s="34"/>
      <c r="EGR11" s="64"/>
      <c r="EGS11" s="4"/>
      <c r="EGT11" s="65"/>
      <c r="EGU11" s="4"/>
      <c r="EGV11" s="4"/>
      <c r="EGW11" s="4"/>
      <c r="EGZ11" s="34"/>
      <c r="EHA11" s="34"/>
      <c r="EHC11" s="34"/>
      <c r="EHD11" s="72"/>
      <c r="EHE11" s="63"/>
      <c r="EHF11" s="34"/>
      <c r="EHG11" s="64"/>
      <c r="EHH11" s="4"/>
      <c r="EHI11" s="65"/>
      <c r="EHJ11" s="4"/>
      <c r="EHK11" s="4"/>
      <c r="EHL11" s="4"/>
      <c r="EHO11" s="34"/>
      <c r="EHP11" s="34"/>
      <c r="EHR11" s="34"/>
      <c r="EHS11" s="72"/>
      <c r="EHT11" s="63"/>
      <c r="EHU11" s="34"/>
      <c r="EHV11" s="64"/>
      <c r="EHW11" s="4"/>
      <c r="EHX11" s="65"/>
      <c r="EHY11" s="4"/>
      <c r="EHZ11" s="4"/>
      <c r="EIA11" s="4"/>
      <c r="EID11" s="34"/>
      <c r="EIE11" s="34"/>
      <c r="EIG11" s="34"/>
      <c r="EIH11" s="72"/>
      <c r="EII11" s="63"/>
      <c r="EIJ11" s="34"/>
      <c r="EIK11" s="64"/>
      <c r="EIL11" s="4"/>
      <c r="EIM11" s="65"/>
      <c r="EIN11" s="4"/>
      <c r="EIO11" s="4"/>
      <c r="EIP11" s="4"/>
      <c r="EIS11" s="34"/>
      <c r="EIT11" s="34"/>
      <c r="EIV11" s="34"/>
      <c r="EIW11" s="72"/>
      <c r="EIX11" s="63"/>
      <c r="EIY11" s="34"/>
      <c r="EIZ11" s="64"/>
      <c r="EJA11" s="4"/>
      <c r="EJB11" s="65"/>
      <c r="EJC11" s="4"/>
      <c r="EJD11" s="4"/>
      <c r="EJE11" s="4"/>
      <c r="EJH11" s="34"/>
      <c r="EJI11" s="34"/>
      <c r="EJK11" s="34"/>
      <c r="EJL11" s="72"/>
      <c r="EJM11" s="63"/>
      <c r="EJN11" s="34"/>
      <c r="EJO11" s="64"/>
      <c r="EJP11" s="4"/>
      <c r="EJQ11" s="65"/>
      <c r="EJR11" s="4"/>
      <c r="EJS11" s="4"/>
      <c r="EJT11" s="4"/>
      <c r="EJW11" s="34"/>
      <c r="EJX11" s="34"/>
      <c r="EJZ11" s="34"/>
      <c r="EKA11" s="72"/>
      <c r="EKB11" s="63"/>
      <c r="EKC11" s="34"/>
      <c r="EKD11" s="64"/>
      <c r="EKE11" s="4"/>
      <c r="EKF11" s="65"/>
      <c r="EKG11" s="4"/>
      <c r="EKH11" s="4"/>
      <c r="EKI11" s="4"/>
      <c r="EKL11" s="34"/>
      <c r="EKM11" s="34"/>
      <c r="EKO11" s="34"/>
      <c r="EKP11" s="72"/>
      <c r="EKQ11" s="63"/>
      <c r="EKR11" s="34"/>
      <c r="EKS11" s="64"/>
      <c r="EKT11" s="4"/>
      <c r="EKU11" s="65"/>
      <c r="EKV11" s="4"/>
      <c r="EKW11" s="4"/>
      <c r="EKX11" s="4"/>
      <c r="ELA11" s="34"/>
      <c r="ELB11" s="34"/>
      <c r="ELD11" s="34"/>
      <c r="ELE11" s="72"/>
      <c r="ELF11" s="63"/>
      <c r="ELG11" s="34"/>
      <c r="ELH11" s="64"/>
      <c r="ELI11" s="4"/>
      <c r="ELJ11" s="65"/>
      <c r="ELK11" s="4"/>
      <c r="ELL11" s="4"/>
      <c r="ELM11" s="4"/>
      <c r="ELP11" s="34"/>
      <c r="ELQ11" s="34"/>
      <c r="ELS11" s="34"/>
      <c r="ELT11" s="72"/>
      <c r="ELU11" s="63"/>
      <c r="ELV11" s="34"/>
      <c r="ELW11" s="64"/>
      <c r="ELX11" s="4"/>
      <c r="ELY11" s="65"/>
      <c r="ELZ11" s="4"/>
      <c r="EMA11" s="4"/>
      <c r="EMB11" s="4"/>
      <c r="EME11" s="34"/>
      <c r="EMF11" s="34"/>
      <c r="EMH11" s="34"/>
      <c r="EMI11" s="72"/>
      <c r="EMJ11" s="63"/>
      <c r="EMK11" s="34"/>
      <c r="EML11" s="64"/>
      <c r="EMM11" s="4"/>
      <c r="EMN11" s="65"/>
      <c r="EMO11" s="4"/>
      <c r="EMP11" s="4"/>
      <c r="EMQ11" s="4"/>
      <c r="EMT11" s="34"/>
      <c r="EMU11" s="34"/>
      <c r="EMW11" s="34"/>
      <c r="EMX11" s="72"/>
      <c r="EMY11" s="63"/>
      <c r="EMZ11" s="34"/>
      <c r="ENA11" s="64"/>
      <c r="ENB11" s="4"/>
      <c r="ENC11" s="65"/>
      <c r="END11" s="4"/>
      <c r="ENE11" s="4"/>
      <c r="ENF11" s="4"/>
      <c r="ENI11" s="34"/>
      <c r="ENJ11" s="34"/>
      <c r="ENL11" s="34"/>
      <c r="ENM11" s="72"/>
      <c r="ENN11" s="63"/>
      <c r="ENO11" s="34"/>
      <c r="ENP11" s="64"/>
      <c r="ENQ11" s="4"/>
      <c r="ENR11" s="65"/>
      <c r="ENS11" s="4"/>
      <c r="ENT11" s="4"/>
      <c r="ENU11" s="4"/>
      <c r="ENX11" s="34"/>
      <c r="ENY11" s="34"/>
      <c r="EOA11" s="34"/>
      <c r="EOB11" s="72"/>
      <c r="EOC11" s="63"/>
      <c r="EOD11" s="34"/>
      <c r="EOE11" s="64"/>
      <c r="EOF11" s="4"/>
      <c r="EOG11" s="65"/>
      <c r="EOH11" s="4"/>
      <c r="EOI11" s="4"/>
      <c r="EOJ11" s="4"/>
      <c r="EOM11" s="34"/>
      <c r="EON11" s="34"/>
      <c r="EOP11" s="34"/>
      <c r="EOQ11" s="72"/>
      <c r="EOR11" s="63"/>
      <c r="EOS11" s="34"/>
      <c r="EOT11" s="64"/>
      <c r="EOU11" s="4"/>
      <c r="EOV11" s="65"/>
      <c r="EOW11" s="4"/>
      <c r="EOX11" s="4"/>
      <c r="EOY11" s="4"/>
      <c r="EPB11" s="34"/>
      <c r="EPC11" s="34"/>
      <c r="EPE11" s="34"/>
      <c r="EPF11" s="72"/>
      <c r="EPG11" s="63"/>
      <c r="EPH11" s="34"/>
      <c r="EPI11" s="64"/>
      <c r="EPJ11" s="4"/>
      <c r="EPK11" s="65"/>
      <c r="EPL11" s="4"/>
      <c r="EPM11" s="4"/>
      <c r="EPN11" s="4"/>
      <c r="EPQ11" s="34"/>
      <c r="EPR11" s="34"/>
      <c r="EPT11" s="34"/>
      <c r="EPU11" s="72"/>
      <c r="EPV11" s="63"/>
      <c r="EPW11" s="34"/>
      <c r="EPX11" s="64"/>
      <c r="EPY11" s="4"/>
      <c r="EPZ11" s="65"/>
      <c r="EQA11" s="4"/>
      <c r="EQB11" s="4"/>
      <c r="EQC11" s="4"/>
      <c r="EQF11" s="34"/>
      <c r="EQG11" s="34"/>
      <c r="EQI11" s="34"/>
      <c r="EQJ11" s="72"/>
      <c r="EQK11" s="63"/>
      <c r="EQL11" s="34"/>
      <c r="EQM11" s="64"/>
      <c r="EQN11" s="4"/>
      <c r="EQO11" s="65"/>
      <c r="EQP11" s="4"/>
      <c r="EQQ11" s="4"/>
      <c r="EQR11" s="4"/>
      <c r="EQU11" s="34"/>
      <c r="EQV11" s="34"/>
      <c r="EQX11" s="34"/>
      <c r="EQY11" s="72"/>
      <c r="EQZ11" s="63"/>
      <c r="ERA11" s="34"/>
      <c r="ERB11" s="64"/>
      <c r="ERC11" s="4"/>
      <c r="ERD11" s="65"/>
      <c r="ERE11" s="4"/>
      <c r="ERF11" s="4"/>
      <c r="ERG11" s="4"/>
      <c r="ERJ11" s="34"/>
      <c r="ERK11" s="34"/>
      <c r="ERM11" s="34"/>
      <c r="ERN11" s="72"/>
      <c r="ERO11" s="63"/>
      <c r="ERP11" s="34"/>
      <c r="ERQ11" s="64"/>
      <c r="ERR11" s="4"/>
      <c r="ERS11" s="65"/>
      <c r="ERT11" s="4"/>
      <c r="ERU11" s="4"/>
      <c r="ERV11" s="4"/>
      <c r="ERY11" s="34"/>
      <c r="ERZ11" s="34"/>
      <c r="ESB11" s="34"/>
      <c r="ESC11" s="72"/>
      <c r="ESD11" s="63"/>
      <c r="ESE11" s="34"/>
      <c r="ESF11" s="64"/>
      <c r="ESG11" s="4"/>
      <c r="ESH11" s="65"/>
      <c r="ESI11" s="4"/>
      <c r="ESJ11" s="4"/>
      <c r="ESK11" s="4"/>
      <c r="ESN11" s="34"/>
      <c r="ESO11" s="34"/>
      <c r="ESQ11" s="34"/>
      <c r="ESR11" s="72"/>
      <c r="ESS11" s="63"/>
      <c r="EST11" s="34"/>
      <c r="ESU11" s="64"/>
      <c r="ESV11" s="4"/>
      <c r="ESW11" s="65"/>
      <c r="ESX11" s="4"/>
      <c r="ESY11" s="4"/>
      <c r="ESZ11" s="4"/>
      <c r="ETC11" s="34"/>
      <c r="ETD11" s="34"/>
      <c r="ETF11" s="34"/>
      <c r="ETG11" s="72"/>
      <c r="ETH11" s="63"/>
      <c r="ETI11" s="34"/>
      <c r="ETJ11" s="64"/>
      <c r="ETK11" s="4"/>
      <c r="ETL11" s="65"/>
      <c r="ETM11" s="4"/>
      <c r="ETN11" s="4"/>
      <c r="ETO11" s="4"/>
      <c r="ETR11" s="34"/>
      <c r="ETS11" s="34"/>
      <c r="ETU11" s="34"/>
      <c r="ETV11" s="72"/>
      <c r="ETW11" s="63"/>
      <c r="ETX11" s="34"/>
      <c r="ETY11" s="64"/>
      <c r="ETZ11" s="4"/>
      <c r="EUA11" s="65"/>
      <c r="EUB11" s="4"/>
      <c r="EUC11" s="4"/>
      <c r="EUD11" s="4"/>
      <c r="EUG11" s="34"/>
      <c r="EUH11" s="34"/>
      <c r="EUJ11" s="34"/>
      <c r="EUK11" s="72"/>
      <c r="EUL11" s="63"/>
      <c r="EUM11" s="34"/>
      <c r="EUN11" s="64"/>
      <c r="EUO11" s="4"/>
      <c r="EUP11" s="65"/>
      <c r="EUQ11" s="4"/>
      <c r="EUR11" s="4"/>
      <c r="EUS11" s="4"/>
      <c r="EUV11" s="34"/>
      <c r="EUW11" s="34"/>
      <c r="EUY11" s="34"/>
      <c r="EUZ11" s="72"/>
      <c r="EVA11" s="63"/>
      <c r="EVB11" s="34"/>
      <c r="EVC11" s="64"/>
      <c r="EVD11" s="4"/>
      <c r="EVE11" s="65"/>
      <c r="EVF11" s="4"/>
      <c r="EVG11" s="4"/>
      <c r="EVH11" s="4"/>
      <c r="EVK11" s="34"/>
      <c r="EVL11" s="34"/>
      <c r="EVN11" s="34"/>
      <c r="EVO11" s="72"/>
      <c r="EVP11" s="63"/>
      <c r="EVQ11" s="34"/>
      <c r="EVR11" s="64"/>
      <c r="EVS11" s="4"/>
      <c r="EVT11" s="65"/>
      <c r="EVU11" s="4"/>
      <c r="EVV11" s="4"/>
      <c r="EVW11" s="4"/>
      <c r="EVZ11" s="34"/>
      <c r="EWA11" s="34"/>
      <c r="EWC11" s="34"/>
      <c r="EWD11" s="72"/>
      <c r="EWE11" s="63"/>
      <c r="EWF11" s="34"/>
      <c r="EWG11" s="64"/>
      <c r="EWH11" s="4"/>
      <c r="EWI11" s="65"/>
      <c r="EWJ11" s="4"/>
      <c r="EWK11" s="4"/>
      <c r="EWL11" s="4"/>
      <c r="EWO11" s="34"/>
      <c r="EWP11" s="34"/>
      <c r="EWR11" s="34"/>
      <c r="EWS11" s="72"/>
      <c r="EWT11" s="63"/>
      <c r="EWU11" s="34"/>
      <c r="EWV11" s="64"/>
      <c r="EWW11" s="4"/>
      <c r="EWX11" s="65"/>
      <c r="EWY11" s="4"/>
      <c r="EWZ11" s="4"/>
      <c r="EXA11" s="4"/>
      <c r="EXD11" s="34"/>
      <c r="EXE11" s="34"/>
      <c r="EXG11" s="34"/>
      <c r="EXH11" s="72"/>
      <c r="EXI11" s="63"/>
      <c r="EXJ11" s="34"/>
      <c r="EXK11" s="64"/>
      <c r="EXL11" s="4"/>
      <c r="EXM11" s="65"/>
      <c r="EXN11" s="4"/>
      <c r="EXO11" s="4"/>
      <c r="EXP11" s="4"/>
      <c r="EXS11" s="34"/>
      <c r="EXT11" s="34"/>
      <c r="EXV11" s="34"/>
      <c r="EXW11" s="72"/>
      <c r="EXX11" s="63"/>
      <c r="EXY11" s="34"/>
      <c r="EXZ11" s="64"/>
      <c r="EYA11" s="4"/>
      <c r="EYB11" s="65"/>
      <c r="EYC11" s="4"/>
      <c r="EYD11" s="4"/>
      <c r="EYE11" s="4"/>
      <c r="EYH11" s="34"/>
      <c r="EYI11" s="34"/>
      <c r="EYK11" s="34"/>
      <c r="EYL11" s="72"/>
      <c r="EYM11" s="63"/>
      <c r="EYN11" s="34"/>
      <c r="EYO11" s="64"/>
      <c r="EYP11" s="4"/>
      <c r="EYQ11" s="65"/>
      <c r="EYR11" s="4"/>
      <c r="EYS11" s="4"/>
      <c r="EYT11" s="4"/>
      <c r="EYW11" s="34"/>
      <c r="EYX11" s="34"/>
      <c r="EYZ11" s="34"/>
      <c r="EZA11" s="72"/>
      <c r="EZB11" s="63"/>
      <c r="EZC11" s="34"/>
      <c r="EZD11" s="64"/>
      <c r="EZE11" s="4"/>
      <c r="EZF11" s="65"/>
      <c r="EZG11" s="4"/>
      <c r="EZH11" s="4"/>
      <c r="EZI11" s="4"/>
      <c r="EZL11" s="34"/>
      <c r="EZM11" s="34"/>
      <c r="EZO11" s="34"/>
      <c r="EZP11" s="72"/>
      <c r="EZQ11" s="63"/>
      <c r="EZR11" s="34"/>
      <c r="EZS11" s="64"/>
      <c r="EZT11" s="4"/>
      <c r="EZU11" s="65"/>
      <c r="EZV11" s="4"/>
      <c r="EZW11" s="4"/>
      <c r="EZX11" s="4"/>
      <c r="FAA11" s="34"/>
      <c r="FAB11" s="34"/>
      <c r="FAD11" s="34"/>
      <c r="FAE11" s="72"/>
      <c r="FAF11" s="63"/>
      <c r="FAG11" s="34"/>
      <c r="FAH11" s="64"/>
      <c r="FAI11" s="4"/>
      <c r="FAJ11" s="65"/>
      <c r="FAK11" s="4"/>
      <c r="FAL11" s="4"/>
      <c r="FAM11" s="4"/>
      <c r="FAP11" s="34"/>
      <c r="FAQ11" s="34"/>
      <c r="FAS11" s="34"/>
      <c r="FAT11" s="72"/>
      <c r="FAU11" s="63"/>
      <c r="FAV11" s="34"/>
      <c r="FAW11" s="64"/>
      <c r="FAX11" s="4"/>
      <c r="FAY11" s="65"/>
      <c r="FAZ11" s="4"/>
      <c r="FBA11" s="4"/>
      <c r="FBB11" s="4"/>
      <c r="FBE11" s="34"/>
      <c r="FBF11" s="34"/>
      <c r="FBH11" s="34"/>
      <c r="FBI11" s="72"/>
      <c r="FBJ11" s="63"/>
      <c r="FBK11" s="34"/>
      <c r="FBL11" s="64"/>
      <c r="FBM11" s="4"/>
      <c r="FBN11" s="65"/>
      <c r="FBO11" s="4"/>
      <c r="FBP11" s="4"/>
      <c r="FBQ11" s="4"/>
      <c r="FBT11" s="34"/>
      <c r="FBU11" s="34"/>
      <c r="FBW11" s="34"/>
      <c r="FBX11" s="72"/>
      <c r="FBY11" s="63"/>
      <c r="FBZ11" s="34"/>
      <c r="FCA11" s="64"/>
      <c r="FCB11" s="4"/>
      <c r="FCC11" s="65"/>
      <c r="FCD11" s="4"/>
      <c r="FCE11" s="4"/>
      <c r="FCF11" s="4"/>
      <c r="FCI11" s="34"/>
      <c r="FCJ11" s="34"/>
      <c r="FCL11" s="34"/>
      <c r="FCM11" s="72"/>
      <c r="FCN11" s="63"/>
      <c r="FCO11" s="34"/>
      <c r="FCP11" s="64"/>
      <c r="FCQ11" s="4"/>
      <c r="FCR11" s="65"/>
      <c r="FCS11" s="4"/>
      <c r="FCT11" s="4"/>
      <c r="FCU11" s="4"/>
      <c r="FCX11" s="34"/>
      <c r="FCY11" s="34"/>
      <c r="FDA11" s="34"/>
      <c r="FDB11" s="72"/>
      <c r="FDC11" s="63"/>
      <c r="FDD11" s="34"/>
      <c r="FDE11" s="64"/>
      <c r="FDF11" s="4"/>
      <c r="FDG11" s="65"/>
      <c r="FDH11" s="4"/>
      <c r="FDI11" s="4"/>
      <c r="FDJ11" s="4"/>
      <c r="FDM11" s="34"/>
      <c r="FDN11" s="34"/>
      <c r="FDP11" s="34"/>
      <c r="FDQ11" s="72"/>
      <c r="FDR11" s="63"/>
      <c r="FDS11" s="34"/>
      <c r="FDT11" s="64"/>
      <c r="FDU11" s="4"/>
      <c r="FDV11" s="65"/>
      <c r="FDW11" s="4"/>
      <c r="FDX11" s="4"/>
      <c r="FDY11" s="4"/>
      <c r="FEB11" s="34"/>
      <c r="FEC11" s="34"/>
      <c r="FEE11" s="34"/>
      <c r="FEF11" s="72"/>
      <c r="FEG11" s="63"/>
      <c r="FEH11" s="34"/>
      <c r="FEI11" s="64"/>
      <c r="FEJ11" s="4"/>
      <c r="FEK11" s="65"/>
      <c r="FEL11" s="4"/>
      <c r="FEM11" s="4"/>
      <c r="FEN11" s="4"/>
      <c r="FEQ11" s="34"/>
      <c r="FER11" s="34"/>
      <c r="FET11" s="34"/>
      <c r="FEU11" s="72"/>
      <c r="FEV11" s="63"/>
      <c r="FEW11" s="34"/>
      <c r="FEX11" s="64"/>
      <c r="FEY11" s="4"/>
      <c r="FEZ11" s="65"/>
      <c r="FFA11" s="4"/>
      <c r="FFB11" s="4"/>
      <c r="FFC11" s="4"/>
      <c r="FFF11" s="34"/>
      <c r="FFG11" s="34"/>
      <c r="FFI11" s="34"/>
      <c r="FFJ11" s="72"/>
      <c r="FFK11" s="63"/>
      <c r="FFL11" s="34"/>
      <c r="FFM11" s="64"/>
      <c r="FFN11" s="4"/>
      <c r="FFO11" s="65"/>
      <c r="FFP11" s="4"/>
      <c r="FFQ11" s="4"/>
      <c r="FFR11" s="4"/>
      <c r="FFU11" s="34"/>
      <c r="FFV11" s="34"/>
      <c r="FFX11" s="34"/>
      <c r="FFY11" s="72"/>
      <c r="FFZ11" s="63"/>
      <c r="FGA11" s="34"/>
      <c r="FGB11" s="64"/>
      <c r="FGC11" s="4"/>
      <c r="FGD11" s="65"/>
      <c r="FGE11" s="4"/>
      <c r="FGF11" s="4"/>
      <c r="FGG11" s="4"/>
      <c r="FGJ11" s="34"/>
      <c r="FGK11" s="34"/>
      <c r="FGM11" s="34"/>
      <c r="FGN11" s="72"/>
      <c r="FGO11" s="63"/>
      <c r="FGP11" s="34"/>
      <c r="FGQ11" s="64"/>
      <c r="FGR11" s="4"/>
      <c r="FGS11" s="65"/>
      <c r="FGT11" s="4"/>
      <c r="FGU11" s="4"/>
      <c r="FGV11" s="4"/>
      <c r="FGY11" s="34"/>
      <c r="FGZ11" s="34"/>
      <c r="FHB11" s="34"/>
      <c r="FHC11" s="72"/>
      <c r="FHD11" s="63"/>
      <c r="FHE11" s="34"/>
      <c r="FHF11" s="64"/>
      <c r="FHG11" s="4"/>
      <c r="FHH11" s="65"/>
      <c r="FHI11" s="4"/>
      <c r="FHJ11" s="4"/>
      <c r="FHK11" s="4"/>
      <c r="FHN11" s="34"/>
      <c r="FHO11" s="34"/>
      <c r="FHQ11" s="34"/>
      <c r="FHR11" s="72"/>
      <c r="FHS11" s="63"/>
      <c r="FHT11" s="34"/>
      <c r="FHU11" s="64"/>
      <c r="FHV11" s="4"/>
      <c r="FHW11" s="65"/>
      <c r="FHX11" s="4"/>
      <c r="FHY11" s="4"/>
      <c r="FHZ11" s="4"/>
      <c r="FIC11" s="34"/>
      <c r="FID11" s="34"/>
      <c r="FIF11" s="34"/>
      <c r="FIG11" s="72"/>
      <c r="FIH11" s="63"/>
      <c r="FII11" s="34"/>
      <c r="FIJ11" s="64"/>
      <c r="FIK11" s="4"/>
      <c r="FIL11" s="65"/>
      <c r="FIM11" s="4"/>
      <c r="FIN11" s="4"/>
      <c r="FIO11" s="4"/>
      <c r="FIR11" s="34"/>
      <c r="FIS11" s="34"/>
      <c r="FIU11" s="34"/>
      <c r="FIV11" s="72"/>
      <c r="FIW11" s="63"/>
      <c r="FIX11" s="34"/>
      <c r="FIY11" s="64"/>
      <c r="FIZ11" s="4"/>
      <c r="FJA11" s="65"/>
      <c r="FJB11" s="4"/>
      <c r="FJC11" s="4"/>
      <c r="FJD11" s="4"/>
      <c r="FJG11" s="34"/>
      <c r="FJH11" s="34"/>
      <c r="FJJ11" s="34"/>
      <c r="FJK11" s="72"/>
      <c r="FJL11" s="63"/>
      <c r="FJM11" s="34"/>
      <c r="FJN11" s="64"/>
      <c r="FJO11" s="4"/>
      <c r="FJP11" s="65"/>
      <c r="FJQ11" s="4"/>
      <c r="FJR11" s="4"/>
      <c r="FJS11" s="4"/>
      <c r="FJV11" s="34"/>
      <c r="FJW11" s="34"/>
      <c r="FJY11" s="34"/>
      <c r="FJZ11" s="72"/>
      <c r="FKA11" s="63"/>
      <c r="FKB11" s="34"/>
      <c r="FKC11" s="64"/>
      <c r="FKD11" s="4"/>
      <c r="FKE11" s="65"/>
      <c r="FKF11" s="4"/>
      <c r="FKG11" s="4"/>
      <c r="FKH11" s="4"/>
      <c r="FKK11" s="34"/>
      <c r="FKL11" s="34"/>
      <c r="FKN11" s="34"/>
      <c r="FKO11" s="72"/>
      <c r="FKP11" s="63"/>
      <c r="FKQ11" s="34"/>
      <c r="FKR11" s="64"/>
      <c r="FKS11" s="4"/>
      <c r="FKT11" s="65"/>
      <c r="FKU11" s="4"/>
      <c r="FKV11" s="4"/>
      <c r="FKW11" s="4"/>
      <c r="FKZ11" s="34"/>
      <c r="FLA11" s="34"/>
      <c r="FLC11" s="34"/>
      <c r="FLD11" s="72"/>
      <c r="FLE11" s="63"/>
      <c r="FLF11" s="34"/>
      <c r="FLG11" s="64"/>
      <c r="FLH11" s="4"/>
      <c r="FLI11" s="65"/>
      <c r="FLJ11" s="4"/>
      <c r="FLK11" s="4"/>
      <c r="FLL11" s="4"/>
      <c r="FLO11" s="34"/>
      <c r="FLP11" s="34"/>
      <c r="FLR11" s="34"/>
      <c r="FLS11" s="72"/>
      <c r="FLT11" s="63"/>
      <c r="FLU11" s="34"/>
      <c r="FLV11" s="64"/>
      <c r="FLW11" s="4"/>
      <c r="FLX11" s="65"/>
      <c r="FLY11" s="4"/>
      <c r="FLZ11" s="4"/>
      <c r="FMA11" s="4"/>
      <c r="FMD11" s="34"/>
      <c r="FME11" s="34"/>
      <c r="FMG11" s="34"/>
      <c r="FMH11" s="72"/>
      <c r="FMI11" s="63"/>
      <c r="FMJ11" s="34"/>
      <c r="FMK11" s="64"/>
      <c r="FML11" s="4"/>
      <c r="FMM11" s="65"/>
      <c r="FMN11" s="4"/>
      <c r="FMO11" s="4"/>
      <c r="FMP11" s="4"/>
      <c r="FMS11" s="34"/>
      <c r="FMT11" s="34"/>
      <c r="FMV11" s="34"/>
      <c r="FMW11" s="72"/>
      <c r="FMX11" s="63"/>
      <c r="FMY11" s="34"/>
      <c r="FMZ11" s="64"/>
      <c r="FNA11" s="4"/>
      <c r="FNB11" s="65"/>
      <c r="FNC11" s="4"/>
      <c r="FND11" s="4"/>
      <c r="FNE11" s="4"/>
      <c r="FNH11" s="34"/>
      <c r="FNI11" s="34"/>
      <c r="FNK11" s="34"/>
      <c r="FNL11" s="72"/>
      <c r="FNM11" s="63"/>
      <c r="FNN11" s="34"/>
      <c r="FNO11" s="64"/>
      <c r="FNP11" s="4"/>
      <c r="FNQ11" s="65"/>
      <c r="FNR11" s="4"/>
      <c r="FNS11" s="4"/>
      <c r="FNT11" s="4"/>
      <c r="FNW11" s="34"/>
      <c r="FNX11" s="34"/>
      <c r="FNZ11" s="34"/>
      <c r="FOA11" s="72"/>
      <c r="FOB11" s="63"/>
      <c r="FOC11" s="34"/>
      <c r="FOD11" s="64"/>
      <c r="FOE11" s="4"/>
      <c r="FOF11" s="65"/>
      <c r="FOG11" s="4"/>
      <c r="FOH11" s="4"/>
      <c r="FOI11" s="4"/>
      <c r="FOL11" s="34"/>
      <c r="FOM11" s="34"/>
      <c r="FOO11" s="34"/>
      <c r="FOP11" s="72"/>
      <c r="FOQ11" s="63"/>
      <c r="FOR11" s="34"/>
      <c r="FOS11" s="64"/>
      <c r="FOT11" s="4"/>
      <c r="FOU11" s="65"/>
      <c r="FOV11" s="4"/>
      <c r="FOW11" s="4"/>
      <c r="FOX11" s="4"/>
      <c r="FPA11" s="34"/>
      <c r="FPB11" s="34"/>
      <c r="FPD11" s="34"/>
      <c r="FPE11" s="72"/>
      <c r="FPF11" s="63"/>
      <c r="FPG11" s="34"/>
      <c r="FPH11" s="64"/>
      <c r="FPI11" s="4"/>
      <c r="FPJ11" s="65"/>
      <c r="FPK11" s="4"/>
      <c r="FPL11" s="4"/>
      <c r="FPM11" s="4"/>
      <c r="FPP11" s="34"/>
      <c r="FPQ11" s="34"/>
      <c r="FPS11" s="34"/>
      <c r="FPT11" s="72"/>
      <c r="FPU11" s="63"/>
      <c r="FPV11" s="34"/>
      <c r="FPW11" s="64"/>
      <c r="FPX11" s="4"/>
      <c r="FPY11" s="65"/>
      <c r="FPZ11" s="4"/>
      <c r="FQA11" s="4"/>
      <c r="FQB11" s="4"/>
      <c r="FQE11" s="34"/>
      <c r="FQF11" s="34"/>
      <c r="FQH11" s="34"/>
      <c r="FQI11" s="72"/>
      <c r="FQJ11" s="63"/>
      <c r="FQK11" s="34"/>
      <c r="FQL11" s="64"/>
      <c r="FQM11" s="4"/>
      <c r="FQN11" s="65"/>
      <c r="FQO11" s="4"/>
      <c r="FQP11" s="4"/>
      <c r="FQQ11" s="4"/>
      <c r="FQT11" s="34"/>
      <c r="FQU11" s="34"/>
      <c r="FQW11" s="34"/>
      <c r="FQX11" s="72"/>
      <c r="FQY11" s="63"/>
      <c r="FQZ11" s="34"/>
      <c r="FRA11" s="64"/>
      <c r="FRB11" s="4"/>
      <c r="FRC11" s="65"/>
      <c r="FRD11" s="4"/>
      <c r="FRE11" s="4"/>
      <c r="FRF11" s="4"/>
      <c r="FRI11" s="34"/>
      <c r="FRJ11" s="34"/>
      <c r="FRL11" s="34"/>
      <c r="FRM11" s="72"/>
      <c r="FRN11" s="63"/>
      <c r="FRO11" s="34"/>
      <c r="FRP11" s="64"/>
      <c r="FRQ11" s="4"/>
      <c r="FRR11" s="65"/>
      <c r="FRS11" s="4"/>
      <c r="FRT11" s="4"/>
      <c r="FRU11" s="4"/>
      <c r="FRX11" s="34"/>
      <c r="FRY11" s="34"/>
      <c r="FSA11" s="34"/>
      <c r="FSB11" s="72"/>
      <c r="FSC11" s="63"/>
      <c r="FSD11" s="34"/>
      <c r="FSE11" s="64"/>
      <c r="FSF11" s="4"/>
      <c r="FSG11" s="65"/>
      <c r="FSH11" s="4"/>
      <c r="FSI11" s="4"/>
      <c r="FSJ11" s="4"/>
      <c r="FSM11" s="34"/>
      <c r="FSN11" s="34"/>
      <c r="FSP11" s="34"/>
      <c r="FSQ11" s="72"/>
      <c r="FSR11" s="63"/>
      <c r="FSS11" s="34"/>
      <c r="FST11" s="64"/>
      <c r="FSU11" s="4"/>
      <c r="FSV11" s="65"/>
      <c r="FSW11" s="4"/>
      <c r="FSX11" s="4"/>
      <c r="FSY11" s="4"/>
      <c r="FTB11" s="34"/>
      <c r="FTC11" s="34"/>
      <c r="FTE11" s="34"/>
      <c r="FTF11" s="72"/>
      <c r="FTG11" s="63"/>
      <c r="FTH11" s="34"/>
      <c r="FTI11" s="64"/>
      <c r="FTJ11" s="4"/>
      <c r="FTK11" s="65"/>
      <c r="FTL11" s="4"/>
      <c r="FTM11" s="4"/>
      <c r="FTN11" s="4"/>
      <c r="FTQ11" s="34"/>
      <c r="FTR11" s="34"/>
      <c r="FTT11" s="34"/>
      <c r="FTU11" s="72"/>
      <c r="FTV11" s="63"/>
      <c r="FTW11" s="34"/>
      <c r="FTX11" s="64"/>
      <c r="FTY11" s="4"/>
      <c r="FTZ11" s="65"/>
      <c r="FUA11" s="4"/>
      <c r="FUB11" s="4"/>
      <c r="FUC11" s="4"/>
      <c r="FUF11" s="34"/>
      <c r="FUG11" s="34"/>
      <c r="FUI11" s="34"/>
      <c r="FUJ11" s="72"/>
      <c r="FUK11" s="63"/>
      <c r="FUL11" s="34"/>
      <c r="FUM11" s="64"/>
      <c r="FUN11" s="4"/>
      <c r="FUO11" s="65"/>
      <c r="FUP11" s="4"/>
      <c r="FUQ11" s="4"/>
      <c r="FUR11" s="4"/>
      <c r="FUU11" s="34"/>
      <c r="FUV11" s="34"/>
      <c r="FUX11" s="34"/>
      <c r="FUY11" s="72"/>
      <c r="FUZ11" s="63"/>
      <c r="FVA11" s="34"/>
      <c r="FVB11" s="64"/>
      <c r="FVC11" s="4"/>
      <c r="FVD11" s="65"/>
      <c r="FVE11" s="4"/>
      <c r="FVF11" s="4"/>
      <c r="FVG11" s="4"/>
      <c r="FVJ11" s="34"/>
      <c r="FVK11" s="34"/>
      <c r="FVM11" s="34"/>
      <c r="FVN11" s="72"/>
      <c r="FVO11" s="63"/>
      <c r="FVP11" s="34"/>
      <c r="FVQ11" s="64"/>
      <c r="FVR11" s="4"/>
      <c r="FVS11" s="65"/>
      <c r="FVT11" s="4"/>
      <c r="FVU11" s="4"/>
      <c r="FVV11" s="4"/>
      <c r="FVY11" s="34"/>
      <c r="FVZ11" s="34"/>
      <c r="FWB11" s="34"/>
      <c r="FWC11" s="72"/>
      <c r="FWD11" s="63"/>
      <c r="FWE11" s="34"/>
      <c r="FWF11" s="64"/>
      <c r="FWG11" s="4"/>
      <c r="FWH11" s="65"/>
      <c r="FWI11" s="4"/>
      <c r="FWJ11" s="4"/>
      <c r="FWK11" s="4"/>
      <c r="FWN11" s="34"/>
      <c r="FWO11" s="34"/>
      <c r="FWQ11" s="34"/>
      <c r="FWR11" s="72"/>
      <c r="FWS11" s="63"/>
      <c r="FWT11" s="34"/>
      <c r="FWU11" s="64"/>
      <c r="FWV11" s="4"/>
      <c r="FWW11" s="65"/>
      <c r="FWX11" s="4"/>
      <c r="FWY11" s="4"/>
      <c r="FWZ11" s="4"/>
      <c r="FXC11" s="34"/>
      <c r="FXD11" s="34"/>
      <c r="FXF11" s="34"/>
      <c r="FXG11" s="72"/>
      <c r="FXH11" s="63"/>
      <c r="FXI11" s="34"/>
      <c r="FXJ11" s="64"/>
      <c r="FXK11" s="4"/>
      <c r="FXL11" s="65"/>
      <c r="FXM11" s="4"/>
      <c r="FXN11" s="4"/>
      <c r="FXO11" s="4"/>
      <c r="FXR11" s="34"/>
      <c r="FXS11" s="34"/>
      <c r="FXU11" s="34"/>
      <c r="FXV11" s="72"/>
      <c r="FXW11" s="63"/>
      <c r="FXX11" s="34"/>
      <c r="FXY11" s="64"/>
      <c r="FXZ11" s="4"/>
      <c r="FYA11" s="65"/>
      <c r="FYB11" s="4"/>
      <c r="FYC11" s="4"/>
      <c r="FYD11" s="4"/>
      <c r="FYG11" s="34"/>
      <c r="FYH11" s="34"/>
      <c r="FYJ11" s="34"/>
      <c r="FYK11" s="72"/>
      <c r="FYL11" s="63"/>
      <c r="FYM11" s="34"/>
      <c r="FYN11" s="64"/>
      <c r="FYO11" s="4"/>
      <c r="FYP11" s="65"/>
      <c r="FYQ11" s="4"/>
      <c r="FYR11" s="4"/>
      <c r="FYS11" s="4"/>
      <c r="FYV11" s="34"/>
      <c r="FYW11" s="34"/>
      <c r="FYY11" s="34"/>
      <c r="FYZ11" s="72"/>
      <c r="FZA11" s="63"/>
      <c r="FZB11" s="34"/>
      <c r="FZC11" s="64"/>
      <c r="FZD11" s="4"/>
      <c r="FZE11" s="65"/>
      <c r="FZF11" s="4"/>
      <c r="FZG11" s="4"/>
      <c r="FZH11" s="4"/>
      <c r="FZK11" s="34"/>
      <c r="FZL11" s="34"/>
      <c r="FZN11" s="34"/>
      <c r="FZO11" s="72"/>
      <c r="FZP11" s="63"/>
      <c r="FZQ11" s="34"/>
      <c r="FZR11" s="64"/>
      <c r="FZS11" s="4"/>
      <c r="FZT11" s="65"/>
      <c r="FZU11" s="4"/>
      <c r="FZV11" s="4"/>
      <c r="FZW11" s="4"/>
      <c r="FZZ11" s="34"/>
      <c r="GAA11" s="34"/>
      <c r="GAC11" s="34"/>
      <c r="GAD11" s="72"/>
      <c r="GAE11" s="63"/>
      <c r="GAF11" s="34"/>
      <c r="GAG11" s="64"/>
      <c r="GAH11" s="4"/>
      <c r="GAI11" s="65"/>
      <c r="GAJ11" s="4"/>
      <c r="GAK11" s="4"/>
      <c r="GAL11" s="4"/>
      <c r="GAO11" s="34"/>
      <c r="GAP11" s="34"/>
      <c r="GAR11" s="34"/>
      <c r="GAS11" s="72"/>
      <c r="GAT11" s="63"/>
      <c r="GAU11" s="34"/>
      <c r="GAV11" s="64"/>
      <c r="GAW11" s="4"/>
      <c r="GAX11" s="65"/>
      <c r="GAY11" s="4"/>
      <c r="GAZ11" s="4"/>
      <c r="GBA11" s="4"/>
      <c r="GBD11" s="34"/>
      <c r="GBE11" s="34"/>
      <c r="GBG11" s="34"/>
      <c r="GBH11" s="72"/>
      <c r="GBI11" s="63"/>
      <c r="GBJ11" s="34"/>
      <c r="GBK11" s="64"/>
      <c r="GBL11" s="4"/>
      <c r="GBM11" s="65"/>
      <c r="GBN11" s="4"/>
      <c r="GBO11" s="4"/>
      <c r="GBP11" s="4"/>
      <c r="GBS11" s="34"/>
      <c r="GBT11" s="34"/>
      <c r="GBV11" s="34"/>
      <c r="GBW11" s="72"/>
      <c r="GBX11" s="63"/>
      <c r="GBY11" s="34"/>
      <c r="GBZ11" s="64"/>
      <c r="GCA11" s="4"/>
      <c r="GCB11" s="65"/>
      <c r="GCC11" s="4"/>
      <c r="GCD11" s="4"/>
      <c r="GCE11" s="4"/>
      <c r="GCH11" s="34"/>
      <c r="GCI11" s="34"/>
      <c r="GCK11" s="34"/>
      <c r="GCL11" s="72"/>
      <c r="GCM11" s="63"/>
      <c r="GCN11" s="34"/>
      <c r="GCO11" s="64"/>
      <c r="GCP11" s="4"/>
      <c r="GCQ11" s="65"/>
      <c r="GCR11" s="4"/>
      <c r="GCS11" s="4"/>
      <c r="GCT11" s="4"/>
      <c r="GCW11" s="34"/>
      <c r="GCX11" s="34"/>
      <c r="GCZ11" s="34"/>
      <c r="GDA11" s="72"/>
      <c r="GDB11" s="63"/>
      <c r="GDC11" s="34"/>
      <c r="GDD11" s="64"/>
      <c r="GDE11" s="4"/>
      <c r="GDF11" s="65"/>
      <c r="GDG11" s="4"/>
      <c r="GDH11" s="4"/>
      <c r="GDI11" s="4"/>
      <c r="GDL11" s="34"/>
      <c r="GDM11" s="34"/>
      <c r="GDO11" s="34"/>
      <c r="GDP11" s="72"/>
      <c r="GDQ11" s="63"/>
      <c r="GDR11" s="34"/>
      <c r="GDS11" s="64"/>
      <c r="GDT11" s="4"/>
      <c r="GDU11" s="65"/>
      <c r="GDV11" s="4"/>
      <c r="GDW11" s="4"/>
      <c r="GDX11" s="4"/>
      <c r="GEA11" s="34"/>
      <c r="GEB11" s="34"/>
      <c r="GED11" s="34"/>
      <c r="GEE11" s="72"/>
      <c r="GEF11" s="63"/>
      <c r="GEG11" s="34"/>
      <c r="GEH11" s="64"/>
      <c r="GEI11" s="4"/>
      <c r="GEJ11" s="65"/>
      <c r="GEK11" s="4"/>
      <c r="GEL11" s="4"/>
      <c r="GEM11" s="4"/>
      <c r="GEP11" s="34"/>
      <c r="GEQ11" s="34"/>
      <c r="GES11" s="34"/>
      <c r="GET11" s="72"/>
      <c r="GEU11" s="63"/>
      <c r="GEV11" s="34"/>
      <c r="GEW11" s="64"/>
      <c r="GEX11" s="4"/>
      <c r="GEY11" s="65"/>
      <c r="GEZ11" s="4"/>
      <c r="GFA11" s="4"/>
      <c r="GFB11" s="4"/>
      <c r="GFE11" s="34"/>
      <c r="GFF11" s="34"/>
      <c r="GFH11" s="34"/>
      <c r="GFI11" s="72"/>
      <c r="GFJ11" s="63"/>
      <c r="GFK11" s="34"/>
      <c r="GFL11" s="64"/>
      <c r="GFM11" s="4"/>
      <c r="GFN11" s="65"/>
      <c r="GFO11" s="4"/>
      <c r="GFP11" s="4"/>
      <c r="GFQ11" s="4"/>
      <c r="GFT11" s="34"/>
      <c r="GFU11" s="34"/>
      <c r="GFW11" s="34"/>
      <c r="GFX11" s="72"/>
      <c r="GFY11" s="63"/>
      <c r="GFZ11" s="34"/>
      <c r="GGA11" s="64"/>
      <c r="GGB11" s="4"/>
      <c r="GGC11" s="65"/>
      <c r="GGD11" s="4"/>
      <c r="GGE11" s="4"/>
      <c r="GGF11" s="4"/>
      <c r="GGI11" s="34"/>
      <c r="GGJ11" s="34"/>
      <c r="GGL11" s="34"/>
      <c r="GGM11" s="72"/>
      <c r="GGN11" s="63"/>
      <c r="GGO11" s="34"/>
      <c r="GGP11" s="64"/>
      <c r="GGQ11" s="4"/>
      <c r="GGR11" s="65"/>
      <c r="GGS11" s="4"/>
      <c r="GGT11" s="4"/>
      <c r="GGU11" s="4"/>
      <c r="GGX11" s="34"/>
      <c r="GGY11" s="34"/>
      <c r="GHA11" s="34"/>
      <c r="GHB11" s="72"/>
      <c r="GHC11" s="63"/>
      <c r="GHD11" s="34"/>
      <c r="GHE11" s="64"/>
      <c r="GHF11" s="4"/>
      <c r="GHG11" s="65"/>
      <c r="GHH11" s="4"/>
      <c r="GHI11" s="4"/>
      <c r="GHJ11" s="4"/>
      <c r="GHM11" s="34"/>
      <c r="GHN11" s="34"/>
      <c r="GHP11" s="34"/>
      <c r="GHQ11" s="72"/>
      <c r="GHR11" s="63"/>
      <c r="GHS11" s="34"/>
      <c r="GHT11" s="64"/>
      <c r="GHU11" s="4"/>
      <c r="GHV11" s="65"/>
      <c r="GHW11" s="4"/>
      <c r="GHX11" s="4"/>
      <c r="GHY11" s="4"/>
      <c r="GIB11" s="34"/>
      <c r="GIC11" s="34"/>
      <c r="GIE11" s="34"/>
      <c r="GIF11" s="72"/>
      <c r="GIG11" s="63"/>
      <c r="GIH11" s="34"/>
      <c r="GII11" s="64"/>
      <c r="GIJ11" s="4"/>
      <c r="GIK11" s="65"/>
      <c r="GIL11" s="4"/>
      <c r="GIM11" s="4"/>
      <c r="GIN11" s="4"/>
      <c r="GIQ11" s="34"/>
      <c r="GIR11" s="34"/>
      <c r="GIT11" s="34"/>
      <c r="GIU11" s="72"/>
      <c r="GIV11" s="63"/>
      <c r="GIW11" s="34"/>
      <c r="GIX11" s="64"/>
      <c r="GIY11" s="4"/>
      <c r="GIZ11" s="65"/>
      <c r="GJA11" s="4"/>
      <c r="GJB11" s="4"/>
      <c r="GJC11" s="4"/>
      <c r="GJF11" s="34"/>
      <c r="GJG11" s="34"/>
      <c r="GJI11" s="34"/>
      <c r="GJJ11" s="72"/>
      <c r="GJK11" s="63"/>
      <c r="GJL11" s="34"/>
      <c r="GJM11" s="64"/>
      <c r="GJN11" s="4"/>
      <c r="GJO11" s="65"/>
      <c r="GJP11" s="4"/>
      <c r="GJQ11" s="4"/>
      <c r="GJR11" s="4"/>
      <c r="GJU11" s="34"/>
      <c r="GJV11" s="34"/>
      <c r="GJX11" s="34"/>
      <c r="GJY11" s="72"/>
      <c r="GJZ11" s="63"/>
      <c r="GKA11" s="34"/>
      <c r="GKB11" s="64"/>
      <c r="GKC11" s="4"/>
      <c r="GKD11" s="65"/>
      <c r="GKE11" s="4"/>
      <c r="GKF11" s="4"/>
      <c r="GKG11" s="4"/>
      <c r="GKJ11" s="34"/>
      <c r="GKK11" s="34"/>
      <c r="GKM11" s="34"/>
      <c r="GKN11" s="72"/>
      <c r="GKO11" s="63"/>
      <c r="GKP11" s="34"/>
      <c r="GKQ11" s="64"/>
      <c r="GKR11" s="4"/>
      <c r="GKS11" s="65"/>
      <c r="GKT11" s="4"/>
      <c r="GKU11" s="4"/>
      <c r="GKV11" s="4"/>
      <c r="GKY11" s="34"/>
      <c r="GKZ11" s="34"/>
      <c r="GLB11" s="34"/>
      <c r="GLC11" s="72"/>
      <c r="GLD11" s="63"/>
      <c r="GLE11" s="34"/>
      <c r="GLF11" s="64"/>
      <c r="GLG11" s="4"/>
      <c r="GLH11" s="65"/>
      <c r="GLI11" s="4"/>
      <c r="GLJ11" s="4"/>
      <c r="GLK11" s="4"/>
      <c r="GLN11" s="34"/>
      <c r="GLO11" s="34"/>
      <c r="GLQ11" s="34"/>
      <c r="GLR11" s="72"/>
      <c r="GLS11" s="63"/>
      <c r="GLT11" s="34"/>
      <c r="GLU11" s="64"/>
      <c r="GLV11" s="4"/>
      <c r="GLW11" s="65"/>
      <c r="GLX11" s="4"/>
      <c r="GLY11" s="4"/>
      <c r="GLZ11" s="4"/>
      <c r="GMC11" s="34"/>
      <c r="GMD11" s="34"/>
      <c r="GMF11" s="34"/>
      <c r="GMG11" s="72"/>
      <c r="GMH11" s="63"/>
      <c r="GMI11" s="34"/>
      <c r="GMJ11" s="64"/>
      <c r="GMK11" s="4"/>
      <c r="GML11" s="65"/>
      <c r="GMM11" s="4"/>
      <c r="GMN11" s="4"/>
      <c r="GMO11" s="4"/>
      <c r="GMR11" s="34"/>
      <c r="GMS11" s="34"/>
      <c r="GMU11" s="34"/>
      <c r="GMV11" s="72"/>
      <c r="GMW11" s="63"/>
      <c r="GMX11" s="34"/>
      <c r="GMY11" s="64"/>
      <c r="GMZ11" s="4"/>
      <c r="GNA11" s="65"/>
      <c r="GNB11" s="4"/>
      <c r="GNC11" s="4"/>
      <c r="GND11" s="4"/>
      <c r="GNG11" s="34"/>
      <c r="GNH11" s="34"/>
      <c r="GNJ11" s="34"/>
      <c r="GNK11" s="72"/>
      <c r="GNL11" s="63"/>
      <c r="GNM11" s="34"/>
      <c r="GNN11" s="64"/>
      <c r="GNO11" s="4"/>
      <c r="GNP11" s="65"/>
      <c r="GNQ11" s="4"/>
      <c r="GNR11" s="4"/>
      <c r="GNS11" s="4"/>
      <c r="GNV11" s="34"/>
      <c r="GNW11" s="34"/>
      <c r="GNY11" s="34"/>
      <c r="GNZ11" s="72"/>
      <c r="GOA11" s="63"/>
      <c r="GOB11" s="34"/>
      <c r="GOC11" s="64"/>
      <c r="GOD11" s="4"/>
      <c r="GOE11" s="65"/>
      <c r="GOF11" s="4"/>
      <c r="GOG11" s="4"/>
      <c r="GOH11" s="4"/>
      <c r="GOK11" s="34"/>
      <c r="GOL11" s="34"/>
      <c r="GON11" s="34"/>
      <c r="GOO11" s="72"/>
      <c r="GOP11" s="63"/>
      <c r="GOQ11" s="34"/>
      <c r="GOR11" s="64"/>
      <c r="GOS11" s="4"/>
      <c r="GOT11" s="65"/>
      <c r="GOU11" s="4"/>
      <c r="GOV11" s="4"/>
      <c r="GOW11" s="4"/>
      <c r="GOZ11" s="34"/>
      <c r="GPA11" s="34"/>
      <c r="GPC11" s="34"/>
      <c r="GPD11" s="72"/>
      <c r="GPE11" s="63"/>
      <c r="GPF11" s="34"/>
      <c r="GPG11" s="64"/>
      <c r="GPH11" s="4"/>
      <c r="GPI11" s="65"/>
      <c r="GPJ11" s="4"/>
      <c r="GPK11" s="4"/>
      <c r="GPL11" s="4"/>
      <c r="GPO11" s="34"/>
      <c r="GPP11" s="34"/>
      <c r="GPR11" s="34"/>
      <c r="GPS11" s="72"/>
      <c r="GPT11" s="63"/>
      <c r="GPU11" s="34"/>
      <c r="GPV11" s="64"/>
      <c r="GPW11" s="4"/>
      <c r="GPX11" s="65"/>
      <c r="GPY11" s="4"/>
      <c r="GPZ11" s="4"/>
      <c r="GQA11" s="4"/>
      <c r="GQD11" s="34"/>
      <c r="GQE11" s="34"/>
      <c r="GQG11" s="34"/>
      <c r="GQH11" s="72"/>
      <c r="GQI11" s="63"/>
      <c r="GQJ11" s="34"/>
      <c r="GQK11" s="64"/>
      <c r="GQL11" s="4"/>
      <c r="GQM11" s="65"/>
      <c r="GQN11" s="4"/>
      <c r="GQO11" s="4"/>
      <c r="GQP11" s="4"/>
      <c r="GQS11" s="34"/>
      <c r="GQT11" s="34"/>
      <c r="GQV11" s="34"/>
      <c r="GQW11" s="72"/>
      <c r="GQX11" s="63"/>
      <c r="GQY11" s="34"/>
      <c r="GQZ11" s="64"/>
      <c r="GRA11" s="4"/>
      <c r="GRB11" s="65"/>
      <c r="GRC11" s="4"/>
      <c r="GRD11" s="4"/>
      <c r="GRE11" s="4"/>
      <c r="GRH11" s="34"/>
      <c r="GRI11" s="34"/>
      <c r="GRK11" s="34"/>
      <c r="GRL11" s="72"/>
      <c r="GRM11" s="63"/>
      <c r="GRN11" s="34"/>
      <c r="GRO11" s="64"/>
      <c r="GRP11" s="4"/>
      <c r="GRQ11" s="65"/>
      <c r="GRR11" s="4"/>
      <c r="GRS11" s="4"/>
      <c r="GRT11" s="4"/>
      <c r="GRW11" s="34"/>
      <c r="GRX11" s="34"/>
      <c r="GRZ11" s="34"/>
      <c r="GSA11" s="72"/>
      <c r="GSB11" s="63"/>
      <c r="GSC11" s="34"/>
      <c r="GSD11" s="64"/>
      <c r="GSE11" s="4"/>
      <c r="GSF11" s="65"/>
      <c r="GSG11" s="4"/>
      <c r="GSH11" s="4"/>
      <c r="GSI11" s="4"/>
      <c r="GSL11" s="34"/>
      <c r="GSM11" s="34"/>
      <c r="GSO11" s="34"/>
      <c r="GSP11" s="72"/>
      <c r="GSQ11" s="63"/>
      <c r="GSR11" s="34"/>
      <c r="GSS11" s="64"/>
      <c r="GST11" s="4"/>
      <c r="GSU11" s="65"/>
      <c r="GSV11" s="4"/>
      <c r="GSW11" s="4"/>
      <c r="GSX11" s="4"/>
      <c r="GTA11" s="34"/>
      <c r="GTB11" s="34"/>
      <c r="GTD11" s="34"/>
      <c r="GTE11" s="72"/>
      <c r="GTF11" s="63"/>
      <c r="GTG11" s="34"/>
      <c r="GTH11" s="64"/>
      <c r="GTI11" s="4"/>
      <c r="GTJ11" s="65"/>
      <c r="GTK11" s="4"/>
      <c r="GTL11" s="4"/>
      <c r="GTM11" s="4"/>
      <c r="GTP11" s="34"/>
      <c r="GTQ11" s="34"/>
      <c r="GTS11" s="34"/>
      <c r="GTT11" s="72"/>
      <c r="GTU11" s="63"/>
      <c r="GTV11" s="34"/>
      <c r="GTW11" s="64"/>
      <c r="GTX11" s="4"/>
      <c r="GTY11" s="65"/>
      <c r="GTZ11" s="4"/>
      <c r="GUA11" s="4"/>
      <c r="GUB11" s="4"/>
      <c r="GUE11" s="34"/>
      <c r="GUF11" s="34"/>
      <c r="GUH11" s="34"/>
      <c r="GUI11" s="72"/>
      <c r="GUJ11" s="63"/>
      <c r="GUK11" s="34"/>
      <c r="GUL11" s="64"/>
      <c r="GUM11" s="4"/>
      <c r="GUN11" s="65"/>
      <c r="GUO11" s="4"/>
      <c r="GUP11" s="4"/>
      <c r="GUQ11" s="4"/>
      <c r="GUT11" s="34"/>
      <c r="GUU11" s="34"/>
      <c r="GUW11" s="34"/>
      <c r="GUX11" s="72"/>
      <c r="GUY11" s="63"/>
      <c r="GUZ11" s="34"/>
      <c r="GVA11" s="64"/>
      <c r="GVB11" s="4"/>
      <c r="GVC11" s="65"/>
      <c r="GVD11" s="4"/>
      <c r="GVE11" s="4"/>
      <c r="GVF11" s="4"/>
      <c r="GVI11" s="34"/>
      <c r="GVJ11" s="34"/>
      <c r="GVL11" s="34"/>
      <c r="GVM11" s="72"/>
      <c r="GVN11" s="63"/>
      <c r="GVO11" s="34"/>
      <c r="GVP11" s="64"/>
      <c r="GVQ11" s="4"/>
      <c r="GVR11" s="65"/>
      <c r="GVS11" s="4"/>
      <c r="GVT11" s="4"/>
      <c r="GVU11" s="4"/>
      <c r="GVX11" s="34"/>
      <c r="GVY11" s="34"/>
      <c r="GWA11" s="34"/>
      <c r="GWB11" s="72"/>
      <c r="GWC11" s="63"/>
      <c r="GWD11" s="34"/>
      <c r="GWE11" s="64"/>
      <c r="GWF11" s="4"/>
      <c r="GWG11" s="65"/>
      <c r="GWH11" s="4"/>
      <c r="GWI11" s="4"/>
      <c r="GWJ11" s="4"/>
      <c r="GWM11" s="34"/>
      <c r="GWN11" s="34"/>
      <c r="GWP11" s="34"/>
      <c r="GWQ11" s="72"/>
      <c r="GWR11" s="63"/>
      <c r="GWS11" s="34"/>
      <c r="GWT11" s="64"/>
      <c r="GWU11" s="4"/>
      <c r="GWV11" s="65"/>
      <c r="GWW11" s="4"/>
      <c r="GWX11" s="4"/>
      <c r="GWY11" s="4"/>
      <c r="GXB11" s="34"/>
      <c r="GXC11" s="34"/>
      <c r="GXE11" s="34"/>
      <c r="GXF11" s="72"/>
      <c r="GXG11" s="63"/>
      <c r="GXH11" s="34"/>
      <c r="GXI11" s="64"/>
      <c r="GXJ11" s="4"/>
      <c r="GXK11" s="65"/>
      <c r="GXL11" s="4"/>
      <c r="GXM11" s="4"/>
      <c r="GXN11" s="4"/>
      <c r="GXQ11" s="34"/>
      <c r="GXR11" s="34"/>
      <c r="GXT11" s="34"/>
      <c r="GXU11" s="72"/>
      <c r="GXV11" s="63"/>
      <c r="GXW11" s="34"/>
      <c r="GXX11" s="64"/>
      <c r="GXY11" s="4"/>
      <c r="GXZ11" s="65"/>
      <c r="GYA11" s="4"/>
      <c r="GYB11" s="4"/>
      <c r="GYC11" s="4"/>
      <c r="GYF11" s="34"/>
      <c r="GYG11" s="34"/>
      <c r="GYI11" s="34"/>
      <c r="GYJ11" s="72"/>
      <c r="GYK11" s="63"/>
      <c r="GYL11" s="34"/>
      <c r="GYM11" s="64"/>
      <c r="GYN11" s="4"/>
      <c r="GYO11" s="65"/>
      <c r="GYP11" s="4"/>
      <c r="GYQ11" s="4"/>
      <c r="GYR11" s="4"/>
      <c r="GYU11" s="34"/>
      <c r="GYV11" s="34"/>
      <c r="GYX11" s="34"/>
      <c r="GYY11" s="72"/>
      <c r="GYZ11" s="63"/>
      <c r="GZA11" s="34"/>
      <c r="GZB11" s="64"/>
      <c r="GZC11" s="4"/>
      <c r="GZD11" s="65"/>
      <c r="GZE11" s="4"/>
      <c r="GZF11" s="4"/>
      <c r="GZG11" s="4"/>
      <c r="GZJ11" s="34"/>
      <c r="GZK11" s="34"/>
      <c r="GZM11" s="34"/>
      <c r="GZN11" s="72"/>
      <c r="GZO11" s="63"/>
      <c r="GZP11" s="34"/>
      <c r="GZQ11" s="64"/>
      <c r="GZR11" s="4"/>
      <c r="GZS11" s="65"/>
      <c r="GZT11" s="4"/>
      <c r="GZU11" s="4"/>
      <c r="GZV11" s="4"/>
      <c r="GZY11" s="34"/>
      <c r="GZZ11" s="34"/>
      <c r="HAB11" s="34"/>
      <c r="HAC11" s="72"/>
      <c r="HAD11" s="63"/>
      <c r="HAE11" s="34"/>
      <c r="HAF11" s="64"/>
      <c r="HAG11" s="4"/>
      <c r="HAH11" s="65"/>
      <c r="HAI11" s="4"/>
      <c r="HAJ11" s="4"/>
      <c r="HAK11" s="4"/>
      <c r="HAN11" s="34"/>
      <c r="HAO11" s="34"/>
      <c r="HAQ11" s="34"/>
      <c r="HAR11" s="72"/>
      <c r="HAS11" s="63"/>
      <c r="HAT11" s="34"/>
      <c r="HAU11" s="64"/>
      <c r="HAV11" s="4"/>
      <c r="HAW11" s="65"/>
      <c r="HAX11" s="4"/>
      <c r="HAY11" s="4"/>
      <c r="HAZ11" s="4"/>
      <c r="HBC11" s="34"/>
      <c r="HBD11" s="34"/>
      <c r="HBF11" s="34"/>
      <c r="HBG11" s="72"/>
      <c r="HBH11" s="63"/>
      <c r="HBI11" s="34"/>
      <c r="HBJ11" s="64"/>
      <c r="HBK11" s="4"/>
      <c r="HBL11" s="65"/>
      <c r="HBM11" s="4"/>
      <c r="HBN11" s="4"/>
      <c r="HBO11" s="4"/>
      <c r="HBR11" s="34"/>
      <c r="HBS11" s="34"/>
      <c r="HBU11" s="34"/>
      <c r="HBV11" s="72"/>
      <c r="HBW11" s="63"/>
      <c r="HBX11" s="34"/>
      <c r="HBY11" s="64"/>
      <c r="HBZ11" s="4"/>
      <c r="HCA11" s="65"/>
      <c r="HCB11" s="4"/>
      <c r="HCC11" s="4"/>
      <c r="HCD11" s="4"/>
      <c r="HCG11" s="34"/>
      <c r="HCH11" s="34"/>
      <c r="HCJ11" s="34"/>
      <c r="HCK11" s="72"/>
      <c r="HCL11" s="63"/>
      <c r="HCM11" s="34"/>
      <c r="HCN11" s="64"/>
      <c r="HCO11" s="4"/>
      <c r="HCP11" s="65"/>
      <c r="HCQ11" s="4"/>
      <c r="HCR11" s="4"/>
      <c r="HCS11" s="4"/>
      <c r="HCV11" s="34"/>
      <c r="HCW11" s="34"/>
      <c r="HCY11" s="34"/>
      <c r="HCZ11" s="72"/>
      <c r="HDA11" s="63"/>
      <c r="HDB11" s="34"/>
      <c r="HDC11" s="64"/>
      <c r="HDD11" s="4"/>
      <c r="HDE11" s="65"/>
      <c r="HDF11" s="4"/>
      <c r="HDG11" s="4"/>
      <c r="HDH11" s="4"/>
      <c r="HDK11" s="34"/>
      <c r="HDL11" s="34"/>
      <c r="HDN11" s="34"/>
      <c r="HDO11" s="72"/>
      <c r="HDP11" s="63"/>
      <c r="HDQ11" s="34"/>
      <c r="HDR11" s="64"/>
      <c r="HDS11" s="4"/>
      <c r="HDT11" s="65"/>
      <c r="HDU11" s="4"/>
      <c r="HDV11" s="4"/>
      <c r="HDW11" s="4"/>
      <c r="HDZ11" s="34"/>
      <c r="HEA11" s="34"/>
      <c r="HEC11" s="34"/>
      <c r="HED11" s="72"/>
      <c r="HEE11" s="63"/>
      <c r="HEF11" s="34"/>
      <c r="HEG11" s="64"/>
      <c r="HEH11" s="4"/>
      <c r="HEI11" s="65"/>
      <c r="HEJ11" s="4"/>
      <c r="HEK11" s="4"/>
      <c r="HEL11" s="4"/>
      <c r="HEO11" s="34"/>
      <c r="HEP11" s="34"/>
      <c r="HER11" s="34"/>
      <c r="HES11" s="72"/>
      <c r="HET11" s="63"/>
      <c r="HEU11" s="34"/>
      <c r="HEV11" s="64"/>
      <c r="HEW11" s="4"/>
      <c r="HEX11" s="65"/>
      <c r="HEY11" s="4"/>
      <c r="HEZ11" s="4"/>
      <c r="HFA11" s="4"/>
      <c r="HFD11" s="34"/>
      <c r="HFE11" s="34"/>
      <c r="HFG11" s="34"/>
      <c r="HFH11" s="72"/>
      <c r="HFI11" s="63"/>
      <c r="HFJ11" s="34"/>
      <c r="HFK11" s="64"/>
      <c r="HFL11" s="4"/>
      <c r="HFM11" s="65"/>
      <c r="HFN11" s="4"/>
      <c r="HFO11" s="4"/>
      <c r="HFP11" s="4"/>
      <c r="HFS11" s="34"/>
      <c r="HFT11" s="34"/>
      <c r="HFV11" s="34"/>
      <c r="HFW11" s="72"/>
      <c r="HFX11" s="63"/>
      <c r="HFY11" s="34"/>
      <c r="HFZ11" s="64"/>
      <c r="HGA11" s="4"/>
      <c r="HGB11" s="65"/>
      <c r="HGC11" s="4"/>
      <c r="HGD11" s="4"/>
      <c r="HGE11" s="4"/>
      <c r="HGH11" s="34"/>
      <c r="HGI11" s="34"/>
      <c r="HGK11" s="34"/>
      <c r="HGL11" s="72"/>
      <c r="HGM11" s="63"/>
      <c r="HGN11" s="34"/>
      <c r="HGO11" s="64"/>
      <c r="HGP11" s="4"/>
      <c r="HGQ11" s="65"/>
      <c r="HGR11" s="4"/>
      <c r="HGS11" s="4"/>
      <c r="HGT11" s="4"/>
      <c r="HGW11" s="34"/>
      <c r="HGX11" s="34"/>
      <c r="HGZ11" s="34"/>
      <c r="HHA11" s="72"/>
      <c r="HHB11" s="63"/>
      <c r="HHC11" s="34"/>
      <c r="HHD11" s="64"/>
      <c r="HHE11" s="4"/>
      <c r="HHF11" s="65"/>
      <c r="HHG11" s="4"/>
      <c r="HHH11" s="4"/>
      <c r="HHI11" s="4"/>
      <c r="HHL11" s="34"/>
      <c r="HHM11" s="34"/>
      <c r="HHO11" s="34"/>
      <c r="HHP11" s="72"/>
      <c r="HHQ11" s="63"/>
      <c r="HHR11" s="34"/>
      <c r="HHS11" s="64"/>
      <c r="HHT11" s="4"/>
      <c r="HHU11" s="65"/>
      <c r="HHV11" s="4"/>
      <c r="HHW11" s="4"/>
      <c r="HHX11" s="4"/>
      <c r="HIA11" s="34"/>
      <c r="HIB11" s="34"/>
      <c r="HID11" s="34"/>
      <c r="HIE11" s="72"/>
      <c r="HIF11" s="63"/>
      <c r="HIG11" s="34"/>
      <c r="HIH11" s="64"/>
      <c r="HII11" s="4"/>
      <c r="HIJ11" s="65"/>
      <c r="HIK11" s="4"/>
      <c r="HIL11" s="4"/>
      <c r="HIM11" s="4"/>
      <c r="HIP11" s="34"/>
      <c r="HIQ11" s="34"/>
      <c r="HIS11" s="34"/>
      <c r="HIT11" s="72"/>
      <c r="HIU11" s="63"/>
      <c r="HIV11" s="34"/>
      <c r="HIW11" s="64"/>
      <c r="HIX11" s="4"/>
      <c r="HIY11" s="65"/>
      <c r="HIZ11" s="4"/>
      <c r="HJA11" s="4"/>
      <c r="HJB11" s="4"/>
      <c r="HJE11" s="34"/>
      <c r="HJF11" s="34"/>
      <c r="HJH11" s="34"/>
      <c r="HJI11" s="72"/>
      <c r="HJJ11" s="63"/>
      <c r="HJK11" s="34"/>
      <c r="HJL11" s="64"/>
      <c r="HJM11" s="4"/>
      <c r="HJN11" s="65"/>
      <c r="HJO11" s="4"/>
      <c r="HJP11" s="4"/>
      <c r="HJQ11" s="4"/>
      <c r="HJT11" s="34"/>
      <c r="HJU11" s="34"/>
      <c r="HJW11" s="34"/>
      <c r="HJX11" s="72"/>
      <c r="HJY11" s="63"/>
      <c r="HJZ11" s="34"/>
      <c r="HKA11" s="64"/>
      <c r="HKB11" s="4"/>
      <c r="HKC11" s="65"/>
      <c r="HKD11" s="4"/>
      <c r="HKE11" s="4"/>
      <c r="HKF11" s="4"/>
      <c r="HKI11" s="34"/>
      <c r="HKJ11" s="34"/>
      <c r="HKL11" s="34"/>
      <c r="HKM11" s="72"/>
      <c r="HKN11" s="63"/>
      <c r="HKO11" s="34"/>
      <c r="HKP11" s="64"/>
      <c r="HKQ11" s="4"/>
      <c r="HKR11" s="65"/>
      <c r="HKS11" s="4"/>
      <c r="HKT11" s="4"/>
      <c r="HKU11" s="4"/>
      <c r="HKX11" s="34"/>
      <c r="HKY11" s="34"/>
      <c r="HLA11" s="34"/>
      <c r="HLB11" s="72"/>
      <c r="HLC11" s="63"/>
      <c r="HLD11" s="34"/>
      <c r="HLE11" s="64"/>
      <c r="HLF11" s="4"/>
      <c r="HLG11" s="65"/>
      <c r="HLH11" s="4"/>
      <c r="HLI11" s="4"/>
      <c r="HLJ11" s="4"/>
      <c r="HLM11" s="34"/>
      <c r="HLN11" s="34"/>
      <c r="HLP11" s="34"/>
      <c r="HLQ11" s="72"/>
      <c r="HLR11" s="63"/>
      <c r="HLS11" s="34"/>
      <c r="HLT11" s="64"/>
      <c r="HLU11" s="4"/>
      <c r="HLV11" s="65"/>
      <c r="HLW11" s="4"/>
      <c r="HLX11" s="4"/>
      <c r="HLY11" s="4"/>
      <c r="HMB11" s="34"/>
      <c r="HMC11" s="34"/>
      <c r="HME11" s="34"/>
      <c r="HMF11" s="72"/>
      <c r="HMG11" s="63"/>
      <c r="HMH11" s="34"/>
      <c r="HMI11" s="64"/>
      <c r="HMJ11" s="4"/>
      <c r="HMK11" s="65"/>
      <c r="HML11" s="4"/>
      <c r="HMM11" s="4"/>
      <c r="HMN11" s="4"/>
      <c r="HMQ11" s="34"/>
      <c r="HMR11" s="34"/>
      <c r="HMT11" s="34"/>
      <c r="HMU11" s="72"/>
      <c r="HMV11" s="63"/>
      <c r="HMW11" s="34"/>
      <c r="HMX11" s="64"/>
      <c r="HMY11" s="4"/>
      <c r="HMZ11" s="65"/>
      <c r="HNA11" s="4"/>
      <c r="HNB11" s="4"/>
      <c r="HNC11" s="4"/>
      <c r="HNF11" s="34"/>
      <c r="HNG11" s="34"/>
      <c r="HNI11" s="34"/>
      <c r="HNJ11" s="72"/>
      <c r="HNK11" s="63"/>
      <c r="HNL11" s="34"/>
      <c r="HNM11" s="64"/>
      <c r="HNN11" s="4"/>
      <c r="HNO11" s="65"/>
      <c r="HNP11" s="4"/>
      <c r="HNQ11" s="4"/>
      <c r="HNR11" s="4"/>
      <c r="HNU11" s="34"/>
      <c r="HNV11" s="34"/>
      <c r="HNX11" s="34"/>
      <c r="HNY11" s="72"/>
      <c r="HNZ11" s="63"/>
      <c r="HOA11" s="34"/>
      <c r="HOB11" s="64"/>
      <c r="HOC11" s="4"/>
      <c r="HOD11" s="65"/>
      <c r="HOE11" s="4"/>
      <c r="HOF11" s="4"/>
      <c r="HOG11" s="4"/>
      <c r="HOJ11" s="34"/>
      <c r="HOK11" s="34"/>
      <c r="HOM11" s="34"/>
      <c r="HON11" s="72"/>
      <c r="HOO11" s="63"/>
      <c r="HOP11" s="34"/>
      <c r="HOQ11" s="64"/>
      <c r="HOR11" s="4"/>
      <c r="HOS11" s="65"/>
      <c r="HOT11" s="4"/>
      <c r="HOU11" s="4"/>
      <c r="HOV11" s="4"/>
      <c r="HOY11" s="34"/>
      <c r="HOZ11" s="34"/>
      <c r="HPB11" s="34"/>
      <c r="HPC11" s="72"/>
      <c r="HPD11" s="63"/>
      <c r="HPE11" s="34"/>
      <c r="HPF11" s="64"/>
      <c r="HPG11" s="4"/>
      <c r="HPH11" s="65"/>
      <c r="HPI11" s="4"/>
      <c r="HPJ11" s="4"/>
      <c r="HPK11" s="4"/>
      <c r="HPN11" s="34"/>
      <c r="HPO11" s="34"/>
      <c r="HPQ11" s="34"/>
      <c r="HPR11" s="72"/>
      <c r="HPS11" s="63"/>
      <c r="HPT11" s="34"/>
      <c r="HPU11" s="64"/>
      <c r="HPV11" s="4"/>
      <c r="HPW11" s="65"/>
      <c r="HPX11" s="4"/>
      <c r="HPY11" s="4"/>
      <c r="HPZ11" s="4"/>
      <c r="HQC11" s="34"/>
      <c r="HQD11" s="34"/>
      <c r="HQF11" s="34"/>
      <c r="HQG11" s="72"/>
      <c r="HQH11" s="63"/>
      <c r="HQI11" s="34"/>
      <c r="HQJ11" s="64"/>
      <c r="HQK11" s="4"/>
      <c r="HQL11" s="65"/>
      <c r="HQM11" s="4"/>
      <c r="HQN11" s="4"/>
      <c r="HQO11" s="4"/>
      <c r="HQR11" s="34"/>
      <c r="HQS11" s="34"/>
      <c r="HQU11" s="34"/>
      <c r="HQV11" s="72"/>
      <c r="HQW11" s="63"/>
      <c r="HQX11" s="34"/>
      <c r="HQY11" s="64"/>
      <c r="HQZ11" s="4"/>
      <c r="HRA11" s="65"/>
      <c r="HRB11" s="4"/>
      <c r="HRC11" s="4"/>
      <c r="HRD11" s="4"/>
      <c r="HRG11" s="34"/>
      <c r="HRH11" s="34"/>
      <c r="HRJ11" s="34"/>
      <c r="HRK11" s="72"/>
      <c r="HRL11" s="63"/>
      <c r="HRM11" s="34"/>
      <c r="HRN11" s="64"/>
      <c r="HRO11" s="4"/>
      <c r="HRP11" s="65"/>
      <c r="HRQ11" s="4"/>
      <c r="HRR11" s="4"/>
      <c r="HRS11" s="4"/>
      <c r="HRV11" s="34"/>
      <c r="HRW11" s="34"/>
      <c r="HRY11" s="34"/>
      <c r="HRZ11" s="72"/>
      <c r="HSA11" s="63"/>
      <c r="HSB11" s="34"/>
      <c r="HSC11" s="64"/>
      <c r="HSD11" s="4"/>
      <c r="HSE11" s="65"/>
      <c r="HSF11" s="4"/>
      <c r="HSG11" s="4"/>
      <c r="HSH11" s="4"/>
      <c r="HSK11" s="34"/>
      <c r="HSL11" s="34"/>
      <c r="HSN11" s="34"/>
      <c r="HSO11" s="72"/>
      <c r="HSP11" s="63"/>
      <c r="HSQ11" s="34"/>
      <c r="HSR11" s="64"/>
      <c r="HSS11" s="4"/>
      <c r="HST11" s="65"/>
      <c r="HSU11" s="4"/>
      <c r="HSV11" s="4"/>
      <c r="HSW11" s="4"/>
      <c r="HSZ11" s="34"/>
      <c r="HTA11" s="34"/>
      <c r="HTC11" s="34"/>
      <c r="HTD11" s="72"/>
      <c r="HTE11" s="63"/>
      <c r="HTF11" s="34"/>
      <c r="HTG11" s="64"/>
      <c r="HTH11" s="4"/>
      <c r="HTI11" s="65"/>
      <c r="HTJ11" s="4"/>
      <c r="HTK11" s="4"/>
      <c r="HTL11" s="4"/>
      <c r="HTO11" s="34"/>
      <c r="HTP11" s="34"/>
      <c r="HTR11" s="34"/>
      <c r="HTS11" s="72"/>
      <c r="HTT11" s="63"/>
      <c r="HTU11" s="34"/>
      <c r="HTV11" s="64"/>
      <c r="HTW11" s="4"/>
      <c r="HTX11" s="65"/>
      <c r="HTY11" s="4"/>
      <c r="HTZ11" s="4"/>
      <c r="HUA11" s="4"/>
      <c r="HUD11" s="34"/>
      <c r="HUE11" s="34"/>
      <c r="HUG11" s="34"/>
      <c r="HUH11" s="72"/>
      <c r="HUI11" s="63"/>
      <c r="HUJ11" s="34"/>
      <c r="HUK11" s="64"/>
      <c r="HUL11" s="4"/>
      <c r="HUM11" s="65"/>
      <c r="HUN11" s="4"/>
      <c r="HUO11" s="4"/>
      <c r="HUP11" s="4"/>
      <c r="HUS11" s="34"/>
      <c r="HUT11" s="34"/>
      <c r="HUV11" s="34"/>
      <c r="HUW11" s="72"/>
      <c r="HUX11" s="63"/>
      <c r="HUY11" s="34"/>
      <c r="HUZ11" s="64"/>
      <c r="HVA11" s="4"/>
      <c r="HVB11" s="65"/>
      <c r="HVC11" s="4"/>
      <c r="HVD11" s="4"/>
      <c r="HVE11" s="4"/>
      <c r="HVH11" s="34"/>
      <c r="HVI11" s="34"/>
      <c r="HVK11" s="34"/>
      <c r="HVL11" s="72"/>
      <c r="HVM11" s="63"/>
      <c r="HVN11" s="34"/>
      <c r="HVO11" s="64"/>
      <c r="HVP11" s="4"/>
      <c r="HVQ11" s="65"/>
      <c r="HVR11" s="4"/>
      <c r="HVS11" s="4"/>
      <c r="HVT11" s="4"/>
      <c r="HVW11" s="34"/>
      <c r="HVX11" s="34"/>
      <c r="HVZ11" s="34"/>
      <c r="HWA11" s="72"/>
      <c r="HWB11" s="63"/>
      <c r="HWC11" s="34"/>
      <c r="HWD11" s="64"/>
      <c r="HWE11" s="4"/>
      <c r="HWF11" s="65"/>
      <c r="HWG11" s="4"/>
      <c r="HWH11" s="4"/>
      <c r="HWI11" s="4"/>
      <c r="HWL11" s="34"/>
      <c r="HWM11" s="34"/>
      <c r="HWO11" s="34"/>
      <c r="HWP11" s="72"/>
      <c r="HWQ11" s="63"/>
      <c r="HWR11" s="34"/>
      <c r="HWS11" s="64"/>
      <c r="HWT11" s="4"/>
      <c r="HWU11" s="65"/>
      <c r="HWV11" s="4"/>
      <c r="HWW11" s="4"/>
      <c r="HWX11" s="4"/>
      <c r="HXA11" s="34"/>
      <c r="HXB11" s="34"/>
      <c r="HXD11" s="34"/>
      <c r="HXE11" s="72"/>
      <c r="HXF11" s="63"/>
      <c r="HXG11" s="34"/>
      <c r="HXH11" s="64"/>
      <c r="HXI11" s="4"/>
      <c r="HXJ11" s="65"/>
      <c r="HXK11" s="4"/>
      <c r="HXL11" s="4"/>
      <c r="HXM11" s="4"/>
      <c r="HXP11" s="34"/>
      <c r="HXQ11" s="34"/>
      <c r="HXS11" s="34"/>
      <c r="HXT11" s="72"/>
      <c r="HXU11" s="63"/>
      <c r="HXV11" s="34"/>
      <c r="HXW11" s="64"/>
      <c r="HXX11" s="4"/>
      <c r="HXY11" s="65"/>
      <c r="HXZ11" s="4"/>
      <c r="HYA11" s="4"/>
      <c r="HYB11" s="4"/>
      <c r="HYE11" s="34"/>
      <c r="HYF11" s="34"/>
      <c r="HYH11" s="34"/>
      <c r="HYI11" s="72"/>
      <c r="HYJ11" s="63"/>
      <c r="HYK11" s="34"/>
      <c r="HYL11" s="64"/>
      <c r="HYM11" s="4"/>
      <c r="HYN11" s="65"/>
      <c r="HYO11" s="4"/>
      <c r="HYP11" s="4"/>
      <c r="HYQ11" s="4"/>
      <c r="HYT11" s="34"/>
      <c r="HYU11" s="34"/>
      <c r="HYW11" s="34"/>
      <c r="HYX11" s="72"/>
      <c r="HYY11" s="63"/>
      <c r="HYZ11" s="34"/>
      <c r="HZA11" s="64"/>
      <c r="HZB11" s="4"/>
      <c r="HZC11" s="65"/>
      <c r="HZD11" s="4"/>
      <c r="HZE11" s="4"/>
      <c r="HZF11" s="4"/>
      <c r="HZI11" s="34"/>
      <c r="HZJ11" s="34"/>
      <c r="HZL11" s="34"/>
      <c r="HZM11" s="72"/>
      <c r="HZN11" s="63"/>
      <c r="HZO11" s="34"/>
      <c r="HZP11" s="64"/>
      <c r="HZQ11" s="4"/>
      <c r="HZR11" s="65"/>
      <c r="HZS11" s="4"/>
      <c r="HZT11" s="4"/>
      <c r="HZU11" s="4"/>
      <c r="HZX11" s="34"/>
      <c r="HZY11" s="34"/>
      <c r="IAA11" s="34"/>
      <c r="IAB11" s="72"/>
      <c r="IAC11" s="63"/>
      <c r="IAD11" s="34"/>
      <c r="IAE11" s="64"/>
      <c r="IAF11" s="4"/>
      <c r="IAG11" s="65"/>
      <c r="IAH11" s="4"/>
      <c r="IAI11" s="4"/>
      <c r="IAJ11" s="4"/>
      <c r="IAM11" s="34"/>
      <c r="IAN11" s="34"/>
      <c r="IAP11" s="34"/>
      <c r="IAQ11" s="72"/>
      <c r="IAR11" s="63"/>
      <c r="IAS11" s="34"/>
      <c r="IAT11" s="64"/>
      <c r="IAU11" s="4"/>
      <c r="IAV11" s="65"/>
      <c r="IAW11" s="4"/>
      <c r="IAX11" s="4"/>
      <c r="IAY11" s="4"/>
      <c r="IBB11" s="34"/>
      <c r="IBC11" s="34"/>
      <c r="IBE11" s="34"/>
      <c r="IBF11" s="72"/>
      <c r="IBG11" s="63"/>
      <c r="IBH11" s="34"/>
      <c r="IBI11" s="64"/>
      <c r="IBJ11" s="4"/>
      <c r="IBK11" s="65"/>
      <c r="IBL11" s="4"/>
      <c r="IBM11" s="4"/>
      <c r="IBN11" s="4"/>
      <c r="IBQ11" s="34"/>
      <c r="IBR11" s="34"/>
      <c r="IBT11" s="34"/>
      <c r="IBU11" s="72"/>
      <c r="IBV11" s="63"/>
      <c r="IBW11" s="34"/>
      <c r="IBX11" s="64"/>
      <c r="IBY11" s="4"/>
      <c r="IBZ11" s="65"/>
      <c r="ICA11" s="4"/>
      <c r="ICB11" s="4"/>
      <c r="ICC11" s="4"/>
      <c r="ICF11" s="34"/>
      <c r="ICG11" s="34"/>
      <c r="ICI11" s="34"/>
      <c r="ICJ11" s="72"/>
      <c r="ICK11" s="63"/>
      <c r="ICL11" s="34"/>
      <c r="ICM11" s="64"/>
      <c r="ICN11" s="4"/>
      <c r="ICO11" s="65"/>
      <c r="ICP11" s="4"/>
      <c r="ICQ11" s="4"/>
      <c r="ICR11" s="4"/>
      <c r="ICU11" s="34"/>
      <c r="ICV11" s="34"/>
      <c r="ICX11" s="34"/>
      <c r="ICY11" s="72"/>
      <c r="ICZ11" s="63"/>
      <c r="IDA11" s="34"/>
      <c r="IDB11" s="64"/>
      <c r="IDC11" s="4"/>
      <c r="IDD11" s="65"/>
      <c r="IDE11" s="4"/>
      <c r="IDF11" s="4"/>
      <c r="IDG11" s="4"/>
      <c r="IDJ11" s="34"/>
      <c r="IDK11" s="34"/>
      <c r="IDM11" s="34"/>
      <c r="IDN11" s="72"/>
      <c r="IDO11" s="63"/>
      <c r="IDP11" s="34"/>
      <c r="IDQ11" s="64"/>
      <c r="IDR11" s="4"/>
      <c r="IDS11" s="65"/>
      <c r="IDT11" s="4"/>
      <c r="IDU11" s="4"/>
      <c r="IDV11" s="4"/>
      <c r="IDY11" s="34"/>
      <c r="IDZ11" s="34"/>
      <c r="IEB11" s="34"/>
      <c r="IEC11" s="72"/>
      <c r="IED11" s="63"/>
      <c r="IEE11" s="34"/>
      <c r="IEF11" s="64"/>
      <c r="IEG11" s="4"/>
      <c r="IEH11" s="65"/>
      <c r="IEI11" s="4"/>
      <c r="IEJ11" s="4"/>
      <c r="IEK11" s="4"/>
      <c r="IEN11" s="34"/>
      <c r="IEO11" s="34"/>
      <c r="IEQ11" s="34"/>
      <c r="IER11" s="72"/>
      <c r="IES11" s="63"/>
      <c r="IET11" s="34"/>
      <c r="IEU11" s="64"/>
      <c r="IEV11" s="4"/>
      <c r="IEW11" s="65"/>
      <c r="IEX11" s="4"/>
      <c r="IEY11" s="4"/>
      <c r="IEZ11" s="4"/>
      <c r="IFC11" s="34"/>
      <c r="IFD11" s="34"/>
      <c r="IFF11" s="34"/>
      <c r="IFG11" s="72"/>
      <c r="IFH11" s="63"/>
      <c r="IFI11" s="34"/>
      <c r="IFJ11" s="64"/>
      <c r="IFK11" s="4"/>
      <c r="IFL11" s="65"/>
      <c r="IFM11" s="4"/>
      <c r="IFN11" s="4"/>
      <c r="IFO11" s="4"/>
      <c r="IFR11" s="34"/>
      <c r="IFS11" s="34"/>
      <c r="IFU11" s="34"/>
      <c r="IFV11" s="72"/>
      <c r="IFW11" s="63"/>
      <c r="IFX11" s="34"/>
      <c r="IFY11" s="64"/>
      <c r="IFZ11" s="4"/>
      <c r="IGA11" s="65"/>
      <c r="IGB11" s="4"/>
      <c r="IGC11" s="4"/>
      <c r="IGD11" s="4"/>
      <c r="IGG11" s="34"/>
      <c r="IGH11" s="34"/>
      <c r="IGJ11" s="34"/>
      <c r="IGK11" s="72"/>
      <c r="IGL11" s="63"/>
      <c r="IGM11" s="34"/>
      <c r="IGN11" s="64"/>
      <c r="IGO11" s="4"/>
      <c r="IGP11" s="65"/>
      <c r="IGQ11" s="4"/>
      <c r="IGR11" s="4"/>
      <c r="IGS11" s="4"/>
      <c r="IGV11" s="34"/>
      <c r="IGW11" s="34"/>
      <c r="IGY11" s="34"/>
      <c r="IGZ11" s="72"/>
      <c r="IHA11" s="63"/>
      <c r="IHB11" s="34"/>
      <c r="IHC11" s="64"/>
      <c r="IHD11" s="4"/>
      <c r="IHE11" s="65"/>
      <c r="IHF11" s="4"/>
      <c r="IHG11" s="4"/>
      <c r="IHH11" s="4"/>
      <c r="IHK11" s="34"/>
      <c r="IHL11" s="34"/>
      <c r="IHN11" s="34"/>
      <c r="IHO11" s="72"/>
      <c r="IHP11" s="63"/>
      <c r="IHQ11" s="34"/>
      <c r="IHR11" s="64"/>
      <c r="IHS11" s="4"/>
      <c r="IHT11" s="65"/>
      <c r="IHU11" s="4"/>
      <c r="IHV11" s="4"/>
      <c r="IHW11" s="4"/>
      <c r="IHZ11" s="34"/>
      <c r="IIA11" s="34"/>
      <c r="IIC11" s="34"/>
      <c r="IID11" s="72"/>
      <c r="IIE11" s="63"/>
      <c r="IIF11" s="34"/>
      <c r="IIG11" s="64"/>
      <c r="IIH11" s="4"/>
      <c r="III11" s="65"/>
      <c r="IIJ11" s="4"/>
      <c r="IIK11" s="4"/>
      <c r="IIL11" s="4"/>
      <c r="IIO11" s="34"/>
      <c r="IIP11" s="34"/>
      <c r="IIR11" s="34"/>
      <c r="IIS11" s="72"/>
      <c r="IIT11" s="63"/>
      <c r="IIU11" s="34"/>
      <c r="IIV11" s="64"/>
      <c r="IIW11" s="4"/>
      <c r="IIX11" s="65"/>
      <c r="IIY11" s="4"/>
      <c r="IIZ11" s="4"/>
      <c r="IJA11" s="4"/>
      <c r="IJD11" s="34"/>
      <c r="IJE11" s="34"/>
      <c r="IJG11" s="34"/>
      <c r="IJH11" s="72"/>
      <c r="IJI11" s="63"/>
      <c r="IJJ11" s="34"/>
      <c r="IJK11" s="64"/>
      <c r="IJL11" s="4"/>
      <c r="IJM11" s="65"/>
      <c r="IJN11" s="4"/>
      <c r="IJO11" s="4"/>
      <c r="IJP11" s="4"/>
      <c r="IJS11" s="34"/>
      <c r="IJT11" s="34"/>
      <c r="IJV11" s="34"/>
      <c r="IJW11" s="72"/>
      <c r="IJX11" s="63"/>
      <c r="IJY11" s="34"/>
      <c r="IJZ11" s="64"/>
      <c r="IKA11" s="4"/>
      <c r="IKB11" s="65"/>
      <c r="IKC11" s="4"/>
      <c r="IKD11" s="4"/>
      <c r="IKE11" s="4"/>
      <c r="IKH11" s="34"/>
      <c r="IKI11" s="34"/>
      <c r="IKK11" s="34"/>
      <c r="IKL11" s="72"/>
      <c r="IKM11" s="63"/>
      <c r="IKN11" s="34"/>
      <c r="IKO11" s="64"/>
      <c r="IKP11" s="4"/>
      <c r="IKQ11" s="65"/>
      <c r="IKR11" s="4"/>
      <c r="IKS11" s="4"/>
      <c r="IKT11" s="4"/>
      <c r="IKW11" s="34"/>
      <c r="IKX11" s="34"/>
      <c r="IKZ11" s="34"/>
      <c r="ILA11" s="72"/>
      <c r="ILB11" s="63"/>
      <c r="ILC11" s="34"/>
      <c r="ILD11" s="64"/>
      <c r="ILE11" s="4"/>
      <c r="ILF11" s="65"/>
      <c r="ILG11" s="4"/>
      <c r="ILH11" s="4"/>
      <c r="ILI11" s="4"/>
      <c r="ILL11" s="34"/>
      <c r="ILM11" s="34"/>
      <c r="ILO11" s="34"/>
      <c r="ILP11" s="72"/>
      <c r="ILQ11" s="63"/>
      <c r="ILR11" s="34"/>
      <c r="ILS11" s="64"/>
      <c r="ILT11" s="4"/>
      <c r="ILU11" s="65"/>
      <c r="ILV11" s="4"/>
      <c r="ILW11" s="4"/>
      <c r="ILX11" s="4"/>
      <c r="IMA11" s="34"/>
      <c r="IMB11" s="34"/>
      <c r="IMD11" s="34"/>
      <c r="IME11" s="72"/>
      <c r="IMF11" s="63"/>
      <c r="IMG11" s="34"/>
      <c r="IMH11" s="64"/>
      <c r="IMI11" s="4"/>
      <c r="IMJ11" s="65"/>
      <c r="IMK11" s="4"/>
      <c r="IML11" s="4"/>
      <c r="IMM11" s="4"/>
      <c r="IMP11" s="34"/>
      <c r="IMQ11" s="34"/>
      <c r="IMS11" s="34"/>
      <c r="IMT11" s="72"/>
      <c r="IMU11" s="63"/>
      <c r="IMV11" s="34"/>
      <c r="IMW11" s="64"/>
      <c r="IMX11" s="4"/>
      <c r="IMY11" s="65"/>
      <c r="IMZ11" s="4"/>
      <c r="INA11" s="4"/>
      <c r="INB11" s="4"/>
      <c r="INE11" s="34"/>
      <c r="INF11" s="34"/>
      <c r="INH11" s="34"/>
      <c r="INI11" s="72"/>
      <c r="INJ11" s="63"/>
      <c r="INK11" s="34"/>
      <c r="INL11" s="64"/>
      <c r="INM11" s="4"/>
      <c r="INN11" s="65"/>
      <c r="INO11" s="4"/>
      <c r="INP11" s="4"/>
      <c r="INQ11" s="4"/>
      <c r="INT11" s="34"/>
      <c r="INU11" s="34"/>
      <c r="INW11" s="34"/>
      <c r="INX11" s="72"/>
      <c r="INY11" s="63"/>
      <c r="INZ11" s="34"/>
      <c r="IOA11" s="64"/>
      <c r="IOB11" s="4"/>
      <c r="IOC11" s="65"/>
      <c r="IOD11" s="4"/>
      <c r="IOE11" s="4"/>
      <c r="IOF11" s="4"/>
      <c r="IOI11" s="34"/>
      <c r="IOJ11" s="34"/>
      <c r="IOL11" s="34"/>
      <c r="IOM11" s="72"/>
      <c r="ION11" s="63"/>
      <c r="IOO11" s="34"/>
      <c r="IOP11" s="64"/>
      <c r="IOQ11" s="4"/>
      <c r="IOR11" s="65"/>
      <c r="IOS11" s="4"/>
      <c r="IOT11" s="4"/>
      <c r="IOU11" s="4"/>
      <c r="IOX11" s="34"/>
      <c r="IOY11" s="34"/>
      <c r="IPA11" s="34"/>
      <c r="IPB11" s="72"/>
      <c r="IPC11" s="63"/>
      <c r="IPD11" s="34"/>
      <c r="IPE11" s="64"/>
      <c r="IPF11" s="4"/>
      <c r="IPG11" s="65"/>
      <c r="IPH11" s="4"/>
      <c r="IPI11" s="4"/>
      <c r="IPJ11" s="4"/>
      <c r="IPM11" s="34"/>
      <c r="IPN11" s="34"/>
      <c r="IPP11" s="34"/>
      <c r="IPQ11" s="72"/>
      <c r="IPR11" s="63"/>
      <c r="IPS11" s="34"/>
      <c r="IPT11" s="64"/>
      <c r="IPU11" s="4"/>
      <c r="IPV11" s="65"/>
      <c r="IPW11" s="4"/>
      <c r="IPX11" s="4"/>
      <c r="IPY11" s="4"/>
      <c r="IQB11" s="34"/>
      <c r="IQC11" s="34"/>
      <c r="IQE11" s="34"/>
      <c r="IQF11" s="72"/>
      <c r="IQG11" s="63"/>
      <c r="IQH11" s="34"/>
      <c r="IQI11" s="64"/>
      <c r="IQJ11" s="4"/>
      <c r="IQK11" s="65"/>
      <c r="IQL11" s="4"/>
      <c r="IQM11" s="4"/>
      <c r="IQN11" s="4"/>
      <c r="IQQ11" s="34"/>
      <c r="IQR11" s="34"/>
      <c r="IQT11" s="34"/>
      <c r="IQU11" s="72"/>
      <c r="IQV11" s="63"/>
      <c r="IQW11" s="34"/>
      <c r="IQX11" s="64"/>
      <c r="IQY11" s="4"/>
      <c r="IQZ11" s="65"/>
      <c r="IRA11" s="4"/>
      <c r="IRB11" s="4"/>
      <c r="IRC11" s="4"/>
      <c r="IRF11" s="34"/>
      <c r="IRG11" s="34"/>
      <c r="IRI11" s="34"/>
      <c r="IRJ11" s="72"/>
      <c r="IRK11" s="63"/>
      <c r="IRL11" s="34"/>
      <c r="IRM11" s="64"/>
      <c r="IRN11" s="4"/>
      <c r="IRO11" s="65"/>
      <c r="IRP11" s="4"/>
      <c r="IRQ11" s="4"/>
      <c r="IRR11" s="4"/>
      <c r="IRU11" s="34"/>
      <c r="IRV11" s="34"/>
      <c r="IRX11" s="34"/>
      <c r="IRY11" s="72"/>
      <c r="IRZ11" s="63"/>
      <c r="ISA11" s="34"/>
      <c r="ISB11" s="64"/>
      <c r="ISC11" s="4"/>
      <c r="ISD11" s="65"/>
      <c r="ISE11" s="4"/>
      <c r="ISF11" s="4"/>
      <c r="ISG11" s="4"/>
      <c r="ISJ11" s="34"/>
      <c r="ISK11" s="34"/>
      <c r="ISM11" s="34"/>
      <c r="ISN11" s="72"/>
      <c r="ISO11" s="63"/>
      <c r="ISP11" s="34"/>
      <c r="ISQ11" s="64"/>
      <c r="ISR11" s="4"/>
      <c r="ISS11" s="65"/>
      <c r="IST11" s="4"/>
      <c r="ISU11" s="4"/>
      <c r="ISV11" s="4"/>
      <c r="ISY11" s="34"/>
      <c r="ISZ11" s="34"/>
      <c r="ITB11" s="34"/>
      <c r="ITC11" s="72"/>
      <c r="ITD11" s="63"/>
      <c r="ITE11" s="34"/>
      <c r="ITF11" s="64"/>
      <c r="ITG11" s="4"/>
      <c r="ITH11" s="65"/>
      <c r="ITI11" s="4"/>
      <c r="ITJ11" s="4"/>
      <c r="ITK11" s="4"/>
      <c r="ITN11" s="34"/>
      <c r="ITO11" s="34"/>
      <c r="ITQ11" s="34"/>
      <c r="ITR11" s="72"/>
      <c r="ITS11" s="63"/>
      <c r="ITT11" s="34"/>
      <c r="ITU11" s="64"/>
      <c r="ITV11" s="4"/>
      <c r="ITW11" s="65"/>
      <c r="ITX11" s="4"/>
      <c r="ITY11" s="4"/>
      <c r="ITZ11" s="4"/>
      <c r="IUC11" s="34"/>
      <c r="IUD11" s="34"/>
      <c r="IUF11" s="34"/>
      <c r="IUG11" s="72"/>
      <c r="IUH11" s="63"/>
      <c r="IUI11" s="34"/>
      <c r="IUJ11" s="64"/>
      <c r="IUK11" s="4"/>
      <c r="IUL11" s="65"/>
      <c r="IUM11" s="4"/>
      <c r="IUN11" s="4"/>
      <c r="IUO11" s="4"/>
      <c r="IUR11" s="34"/>
      <c r="IUS11" s="34"/>
      <c r="IUU11" s="34"/>
      <c r="IUV11" s="72"/>
      <c r="IUW11" s="63"/>
      <c r="IUX11" s="34"/>
      <c r="IUY11" s="64"/>
      <c r="IUZ11" s="4"/>
      <c r="IVA11" s="65"/>
      <c r="IVB11" s="4"/>
      <c r="IVC11" s="4"/>
      <c r="IVD11" s="4"/>
      <c r="IVG11" s="34"/>
      <c r="IVH11" s="34"/>
      <c r="IVJ11" s="34"/>
      <c r="IVK11" s="72"/>
      <c r="IVL11" s="63"/>
      <c r="IVM11" s="34"/>
      <c r="IVN11" s="64"/>
      <c r="IVO11" s="4"/>
      <c r="IVP11" s="65"/>
      <c r="IVQ11" s="4"/>
      <c r="IVR11" s="4"/>
      <c r="IVS11" s="4"/>
      <c r="IVV11" s="34"/>
      <c r="IVW11" s="34"/>
      <c r="IVY11" s="34"/>
      <c r="IVZ11" s="72"/>
      <c r="IWA11" s="63"/>
      <c r="IWB11" s="34"/>
      <c r="IWC11" s="64"/>
      <c r="IWD11" s="4"/>
      <c r="IWE11" s="65"/>
      <c r="IWF11" s="4"/>
      <c r="IWG11" s="4"/>
      <c r="IWH11" s="4"/>
      <c r="IWK11" s="34"/>
      <c r="IWL11" s="34"/>
      <c r="IWN11" s="34"/>
      <c r="IWO11" s="72"/>
      <c r="IWP11" s="63"/>
      <c r="IWQ11" s="34"/>
      <c r="IWR11" s="64"/>
      <c r="IWS11" s="4"/>
      <c r="IWT11" s="65"/>
      <c r="IWU11" s="4"/>
      <c r="IWV11" s="4"/>
      <c r="IWW11" s="4"/>
      <c r="IWZ11" s="34"/>
      <c r="IXA11" s="34"/>
      <c r="IXC11" s="34"/>
      <c r="IXD11" s="72"/>
      <c r="IXE11" s="63"/>
      <c r="IXF11" s="34"/>
      <c r="IXG11" s="64"/>
      <c r="IXH11" s="4"/>
      <c r="IXI11" s="65"/>
      <c r="IXJ11" s="4"/>
      <c r="IXK11" s="4"/>
      <c r="IXL11" s="4"/>
      <c r="IXO11" s="34"/>
      <c r="IXP11" s="34"/>
      <c r="IXR11" s="34"/>
      <c r="IXS11" s="72"/>
      <c r="IXT11" s="63"/>
      <c r="IXU11" s="34"/>
      <c r="IXV11" s="64"/>
      <c r="IXW11" s="4"/>
      <c r="IXX11" s="65"/>
      <c r="IXY11" s="4"/>
      <c r="IXZ11" s="4"/>
      <c r="IYA11" s="4"/>
      <c r="IYD11" s="34"/>
      <c r="IYE11" s="34"/>
      <c r="IYG11" s="34"/>
      <c r="IYH11" s="72"/>
      <c r="IYI11" s="63"/>
      <c r="IYJ11" s="34"/>
      <c r="IYK11" s="64"/>
      <c r="IYL11" s="4"/>
      <c r="IYM11" s="65"/>
      <c r="IYN11" s="4"/>
      <c r="IYO11" s="4"/>
      <c r="IYP11" s="4"/>
      <c r="IYS11" s="34"/>
      <c r="IYT11" s="34"/>
      <c r="IYV11" s="34"/>
      <c r="IYW11" s="72"/>
      <c r="IYX11" s="63"/>
      <c r="IYY11" s="34"/>
      <c r="IYZ11" s="64"/>
      <c r="IZA11" s="4"/>
      <c r="IZB11" s="65"/>
      <c r="IZC11" s="4"/>
      <c r="IZD11" s="4"/>
      <c r="IZE11" s="4"/>
      <c r="IZH11" s="34"/>
      <c r="IZI11" s="34"/>
      <c r="IZK11" s="34"/>
      <c r="IZL11" s="72"/>
      <c r="IZM11" s="63"/>
      <c r="IZN11" s="34"/>
      <c r="IZO11" s="64"/>
      <c r="IZP11" s="4"/>
      <c r="IZQ11" s="65"/>
      <c r="IZR11" s="4"/>
      <c r="IZS11" s="4"/>
      <c r="IZT11" s="4"/>
      <c r="IZW11" s="34"/>
      <c r="IZX11" s="34"/>
      <c r="IZZ11" s="34"/>
      <c r="JAA11" s="72"/>
      <c r="JAB11" s="63"/>
      <c r="JAC11" s="34"/>
      <c r="JAD11" s="64"/>
      <c r="JAE11" s="4"/>
      <c r="JAF11" s="65"/>
      <c r="JAG11" s="4"/>
      <c r="JAH11" s="4"/>
      <c r="JAI11" s="4"/>
      <c r="JAL11" s="34"/>
      <c r="JAM11" s="34"/>
      <c r="JAO11" s="34"/>
      <c r="JAP11" s="72"/>
      <c r="JAQ11" s="63"/>
      <c r="JAR11" s="34"/>
      <c r="JAS11" s="64"/>
      <c r="JAT11" s="4"/>
      <c r="JAU11" s="65"/>
      <c r="JAV11" s="4"/>
      <c r="JAW11" s="4"/>
      <c r="JAX11" s="4"/>
      <c r="JBA11" s="34"/>
      <c r="JBB11" s="34"/>
      <c r="JBD11" s="34"/>
      <c r="JBE11" s="72"/>
      <c r="JBF11" s="63"/>
      <c r="JBG11" s="34"/>
      <c r="JBH11" s="64"/>
      <c r="JBI11" s="4"/>
      <c r="JBJ11" s="65"/>
      <c r="JBK11" s="4"/>
      <c r="JBL11" s="4"/>
      <c r="JBM11" s="4"/>
      <c r="JBP11" s="34"/>
      <c r="JBQ11" s="34"/>
      <c r="JBS11" s="34"/>
      <c r="JBT11" s="72"/>
      <c r="JBU11" s="63"/>
      <c r="JBV11" s="34"/>
      <c r="JBW11" s="64"/>
      <c r="JBX11" s="4"/>
      <c r="JBY11" s="65"/>
      <c r="JBZ11" s="4"/>
      <c r="JCA11" s="4"/>
      <c r="JCB11" s="4"/>
      <c r="JCE11" s="34"/>
      <c r="JCF11" s="34"/>
      <c r="JCH11" s="34"/>
      <c r="JCI11" s="72"/>
      <c r="JCJ11" s="63"/>
      <c r="JCK11" s="34"/>
      <c r="JCL11" s="64"/>
      <c r="JCM11" s="4"/>
      <c r="JCN11" s="65"/>
      <c r="JCO11" s="4"/>
      <c r="JCP11" s="4"/>
      <c r="JCQ11" s="4"/>
      <c r="JCT11" s="34"/>
      <c r="JCU11" s="34"/>
      <c r="JCW11" s="34"/>
      <c r="JCX11" s="72"/>
      <c r="JCY11" s="63"/>
      <c r="JCZ11" s="34"/>
      <c r="JDA11" s="64"/>
      <c r="JDB11" s="4"/>
      <c r="JDC11" s="65"/>
      <c r="JDD11" s="4"/>
      <c r="JDE11" s="4"/>
      <c r="JDF11" s="4"/>
      <c r="JDI11" s="34"/>
      <c r="JDJ11" s="34"/>
      <c r="JDL11" s="34"/>
      <c r="JDM11" s="72"/>
      <c r="JDN11" s="63"/>
      <c r="JDO11" s="34"/>
      <c r="JDP11" s="64"/>
      <c r="JDQ11" s="4"/>
      <c r="JDR11" s="65"/>
      <c r="JDS11" s="4"/>
      <c r="JDT11" s="4"/>
      <c r="JDU11" s="4"/>
      <c r="JDX11" s="34"/>
      <c r="JDY11" s="34"/>
      <c r="JEA11" s="34"/>
      <c r="JEB11" s="72"/>
      <c r="JEC11" s="63"/>
      <c r="JED11" s="34"/>
      <c r="JEE11" s="64"/>
      <c r="JEF11" s="4"/>
      <c r="JEG11" s="65"/>
      <c r="JEH11" s="4"/>
      <c r="JEI11" s="4"/>
      <c r="JEJ11" s="4"/>
      <c r="JEM11" s="34"/>
      <c r="JEN11" s="34"/>
      <c r="JEP11" s="34"/>
      <c r="JEQ11" s="72"/>
      <c r="JER11" s="63"/>
      <c r="JES11" s="34"/>
      <c r="JET11" s="64"/>
      <c r="JEU11" s="4"/>
      <c r="JEV11" s="65"/>
      <c r="JEW11" s="4"/>
      <c r="JEX11" s="4"/>
      <c r="JEY11" s="4"/>
      <c r="JFB11" s="34"/>
      <c r="JFC11" s="34"/>
      <c r="JFE11" s="34"/>
      <c r="JFF11" s="72"/>
      <c r="JFG11" s="63"/>
      <c r="JFH11" s="34"/>
      <c r="JFI11" s="64"/>
      <c r="JFJ11" s="4"/>
      <c r="JFK11" s="65"/>
      <c r="JFL11" s="4"/>
      <c r="JFM11" s="4"/>
      <c r="JFN11" s="4"/>
      <c r="JFQ11" s="34"/>
      <c r="JFR11" s="34"/>
      <c r="JFT11" s="34"/>
      <c r="JFU11" s="72"/>
      <c r="JFV11" s="63"/>
      <c r="JFW11" s="34"/>
      <c r="JFX11" s="64"/>
      <c r="JFY11" s="4"/>
      <c r="JFZ11" s="65"/>
      <c r="JGA11" s="4"/>
      <c r="JGB11" s="4"/>
      <c r="JGC11" s="4"/>
      <c r="JGF11" s="34"/>
      <c r="JGG11" s="34"/>
      <c r="JGI11" s="34"/>
      <c r="JGJ11" s="72"/>
      <c r="JGK11" s="63"/>
      <c r="JGL11" s="34"/>
      <c r="JGM11" s="64"/>
      <c r="JGN11" s="4"/>
      <c r="JGO11" s="65"/>
      <c r="JGP11" s="4"/>
      <c r="JGQ11" s="4"/>
      <c r="JGR11" s="4"/>
      <c r="JGU11" s="34"/>
      <c r="JGV11" s="34"/>
      <c r="JGX11" s="34"/>
      <c r="JGY11" s="72"/>
      <c r="JGZ11" s="63"/>
      <c r="JHA11" s="34"/>
      <c r="JHB11" s="64"/>
      <c r="JHC11" s="4"/>
      <c r="JHD11" s="65"/>
      <c r="JHE11" s="4"/>
      <c r="JHF11" s="4"/>
      <c r="JHG11" s="4"/>
      <c r="JHJ11" s="34"/>
      <c r="JHK11" s="34"/>
      <c r="JHM11" s="34"/>
      <c r="JHN11" s="72"/>
      <c r="JHO11" s="63"/>
      <c r="JHP11" s="34"/>
      <c r="JHQ11" s="64"/>
      <c r="JHR11" s="4"/>
      <c r="JHS11" s="65"/>
      <c r="JHT11" s="4"/>
      <c r="JHU11" s="4"/>
      <c r="JHV11" s="4"/>
      <c r="JHY11" s="34"/>
      <c r="JHZ11" s="34"/>
      <c r="JIB11" s="34"/>
      <c r="JIC11" s="72"/>
      <c r="JID11" s="63"/>
      <c r="JIE11" s="34"/>
      <c r="JIF11" s="64"/>
      <c r="JIG11" s="4"/>
      <c r="JIH11" s="65"/>
      <c r="JII11" s="4"/>
      <c r="JIJ11" s="4"/>
      <c r="JIK11" s="4"/>
      <c r="JIN11" s="34"/>
      <c r="JIO11" s="34"/>
      <c r="JIQ11" s="34"/>
      <c r="JIR11" s="72"/>
      <c r="JIS11" s="63"/>
      <c r="JIT11" s="34"/>
      <c r="JIU11" s="64"/>
      <c r="JIV11" s="4"/>
      <c r="JIW11" s="65"/>
      <c r="JIX11" s="4"/>
      <c r="JIY11" s="4"/>
      <c r="JIZ11" s="4"/>
      <c r="JJC11" s="34"/>
      <c r="JJD11" s="34"/>
      <c r="JJF11" s="34"/>
      <c r="JJG11" s="72"/>
      <c r="JJH11" s="63"/>
      <c r="JJI11" s="34"/>
      <c r="JJJ11" s="64"/>
      <c r="JJK11" s="4"/>
      <c r="JJL11" s="65"/>
      <c r="JJM11" s="4"/>
      <c r="JJN11" s="4"/>
      <c r="JJO11" s="4"/>
      <c r="JJR11" s="34"/>
      <c r="JJS11" s="34"/>
      <c r="JJU11" s="34"/>
      <c r="JJV11" s="72"/>
      <c r="JJW11" s="63"/>
      <c r="JJX11" s="34"/>
      <c r="JJY11" s="64"/>
      <c r="JJZ11" s="4"/>
      <c r="JKA11" s="65"/>
      <c r="JKB11" s="4"/>
      <c r="JKC11" s="4"/>
      <c r="JKD11" s="4"/>
      <c r="JKG11" s="34"/>
      <c r="JKH11" s="34"/>
      <c r="JKJ11" s="34"/>
      <c r="JKK11" s="72"/>
      <c r="JKL11" s="63"/>
      <c r="JKM11" s="34"/>
      <c r="JKN11" s="64"/>
      <c r="JKO11" s="4"/>
      <c r="JKP11" s="65"/>
      <c r="JKQ11" s="4"/>
      <c r="JKR11" s="4"/>
      <c r="JKS11" s="4"/>
      <c r="JKV11" s="34"/>
      <c r="JKW11" s="34"/>
      <c r="JKY11" s="34"/>
      <c r="JKZ11" s="72"/>
      <c r="JLA11" s="63"/>
      <c r="JLB11" s="34"/>
      <c r="JLC11" s="64"/>
      <c r="JLD11" s="4"/>
      <c r="JLE11" s="65"/>
      <c r="JLF11" s="4"/>
      <c r="JLG11" s="4"/>
      <c r="JLH11" s="4"/>
      <c r="JLK11" s="34"/>
      <c r="JLL11" s="34"/>
      <c r="JLN11" s="34"/>
      <c r="JLO11" s="72"/>
      <c r="JLP11" s="63"/>
      <c r="JLQ11" s="34"/>
      <c r="JLR11" s="64"/>
      <c r="JLS11" s="4"/>
      <c r="JLT11" s="65"/>
      <c r="JLU11" s="4"/>
      <c r="JLV11" s="4"/>
      <c r="JLW11" s="4"/>
      <c r="JLZ11" s="34"/>
      <c r="JMA11" s="34"/>
      <c r="JMC11" s="34"/>
      <c r="JMD11" s="72"/>
      <c r="JME11" s="63"/>
      <c r="JMF11" s="34"/>
      <c r="JMG11" s="64"/>
      <c r="JMH11" s="4"/>
      <c r="JMI11" s="65"/>
      <c r="JMJ11" s="4"/>
      <c r="JMK11" s="4"/>
      <c r="JML11" s="4"/>
      <c r="JMO11" s="34"/>
      <c r="JMP11" s="34"/>
      <c r="JMR11" s="34"/>
      <c r="JMS11" s="72"/>
      <c r="JMT11" s="63"/>
      <c r="JMU11" s="34"/>
      <c r="JMV11" s="64"/>
      <c r="JMW11" s="4"/>
      <c r="JMX11" s="65"/>
      <c r="JMY11" s="4"/>
      <c r="JMZ11" s="4"/>
      <c r="JNA11" s="4"/>
      <c r="JND11" s="34"/>
      <c r="JNE11" s="34"/>
      <c r="JNG11" s="34"/>
      <c r="JNH11" s="72"/>
      <c r="JNI11" s="63"/>
      <c r="JNJ11" s="34"/>
      <c r="JNK11" s="64"/>
      <c r="JNL11" s="4"/>
      <c r="JNM11" s="65"/>
      <c r="JNN11" s="4"/>
      <c r="JNO11" s="4"/>
      <c r="JNP11" s="4"/>
      <c r="JNS11" s="34"/>
      <c r="JNT11" s="34"/>
      <c r="JNV11" s="34"/>
      <c r="JNW11" s="72"/>
      <c r="JNX11" s="63"/>
      <c r="JNY11" s="34"/>
      <c r="JNZ11" s="64"/>
      <c r="JOA11" s="4"/>
      <c r="JOB11" s="65"/>
      <c r="JOC11" s="4"/>
      <c r="JOD11" s="4"/>
      <c r="JOE11" s="4"/>
      <c r="JOH11" s="34"/>
      <c r="JOI11" s="34"/>
      <c r="JOK11" s="34"/>
      <c r="JOL11" s="72"/>
      <c r="JOM11" s="63"/>
      <c r="JON11" s="34"/>
      <c r="JOO11" s="64"/>
      <c r="JOP11" s="4"/>
      <c r="JOQ11" s="65"/>
      <c r="JOR11" s="4"/>
      <c r="JOS11" s="4"/>
      <c r="JOT11" s="4"/>
      <c r="JOW11" s="34"/>
      <c r="JOX11" s="34"/>
      <c r="JOZ11" s="34"/>
      <c r="JPA11" s="72"/>
      <c r="JPB11" s="63"/>
      <c r="JPC11" s="34"/>
      <c r="JPD11" s="64"/>
      <c r="JPE11" s="4"/>
      <c r="JPF11" s="65"/>
      <c r="JPG11" s="4"/>
      <c r="JPH11" s="4"/>
      <c r="JPI11" s="4"/>
      <c r="JPL11" s="34"/>
      <c r="JPM11" s="34"/>
      <c r="JPO11" s="34"/>
      <c r="JPP11" s="72"/>
      <c r="JPQ11" s="63"/>
      <c r="JPR11" s="34"/>
      <c r="JPS11" s="64"/>
      <c r="JPT11" s="4"/>
      <c r="JPU11" s="65"/>
      <c r="JPV11" s="4"/>
      <c r="JPW11" s="4"/>
      <c r="JPX11" s="4"/>
      <c r="JQA11" s="34"/>
      <c r="JQB11" s="34"/>
      <c r="JQD11" s="34"/>
      <c r="JQE11" s="72"/>
      <c r="JQF11" s="63"/>
      <c r="JQG11" s="34"/>
      <c r="JQH11" s="64"/>
      <c r="JQI11" s="4"/>
      <c r="JQJ11" s="65"/>
      <c r="JQK11" s="4"/>
      <c r="JQL11" s="4"/>
      <c r="JQM11" s="4"/>
      <c r="JQP11" s="34"/>
      <c r="JQQ11" s="34"/>
      <c r="JQS11" s="34"/>
      <c r="JQT11" s="72"/>
      <c r="JQU11" s="63"/>
      <c r="JQV11" s="34"/>
      <c r="JQW11" s="64"/>
      <c r="JQX11" s="4"/>
      <c r="JQY11" s="65"/>
      <c r="JQZ11" s="4"/>
      <c r="JRA11" s="4"/>
      <c r="JRB11" s="4"/>
      <c r="JRE11" s="34"/>
      <c r="JRF11" s="34"/>
      <c r="JRH11" s="34"/>
      <c r="JRI11" s="72"/>
      <c r="JRJ11" s="63"/>
      <c r="JRK11" s="34"/>
      <c r="JRL11" s="64"/>
      <c r="JRM11" s="4"/>
      <c r="JRN11" s="65"/>
      <c r="JRO11" s="4"/>
      <c r="JRP11" s="4"/>
      <c r="JRQ11" s="4"/>
      <c r="JRT11" s="34"/>
      <c r="JRU11" s="34"/>
      <c r="JRW11" s="34"/>
      <c r="JRX11" s="72"/>
      <c r="JRY11" s="63"/>
      <c r="JRZ11" s="34"/>
      <c r="JSA11" s="64"/>
      <c r="JSB11" s="4"/>
      <c r="JSC11" s="65"/>
      <c r="JSD11" s="4"/>
      <c r="JSE11" s="4"/>
      <c r="JSF11" s="4"/>
      <c r="JSI11" s="34"/>
      <c r="JSJ11" s="34"/>
      <c r="JSL11" s="34"/>
      <c r="JSM11" s="72"/>
      <c r="JSN11" s="63"/>
      <c r="JSO11" s="34"/>
      <c r="JSP11" s="64"/>
      <c r="JSQ11" s="4"/>
      <c r="JSR11" s="65"/>
      <c r="JSS11" s="4"/>
      <c r="JST11" s="4"/>
      <c r="JSU11" s="4"/>
      <c r="JSX11" s="34"/>
      <c r="JSY11" s="34"/>
      <c r="JTA11" s="34"/>
      <c r="JTB11" s="72"/>
      <c r="JTC11" s="63"/>
      <c r="JTD11" s="34"/>
      <c r="JTE11" s="64"/>
      <c r="JTF11" s="4"/>
      <c r="JTG11" s="65"/>
      <c r="JTH11" s="4"/>
      <c r="JTI11" s="4"/>
      <c r="JTJ11" s="4"/>
      <c r="JTM11" s="34"/>
      <c r="JTN11" s="34"/>
      <c r="JTP11" s="34"/>
      <c r="JTQ11" s="72"/>
      <c r="JTR11" s="63"/>
      <c r="JTS11" s="34"/>
      <c r="JTT11" s="64"/>
      <c r="JTU11" s="4"/>
      <c r="JTV11" s="65"/>
      <c r="JTW11" s="4"/>
      <c r="JTX11" s="4"/>
      <c r="JTY11" s="4"/>
      <c r="JUB11" s="34"/>
      <c r="JUC11" s="34"/>
      <c r="JUE11" s="34"/>
      <c r="JUF11" s="72"/>
      <c r="JUG11" s="63"/>
      <c r="JUH11" s="34"/>
      <c r="JUI11" s="64"/>
      <c r="JUJ11" s="4"/>
      <c r="JUK11" s="65"/>
      <c r="JUL11" s="4"/>
      <c r="JUM11" s="4"/>
      <c r="JUN11" s="4"/>
      <c r="JUQ11" s="34"/>
      <c r="JUR11" s="34"/>
      <c r="JUT11" s="34"/>
      <c r="JUU11" s="72"/>
      <c r="JUV11" s="63"/>
      <c r="JUW11" s="34"/>
      <c r="JUX11" s="64"/>
      <c r="JUY11" s="4"/>
      <c r="JUZ11" s="65"/>
      <c r="JVA11" s="4"/>
      <c r="JVB11" s="4"/>
      <c r="JVC11" s="4"/>
      <c r="JVF11" s="34"/>
      <c r="JVG11" s="34"/>
      <c r="JVI11" s="34"/>
      <c r="JVJ11" s="72"/>
      <c r="JVK11" s="63"/>
      <c r="JVL11" s="34"/>
      <c r="JVM11" s="64"/>
      <c r="JVN11" s="4"/>
      <c r="JVO11" s="65"/>
      <c r="JVP11" s="4"/>
      <c r="JVQ11" s="4"/>
      <c r="JVR11" s="4"/>
      <c r="JVU11" s="34"/>
      <c r="JVV11" s="34"/>
      <c r="JVX11" s="34"/>
      <c r="JVY11" s="72"/>
      <c r="JVZ11" s="63"/>
      <c r="JWA11" s="34"/>
      <c r="JWB11" s="64"/>
      <c r="JWC11" s="4"/>
      <c r="JWD11" s="65"/>
      <c r="JWE11" s="4"/>
      <c r="JWF11" s="4"/>
      <c r="JWG11" s="4"/>
      <c r="JWJ11" s="34"/>
      <c r="JWK11" s="34"/>
      <c r="JWM11" s="34"/>
      <c r="JWN11" s="72"/>
      <c r="JWO11" s="63"/>
      <c r="JWP11" s="34"/>
      <c r="JWQ11" s="64"/>
      <c r="JWR11" s="4"/>
      <c r="JWS11" s="65"/>
      <c r="JWT11" s="4"/>
      <c r="JWU11" s="4"/>
      <c r="JWV11" s="4"/>
      <c r="JWY11" s="34"/>
      <c r="JWZ11" s="34"/>
      <c r="JXB11" s="34"/>
      <c r="JXC11" s="72"/>
      <c r="JXD11" s="63"/>
      <c r="JXE11" s="34"/>
      <c r="JXF11" s="64"/>
      <c r="JXG11" s="4"/>
      <c r="JXH11" s="65"/>
      <c r="JXI11" s="4"/>
      <c r="JXJ11" s="4"/>
      <c r="JXK11" s="4"/>
      <c r="JXN11" s="34"/>
      <c r="JXO11" s="34"/>
      <c r="JXQ11" s="34"/>
      <c r="JXR11" s="72"/>
      <c r="JXS11" s="63"/>
      <c r="JXT11" s="34"/>
      <c r="JXU11" s="64"/>
      <c r="JXV11" s="4"/>
      <c r="JXW11" s="65"/>
      <c r="JXX11" s="4"/>
      <c r="JXY11" s="4"/>
      <c r="JXZ11" s="4"/>
      <c r="JYC11" s="34"/>
      <c r="JYD11" s="34"/>
      <c r="JYF11" s="34"/>
      <c r="JYG11" s="72"/>
      <c r="JYH11" s="63"/>
      <c r="JYI11" s="34"/>
      <c r="JYJ11" s="64"/>
      <c r="JYK11" s="4"/>
      <c r="JYL11" s="65"/>
      <c r="JYM11" s="4"/>
      <c r="JYN11" s="4"/>
      <c r="JYO11" s="4"/>
      <c r="JYR11" s="34"/>
      <c r="JYS11" s="34"/>
      <c r="JYU11" s="34"/>
      <c r="JYV11" s="72"/>
      <c r="JYW11" s="63"/>
      <c r="JYX11" s="34"/>
      <c r="JYY11" s="64"/>
      <c r="JYZ11" s="4"/>
      <c r="JZA11" s="65"/>
      <c r="JZB11" s="4"/>
      <c r="JZC11" s="4"/>
      <c r="JZD11" s="4"/>
      <c r="JZG11" s="34"/>
      <c r="JZH11" s="34"/>
      <c r="JZJ11" s="34"/>
      <c r="JZK11" s="72"/>
      <c r="JZL11" s="63"/>
      <c r="JZM11" s="34"/>
      <c r="JZN11" s="64"/>
      <c r="JZO11" s="4"/>
      <c r="JZP11" s="65"/>
      <c r="JZQ11" s="4"/>
      <c r="JZR11" s="4"/>
      <c r="JZS11" s="4"/>
      <c r="JZV11" s="34"/>
      <c r="JZW11" s="34"/>
      <c r="JZY11" s="34"/>
      <c r="JZZ11" s="72"/>
      <c r="KAA11" s="63"/>
      <c r="KAB11" s="34"/>
      <c r="KAC11" s="64"/>
      <c r="KAD11" s="4"/>
      <c r="KAE11" s="65"/>
      <c r="KAF11" s="4"/>
      <c r="KAG11" s="4"/>
      <c r="KAH11" s="4"/>
      <c r="KAK11" s="34"/>
      <c r="KAL11" s="34"/>
      <c r="KAN11" s="34"/>
      <c r="KAO11" s="72"/>
      <c r="KAP11" s="63"/>
      <c r="KAQ11" s="34"/>
      <c r="KAR11" s="64"/>
      <c r="KAS11" s="4"/>
      <c r="KAT11" s="65"/>
      <c r="KAU11" s="4"/>
      <c r="KAV11" s="4"/>
      <c r="KAW11" s="4"/>
      <c r="KAZ11" s="34"/>
      <c r="KBA11" s="34"/>
      <c r="KBC11" s="34"/>
      <c r="KBD11" s="72"/>
      <c r="KBE11" s="63"/>
      <c r="KBF11" s="34"/>
      <c r="KBG11" s="64"/>
      <c r="KBH11" s="4"/>
      <c r="KBI11" s="65"/>
      <c r="KBJ11" s="4"/>
      <c r="KBK11" s="4"/>
      <c r="KBL11" s="4"/>
      <c r="KBO11" s="34"/>
      <c r="KBP11" s="34"/>
      <c r="KBR11" s="34"/>
      <c r="KBS11" s="72"/>
      <c r="KBT11" s="63"/>
      <c r="KBU11" s="34"/>
      <c r="KBV11" s="64"/>
      <c r="KBW11" s="4"/>
      <c r="KBX11" s="65"/>
      <c r="KBY11" s="4"/>
      <c r="KBZ11" s="4"/>
      <c r="KCA11" s="4"/>
      <c r="KCD11" s="34"/>
      <c r="KCE11" s="34"/>
      <c r="KCG11" s="34"/>
      <c r="KCH11" s="72"/>
      <c r="KCI11" s="63"/>
      <c r="KCJ11" s="34"/>
      <c r="KCK11" s="64"/>
      <c r="KCL11" s="4"/>
      <c r="KCM11" s="65"/>
      <c r="KCN11" s="4"/>
      <c r="KCO11" s="4"/>
      <c r="KCP11" s="4"/>
      <c r="KCS11" s="34"/>
      <c r="KCT11" s="34"/>
      <c r="KCV11" s="34"/>
      <c r="KCW11" s="72"/>
      <c r="KCX11" s="63"/>
      <c r="KCY11" s="34"/>
      <c r="KCZ11" s="64"/>
      <c r="KDA11" s="4"/>
      <c r="KDB11" s="65"/>
      <c r="KDC11" s="4"/>
      <c r="KDD11" s="4"/>
      <c r="KDE11" s="4"/>
      <c r="KDH11" s="34"/>
      <c r="KDI11" s="34"/>
      <c r="KDK11" s="34"/>
      <c r="KDL11" s="72"/>
      <c r="KDM11" s="63"/>
      <c r="KDN11" s="34"/>
      <c r="KDO11" s="64"/>
      <c r="KDP11" s="4"/>
      <c r="KDQ11" s="65"/>
      <c r="KDR11" s="4"/>
      <c r="KDS11" s="4"/>
      <c r="KDT11" s="4"/>
      <c r="KDW11" s="34"/>
      <c r="KDX11" s="34"/>
      <c r="KDZ11" s="34"/>
      <c r="KEA11" s="72"/>
      <c r="KEB11" s="63"/>
      <c r="KEC11" s="34"/>
      <c r="KED11" s="64"/>
      <c r="KEE11" s="4"/>
      <c r="KEF11" s="65"/>
      <c r="KEG11" s="4"/>
      <c r="KEH11" s="4"/>
      <c r="KEI11" s="4"/>
      <c r="KEL11" s="34"/>
      <c r="KEM11" s="34"/>
      <c r="KEO11" s="34"/>
      <c r="KEP11" s="72"/>
      <c r="KEQ11" s="63"/>
      <c r="KER11" s="34"/>
      <c r="KES11" s="64"/>
      <c r="KET11" s="4"/>
      <c r="KEU11" s="65"/>
      <c r="KEV11" s="4"/>
      <c r="KEW11" s="4"/>
      <c r="KEX11" s="4"/>
      <c r="KFA11" s="34"/>
      <c r="KFB11" s="34"/>
      <c r="KFD11" s="34"/>
      <c r="KFE11" s="72"/>
      <c r="KFF11" s="63"/>
      <c r="KFG11" s="34"/>
      <c r="KFH11" s="64"/>
      <c r="KFI11" s="4"/>
      <c r="KFJ11" s="65"/>
      <c r="KFK11" s="4"/>
      <c r="KFL11" s="4"/>
      <c r="KFM11" s="4"/>
      <c r="KFP11" s="34"/>
      <c r="KFQ11" s="34"/>
      <c r="KFS11" s="34"/>
      <c r="KFT11" s="72"/>
      <c r="KFU11" s="63"/>
      <c r="KFV11" s="34"/>
      <c r="KFW11" s="64"/>
      <c r="KFX11" s="4"/>
      <c r="KFY11" s="65"/>
      <c r="KFZ11" s="4"/>
      <c r="KGA11" s="4"/>
      <c r="KGB11" s="4"/>
      <c r="KGE11" s="34"/>
      <c r="KGF11" s="34"/>
      <c r="KGH11" s="34"/>
      <c r="KGI11" s="72"/>
      <c r="KGJ11" s="63"/>
      <c r="KGK11" s="34"/>
      <c r="KGL11" s="64"/>
      <c r="KGM11" s="4"/>
      <c r="KGN11" s="65"/>
      <c r="KGO11" s="4"/>
      <c r="KGP11" s="4"/>
      <c r="KGQ11" s="4"/>
      <c r="KGT11" s="34"/>
      <c r="KGU11" s="34"/>
      <c r="KGW11" s="34"/>
      <c r="KGX11" s="72"/>
      <c r="KGY11" s="63"/>
      <c r="KGZ11" s="34"/>
      <c r="KHA11" s="64"/>
      <c r="KHB11" s="4"/>
      <c r="KHC11" s="65"/>
      <c r="KHD11" s="4"/>
      <c r="KHE11" s="4"/>
      <c r="KHF11" s="4"/>
      <c r="KHI11" s="34"/>
      <c r="KHJ11" s="34"/>
      <c r="KHL11" s="34"/>
      <c r="KHM11" s="72"/>
      <c r="KHN11" s="63"/>
      <c r="KHO11" s="34"/>
      <c r="KHP11" s="64"/>
      <c r="KHQ11" s="4"/>
      <c r="KHR11" s="65"/>
      <c r="KHS11" s="4"/>
      <c r="KHT11" s="4"/>
      <c r="KHU11" s="4"/>
      <c r="KHX11" s="34"/>
      <c r="KHY11" s="34"/>
      <c r="KIA11" s="34"/>
      <c r="KIB11" s="72"/>
      <c r="KIC11" s="63"/>
      <c r="KID11" s="34"/>
      <c r="KIE11" s="64"/>
      <c r="KIF11" s="4"/>
      <c r="KIG11" s="65"/>
      <c r="KIH11" s="4"/>
      <c r="KII11" s="4"/>
      <c r="KIJ11" s="4"/>
      <c r="KIM11" s="34"/>
      <c r="KIN11" s="34"/>
      <c r="KIP11" s="34"/>
      <c r="KIQ11" s="72"/>
      <c r="KIR11" s="63"/>
      <c r="KIS11" s="34"/>
      <c r="KIT11" s="64"/>
      <c r="KIU11" s="4"/>
      <c r="KIV11" s="65"/>
      <c r="KIW11" s="4"/>
      <c r="KIX11" s="4"/>
      <c r="KIY11" s="4"/>
      <c r="KJB11" s="34"/>
      <c r="KJC11" s="34"/>
      <c r="KJE11" s="34"/>
      <c r="KJF11" s="72"/>
      <c r="KJG11" s="63"/>
      <c r="KJH11" s="34"/>
      <c r="KJI11" s="64"/>
      <c r="KJJ11" s="4"/>
      <c r="KJK11" s="65"/>
      <c r="KJL11" s="4"/>
      <c r="KJM11" s="4"/>
      <c r="KJN11" s="4"/>
      <c r="KJQ11" s="34"/>
      <c r="KJR11" s="34"/>
      <c r="KJT11" s="34"/>
      <c r="KJU11" s="72"/>
      <c r="KJV11" s="63"/>
      <c r="KJW11" s="34"/>
      <c r="KJX11" s="64"/>
      <c r="KJY11" s="4"/>
      <c r="KJZ11" s="65"/>
      <c r="KKA11" s="4"/>
      <c r="KKB11" s="4"/>
      <c r="KKC11" s="4"/>
      <c r="KKF11" s="34"/>
      <c r="KKG11" s="34"/>
      <c r="KKI11" s="34"/>
      <c r="KKJ11" s="72"/>
      <c r="KKK11" s="63"/>
      <c r="KKL11" s="34"/>
      <c r="KKM11" s="64"/>
      <c r="KKN11" s="4"/>
      <c r="KKO11" s="65"/>
      <c r="KKP11" s="4"/>
      <c r="KKQ11" s="4"/>
      <c r="KKR11" s="4"/>
      <c r="KKU11" s="34"/>
      <c r="KKV11" s="34"/>
      <c r="KKX11" s="34"/>
      <c r="KKY11" s="72"/>
      <c r="KKZ11" s="63"/>
      <c r="KLA11" s="34"/>
      <c r="KLB11" s="64"/>
      <c r="KLC11" s="4"/>
      <c r="KLD11" s="65"/>
      <c r="KLE11" s="4"/>
      <c r="KLF11" s="4"/>
      <c r="KLG11" s="4"/>
      <c r="KLJ11" s="34"/>
      <c r="KLK11" s="34"/>
      <c r="KLM11" s="34"/>
      <c r="KLN11" s="72"/>
      <c r="KLO11" s="63"/>
      <c r="KLP11" s="34"/>
      <c r="KLQ11" s="64"/>
      <c r="KLR11" s="4"/>
      <c r="KLS11" s="65"/>
      <c r="KLT11" s="4"/>
      <c r="KLU11" s="4"/>
      <c r="KLV11" s="4"/>
      <c r="KLY11" s="34"/>
      <c r="KLZ11" s="34"/>
      <c r="KMB11" s="34"/>
      <c r="KMC11" s="72"/>
      <c r="KMD11" s="63"/>
      <c r="KME11" s="34"/>
      <c r="KMF11" s="64"/>
      <c r="KMG11" s="4"/>
      <c r="KMH11" s="65"/>
      <c r="KMI11" s="4"/>
      <c r="KMJ11" s="4"/>
      <c r="KMK11" s="4"/>
      <c r="KMN11" s="34"/>
      <c r="KMO11" s="34"/>
      <c r="KMQ11" s="34"/>
      <c r="KMR11" s="72"/>
      <c r="KMS11" s="63"/>
      <c r="KMT11" s="34"/>
      <c r="KMU11" s="64"/>
      <c r="KMV11" s="4"/>
      <c r="KMW11" s="65"/>
      <c r="KMX11" s="4"/>
      <c r="KMY11" s="4"/>
      <c r="KMZ11" s="4"/>
      <c r="KNC11" s="34"/>
      <c r="KND11" s="34"/>
      <c r="KNF11" s="34"/>
      <c r="KNG11" s="72"/>
      <c r="KNH11" s="63"/>
      <c r="KNI11" s="34"/>
      <c r="KNJ11" s="64"/>
      <c r="KNK11" s="4"/>
      <c r="KNL11" s="65"/>
      <c r="KNM11" s="4"/>
      <c r="KNN11" s="4"/>
      <c r="KNO11" s="4"/>
      <c r="KNR11" s="34"/>
      <c r="KNS11" s="34"/>
      <c r="KNU11" s="34"/>
      <c r="KNV11" s="72"/>
      <c r="KNW11" s="63"/>
      <c r="KNX11" s="34"/>
      <c r="KNY11" s="64"/>
      <c r="KNZ11" s="4"/>
      <c r="KOA11" s="65"/>
      <c r="KOB11" s="4"/>
      <c r="KOC11" s="4"/>
      <c r="KOD11" s="4"/>
      <c r="KOG11" s="34"/>
      <c r="KOH11" s="34"/>
      <c r="KOJ11" s="34"/>
      <c r="KOK11" s="72"/>
      <c r="KOL11" s="63"/>
      <c r="KOM11" s="34"/>
      <c r="KON11" s="64"/>
      <c r="KOO11" s="4"/>
      <c r="KOP11" s="65"/>
      <c r="KOQ11" s="4"/>
      <c r="KOR11" s="4"/>
      <c r="KOS11" s="4"/>
      <c r="KOV11" s="34"/>
      <c r="KOW11" s="34"/>
      <c r="KOY11" s="34"/>
      <c r="KOZ11" s="72"/>
      <c r="KPA11" s="63"/>
      <c r="KPB11" s="34"/>
      <c r="KPC11" s="64"/>
      <c r="KPD11" s="4"/>
      <c r="KPE11" s="65"/>
      <c r="KPF11" s="4"/>
      <c r="KPG11" s="4"/>
      <c r="KPH11" s="4"/>
      <c r="KPK11" s="34"/>
      <c r="KPL11" s="34"/>
      <c r="KPN11" s="34"/>
      <c r="KPO11" s="72"/>
      <c r="KPP11" s="63"/>
      <c r="KPQ11" s="34"/>
      <c r="KPR11" s="64"/>
      <c r="KPS11" s="4"/>
      <c r="KPT11" s="65"/>
      <c r="KPU11" s="4"/>
      <c r="KPV11" s="4"/>
      <c r="KPW11" s="4"/>
      <c r="KPZ11" s="34"/>
      <c r="KQA11" s="34"/>
      <c r="KQC11" s="34"/>
      <c r="KQD11" s="72"/>
      <c r="KQE11" s="63"/>
      <c r="KQF11" s="34"/>
      <c r="KQG11" s="64"/>
      <c r="KQH11" s="4"/>
      <c r="KQI11" s="65"/>
      <c r="KQJ11" s="4"/>
      <c r="KQK11" s="4"/>
      <c r="KQL11" s="4"/>
      <c r="KQO11" s="34"/>
      <c r="KQP11" s="34"/>
      <c r="KQR11" s="34"/>
      <c r="KQS11" s="72"/>
      <c r="KQT11" s="63"/>
      <c r="KQU11" s="34"/>
      <c r="KQV11" s="64"/>
      <c r="KQW11" s="4"/>
      <c r="KQX11" s="65"/>
      <c r="KQY11" s="4"/>
      <c r="KQZ11" s="4"/>
      <c r="KRA11" s="4"/>
      <c r="KRD11" s="34"/>
      <c r="KRE11" s="34"/>
      <c r="KRG11" s="34"/>
      <c r="KRH11" s="72"/>
      <c r="KRI11" s="63"/>
      <c r="KRJ11" s="34"/>
      <c r="KRK11" s="64"/>
      <c r="KRL11" s="4"/>
      <c r="KRM11" s="65"/>
      <c r="KRN11" s="4"/>
      <c r="KRO11" s="4"/>
      <c r="KRP11" s="4"/>
      <c r="KRS11" s="34"/>
      <c r="KRT11" s="34"/>
      <c r="KRV11" s="34"/>
      <c r="KRW11" s="72"/>
      <c r="KRX11" s="63"/>
      <c r="KRY11" s="34"/>
      <c r="KRZ11" s="64"/>
      <c r="KSA11" s="4"/>
      <c r="KSB11" s="65"/>
      <c r="KSC11" s="4"/>
      <c r="KSD11" s="4"/>
      <c r="KSE11" s="4"/>
      <c r="KSH11" s="34"/>
      <c r="KSI11" s="34"/>
      <c r="KSK11" s="34"/>
      <c r="KSL11" s="72"/>
      <c r="KSM11" s="63"/>
      <c r="KSN11" s="34"/>
      <c r="KSO11" s="64"/>
      <c r="KSP11" s="4"/>
      <c r="KSQ11" s="65"/>
      <c r="KSR11" s="4"/>
      <c r="KSS11" s="4"/>
      <c r="KST11" s="4"/>
      <c r="KSW11" s="34"/>
      <c r="KSX11" s="34"/>
      <c r="KSZ11" s="34"/>
      <c r="KTA11" s="72"/>
      <c r="KTB11" s="63"/>
      <c r="KTC11" s="34"/>
      <c r="KTD11" s="64"/>
      <c r="KTE11" s="4"/>
      <c r="KTF11" s="65"/>
      <c r="KTG11" s="4"/>
      <c r="KTH11" s="4"/>
      <c r="KTI11" s="4"/>
      <c r="KTL11" s="34"/>
      <c r="KTM11" s="34"/>
      <c r="KTO11" s="34"/>
      <c r="KTP11" s="72"/>
      <c r="KTQ11" s="63"/>
      <c r="KTR11" s="34"/>
      <c r="KTS11" s="64"/>
      <c r="KTT11" s="4"/>
      <c r="KTU11" s="65"/>
      <c r="KTV11" s="4"/>
      <c r="KTW11" s="4"/>
      <c r="KTX11" s="4"/>
      <c r="KUA11" s="34"/>
      <c r="KUB11" s="34"/>
      <c r="KUD11" s="34"/>
      <c r="KUE11" s="72"/>
      <c r="KUF11" s="63"/>
      <c r="KUG11" s="34"/>
      <c r="KUH11" s="64"/>
      <c r="KUI11" s="4"/>
      <c r="KUJ11" s="65"/>
      <c r="KUK11" s="4"/>
      <c r="KUL11" s="4"/>
      <c r="KUM11" s="4"/>
      <c r="KUP11" s="34"/>
      <c r="KUQ11" s="34"/>
      <c r="KUS11" s="34"/>
      <c r="KUT11" s="72"/>
      <c r="KUU11" s="63"/>
      <c r="KUV11" s="34"/>
      <c r="KUW11" s="64"/>
      <c r="KUX11" s="4"/>
      <c r="KUY11" s="65"/>
      <c r="KUZ11" s="4"/>
      <c r="KVA11" s="4"/>
      <c r="KVB11" s="4"/>
      <c r="KVE11" s="34"/>
      <c r="KVF11" s="34"/>
      <c r="KVH11" s="34"/>
      <c r="KVI11" s="72"/>
      <c r="KVJ11" s="63"/>
      <c r="KVK11" s="34"/>
      <c r="KVL11" s="64"/>
      <c r="KVM11" s="4"/>
      <c r="KVN11" s="65"/>
      <c r="KVO11" s="4"/>
      <c r="KVP11" s="4"/>
      <c r="KVQ11" s="4"/>
      <c r="KVT11" s="34"/>
      <c r="KVU11" s="34"/>
      <c r="KVW11" s="34"/>
      <c r="KVX11" s="72"/>
      <c r="KVY11" s="63"/>
      <c r="KVZ11" s="34"/>
      <c r="KWA11" s="64"/>
      <c r="KWB11" s="4"/>
      <c r="KWC11" s="65"/>
      <c r="KWD11" s="4"/>
      <c r="KWE11" s="4"/>
      <c r="KWF11" s="4"/>
      <c r="KWI11" s="34"/>
      <c r="KWJ11" s="34"/>
      <c r="KWL11" s="34"/>
      <c r="KWM11" s="72"/>
      <c r="KWN11" s="63"/>
      <c r="KWO11" s="34"/>
      <c r="KWP11" s="64"/>
      <c r="KWQ11" s="4"/>
      <c r="KWR11" s="65"/>
      <c r="KWS11" s="4"/>
      <c r="KWT11" s="4"/>
      <c r="KWU11" s="4"/>
      <c r="KWX11" s="34"/>
      <c r="KWY11" s="34"/>
      <c r="KXA11" s="34"/>
      <c r="KXB11" s="72"/>
      <c r="KXC11" s="63"/>
      <c r="KXD11" s="34"/>
      <c r="KXE11" s="64"/>
      <c r="KXF11" s="4"/>
      <c r="KXG11" s="65"/>
      <c r="KXH11" s="4"/>
      <c r="KXI11" s="4"/>
      <c r="KXJ11" s="4"/>
      <c r="KXM11" s="34"/>
      <c r="KXN11" s="34"/>
      <c r="KXP11" s="34"/>
      <c r="KXQ11" s="72"/>
      <c r="KXR11" s="63"/>
      <c r="KXS11" s="34"/>
      <c r="KXT11" s="64"/>
      <c r="KXU11" s="4"/>
      <c r="KXV11" s="65"/>
      <c r="KXW11" s="4"/>
      <c r="KXX11" s="4"/>
      <c r="KXY11" s="4"/>
      <c r="KYB11" s="34"/>
      <c r="KYC11" s="34"/>
      <c r="KYE11" s="34"/>
      <c r="KYF11" s="72"/>
      <c r="KYG11" s="63"/>
      <c r="KYH11" s="34"/>
      <c r="KYI11" s="64"/>
      <c r="KYJ11" s="4"/>
      <c r="KYK11" s="65"/>
      <c r="KYL11" s="4"/>
      <c r="KYM11" s="4"/>
      <c r="KYN11" s="4"/>
      <c r="KYQ11" s="34"/>
      <c r="KYR11" s="34"/>
      <c r="KYT11" s="34"/>
      <c r="KYU11" s="72"/>
      <c r="KYV11" s="63"/>
      <c r="KYW11" s="34"/>
      <c r="KYX11" s="64"/>
      <c r="KYY11" s="4"/>
      <c r="KYZ11" s="65"/>
      <c r="KZA11" s="4"/>
      <c r="KZB11" s="4"/>
      <c r="KZC11" s="4"/>
      <c r="KZF11" s="34"/>
      <c r="KZG11" s="34"/>
      <c r="KZI11" s="34"/>
      <c r="KZJ11" s="72"/>
      <c r="KZK11" s="63"/>
      <c r="KZL11" s="34"/>
      <c r="KZM11" s="64"/>
      <c r="KZN11" s="4"/>
      <c r="KZO11" s="65"/>
      <c r="KZP11" s="4"/>
      <c r="KZQ11" s="4"/>
      <c r="KZR11" s="4"/>
      <c r="KZU11" s="34"/>
      <c r="KZV11" s="34"/>
      <c r="KZX11" s="34"/>
      <c r="KZY11" s="72"/>
      <c r="KZZ11" s="63"/>
      <c r="LAA11" s="34"/>
      <c r="LAB11" s="64"/>
      <c r="LAC11" s="4"/>
      <c r="LAD11" s="65"/>
      <c r="LAE11" s="4"/>
      <c r="LAF11" s="4"/>
      <c r="LAG11" s="4"/>
      <c r="LAJ11" s="34"/>
      <c r="LAK11" s="34"/>
      <c r="LAM11" s="34"/>
      <c r="LAN11" s="72"/>
      <c r="LAO11" s="63"/>
      <c r="LAP11" s="34"/>
      <c r="LAQ11" s="64"/>
      <c r="LAR11" s="4"/>
      <c r="LAS11" s="65"/>
      <c r="LAT11" s="4"/>
      <c r="LAU11" s="4"/>
      <c r="LAV11" s="4"/>
      <c r="LAY11" s="34"/>
      <c r="LAZ11" s="34"/>
      <c r="LBB11" s="34"/>
      <c r="LBC11" s="72"/>
      <c r="LBD11" s="63"/>
      <c r="LBE11" s="34"/>
      <c r="LBF11" s="64"/>
      <c r="LBG11" s="4"/>
      <c r="LBH11" s="65"/>
      <c r="LBI11" s="4"/>
      <c r="LBJ11" s="4"/>
      <c r="LBK11" s="4"/>
      <c r="LBN11" s="34"/>
      <c r="LBO11" s="34"/>
      <c r="LBQ11" s="34"/>
      <c r="LBR11" s="72"/>
      <c r="LBS11" s="63"/>
      <c r="LBT11" s="34"/>
      <c r="LBU11" s="64"/>
      <c r="LBV11" s="4"/>
      <c r="LBW11" s="65"/>
      <c r="LBX11" s="4"/>
      <c r="LBY11" s="4"/>
      <c r="LBZ11" s="4"/>
      <c r="LCC11" s="34"/>
      <c r="LCD11" s="34"/>
      <c r="LCF11" s="34"/>
      <c r="LCG11" s="72"/>
      <c r="LCH11" s="63"/>
      <c r="LCI11" s="34"/>
      <c r="LCJ11" s="64"/>
      <c r="LCK11" s="4"/>
      <c r="LCL11" s="65"/>
      <c r="LCM11" s="4"/>
      <c r="LCN11" s="4"/>
      <c r="LCO11" s="4"/>
      <c r="LCR11" s="34"/>
      <c r="LCS11" s="34"/>
      <c r="LCU11" s="34"/>
      <c r="LCV11" s="72"/>
      <c r="LCW11" s="63"/>
      <c r="LCX11" s="34"/>
      <c r="LCY11" s="64"/>
      <c r="LCZ11" s="4"/>
      <c r="LDA11" s="65"/>
      <c r="LDB11" s="4"/>
      <c r="LDC11" s="4"/>
      <c r="LDD11" s="4"/>
      <c r="LDG11" s="34"/>
      <c r="LDH11" s="34"/>
      <c r="LDJ11" s="34"/>
      <c r="LDK11" s="72"/>
      <c r="LDL11" s="63"/>
      <c r="LDM11" s="34"/>
      <c r="LDN11" s="64"/>
      <c r="LDO11" s="4"/>
      <c r="LDP11" s="65"/>
      <c r="LDQ11" s="4"/>
      <c r="LDR11" s="4"/>
      <c r="LDS11" s="4"/>
      <c r="LDV11" s="34"/>
      <c r="LDW11" s="34"/>
      <c r="LDY11" s="34"/>
      <c r="LDZ11" s="72"/>
      <c r="LEA11" s="63"/>
      <c r="LEB11" s="34"/>
      <c r="LEC11" s="64"/>
      <c r="LED11" s="4"/>
      <c r="LEE11" s="65"/>
      <c r="LEF11" s="4"/>
      <c r="LEG11" s="4"/>
      <c r="LEH11" s="4"/>
      <c r="LEK11" s="34"/>
      <c r="LEL11" s="34"/>
      <c r="LEN11" s="34"/>
      <c r="LEO11" s="72"/>
      <c r="LEP11" s="63"/>
      <c r="LEQ11" s="34"/>
      <c r="LER11" s="64"/>
      <c r="LES11" s="4"/>
      <c r="LET11" s="65"/>
      <c r="LEU11" s="4"/>
      <c r="LEV11" s="4"/>
      <c r="LEW11" s="4"/>
      <c r="LEZ11" s="34"/>
      <c r="LFA11" s="34"/>
      <c r="LFC11" s="34"/>
      <c r="LFD11" s="72"/>
      <c r="LFE11" s="63"/>
      <c r="LFF11" s="34"/>
      <c r="LFG11" s="64"/>
      <c r="LFH11" s="4"/>
      <c r="LFI11" s="65"/>
      <c r="LFJ11" s="4"/>
      <c r="LFK11" s="4"/>
      <c r="LFL11" s="4"/>
      <c r="LFO11" s="34"/>
      <c r="LFP11" s="34"/>
      <c r="LFR11" s="34"/>
      <c r="LFS11" s="72"/>
      <c r="LFT11" s="63"/>
      <c r="LFU11" s="34"/>
      <c r="LFV11" s="64"/>
      <c r="LFW11" s="4"/>
      <c r="LFX11" s="65"/>
      <c r="LFY11" s="4"/>
      <c r="LFZ11" s="4"/>
      <c r="LGA11" s="4"/>
      <c r="LGD11" s="34"/>
      <c r="LGE11" s="34"/>
      <c r="LGG11" s="34"/>
      <c r="LGH11" s="72"/>
      <c r="LGI11" s="63"/>
      <c r="LGJ11" s="34"/>
      <c r="LGK11" s="64"/>
      <c r="LGL11" s="4"/>
      <c r="LGM11" s="65"/>
      <c r="LGN11" s="4"/>
      <c r="LGO11" s="4"/>
      <c r="LGP11" s="4"/>
      <c r="LGS11" s="34"/>
      <c r="LGT11" s="34"/>
      <c r="LGV11" s="34"/>
      <c r="LGW11" s="72"/>
      <c r="LGX11" s="63"/>
      <c r="LGY11" s="34"/>
      <c r="LGZ11" s="64"/>
      <c r="LHA11" s="4"/>
      <c r="LHB11" s="65"/>
      <c r="LHC11" s="4"/>
      <c r="LHD11" s="4"/>
      <c r="LHE11" s="4"/>
      <c r="LHH11" s="34"/>
      <c r="LHI11" s="34"/>
      <c r="LHK11" s="34"/>
      <c r="LHL11" s="72"/>
      <c r="LHM11" s="63"/>
      <c r="LHN11" s="34"/>
      <c r="LHO11" s="64"/>
      <c r="LHP11" s="4"/>
      <c r="LHQ11" s="65"/>
      <c r="LHR11" s="4"/>
      <c r="LHS11" s="4"/>
      <c r="LHT11" s="4"/>
      <c r="LHW11" s="34"/>
      <c r="LHX11" s="34"/>
      <c r="LHZ11" s="34"/>
      <c r="LIA11" s="72"/>
      <c r="LIB11" s="63"/>
      <c r="LIC11" s="34"/>
      <c r="LID11" s="64"/>
      <c r="LIE11" s="4"/>
      <c r="LIF11" s="65"/>
      <c r="LIG11" s="4"/>
      <c r="LIH11" s="4"/>
      <c r="LII11" s="4"/>
      <c r="LIL11" s="34"/>
      <c r="LIM11" s="34"/>
      <c r="LIO11" s="34"/>
      <c r="LIP11" s="72"/>
      <c r="LIQ11" s="63"/>
      <c r="LIR11" s="34"/>
      <c r="LIS11" s="64"/>
      <c r="LIT11" s="4"/>
      <c r="LIU11" s="65"/>
      <c r="LIV11" s="4"/>
      <c r="LIW11" s="4"/>
      <c r="LIX11" s="4"/>
      <c r="LJA11" s="34"/>
      <c r="LJB11" s="34"/>
      <c r="LJD11" s="34"/>
      <c r="LJE11" s="72"/>
      <c r="LJF11" s="63"/>
      <c r="LJG11" s="34"/>
      <c r="LJH11" s="64"/>
      <c r="LJI11" s="4"/>
      <c r="LJJ11" s="65"/>
      <c r="LJK11" s="4"/>
      <c r="LJL11" s="4"/>
      <c r="LJM11" s="4"/>
      <c r="LJP11" s="34"/>
      <c r="LJQ11" s="34"/>
      <c r="LJS11" s="34"/>
      <c r="LJT11" s="72"/>
      <c r="LJU11" s="63"/>
      <c r="LJV11" s="34"/>
      <c r="LJW11" s="64"/>
      <c r="LJX11" s="4"/>
      <c r="LJY11" s="65"/>
      <c r="LJZ11" s="4"/>
      <c r="LKA11" s="4"/>
      <c r="LKB11" s="4"/>
      <c r="LKE11" s="34"/>
      <c r="LKF11" s="34"/>
      <c r="LKH11" s="34"/>
      <c r="LKI11" s="72"/>
      <c r="LKJ11" s="63"/>
      <c r="LKK11" s="34"/>
      <c r="LKL11" s="64"/>
      <c r="LKM11" s="4"/>
      <c r="LKN11" s="65"/>
      <c r="LKO11" s="4"/>
      <c r="LKP11" s="4"/>
      <c r="LKQ11" s="4"/>
      <c r="LKT11" s="34"/>
      <c r="LKU11" s="34"/>
      <c r="LKW11" s="34"/>
      <c r="LKX11" s="72"/>
      <c r="LKY11" s="63"/>
      <c r="LKZ11" s="34"/>
      <c r="LLA11" s="64"/>
      <c r="LLB11" s="4"/>
      <c r="LLC11" s="65"/>
      <c r="LLD11" s="4"/>
      <c r="LLE11" s="4"/>
      <c r="LLF11" s="4"/>
      <c r="LLI11" s="34"/>
      <c r="LLJ11" s="34"/>
      <c r="LLL11" s="34"/>
      <c r="LLM11" s="72"/>
      <c r="LLN11" s="63"/>
      <c r="LLO11" s="34"/>
      <c r="LLP11" s="64"/>
      <c r="LLQ11" s="4"/>
      <c r="LLR11" s="65"/>
      <c r="LLS11" s="4"/>
      <c r="LLT11" s="4"/>
      <c r="LLU11" s="4"/>
      <c r="LLX11" s="34"/>
      <c r="LLY11" s="34"/>
      <c r="LMA11" s="34"/>
      <c r="LMB11" s="72"/>
      <c r="LMC11" s="63"/>
      <c r="LMD11" s="34"/>
      <c r="LME11" s="64"/>
      <c r="LMF11" s="4"/>
      <c r="LMG11" s="65"/>
      <c r="LMH11" s="4"/>
      <c r="LMI11" s="4"/>
      <c r="LMJ11" s="4"/>
      <c r="LMM11" s="34"/>
      <c r="LMN11" s="34"/>
      <c r="LMP11" s="34"/>
      <c r="LMQ11" s="72"/>
      <c r="LMR11" s="63"/>
      <c r="LMS11" s="34"/>
      <c r="LMT11" s="64"/>
      <c r="LMU11" s="4"/>
      <c r="LMV11" s="65"/>
      <c r="LMW11" s="4"/>
      <c r="LMX11" s="4"/>
      <c r="LMY11" s="4"/>
      <c r="LNB11" s="34"/>
      <c r="LNC11" s="34"/>
      <c r="LNE11" s="34"/>
      <c r="LNF11" s="72"/>
      <c r="LNG11" s="63"/>
      <c r="LNH11" s="34"/>
      <c r="LNI11" s="64"/>
      <c r="LNJ11" s="4"/>
      <c r="LNK11" s="65"/>
      <c r="LNL11" s="4"/>
      <c r="LNM11" s="4"/>
      <c r="LNN11" s="4"/>
      <c r="LNQ11" s="34"/>
      <c r="LNR11" s="34"/>
      <c r="LNT11" s="34"/>
      <c r="LNU11" s="72"/>
      <c r="LNV11" s="63"/>
      <c r="LNW11" s="34"/>
      <c r="LNX11" s="64"/>
      <c r="LNY11" s="4"/>
      <c r="LNZ11" s="65"/>
      <c r="LOA11" s="4"/>
      <c r="LOB11" s="4"/>
      <c r="LOC11" s="4"/>
      <c r="LOF11" s="34"/>
      <c r="LOG11" s="34"/>
      <c r="LOI11" s="34"/>
      <c r="LOJ11" s="72"/>
      <c r="LOK11" s="63"/>
      <c r="LOL11" s="34"/>
      <c r="LOM11" s="64"/>
      <c r="LON11" s="4"/>
      <c r="LOO11" s="65"/>
      <c r="LOP11" s="4"/>
      <c r="LOQ11" s="4"/>
      <c r="LOR11" s="4"/>
      <c r="LOU11" s="34"/>
      <c r="LOV11" s="34"/>
      <c r="LOX11" s="34"/>
      <c r="LOY11" s="72"/>
      <c r="LOZ11" s="63"/>
      <c r="LPA11" s="34"/>
      <c r="LPB11" s="64"/>
      <c r="LPC11" s="4"/>
      <c r="LPD11" s="65"/>
      <c r="LPE11" s="4"/>
      <c r="LPF11" s="4"/>
      <c r="LPG11" s="4"/>
      <c r="LPJ11" s="34"/>
      <c r="LPK11" s="34"/>
      <c r="LPM11" s="34"/>
      <c r="LPN11" s="72"/>
      <c r="LPO11" s="63"/>
      <c r="LPP11" s="34"/>
      <c r="LPQ11" s="64"/>
      <c r="LPR11" s="4"/>
      <c r="LPS11" s="65"/>
      <c r="LPT11" s="4"/>
      <c r="LPU11" s="4"/>
      <c r="LPV11" s="4"/>
      <c r="LPY11" s="34"/>
      <c r="LPZ11" s="34"/>
      <c r="LQB11" s="34"/>
      <c r="LQC11" s="72"/>
      <c r="LQD11" s="63"/>
      <c r="LQE11" s="34"/>
      <c r="LQF11" s="64"/>
      <c r="LQG11" s="4"/>
      <c r="LQH11" s="65"/>
      <c r="LQI11" s="4"/>
      <c r="LQJ11" s="4"/>
      <c r="LQK11" s="4"/>
      <c r="LQN11" s="34"/>
      <c r="LQO11" s="34"/>
      <c r="LQQ11" s="34"/>
      <c r="LQR11" s="72"/>
      <c r="LQS11" s="63"/>
      <c r="LQT11" s="34"/>
      <c r="LQU11" s="64"/>
      <c r="LQV11" s="4"/>
      <c r="LQW11" s="65"/>
      <c r="LQX11" s="4"/>
      <c r="LQY11" s="4"/>
      <c r="LQZ11" s="4"/>
      <c r="LRC11" s="34"/>
      <c r="LRD11" s="34"/>
      <c r="LRF11" s="34"/>
      <c r="LRG11" s="72"/>
      <c r="LRH11" s="63"/>
      <c r="LRI11" s="34"/>
      <c r="LRJ11" s="64"/>
      <c r="LRK11" s="4"/>
      <c r="LRL11" s="65"/>
      <c r="LRM11" s="4"/>
      <c r="LRN11" s="4"/>
      <c r="LRO11" s="4"/>
      <c r="LRR11" s="34"/>
      <c r="LRS11" s="34"/>
      <c r="LRU11" s="34"/>
      <c r="LRV11" s="72"/>
      <c r="LRW11" s="63"/>
      <c r="LRX11" s="34"/>
      <c r="LRY11" s="64"/>
      <c r="LRZ11" s="4"/>
      <c r="LSA11" s="65"/>
      <c r="LSB11" s="4"/>
      <c r="LSC11" s="4"/>
      <c r="LSD11" s="4"/>
      <c r="LSG11" s="34"/>
      <c r="LSH11" s="34"/>
      <c r="LSJ11" s="34"/>
      <c r="LSK11" s="72"/>
      <c r="LSL11" s="63"/>
      <c r="LSM11" s="34"/>
      <c r="LSN11" s="64"/>
      <c r="LSO11" s="4"/>
      <c r="LSP11" s="65"/>
      <c r="LSQ11" s="4"/>
      <c r="LSR11" s="4"/>
      <c r="LSS11" s="4"/>
      <c r="LSV11" s="34"/>
      <c r="LSW11" s="34"/>
      <c r="LSY11" s="34"/>
      <c r="LSZ11" s="72"/>
      <c r="LTA11" s="63"/>
      <c r="LTB11" s="34"/>
      <c r="LTC11" s="64"/>
      <c r="LTD11" s="4"/>
      <c r="LTE11" s="65"/>
      <c r="LTF11" s="4"/>
      <c r="LTG11" s="4"/>
      <c r="LTH11" s="4"/>
      <c r="LTK11" s="34"/>
      <c r="LTL11" s="34"/>
      <c r="LTN11" s="34"/>
      <c r="LTO11" s="72"/>
      <c r="LTP11" s="63"/>
      <c r="LTQ11" s="34"/>
      <c r="LTR11" s="64"/>
      <c r="LTS11" s="4"/>
      <c r="LTT11" s="65"/>
      <c r="LTU11" s="4"/>
      <c r="LTV11" s="4"/>
      <c r="LTW11" s="4"/>
      <c r="LTZ11" s="34"/>
      <c r="LUA11" s="34"/>
      <c r="LUC11" s="34"/>
      <c r="LUD11" s="72"/>
      <c r="LUE11" s="63"/>
      <c r="LUF11" s="34"/>
      <c r="LUG11" s="64"/>
      <c r="LUH11" s="4"/>
      <c r="LUI11" s="65"/>
      <c r="LUJ11" s="4"/>
      <c r="LUK11" s="4"/>
      <c r="LUL11" s="4"/>
      <c r="LUO11" s="34"/>
      <c r="LUP11" s="34"/>
      <c r="LUR11" s="34"/>
      <c r="LUS11" s="72"/>
      <c r="LUT11" s="63"/>
      <c r="LUU11" s="34"/>
      <c r="LUV11" s="64"/>
      <c r="LUW11" s="4"/>
      <c r="LUX11" s="65"/>
      <c r="LUY11" s="4"/>
      <c r="LUZ11" s="4"/>
      <c r="LVA11" s="4"/>
      <c r="LVD11" s="34"/>
      <c r="LVE11" s="34"/>
      <c r="LVG11" s="34"/>
      <c r="LVH11" s="72"/>
      <c r="LVI11" s="63"/>
      <c r="LVJ11" s="34"/>
      <c r="LVK11" s="64"/>
      <c r="LVL11" s="4"/>
      <c r="LVM11" s="65"/>
      <c r="LVN11" s="4"/>
      <c r="LVO11" s="4"/>
      <c r="LVP11" s="4"/>
      <c r="LVS11" s="34"/>
      <c r="LVT11" s="34"/>
      <c r="LVV11" s="34"/>
      <c r="LVW11" s="72"/>
      <c r="LVX11" s="63"/>
      <c r="LVY11" s="34"/>
      <c r="LVZ11" s="64"/>
      <c r="LWA11" s="4"/>
      <c r="LWB11" s="65"/>
      <c r="LWC11" s="4"/>
      <c r="LWD11" s="4"/>
      <c r="LWE11" s="4"/>
      <c r="LWH11" s="34"/>
      <c r="LWI11" s="34"/>
      <c r="LWK11" s="34"/>
      <c r="LWL11" s="72"/>
      <c r="LWM11" s="63"/>
      <c r="LWN11" s="34"/>
      <c r="LWO11" s="64"/>
      <c r="LWP11" s="4"/>
      <c r="LWQ11" s="65"/>
      <c r="LWR11" s="4"/>
      <c r="LWS11" s="4"/>
      <c r="LWT11" s="4"/>
      <c r="LWW11" s="34"/>
      <c r="LWX11" s="34"/>
      <c r="LWZ11" s="34"/>
      <c r="LXA11" s="72"/>
      <c r="LXB11" s="63"/>
      <c r="LXC11" s="34"/>
      <c r="LXD11" s="64"/>
      <c r="LXE11" s="4"/>
      <c r="LXF11" s="65"/>
      <c r="LXG11" s="4"/>
      <c r="LXH11" s="4"/>
      <c r="LXI11" s="4"/>
      <c r="LXL11" s="34"/>
      <c r="LXM11" s="34"/>
      <c r="LXO11" s="34"/>
      <c r="LXP11" s="72"/>
      <c r="LXQ11" s="63"/>
      <c r="LXR11" s="34"/>
      <c r="LXS11" s="64"/>
      <c r="LXT11" s="4"/>
      <c r="LXU11" s="65"/>
      <c r="LXV11" s="4"/>
      <c r="LXW11" s="4"/>
      <c r="LXX11" s="4"/>
      <c r="LYA11" s="34"/>
      <c r="LYB11" s="34"/>
      <c r="LYD11" s="34"/>
      <c r="LYE11" s="72"/>
      <c r="LYF11" s="63"/>
      <c r="LYG11" s="34"/>
      <c r="LYH11" s="64"/>
      <c r="LYI11" s="4"/>
      <c r="LYJ11" s="65"/>
      <c r="LYK11" s="4"/>
      <c r="LYL11" s="4"/>
      <c r="LYM11" s="4"/>
      <c r="LYP11" s="34"/>
      <c r="LYQ11" s="34"/>
      <c r="LYS11" s="34"/>
      <c r="LYT11" s="72"/>
      <c r="LYU11" s="63"/>
      <c r="LYV11" s="34"/>
      <c r="LYW11" s="64"/>
      <c r="LYX11" s="4"/>
      <c r="LYY11" s="65"/>
      <c r="LYZ11" s="4"/>
      <c r="LZA11" s="4"/>
      <c r="LZB11" s="4"/>
      <c r="LZE11" s="34"/>
      <c r="LZF11" s="34"/>
      <c r="LZH11" s="34"/>
      <c r="LZI11" s="72"/>
      <c r="LZJ11" s="63"/>
      <c r="LZK11" s="34"/>
      <c r="LZL11" s="64"/>
      <c r="LZM11" s="4"/>
      <c r="LZN11" s="65"/>
      <c r="LZO11" s="4"/>
      <c r="LZP11" s="4"/>
      <c r="LZQ11" s="4"/>
      <c r="LZT11" s="34"/>
      <c r="LZU11" s="34"/>
      <c r="LZW11" s="34"/>
      <c r="LZX11" s="72"/>
      <c r="LZY11" s="63"/>
      <c r="LZZ11" s="34"/>
      <c r="MAA11" s="64"/>
      <c r="MAB11" s="4"/>
      <c r="MAC11" s="65"/>
      <c r="MAD11" s="4"/>
      <c r="MAE11" s="4"/>
      <c r="MAF11" s="4"/>
      <c r="MAI11" s="34"/>
      <c r="MAJ11" s="34"/>
      <c r="MAL11" s="34"/>
      <c r="MAM11" s="72"/>
      <c r="MAN11" s="63"/>
      <c r="MAO11" s="34"/>
      <c r="MAP11" s="64"/>
      <c r="MAQ11" s="4"/>
      <c r="MAR11" s="65"/>
      <c r="MAS11" s="4"/>
      <c r="MAT11" s="4"/>
      <c r="MAU11" s="4"/>
      <c r="MAX11" s="34"/>
      <c r="MAY11" s="34"/>
      <c r="MBA11" s="34"/>
      <c r="MBB11" s="72"/>
      <c r="MBC11" s="63"/>
      <c r="MBD11" s="34"/>
      <c r="MBE11" s="64"/>
      <c r="MBF11" s="4"/>
      <c r="MBG11" s="65"/>
      <c r="MBH11" s="4"/>
      <c r="MBI11" s="4"/>
      <c r="MBJ11" s="4"/>
      <c r="MBM11" s="34"/>
      <c r="MBN11" s="34"/>
      <c r="MBP11" s="34"/>
      <c r="MBQ11" s="72"/>
      <c r="MBR11" s="63"/>
      <c r="MBS11" s="34"/>
      <c r="MBT11" s="64"/>
      <c r="MBU11" s="4"/>
      <c r="MBV11" s="65"/>
      <c r="MBW11" s="4"/>
      <c r="MBX11" s="4"/>
      <c r="MBY11" s="4"/>
      <c r="MCB11" s="34"/>
      <c r="MCC11" s="34"/>
      <c r="MCE11" s="34"/>
      <c r="MCF11" s="72"/>
      <c r="MCG11" s="63"/>
      <c r="MCH11" s="34"/>
      <c r="MCI11" s="64"/>
      <c r="MCJ11" s="4"/>
      <c r="MCK11" s="65"/>
      <c r="MCL11" s="4"/>
      <c r="MCM11" s="4"/>
      <c r="MCN11" s="4"/>
      <c r="MCQ11" s="34"/>
      <c r="MCR11" s="34"/>
      <c r="MCT11" s="34"/>
      <c r="MCU11" s="72"/>
      <c r="MCV11" s="63"/>
      <c r="MCW11" s="34"/>
      <c r="MCX11" s="64"/>
      <c r="MCY11" s="4"/>
      <c r="MCZ11" s="65"/>
      <c r="MDA11" s="4"/>
      <c r="MDB11" s="4"/>
      <c r="MDC11" s="4"/>
      <c r="MDF11" s="34"/>
      <c r="MDG11" s="34"/>
      <c r="MDI11" s="34"/>
      <c r="MDJ11" s="72"/>
      <c r="MDK11" s="63"/>
      <c r="MDL11" s="34"/>
      <c r="MDM11" s="64"/>
      <c r="MDN11" s="4"/>
      <c r="MDO11" s="65"/>
      <c r="MDP11" s="4"/>
      <c r="MDQ11" s="4"/>
      <c r="MDR11" s="4"/>
      <c r="MDU11" s="34"/>
      <c r="MDV11" s="34"/>
      <c r="MDX11" s="34"/>
      <c r="MDY11" s="72"/>
      <c r="MDZ11" s="63"/>
      <c r="MEA11" s="34"/>
      <c r="MEB11" s="64"/>
      <c r="MEC11" s="4"/>
      <c r="MED11" s="65"/>
      <c r="MEE11" s="4"/>
      <c r="MEF11" s="4"/>
      <c r="MEG11" s="4"/>
      <c r="MEJ11" s="34"/>
      <c r="MEK11" s="34"/>
      <c r="MEM11" s="34"/>
      <c r="MEN11" s="72"/>
      <c r="MEO11" s="63"/>
      <c r="MEP11" s="34"/>
      <c r="MEQ11" s="64"/>
      <c r="MER11" s="4"/>
      <c r="MES11" s="65"/>
      <c r="MET11" s="4"/>
      <c r="MEU11" s="4"/>
      <c r="MEV11" s="4"/>
      <c r="MEY11" s="34"/>
      <c r="MEZ11" s="34"/>
      <c r="MFB11" s="34"/>
      <c r="MFC11" s="72"/>
      <c r="MFD11" s="63"/>
      <c r="MFE11" s="34"/>
      <c r="MFF11" s="64"/>
      <c r="MFG11" s="4"/>
      <c r="MFH11" s="65"/>
      <c r="MFI11" s="4"/>
      <c r="MFJ11" s="4"/>
      <c r="MFK11" s="4"/>
      <c r="MFN11" s="34"/>
      <c r="MFO11" s="34"/>
      <c r="MFQ11" s="34"/>
      <c r="MFR11" s="72"/>
      <c r="MFS11" s="63"/>
      <c r="MFT11" s="34"/>
      <c r="MFU11" s="64"/>
      <c r="MFV11" s="4"/>
      <c r="MFW11" s="65"/>
      <c r="MFX11" s="4"/>
      <c r="MFY11" s="4"/>
      <c r="MFZ11" s="4"/>
      <c r="MGC11" s="34"/>
      <c r="MGD11" s="34"/>
      <c r="MGF11" s="34"/>
      <c r="MGG11" s="72"/>
      <c r="MGH11" s="63"/>
      <c r="MGI11" s="34"/>
      <c r="MGJ11" s="64"/>
      <c r="MGK11" s="4"/>
      <c r="MGL11" s="65"/>
      <c r="MGM11" s="4"/>
      <c r="MGN11" s="4"/>
      <c r="MGO11" s="4"/>
      <c r="MGR11" s="34"/>
      <c r="MGS11" s="34"/>
      <c r="MGU11" s="34"/>
      <c r="MGV11" s="72"/>
      <c r="MGW11" s="63"/>
      <c r="MGX11" s="34"/>
      <c r="MGY11" s="64"/>
      <c r="MGZ11" s="4"/>
      <c r="MHA11" s="65"/>
      <c r="MHB11" s="4"/>
      <c r="MHC11" s="4"/>
      <c r="MHD11" s="4"/>
      <c r="MHG11" s="34"/>
      <c r="MHH11" s="34"/>
      <c r="MHJ11" s="34"/>
      <c r="MHK11" s="72"/>
      <c r="MHL11" s="63"/>
      <c r="MHM11" s="34"/>
      <c r="MHN11" s="64"/>
      <c r="MHO11" s="4"/>
      <c r="MHP11" s="65"/>
      <c r="MHQ11" s="4"/>
      <c r="MHR11" s="4"/>
      <c r="MHS11" s="4"/>
      <c r="MHV11" s="34"/>
      <c r="MHW11" s="34"/>
      <c r="MHY11" s="34"/>
      <c r="MHZ11" s="72"/>
      <c r="MIA11" s="63"/>
      <c r="MIB11" s="34"/>
      <c r="MIC11" s="64"/>
      <c r="MID11" s="4"/>
      <c r="MIE11" s="65"/>
      <c r="MIF11" s="4"/>
      <c r="MIG11" s="4"/>
      <c r="MIH11" s="4"/>
      <c r="MIK11" s="34"/>
      <c r="MIL11" s="34"/>
      <c r="MIN11" s="34"/>
      <c r="MIO11" s="72"/>
      <c r="MIP11" s="63"/>
      <c r="MIQ11" s="34"/>
      <c r="MIR11" s="64"/>
      <c r="MIS11" s="4"/>
      <c r="MIT11" s="65"/>
      <c r="MIU11" s="4"/>
      <c r="MIV11" s="4"/>
      <c r="MIW11" s="4"/>
      <c r="MIZ11" s="34"/>
      <c r="MJA11" s="34"/>
      <c r="MJC11" s="34"/>
      <c r="MJD11" s="72"/>
      <c r="MJE11" s="63"/>
      <c r="MJF11" s="34"/>
      <c r="MJG11" s="64"/>
      <c r="MJH11" s="4"/>
      <c r="MJI11" s="65"/>
      <c r="MJJ11" s="4"/>
      <c r="MJK11" s="4"/>
      <c r="MJL11" s="4"/>
      <c r="MJO11" s="34"/>
      <c r="MJP11" s="34"/>
      <c r="MJR11" s="34"/>
      <c r="MJS11" s="72"/>
      <c r="MJT11" s="63"/>
      <c r="MJU11" s="34"/>
      <c r="MJV11" s="64"/>
      <c r="MJW11" s="4"/>
      <c r="MJX11" s="65"/>
      <c r="MJY11" s="4"/>
      <c r="MJZ11" s="4"/>
      <c r="MKA11" s="4"/>
      <c r="MKD11" s="34"/>
      <c r="MKE11" s="34"/>
      <c r="MKG11" s="34"/>
      <c r="MKH11" s="72"/>
      <c r="MKI11" s="63"/>
      <c r="MKJ11" s="34"/>
      <c r="MKK11" s="64"/>
      <c r="MKL11" s="4"/>
      <c r="MKM11" s="65"/>
      <c r="MKN11" s="4"/>
      <c r="MKO11" s="4"/>
      <c r="MKP11" s="4"/>
      <c r="MKS11" s="34"/>
      <c r="MKT11" s="34"/>
      <c r="MKV11" s="34"/>
      <c r="MKW11" s="72"/>
      <c r="MKX11" s="63"/>
      <c r="MKY11" s="34"/>
      <c r="MKZ11" s="64"/>
      <c r="MLA11" s="4"/>
      <c r="MLB11" s="65"/>
      <c r="MLC11" s="4"/>
      <c r="MLD11" s="4"/>
      <c r="MLE11" s="4"/>
      <c r="MLH11" s="34"/>
      <c r="MLI11" s="34"/>
      <c r="MLK11" s="34"/>
      <c r="MLL11" s="72"/>
      <c r="MLM11" s="63"/>
      <c r="MLN11" s="34"/>
      <c r="MLO11" s="64"/>
      <c r="MLP11" s="4"/>
      <c r="MLQ11" s="65"/>
      <c r="MLR11" s="4"/>
      <c r="MLS11" s="4"/>
      <c r="MLT11" s="4"/>
      <c r="MLW11" s="34"/>
      <c r="MLX11" s="34"/>
      <c r="MLZ11" s="34"/>
      <c r="MMA11" s="72"/>
      <c r="MMB11" s="63"/>
      <c r="MMC11" s="34"/>
      <c r="MMD11" s="64"/>
      <c r="MME11" s="4"/>
      <c r="MMF11" s="65"/>
      <c r="MMG11" s="4"/>
      <c r="MMH11" s="4"/>
      <c r="MMI11" s="4"/>
      <c r="MML11" s="34"/>
      <c r="MMM11" s="34"/>
      <c r="MMO11" s="34"/>
      <c r="MMP11" s="72"/>
      <c r="MMQ11" s="63"/>
      <c r="MMR11" s="34"/>
      <c r="MMS11" s="64"/>
      <c r="MMT11" s="4"/>
      <c r="MMU11" s="65"/>
      <c r="MMV11" s="4"/>
      <c r="MMW11" s="4"/>
      <c r="MMX11" s="4"/>
      <c r="MNA11" s="34"/>
      <c r="MNB11" s="34"/>
      <c r="MND11" s="34"/>
      <c r="MNE11" s="72"/>
      <c r="MNF11" s="63"/>
      <c r="MNG11" s="34"/>
      <c r="MNH11" s="64"/>
      <c r="MNI11" s="4"/>
      <c r="MNJ11" s="65"/>
      <c r="MNK11" s="4"/>
      <c r="MNL11" s="4"/>
      <c r="MNM11" s="4"/>
      <c r="MNP11" s="34"/>
      <c r="MNQ11" s="34"/>
      <c r="MNS11" s="34"/>
      <c r="MNT11" s="72"/>
      <c r="MNU11" s="63"/>
      <c r="MNV11" s="34"/>
      <c r="MNW11" s="64"/>
      <c r="MNX11" s="4"/>
      <c r="MNY11" s="65"/>
      <c r="MNZ11" s="4"/>
      <c r="MOA11" s="4"/>
      <c r="MOB11" s="4"/>
      <c r="MOE11" s="34"/>
      <c r="MOF11" s="34"/>
      <c r="MOH11" s="34"/>
      <c r="MOI11" s="72"/>
      <c r="MOJ11" s="63"/>
      <c r="MOK11" s="34"/>
      <c r="MOL11" s="64"/>
      <c r="MOM11" s="4"/>
      <c r="MON11" s="65"/>
      <c r="MOO11" s="4"/>
      <c r="MOP11" s="4"/>
      <c r="MOQ11" s="4"/>
      <c r="MOT11" s="34"/>
      <c r="MOU11" s="34"/>
      <c r="MOW11" s="34"/>
      <c r="MOX11" s="72"/>
      <c r="MOY11" s="63"/>
      <c r="MOZ11" s="34"/>
      <c r="MPA11" s="64"/>
      <c r="MPB11" s="4"/>
      <c r="MPC11" s="65"/>
      <c r="MPD11" s="4"/>
      <c r="MPE11" s="4"/>
      <c r="MPF11" s="4"/>
      <c r="MPI11" s="34"/>
      <c r="MPJ11" s="34"/>
      <c r="MPL11" s="34"/>
      <c r="MPM11" s="72"/>
      <c r="MPN11" s="63"/>
      <c r="MPO11" s="34"/>
      <c r="MPP11" s="64"/>
      <c r="MPQ11" s="4"/>
      <c r="MPR11" s="65"/>
      <c r="MPS11" s="4"/>
      <c r="MPT11" s="4"/>
      <c r="MPU11" s="4"/>
      <c r="MPX11" s="34"/>
      <c r="MPY11" s="34"/>
      <c r="MQA11" s="34"/>
      <c r="MQB11" s="72"/>
      <c r="MQC11" s="63"/>
      <c r="MQD11" s="34"/>
      <c r="MQE11" s="64"/>
      <c r="MQF11" s="4"/>
      <c r="MQG11" s="65"/>
      <c r="MQH11" s="4"/>
      <c r="MQI11" s="4"/>
      <c r="MQJ11" s="4"/>
      <c r="MQM11" s="34"/>
      <c r="MQN11" s="34"/>
      <c r="MQP11" s="34"/>
      <c r="MQQ11" s="72"/>
      <c r="MQR11" s="63"/>
      <c r="MQS11" s="34"/>
      <c r="MQT11" s="64"/>
      <c r="MQU11" s="4"/>
      <c r="MQV11" s="65"/>
      <c r="MQW11" s="4"/>
      <c r="MQX11" s="4"/>
      <c r="MQY11" s="4"/>
      <c r="MRB11" s="34"/>
      <c r="MRC11" s="34"/>
      <c r="MRE11" s="34"/>
      <c r="MRF11" s="72"/>
      <c r="MRG11" s="63"/>
      <c r="MRH11" s="34"/>
      <c r="MRI11" s="64"/>
      <c r="MRJ11" s="4"/>
      <c r="MRK11" s="65"/>
      <c r="MRL11" s="4"/>
      <c r="MRM11" s="4"/>
      <c r="MRN11" s="4"/>
      <c r="MRQ11" s="34"/>
      <c r="MRR11" s="34"/>
      <c r="MRT11" s="34"/>
      <c r="MRU11" s="72"/>
      <c r="MRV11" s="63"/>
      <c r="MRW11" s="34"/>
      <c r="MRX11" s="64"/>
      <c r="MRY11" s="4"/>
      <c r="MRZ11" s="65"/>
      <c r="MSA11" s="4"/>
      <c r="MSB11" s="4"/>
      <c r="MSC11" s="4"/>
      <c r="MSF11" s="34"/>
      <c r="MSG11" s="34"/>
      <c r="MSI11" s="34"/>
      <c r="MSJ11" s="72"/>
      <c r="MSK11" s="63"/>
      <c r="MSL11" s="34"/>
      <c r="MSM11" s="64"/>
      <c r="MSN11" s="4"/>
      <c r="MSO11" s="65"/>
      <c r="MSP11" s="4"/>
      <c r="MSQ11" s="4"/>
      <c r="MSR11" s="4"/>
      <c r="MSU11" s="34"/>
      <c r="MSV11" s="34"/>
      <c r="MSX11" s="34"/>
      <c r="MSY11" s="72"/>
      <c r="MSZ11" s="63"/>
      <c r="MTA11" s="34"/>
      <c r="MTB11" s="64"/>
      <c r="MTC11" s="4"/>
      <c r="MTD11" s="65"/>
      <c r="MTE11" s="4"/>
      <c r="MTF11" s="4"/>
      <c r="MTG11" s="4"/>
      <c r="MTJ11" s="34"/>
      <c r="MTK11" s="34"/>
      <c r="MTM11" s="34"/>
      <c r="MTN11" s="72"/>
      <c r="MTO11" s="63"/>
      <c r="MTP11" s="34"/>
      <c r="MTQ11" s="64"/>
      <c r="MTR11" s="4"/>
      <c r="MTS11" s="65"/>
      <c r="MTT11" s="4"/>
      <c r="MTU11" s="4"/>
      <c r="MTV11" s="4"/>
      <c r="MTY11" s="34"/>
      <c r="MTZ11" s="34"/>
      <c r="MUB11" s="34"/>
      <c r="MUC11" s="72"/>
      <c r="MUD11" s="63"/>
      <c r="MUE11" s="34"/>
      <c r="MUF11" s="64"/>
      <c r="MUG11" s="4"/>
      <c r="MUH11" s="65"/>
      <c r="MUI11" s="4"/>
      <c r="MUJ11" s="4"/>
      <c r="MUK11" s="4"/>
      <c r="MUN11" s="34"/>
      <c r="MUO11" s="34"/>
      <c r="MUQ11" s="34"/>
      <c r="MUR11" s="72"/>
      <c r="MUS11" s="63"/>
      <c r="MUT11" s="34"/>
      <c r="MUU11" s="64"/>
      <c r="MUV11" s="4"/>
      <c r="MUW11" s="65"/>
      <c r="MUX11" s="4"/>
      <c r="MUY11" s="4"/>
      <c r="MUZ11" s="4"/>
      <c r="MVC11" s="34"/>
      <c r="MVD11" s="34"/>
      <c r="MVF11" s="34"/>
      <c r="MVG11" s="72"/>
      <c r="MVH11" s="63"/>
      <c r="MVI11" s="34"/>
      <c r="MVJ11" s="64"/>
      <c r="MVK11" s="4"/>
      <c r="MVL11" s="65"/>
      <c r="MVM11" s="4"/>
      <c r="MVN11" s="4"/>
      <c r="MVO11" s="4"/>
      <c r="MVR11" s="34"/>
      <c r="MVS11" s="34"/>
      <c r="MVU11" s="34"/>
      <c r="MVV11" s="72"/>
      <c r="MVW11" s="63"/>
      <c r="MVX11" s="34"/>
      <c r="MVY11" s="64"/>
      <c r="MVZ11" s="4"/>
      <c r="MWA11" s="65"/>
      <c r="MWB11" s="4"/>
      <c r="MWC11" s="4"/>
      <c r="MWD11" s="4"/>
      <c r="MWG11" s="34"/>
      <c r="MWH11" s="34"/>
      <c r="MWJ11" s="34"/>
      <c r="MWK11" s="72"/>
      <c r="MWL11" s="63"/>
      <c r="MWM11" s="34"/>
      <c r="MWN11" s="64"/>
      <c r="MWO11" s="4"/>
      <c r="MWP11" s="65"/>
      <c r="MWQ11" s="4"/>
      <c r="MWR11" s="4"/>
      <c r="MWS11" s="4"/>
      <c r="MWV11" s="34"/>
      <c r="MWW11" s="34"/>
      <c r="MWY11" s="34"/>
      <c r="MWZ11" s="72"/>
      <c r="MXA11" s="63"/>
      <c r="MXB11" s="34"/>
      <c r="MXC11" s="64"/>
      <c r="MXD11" s="4"/>
      <c r="MXE11" s="65"/>
      <c r="MXF11" s="4"/>
      <c r="MXG11" s="4"/>
      <c r="MXH11" s="4"/>
      <c r="MXK11" s="34"/>
      <c r="MXL11" s="34"/>
      <c r="MXN11" s="34"/>
      <c r="MXO11" s="72"/>
      <c r="MXP11" s="63"/>
      <c r="MXQ11" s="34"/>
      <c r="MXR11" s="64"/>
      <c r="MXS11" s="4"/>
      <c r="MXT11" s="65"/>
      <c r="MXU11" s="4"/>
      <c r="MXV11" s="4"/>
      <c r="MXW11" s="4"/>
      <c r="MXZ11" s="34"/>
      <c r="MYA11" s="34"/>
      <c r="MYC11" s="34"/>
      <c r="MYD11" s="72"/>
      <c r="MYE11" s="63"/>
      <c r="MYF11" s="34"/>
      <c r="MYG11" s="64"/>
      <c r="MYH11" s="4"/>
      <c r="MYI11" s="65"/>
      <c r="MYJ11" s="4"/>
      <c r="MYK11" s="4"/>
      <c r="MYL11" s="4"/>
      <c r="MYO11" s="34"/>
      <c r="MYP11" s="34"/>
      <c r="MYR11" s="34"/>
      <c r="MYS11" s="72"/>
      <c r="MYT11" s="63"/>
      <c r="MYU11" s="34"/>
      <c r="MYV11" s="64"/>
      <c r="MYW11" s="4"/>
      <c r="MYX11" s="65"/>
      <c r="MYY11" s="4"/>
      <c r="MYZ11" s="4"/>
      <c r="MZA11" s="4"/>
      <c r="MZD11" s="34"/>
      <c r="MZE11" s="34"/>
      <c r="MZG11" s="34"/>
      <c r="MZH11" s="72"/>
      <c r="MZI11" s="63"/>
      <c r="MZJ11" s="34"/>
      <c r="MZK11" s="64"/>
      <c r="MZL11" s="4"/>
      <c r="MZM11" s="65"/>
      <c r="MZN11" s="4"/>
      <c r="MZO11" s="4"/>
      <c r="MZP11" s="4"/>
      <c r="MZS11" s="34"/>
      <c r="MZT11" s="34"/>
      <c r="MZV11" s="34"/>
      <c r="MZW11" s="72"/>
      <c r="MZX11" s="63"/>
      <c r="MZY11" s="34"/>
      <c r="MZZ11" s="64"/>
      <c r="NAA11" s="4"/>
      <c r="NAB11" s="65"/>
      <c r="NAC11" s="4"/>
      <c r="NAD11" s="4"/>
      <c r="NAE11" s="4"/>
      <c r="NAH11" s="34"/>
      <c r="NAI11" s="34"/>
      <c r="NAK11" s="34"/>
      <c r="NAL11" s="72"/>
      <c r="NAM11" s="63"/>
      <c r="NAN11" s="34"/>
      <c r="NAO11" s="64"/>
      <c r="NAP11" s="4"/>
      <c r="NAQ11" s="65"/>
      <c r="NAR11" s="4"/>
      <c r="NAS11" s="4"/>
      <c r="NAT11" s="4"/>
      <c r="NAW11" s="34"/>
      <c r="NAX11" s="34"/>
      <c r="NAZ11" s="34"/>
      <c r="NBA11" s="72"/>
      <c r="NBB11" s="63"/>
      <c r="NBC11" s="34"/>
      <c r="NBD11" s="64"/>
      <c r="NBE11" s="4"/>
      <c r="NBF11" s="65"/>
      <c r="NBG11" s="4"/>
      <c r="NBH11" s="4"/>
      <c r="NBI11" s="4"/>
      <c r="NBL11" s="34"/>
      <c r="NBM11" s="34"/>
      <c r="NBO11" s="34"/>
      <c r="NBP11" s="72"/>
      <c r="NBQ11" s="63"/>
      <c r="NBR11" s="34"/>
      <c r="NBS11" s="64"/>
      <c r="NBT11" s="4"/>
      <c r="NBU11" s="65"/>
      <c r="NBV11" s="4"/>
      <c r="NBW11" s="4"/>
      <c r="NBX11" s="4"/>
      <c r="NCA11" s="34"/>
      <c r="NCB11" s="34"/>
      <c r="NCD11" s="34"/>
      <c r="NCE11" s="72"/>
      <c r="NCF11" s="63"/>
      <c r="NCG11" s="34"/>
      <c r="NCH11" s="64"/>
      <c r="NCI11" s="4"/>
      <c r="NCJ11" s="65"/>
      <c r="NCK11" s="4"/>
      <c r="NCL11" s="4"/>
      <c r="NCM11" s="4"/>
      <c r="NCP11" s="34"/>
      <c r="NCQ11" s="34"/>
      <c r="NCS11" s="34"/>
      <c r="NCT11" s="72"/>
      <c r="NCU11" s="63"/>
      <c r="NCV11" s="34"/>
      <c r="NCW11" s="64"/>
      <c r="NCX11" s="4"/>
      <c r="NCY11" s="65"/>
      <c r="NCZ11" s="4"/>
      <c r="NDA11" s="4"/>
      <c r="NDB11" s="4"/>
      <c r="NDE11" s="34"/>
      <c r="NDF11" s="34"/>
      <c r="NDH11" s="34"/>
      <c r="NDI11" s="72"/>
      <c r="NDJ11" s="63"/>
      <c r="NDK11" s="34"/>
      <c r="NDL11" s="64"/>
      <c r="NDM11" s="4"/>
      <c r="NDN11" s="65"/>
      <c r="NDO11" s="4"/>
      <c r="NDP11" s="4"/>
      <c r="NDQ11" s="4"/>
      <c r="NDT11" s="34"/>
      <c r="NDU11" s="34"/>
      <c r="NDW11" s="34"/>
      <c r="NDX11" s="72"/>
      <c r="NDY11" s="63"/>
      <c r="NDZ11" s="34"/>
      <c r="NEA11" s="64"/>
      <c r="NEB11" s="4"/>
      <c r="NEC11" s="65"/>
      <c r="NED11" s="4"/>
      <c r="NEE11" s="4"/>
      <c r="NEF11" s="4"/>
      <c r="NEI11" s="34"/>
      <c r="NEJ11" s="34"/>
      <c r="NEL11" s="34"/>
      <c r="NEM11" s="72"/>
      <c r="NEN11" s="63"/>
      <c r="NEO11" s="34"/>
      <c r="NEP11" s="64"/>
      <c r="NEQ11" s="4"/>
      <c r="NER11" s="65"/>
      <c r="NES11" s="4"/>
      <c r="NET11" s="4"/>
      <c r="NEU11" s="4"/>
      <c r="NEX11" s="34"/>
      <c r="NEY11" s="34"/>
      <c r="NFA11" s="34"/>
      <c r="NFB11" s="72"/>
      <c r="NFC11" s="63"/>
      <c r="NFD11" s="34"/>
      <c r="NFE11" s="64"/>
      <c r="NFF11" s="4"/>
      <c r="NFG11" s="65"/>
      <c r="NFH11" s="4"/>
      <c r="NFI11" s="4"/>
      <c r="NFJ11" s="4"/>
      <c r="NFM11" s="34"/>
      <c r="NFN11" s="34"/>
      <c r="NFP11" s="34"/>
      <c r="NFQ11" s="72"/>
      <c r="NFR11" s="63"/>
      <c r="NFS11" s="34"/>
      <c r="NFT11" s="64"/>
      <c r="NFU11" s="4"/>
      <c r="NFV11" s="65"/>
      <c r="NFW11" s="4"/>
      <c r="NFX11" s="4"/>
      <c r="NFY11" s="4"/>
      <c r="NGB11" s="34"/>
      <c r="NGC11" s="34"/>
      <c r="NGE11" s="34"/>
      <c r="NGF11" s="72"/>
      <c r="NGG11" s="63"/>
      <c r="NGH11" s="34"/>
      <c r="NGI11" s="64"/>
      <c r="NGJ11" s="4"/>
      <c r="NGK11" s="65"/>
      <c r="NGL11" s="4"/>
      <c r="NGM11" s="4"/>
      <c r="NGN11" s="4"/>
      <c r="NGQ11" s="34"/>
      <c r="NGR11" s="34"/>
      <c r="NGT11" s="34"/>
      <c r="NGU11" s="72"/>
      <c r="NGV11" s="63"/>
      <c r="NGW11" s="34"/>
      <c r="NGX11" s="64"/>
      <c r="NGY11" s="4"/>
      <c r="NGZ11" s="65"/>
      <c r="NHA11" s="4"/>
      <c r="NHB11" s="4"/>
      <c r="NHC11" s="4"/>
      <c r="NHF11" s="34"/>
      <c r="NHG11" s="34"/>
      <c r="NHI11" s="34"/>
      <c r="NHJ11" s="72"/>
      <c r="NHK11" s="63"/>
      <c r="NHL11" s="34"/>
      <c r="NHM11" s="64"/>
      <c r="NHN11" s="4"/>
      <c r="NHO11" s="65"/>
      <c r="NHP11" s="4"/>
      <c r="NHQ11" s="4"/>
      <c r="NHR11" s="4"/>
      <c r="NHU11" s="34"/>
      <c r="NHV11" s="34"/>
      <c r="NHX11" s="34"/>
      <c r="NHY11" s="72"/>
      <c r="NHZ11" s="63"/>
      <c r="NIA11" s="34"/>
      <c r="NIB11" s="64"/>
      <c r="NIC11" s="4"/>
      <c r="NID11" s="65"/>
      <c r="NIE11" s="4"/>
      <c r="NIF11" s="4"/>
      <c r="NIG11" s="4"/>
      <c r="NIJ11" s="34"/>
      <c r="NIK11" s="34"/>
      <c r="NIM11" s="34"/>
      <c r="NIN11" s="72"/>
      <c r="NIO11" s="63"/>
      <c r="NIP11" s="34"/>
      <c r="NIQ11" s="64"/>
      <c r="NIR11" s="4"/>
      <c r="NIS11" s="65"/>
      <c r="NIT11" s="4"/>
      <c r="NIU11" s="4"/>
      <c r="NIV11" s="4"/>
      <c r="NIY11" s="34"/>
      <c r="NIZ11" s="34"/>
      <c r="NJB11" s="34"/>
      <c r="NJC11" s="72"/>
      <c r="NJD11" s="63"/>
      <c r="NJE11" s="34"/>
      <c r="NJF11" s="64"/>
      <c r="NJG11" s="4"/>
      <c r="NJH11" s="65"/>
      <c r="NJI11" s="4"/>
      <c r="NJJ11" s="4"/>
      <c r="NJK11" s="4"/>
      <c r="NJN11" s="34"/>
      <c r="NJO11" s="34"/>
      <c r="NJQ11" s="34"/>
      <c r="NJR11" s="72"/>
      <c r="NJS11" s="63"/>
      <c r="NJT11" s="34"/>
      <c r="NJU11" s="64"/>
      <c r="NJV11" s="4"/>
      <c r="NJW11" s="65"/>
      <c r="NJX11" s="4"/>
      <c r="NJY11" s="4"/>
      <c r="NJZ11" s="4"/>
      <c r="NKC11" s="34"/>
      <c r="NKD11" s="34"/>
      <c r="NKF11" s="34"/>
      <c r="NKG11" s="72"/>
      <c r="NKH11" s="63"/>
      <c r="NKI11" s="34"/>
      <c r="NKJ11" s="64"/>
      <c r="NKK11" s="4"/>
      <c r="NKL11" s="65"/>
      <c r="NKM11" s="4"/>
      <c r="NKN11" s="4"/>
      <c r="NKO11" s="4"/>
      <c r="NKR11" s="34"/>
      <c r="NKS11" s="34"/>
      <c r="NKU11" s="34"/>
      <c r="NKV11" s="72"/>
      <c r="NKW11" s="63"/>
      <c r="NKX11" s="34"/>
      <c r="NKY11" s="64"/>
      <c r="NKZ11" s="4"/>
      <c r="NLA11" s="65"/>
      <c r="NLB11" s="4"/>
      <c r="NLC11" s="4"/>
      <c r="NLD11" s="4"/>
      <c r="NLG11" s="34"/>
      <c r="NLH11" s="34"/>
      <c r="NLJ11" s="34"/>
      <c r="NLK11" s="72"/>
      <c r="NLL11" s="63"/>
      <c r="NLM11" s="34"/>
      <c r="NLN11" s="64"/>
      <c r="NLO11" s="4"/>
      <c r="NLP11" s="65"/>
      <c r="NLQ11" s="4"/>
      <c r="NLR11" s="4"/>
      <c r="NLS11" s="4"/>
      <c r="NLV11" s="34"/>
      <c r="NLW11" s="34"/>
      <c r="NLY11" s="34"/>
      <c r="NLZ11" s="72"/>
      <c r="NMA11" s="63"/>
      <c r="NMB11" s="34"/>
      <c r="NMC11" s="64"/>
      <c r="NMD11" s="4"/>
      <c r="NME11" s="65"/>
      <c r="NMF11" s="4"/>
      <c r="NMG11" s="4"/>
      <c r="NMH11" s="4"/>
      <c r="NMK11" s="34"/>
      <c r="NML11" s="34"/>
      <c r="NMN11" s="34"/>
      <c r="NMO11" s="72"/>
      <c r="NMP11" s="63"/>
      <c r="NMQ11" s="34"/>
      <c r="NMR11" s="64"/>
      <c r="NMS11" s="4"/>
      <c r="NMT11" s="65"/>
      <c r="NMU11" s="4"/>
      <c r="NMV11" s="4"/>
      <c r="NMW11" s="4"/>
      <c r="NMZ11" s="34"/>
      <c r="NNA11" s="34"/>
      <c r="NNC11" s="34"/>
      <c r="NND11" s="72"/>
      <c r="NNE11" s="63"/>
      <c r="NNF11" s="34"/>
      <c r="NNG11" s="64"/>
      <c r="NNH11" s="4"/>
      <c r="NNI11" s="65"/>
      <c r="NNJ11" s="4"/>
      <c r="NNK11" s="4"/>
      <c r="NNL11" s="4"/>
      <c r="NNO11" s="34"/>
      <c r="NNP11" s="34"/>
      <c r="NNR11" s="34"/>
      <c r="NNS11" s="72"/>
      <c r="NNT11" s="63"/>
      <c r="NNU11" s="34"/>
      <c r="NNV11" s="64"/>
      <c r="NNW11" s="4"/>
      <c r="NNX11" s="65"/>
      <c r="NNY11" s="4"/>
      <c r="NNZ11" s="4"/>
      <c r="NOA11" s="4"/>
      <c r="NOD11" s="34"/>
      <c r="NOE11" s="34"/>
      <c r="NOG11" s="34"/>
      <c r="NOH11" s="72"/>
      <c r="NOI11" s="63"/>
      <c r="NOJ11" s="34"/>
      <c r="NOK11" s="64"/>
      <c r="NOL11" s="4"/>
      <c r="NOM11" s="65"/>
      <c r="NON11" s="4"/>
      <c r="NOO11" s="4"/>
      <c r="NOP11" s="4"/>
      <c r="NOS11" s="34"/>
      <c r="NOT11" s="34"/>
      <c r="NOV11" s="34"/>
      <c r="NOW11" s="72"/>
      <c r="NOX11" s="63"/>
      <c r="NOY11" s="34"/>
      <c r="NOZ11" s="64"/>
      <c r="NPA11" s="4"/>
      <c r="NPB11" s="65"/>
      <c r="NPC11" s="4"/>
      <c r="NPD11" s="4"/>
      <c r="NPE11" s="4"/>
      <c r="NPH11" s="34"/>
      <c r="NPI11" s="34"/>
      <c r="NPK11" s="34"/>
      <c r="NPL11" s="72"/>
      <c r="NPM11" s="63"/>
      <c r="NPN11" s="34"/>
      <c r="NPO11" s="64"/>
      <c r="NPP11" s="4"/>
      <c r="NPQ11" s="65"/>
      <c r="NPR11" s="4"/>
      <c r="NPS11" s="4"/>
      <c r="NPT11" s="4"/>
      <c r="NPW11" s="34"/>
      <c r="NPX11" s="34"/>
      <c r="NPZ11" s="34"/>
      <c r="NQA11" s="72"/>
      <c r="NQB11" s="63"/>
      <c r="NQC11" s="34"/>
      <c r="NQD11" s="64"/>
      <c r="NQE11" s="4"/>
      <c r="NQF11" s="65"/>
      <c r="NQG11" s="4"/>
      <c r="NQH11" s="4"/>
      <c r="NQI11" s="4"/>
      <c r="NQL11" s="34"/>
      <c r="NQM11" s="34"/>
      <c r="NQO11" s="34"/>
      <c r="NQP11" s="72"/>
      <c r="NQQ11" s="63"/>
      <c r="NQR11" s="34"/>
      <c r="NQS11" s="64"/>
      <c r="NQT11" s="4"/>
      <c r="NQU11" s="65"/>
      <c r="NQV11" s="4"/>
      <c r="NQW11" s="4"/>
      <c r="NQX11" s="4"/>
      <c r="NRA11" s="34"/>
      <c r="NRB11" s="34"/>
      <c r="NRD11" s="34"/>
      <c r="NRE11" s="72"/>
      <c r="NRF11" s="63"/>
      <c r="NRG11" s="34"/>
      <c r="NRH11" s="64"/>
      <c r="NRI11" s="4"/>
      <c r="NRJ11" s="65"/>
      <c r="NRK11" s="4"/>
      <c r="NRL11" s="4"/>
      <c r="NRM11" s="4"/>
      <c r="NRP11" s="34"/>
      <c r="NRQ11" s="34"/>
      <c r="NRS11" s="34"/>
      <c r="NRT11" s="72"/>
      <c r="NRU11" s="63"/>
      <c r="NRV11" s="34"/>
      <c r="NRW11" s="64"/>
      <c r="NRX11" s="4"/>
      <c r="NRY11" s="65"/>
      <c r="NRZ11" s="4"/>
      <c r="NSA11" s="4"/>
      <c r="NSB11" s="4"/>
      <c r="NSE11" s="34"/>
      <c r="NSF11" s="34"/>
      <c r="NSH11" s="34"/>
      <c r="NSI11" s="72"/>
      <c r="NSJ11" s="63"/>
      <c r="NSK11" s="34"/>
      <c r="NSL11" s="64"/>
      <c r="NSM11" s="4"/>
      <c r="NSN11" s="65"/>
      <c r="NSO11" s="4"/>
      <c r="NSP11" s="4"/>
      <c r="NSQ11" s="4"/>
      <c r="NST11" s="34"/>
      <c r="NSU11" s="34"/>
      <c r="NSW11" s="34"/>
      <c r="NSX11" s="72"/>
      <c r="NSY11" s="63"/>
      <c r="NSZ11" s="34"/>
      <c r="NTA11" s="64"/>
      <c r="NTB11" s="4"/>
      <c r="NTC11" s="65"/>
      <c r="NTD11" s="4"/>
      <c r="NTE11" s="4"/>
      <c r="NTF11" s="4"/>
      <c r="NTI11" s="34"/>
      <c r="NTJ11" s="34"/>
      <c r="NTL11" s="34"/>
      <c r="NTM11" s="72"/>
      <c r="NTN11" s="63"/>
      <c r="NTO11" s="34"/>
      <c r="NTP11" s="64"/>
      <c r="NTQ11" s="4"/>
      <c r="NTR11" s="65"/>
      <c r="NTS11" s="4"/>
      <c r="NTT11" s="4"/>
      <c r="NTU11" s="4"/>
      <c r="NTX11" s="34"/>
      <c r="NTY11" s="34"/>
      <c r="NUA11" s="34"/>
      <c r="NUB11" s="72"/>
      <c r="NUC11" s="63"/>
      <c r="NUD11" s="34"/>
      <c r="NUE11" s="64"/>
      <c r="NUF11" s="4"/>
      <c r="NUG11" s="65"/>
      <c r="NUH11" s="4"/>
      <c r="NUI11" s="4"/>
      <c r="NUJ11" s="4"/>
      <c r="NUM11" s="34"/>
      <c r="NUN11" s="34"/>
      <c r="NUP11" s="34"/>
      <c r="NUQ11" s="72"/>
      <c r="NUR11" s="63"/>
      <c r="NUS11" s="34"/>
      <c r="NUT11" s="64"/>
      <c r="NUU11" s="4"/>
      <c r="NUV11" s="65"/>
      <c r="NUW11" s="4"/>
      <c r="NUX11" s="4"/>
      <c r="NUY11" s="4"/>
      <c r="NVB11" s="34"/>
      <c r="NVC11" s="34"/>
      <c r="NVE11" s="34"/>
      <c r="NVF11" s="72"/>
      <c r="NVG11" s="63"/>
      <c r="NVH11" s="34"/>
      <c r="NVI11" s="64"/>
      <c r="NVJ11" s="4"/>
      <c r="NVK11" s="65"/>
      <c r="NVL11" s="4"/>
      <c r="NVM11" s="4"/>
      <c r="NVN11" s="4"/>
      <c r="NVQ11" s="34"/>
      <c r="NVR11" s="34"/>
      <c r="NVT11" s="34"/>
      <c r="NVU11" s="72"/>
      <c r="NVV11" s="63"/>
      <c r="NVW11" s="34"/>
      <c r="NVX11" s="64"/>
      <c r="NVY11" s="4"/>
      <c r="NVZ11" s="65"/>
      <c r="NWA11" s="4"/>
      <c r="NWB11" s="4"/>
      <c r="NWC11" s="4"/>
      <c r="NWF11" s="34"/>
      <c r="NWG11" s="34"/>
      <c r="NWI11" s="34"/>
      <c r="NWJ11" s="72"/>
      <c r="NWK11" s="63"/>
      <c r="NWL11" s="34"/>
      <c r="NWM11" s="64"/>
      <c r="NWN11" s="4"/>
      <c r="NWO11" s="65"/>
      <c r="NWP11" s="4"/>
      <c r="NWQ11" s="4"/>
      <c r="NWR11" s="4"/>
      <c r="NWU11" s="34"/>
      <c r="NWV11" s="34"/>
      <c r="NWX11" s="34"/>
      <c r="NWY11" s="72"/>
      <c r="NWZ11" s="63"/>
      <c r="NXA11" s="34"/>
      <c r="NXB11" s="64"/>
      <c r="NXC11" s="4"/>
      <c r="NXD11" s="65"/>
      <c r="NXE11" s="4"/>
      <c r="NXF11" s="4"/>
      <c r="NXG11" s="4"/>
      <c r="NXJ11" s="34"/>
      <c r="NXK11" s="34"/>
      <c r="NXM11" s="34"/>
      <c r="NXN11" s="72"/>
      <c r="NXO11" s="63"/>
      <c r="NXP11" s="34"/>
      <c r="NXQ11" s="64"/>
      <c r="NXR11" s="4"/>
      <c r="NXS11" s="65"/>
      <c r="NXT11" s="4"/>
      <c r="NXU11" s="4"/>
      <c r="NXV11" s="4"/>
      <c r="NXY11" s="34"/>
      <c r="NXZ11" s="34"/>
      <c r="NYB11" s="34"/>
      <c r="NYC11" s="72"/>
      <c r="NYD11" s="63"/>
      <c r="NYE11" s="34"/>
      <c r="NYF11" s="64"/>
      <c r="NYG11" s="4"/>
      <c r="NYH11" s="65"/>
      <c r="NYI11" s="4"/>
      <c r="NYJ11" s="4"/>
      <c r="NYK11" s="4"/>
      <c r="NYN11" s="34"/>
      <c r="NYO11" s="34"/>
      <c r="NYQ11" s="34"/>
      <c r="NYR11" s="72"/>
      <c r="NYS11" s="63"/>
      <c r="NYT11" s="34"/>
      <c r="NYU11" s="64"/>
      <c r="NYV11" s="4"/>
      <c r="NYW11" s="65"/>
      <c r="NYX11" s="4"/>
      <c r="NYY11" s="4"/>
      <c r="NYZ11" s="4"/>
      <c r="NZC11" s="34"/>
      <c r="NZD11" s="34"/>
      <c r="NZF11" s="34"/>
      <c r="NZG11" s="72"/>
      <c r="NZH11" s="63"/>
      <c r="NZI11" s="34"/>
      <c r="NZJ11" s="64"/>
      <c r="NZK11" s="4"/>
      <c r="NZL11" s="65"/>
      <c r="NZM11" s="4"/>
      <c r="NZN11" s="4"/>
      <c r="NZO11" s="4"/>
      <c r="NZR11" s="34"/>
      <c r="NZS11" s="34"/>
      <c r="NZU11" s="34"/>
      <c r="NZV11" s="72"/>
      <c r="NZW11" s="63"/>
      <c r="NZX11" s="34"/>
      <c r="NZY11" s="64"/>
      <c r="NZZ11" s="4"/>
      <c r="OAA11" s="65"/>
      <c r="OAB11" s="4"/>
      <c r="OAC11" s="4"/>
      <c r="OAD11" s="4"/>
      <c r="OAG11" s="34"/>
      <c r="OAH11" s="34"/>
      <c r="OAJ11" s="34"/>
      <c r="OAK11" s="72"/>
      <c r="OAL11" s="63"/>
      <c r="OAM11" s="34"/>
      <c r="OAN11" s="64"/>
      <c r="OAO11" s="4"/>
      <c r="OAP11" s="65"/>
      <c r="OAQ11" s="4"/>
      <c r="OAR11" s="4"/>
      <c r="OAS11" s="4"/>
      <c r="OAV11" s="34"/>
      <c r="OAW11" s="34"/>
      <c r="OAY11" s="34"/>
      <c r="OAZ11" s="72"/>
      <c r="OBA11" s="63"/>
      <c r="OBB11" s="34"/>
      <c r="OBC11" s="64"/>
      <c r="OBD11" s="4"/>
      <c r="OBE11" s="65"/>
      <c r="OBF11" s="4"/>
      <c r="OBG11" s="4"/>
      <c r="OBH11" s="4"/>
      <c r="OBK11" s="34"/>
      <c r="OBL11" s="34"/>
      <c r="OBN11" s="34"/>
      <c r="OBO11" s="72"/>
      <c r="OBP11" s="63"/>
      <c r="OBQ11" s="34"/>
      <c r="OBR11" s="64"/>
      <c r="OBS11" s="4"/>
      <c r="OBT11" s="65"/>
      <c r="OBU11" s="4"/>
      <c r="OBV11" s="4"/>
      <c r="OBW11" s="4"/>
      <c r="OBZ11" s="34"/>
      <c r="OCA11" s="34"/>
      <c r="OCC11" s="34"/>
      <c r="OCD11" s="72"/>
      <c r="OCE11" s="63"/>
      <c r="OCF11" s="34"/>
      <c r="OCG11" s="64"/>
      <c r="OCH11" s="4"/>
      <c r="OCI11" s="65"/>
      <c r="OCJ11" s="4"/>
      <c r="OCK11" s="4"/>
      <c r="OCL11" s="4"/>
      <c r="OCO11" s="34"/>
      <c r="OCP11" s="34"/>
      <c r="OCR11" s="34"/>
      <c r="OCS11" s="72"/>
      <c r="OCT11" s="63"/>
      <c r="OCU11" s="34"/>
      <c r="OCV11" s="64"/>
      <c r="OCW11" s="4"/>
      <c r="OCX11" s="65"/>
      <c r="OCY11" s="4"/>
      <c r="OCZ11" s="4"/>
      <c r="ODA11" s="4"/>
      <c r="ODD11" s="34"/>
      <c r="ODE11" s="34"/>
      <c r="ODG11" s="34"/>
      <c r="ODH11" s="72"/>
      <c r="ODI11" s="63"/>
      <c r="ODJ11" s="34"/>
      <c r="ODK11" s="64"/>
      <c r="ODL11" s="4"/>
      <c r="ODM11" s="65"/>
      <c r="ODN11" s="4"/>
      <c r="ODO11" s="4"/>
      <c r="ODP11" s="4"/>
      <c r="ODS11" s="34"/>
      <c r="ODT11" s="34"/>
      <c r="ODV11" s="34"/>
      <c r="ODW11" s="72"/>
      <c r="ODX11" s="63"/>
      <c r="ODY11" s="34"/>
      <c r="ODZ11" s="64"/>
      <c r="OEA11" s="4"/>
      <c r="OEB11" s="65"/>
      <c r="OEC11" s="4"/>
      <c r="OED11" s="4"/>
      <c r="OEE11" s="4"/>
      <c r="OEH11" s="34"/>
      <c r="OEI11" s="34"/>
      <c r="OEK11" s="34"/>
      <c r="OEL11" s="72"/>
      <c r="OEM11" s="63"/>
      <c r="OEN11" s="34"/>
      <c r="OEO11" s="64"/>
      <c r="OEP11" s="4"/>
      <c r="OEQ11" s="65"/>
      <c r="OER11" s="4"/>
      <c r="OES11" s="4"/>
      <c r="OET11" s="4"/>
      <c r="OEW11" s="34"/>
      <c r="OEX11" s="34"/>
      <c r="OEZ11" s="34"/>
      <c r="OFA11" s="72"/>
      <c r="OFB11" s="63"/>
      <c r="OFC11" s="34"/>
      <c r="OFD11" s="64"/>
      <c r="OFE11" s="4"/>
      <c r="OFF11" s="65"/>
      <c r="OFG11" s="4"/>
      <c r="OFH11" s="4"/>
      <c r="OFI11" s="4"/>
      <c r="OFL11" s="34"/>
      <c r="OFM11" s="34"/>
      <c r="OFO11" s="34"/>
      <c r="OFP11" s="72"/>
      <c r="OFQ11" s="63"/>
      <c r="OFR11" s="34"/>
      <c r="OFS11" s="64"/>
      <c r="OFT11" s="4"/>
      <c r="OFU11" s="65"/>
      <c r="OFV11" s="4"/>
      <c r="OFW11" s="4"/>
      <c r="OFX11" s="4"/>
      <c r="OGA11" s="34"/>
      <c r="OGB11" s="34"/>
      <c r="OGD11" s="34"/>
      <c r="OGE11" s="72"/>
      <c r="OGF11" s="63"/>
      <c r="OGG11" s="34"/>
      <c r="OGH11" s="64"/>
      <c r="OGI11" s="4"/>
      <c r="OGJ11" s="65"/>
      <c r="OGK11" s="4"/>
      <c r="OGL11" s="4"/>
      <c r="OGM11" s="4"/>
      <c r="OGP11" s="34"/>
      <c r="OGQ11" s="34"/>
      <c r="OGS11" s="34"/>
      <c r="OGT11" s="72"/>
      <c r="OGU11" s="63"/>
      <c r="OGV11" s="34"/>
      <c r="OGW11" s="64"/>
      <c r="OGX11" s="4"/>
      <c r="OGY11" s="65"/>
      <c r="OGZ11" s="4"/>
      <c r="OHA11" s="4"/>
      <c r="OHB11" s="4"/>
      <c r="OHE11" s="34"/>
      <c r="OHF11" s="34"/>
      <c r="OHH11" s="34"/>
      <c r="OHI11" s="72"/>
      <c r="OHJ11" s="63"/>
      <c r="OHK11" s="34"/>
      <c r="OHL11" s="64"/>
      <c r="OHM11" s="4"/>
      <c r="OHN11" s="65"/>
      <c r="OHO11" s="4"/>
      <c r="OHP11" s="4"/>
      <c r="OHQ11" s="4"/>
      <c r="OHT11" s="34"/>
      <c r="OHU11" s="34"/>
      <c r="OHW11" s="34"/>
      <c r="OHX11" s="72"/>
      <c r="OHY11" s="63"/>
      <c r="OHZ11" s="34"/>
      <c r="OIA11" s="64"/>
      <c r="OIB11" s="4"/>
      <c r="OIC11" s="65"/>
      <c r="OID11" s="4"/>
      <c r="OIE11" s="4"/>
      <c r="OIF11" s="4"/>
      <c r="OII11" s="34"/>
      <c r="OIJ11" s="34"/>
      <c r="OIL11" s="34"/>
      <c r="OIM11" s="72"/>
      <c r="OIN11" s="63"/>
      <c r="OIO11" s="34"/>
      <c r="OIP11" s="64"/>
      <c r="OIQ11" s="4"/>
      <c r="OIR11" s="65"/>
      <c r="OIS11" s="4"/>
      <c r="OIT11" s="4"/>
      <c r="OIU11" s="4"/>
      <c r="OIX11" s="34"/>
      <c r="OIY11" s="34"/>
      <c r="OJA11" s="34"/>
      <c r="OJB11" s="72"/>
      <c r="OJC11" s="63"/>
      <c r="OJD11" s="34"/>
      <c r="OJE11" s="64"/>
      <c r="OJF11" s="4"/>
      <c r="OJG11" s="65"/>
      <c r="OJH11" s="4"/>
      <c r="OJI11" s="4"/>
      <c r="OJJ11" s="4"/>
      <c r="OJM11" s="34"/>
      <c r="OJN11" s="34"/>
      <c r="OJP11" s="34"/>
      <c r="OJQ11" s="72"/>
      <c r="OJR11" s="63"/>
      <c r="OJS11" s="34"/>
      <c r="OJT11" s="64"/>
      <c r="OJU11" s="4"/>
      <c r="OJV11" s="65"/>
      <c r="OJW11" s="4"/>
      <c r="OJX11" s="4"/>
      <c r="OJY11" s="4"/>
      <c r="OKB11" s="34"/>
      <c r="OKC11" s="34"/>
      <c r="OKE11" s="34"/>
      <c r="OKF11" s="72"/>
      <c r="OKG11" s="63"/>
      <c r="OKH11" s="34"/>
      <c r="OKI11" s="64"/>
      <c r="OKJ11" s="4"/>
      <c r="OKK11" s="65"/>
      <c r="OKL11" s="4"/>
      <c r="OKM11" s="4"/>
      <c r="OKN11" s="4"/>
      <c r="OKQ11" s="34"/>
      <c r="OKR11" s="34"/>
      <c r="OKT11" s="34"/>
      <c r="OKU11" s="72"/>
      <c r="OKV11" s="63"/>
      <c r="OKW11" s="34"/>
      <c r="OKX11" s="64"/>
      <c r="OKY11" s="4"/>
      <c r="OKZ11" s="65"/>
      <c r="OLA11" s="4"/>
      <c r="OLB11" s="4"/>
      <c r="OLC11" s="4"/>
      <c r="OLF11" s="34"/>
      <c r="OLG11" s="34"/>
      <c r="OLI11" s="34"/>
      <c r="OLJ11" s="72"/>
      <c r="OLK11" s="63"/>
      <c r="OLL11" s="34"/>
      <c r="OLM11" s="64"/>
      <c r="OLN11" s="4"/>
      <c r="OLO11" s="65"/>
      <c r="OLP11" s="4"/>
      <c r="OLQ11" s="4"/>
      <c r="OLR11" s="4"/>
      <c r="OLU11" s="34"/>
      <c r="OLV11" s="34"/>
      <c r="OLX11" s="34"/>
      <c r="OLY11" s="72"/>
      <c r="OLZ11" s="63"/>
      <c r="OMA11" s="34"/>
      <c r="OMB11" s="64"/>
      <c r="OMC11" s="4"/>
      <c r="OMD11" s="65"/>
      <c r="OME11" s="4"/>
      <c r="OMF11" s="4"/>
      <c r="OMG11" s="4"/>
      <c r="OMJ11" s="34"/>
      <c r="OMK11" s="34"/>
      <c r="OMM11" s="34"/>
      <c r="OMN11" s="72"/>
      <c r="OMO11" s="63"/>
      <c r="OMP11" s="34"/>
      <c r="OMQ11" s="64"/>
      <c r="OMR11" s="4"/>
      <c r="OMS11" s="65"/>
      <c r="OMT11" s="4"/>
      <c r="OMU11" s="4"/>
      <c r="OMV11" s="4"/>
      <c r="OMY11" s="34"/>
      <c r="OMZ11" s="34"/>
      <c r="ONB11" s="34"/>
      <c r="ONC11" s="72"/>
      <c r="OND11" s="63"/>
      <c r="ONE11" s="34"/>
      <c r="ONF11" s="64"/>
      <c r="ONG11" s="4"/>
      <c r="ONH11" s="65"/>
      <c r="ONI11" s="4"/>
      <c r="ONJ11" s="4"/>
      <c r="ONK11" s="4"/>
      <c r="ONN11" s="34"/>
      <c r="ONO11" s="34"/>
      <c r="ONQ11" s="34"/>
      <c r="ONR11" s="72"/>
      <c r="ONS11" s="63"/>
      <c r="ONT11" s="34"/>
      <c r="ONU11" s="64"/>
      <c r="ONV11" s="4"/>
      <c r="ONW11" s="65"/>
      <c r="ONX11" s="4"/>
      <c r="ONY11" s="4"/>
      <c r="ONZ11" s="4"/>
      <c r="OOC11" s="34"/>
      <c r="OOD11" s="34"/>
      <c r="OOF11" s="34"/>
      <c r="OOG11" s="72"/>
      <c r="OOH11" s="63"/>
      <c r="OOI11" s="34"/>
      <c r="OOJ11" s="64"/>
      <c r="OOK11" s="4"/>
      <c r="OOL11" s="65"/>
      <c r="OOM11" s="4"/>
      <c r="OON11" s="4"/>
      <c r="OOO11" s="4"/>
      <c r="OOR11" s="34"/>
      <c r="OOS11" s="34"/>
      <c r="OOU11" s="34"/>
      <c r="OOV11" s="72"/>
      <c r="OOW11" s="63"/>
      <c r="OOX11" s="34"/>
      <c r="OOY11" s="64"/>
      <c r="OOZ11" s="4"/>
      <c r="OPA11" s="65"/>
      <c r="OPB11" s="4"/>
      <c r="OPC11" s="4"/>
      <c r="OPD11" s="4"/>
      <c r="OPG11" s="34"/>
      <c r="OPH11" s="34"/>
      <c r="OPJ11" s="34"/>
      <c r="OPK11" s="72"/>
      <c r="OPL11" s="63"/>
      <c r="OPM11" s="34"/>
      <c r="OPN11" s="64"/>
      <c r="OPO11" s="4"/>
      <c r="OPP11" s="65"/>
      <c r="OPQ11" s="4"/>
      <c r="OPR11" s="4"/>
      <c r="OPS11" s="4"/>
      <c r="OPV11" s="34"/>
      <c r="OPW11" s="34"/>
      <c r="OPY11" s="34"/>
      <c r="OPZ11" s="72"/>
      <c r="OQA11" s="63"/>
      <c r="OQB11" s="34"/>
      <c r="OQC11" s="64"/>
      <c r="OQD11" s="4"/>
      <c r="OQE11" s="65"/>
      <c r="OQF11" s="4"/>
      <c r="OQG11" s="4"/>
      <c r="OQH11" s="4"/>
      <c r="OQK11" s="34"/>
      <c r="OQL11" s="34"/>
      <c r="OQN11" s="34"/>
      <c r="OQO11" s="72"/>
      <c r="OQP11" s="63"/>
      <c r="OQQ11" s="34"/>
      <c r="OQR11" s="64"/>
      <c r="OQS11" s="4"/>
      <c r="OQT11" s="65"/>
      <c r="OQU11" s="4"/>
      <c r="OQV11" s="4"/>
      <c r="OQW11" s="4"/>
      <c r="OQZ11" s="34"/>
      <c r="ORA11" s="34"/>
      <c r="ORC11" s="34"/>
      <c r="ORD11" s="72"/>
      <c r="ORE11" s="63"/>
      <c r="ORF11" s="34"/>
      <c r="ORG11" s="64"/>
      <c r="ORH11" s="4"/>
      <c r="ORI11" s="65"/>
      <c r="ORJ11" s="4"/>
      <c r="ORK11" s="4"/>
      <c r="ORL11" s="4"/>
      <c r="ORO11" s="34"/>
      <c r="ORP11" s="34"/>
      <c r="ORR11" s="34"/>
      <c r="ORS11" s="72"/>
      <c r="ORT11" s="63"/>
      <c r="ORU11" s="34"/>
      <c r="ORV11" s="64"/>
      <c r="ORW11" s="4"/>
      <c r="ORX11" s="65"/>
      <c r="ORY11" s="4"/>
      <c r="ORZ11" s="4"/>
      <c r="OSA11" s="4"/>
      <c r="OSD11" s="34"/>
      <c r="OSE11" s="34"/>
      <c r="OSG11" s="34"/>
      <c r="OSH11" s="72"/>
      <c r="OSI11" s="63"/>
      <c r="OSJ11" s="34"/>
      <c r="OSK11" s="64"/>
      <c r="OSL11" s="4"/>
      <c r="OSM11" s="65"/>
      <c r="OSN11" s="4"/>
      <c r="OSO11" s="4"/>
      <c r="OSP11" s="4"/>
      <c r="OSS11" s="34"/>
      <c r="OST11" s="34"/>
      <c r="OSV11" s="34"/>
      <c r="OSW11" s="72"/>
      <c r="OSX11" s="63"/>
      <c r="OSY11" s="34"/>
      <c r="OSZ11" s="64"/>
      <c r="OTA11" s="4"/>
      <c r="OTB11" s="65"/>
      <c r="OTC11" s="4"/>
      <c r="OTD11" s="4"/>
      <c r="OTE11" s="4"/>
      <c r="OTH11" s="34"/>
      <c r="OTI11" s="34"/>
      <c r="OTK11" s="34"/>
      <c r="OTL11" s="72"/>
      <c r="OTM11" s="63"/>
      <c r="OTN11" s="34"/>
      <c r="OTO11" s="64"/>
      <c r="OTP11" s="4"/>
      <c r="OTQ11" s="65"/>
      <c r="OTR11" s="4"/>
      <c r="OTS11" s="4"/>
      <c r="OTT11" s="4"/>
      <c r="OTW11" s="34"/>
      <c r="OTX11" s="34"/>
      <c r="OTZ11" s="34"/>
      <c r="OUA11" s="72"/>
      <c r="OUB11" s="63"/>
      <c r="OUC11" s="34"/>
      <c r="OUD11" s="64"/>
      <c r="OUE11" s="4"/>
      <c r="OUF11" s="65"/>
      <c r="OUG11" s="4"/>
      <c r="OUH11" s="4"/>
      <c r="OUI11" s="4"/>
      <c r="OUL11" s="34"/>
      <c r="OUM11" s="34"/>
      <c r="OUO11" s="34"/>
      <c r="OUP11" s="72"/>
      <c r="OUQ11" s="63"/>
      <c r="OUR11" s="34"/>
      <c r="OUS11" s="64"/>
      <c r="OUT11" s="4"/>
      <c r="OUU11" s="65"/>
      <c r="OUV11" s="4"/>
      <c r="OUW11" s="4"/>
      <c r="OUX11" s="4"/>
      <c r="OVA11" s="34"/>
      <c r="OVB11" s="34"/>
      <c r="OVD11" s="34"/>
      <c r="OVE11" s="72"/>
      <c r="OVF11" s="63"/>
      <c r="OVG11" s="34"/>
      <c r="OVH11" s="64"/>
      <c r="OVI11" s="4"/>
      <c r="OVJ11" s="65"/>
      <c r="OVK11" s="4"/>
      <c r="OVL11" s="4"/>
      <c r="OVM11" s="4"/>
      <c r="OVP11" s="34"/>
      <c r="OVQ11" s="34"/>
      <c r="OVS11" s="34"/>
      <c r="OVT11" s="72"/>
      <c r="OVU11" s="63"/>
      <c r="OVV11" s="34"/>
      <c r="OVW11" s="64"/>
      <c r="OVX11" s="4"/>
      <c r="OVY11" s="65"/>
      <c r="OVZ11" s="4"/>
      <c r="OWA11" s="4"/>
      <c r="OWB11" s="4"/>
      <c r="OWE11" s="34"/>
      <c r="OWF11" s="34"/>
      <c r="OWH11" s="34"/>
      <c r="OWI11" s="72"/>
      <c r="OWJ11" s="63"/>
      <c r="OWK11" s="34"/>
      <c r="OWL11" s="64"/>
      <c r="OWM11" s="4"/>
      <c r="OWN11" s="65"/>
      <c r="OWO11" s="4"/>
      <c r="OWP11" s="4"/>
      <c r="OWQ11" s="4"/>
      <c r="OWT11" s="34"/>
      <c r="OWU11" s="34"/>
      <c r="OWW11" s="34"/>
      <c r="OWX11" s="72"/>
      <c r="OWY11" s="63"/>
      <c r="OWZ11" s="34"/>
      <c r="OXA11" s="64"/>
      <c r="OXB11" s="4"/>
      <c r="OXC11" s="65"/>
      <c r="OXD11" s="4"/>
      <c r="OXE11" s="4"/>
      <c r="OXF11" s="4"/>
      <c r="OXI11" s="34"/>
      <c r="OXJ11" s="34"/>
      <c r="OXL11" s="34"/>
      <c r="OXM11" s="72"/>
      <c r="OXN11" s="63"/>
      <c r="OXO11" s="34"/>
      <c r="OXP11" s="64"/>
      <c r="OXQ11" s="4"/>
      <c r="OXR11" s="65"/>
      <c r="OXS11" s="4"/>
      <c r="OXT11" s="4"/>
      <c r="OXU11" s="4"/>
      <c r="OXX11" s="34"/>
      <c r="OXY11" s="34"/>
      <c r="OYA11" s="34"/>
      <c r="OYB11" s="72"/>
      <c r="OYC11" s="63"/>
      <c r="OYD11" s="34"/>
      <c r="OYE11" s="64"/>
      <c r="OYF11" s="4"/>
      <c r="OYG11" s="65"/>
      <c r="OYH11" s="4"/>
      <c r="OYI11" s="4"/>
      <c r="OYJ11" s="4"/>
      <c r="OYM11" s="34"/>
      <c r="OYN11" s="34"/>
      <c r="OYP11" s="34"/>
      <c r="OYQ11" s="72"/>
      <c r="OYR11" s="63"/>
      <c r="OYS11" s="34"/>
      <c r="OYT11" s="64"/>
      <c r="OYU11" s="4"/>
      <c r="OYV11" s="65"/>
      <c r="OYW11" s="4"/>
      <c r="OYX11" s="4"/>
      <c r="OYY11" s="4"/>
      <c r="OZB11" s="34"/>
      <c r="OZC11" s="34"/>
      <c r="OZE11" s="34"/>
      <c r="OZF11" s="72"/>
      <c r="OZG11" s="63"/>
      <c r="OZH11" s="34"/>
      <c r="OZI11" s="64"/>
      <c r="OZJ11" s="4"/>
      <c r="OZK11" s="65"/>
      <c r="OZL11" s="4"/>
      <c r="OZM11" s="4"/>
      <c r="OZN11" s="4"/>
      <c r="OZQ11" s="34"/>
      <c r="OZR11" s="34"/>
      <c r="OZT11" s="34"/>
      <c r="OZU11" s="72"/>
      <c r="OZV11" s="63"/>
      <c r="OZW11" s="34"/>
      <c r="OZX11" s="64"/>
      <c r="OZY11" s="4"/>
      <c r="OZZ11" s="65"/>
      <c r="PAA11" s="4"/>
      <c r="PAB11" s="4"/>
      <c r="PAC11" s="4"/>
      <c r="PAF11" s="34"/>
      <c r="PAG11" s="34"/>
      <c r="PAI11" s="34"/>
      <c r="PAJ11" s="72"/>
      <c r="PAK11" s="63"/>
      <c r="PAL11" s="34"/>
      <c r="PAM11" s="64"/>
      <c r="PAN11" s="4"/>
      <c r="PAO11" s="65"/>
      <c r="PAP11" s="4"/>
      <c r="PAQ11" s="4"/>
      <c r="PAR11" s="4"/>
      <c r="PAU11" s="34"/>
      <c r="PAV11" s="34"/>
      <c r="PAX11" s="34"/>
      <c r="PAY11" s="72"/>
      <c r="PAZ11" s="63"/>
      <c r="PBA11" s="34"/>
      <c r="PBB11" s="64"/>
      <c r="PBC11" s="4"/>
      <c r="PBD11" s="65"/>
      <c r="PBE11" s="4"/>
      <c r="PBF11" s="4"/>
      <c r="PBG11" s="4"/>
      <c r="PBJ11" s="34"/>
      <c r="PBK11" s="34"/>
      <c r="PBM11" s="34"/>
      <c r="PBN11" s="72"/>
      <c r="PBO11" s="63"/>
      <c r="PBP11" s="34"/>
      <c r="PBQ11" s="64"/>
      <c r="PBR11" s="4"/>
      <c r="PBS11" s="65"/>
      <c r="PBT11" s="4"/>
      <c r="PBU11" s="4"/>
      <c r="PBV11" s="4"/>
      <c r="PBY11" s="34"/>
      <c r="PBZ11" s="34"/>
      <c r="PCB11" s="34"/>
      <c r="PCC11" s="72"/>
      <c r="PCD11" s="63"/>
      <c r="PCE11" s="34"/>
      <c r="PCF11" s="64"/>
      <c r="PCG11" s="4"/>
      <c r="PCH11" s="65"/>
      <c r="PCI11" s="4"/>
      <c r="PCJ11" s="4"/>
      <c r="PCK11" s="4"/>
      <c r="PCN11" s="34"/>
      <c r="PCO11" s="34"/>
      <c r="PCQ11" s="34"/>
      <c r="PCR11" s="72"/>
      <c r="PCS11" s="63"/>
      <c r="PCT11" s="34"/>
      <c r="PCU11" s="64"/>
      <c r="PCV11" s="4"/>
      <c r="PCW11" s="65"/>
      <c r="PCX11" s="4"/>
      <c r="PCY11" s="4"/>
      <c r="PCZ11" s="4"/>
      <c r="PDC11" s="34"/>
      <c r="PDD11" s="34"/>
      <c r="PDF11" s="34"/>
      <c r="PDG11" s="72"/>
      <c r="PDH11" s="63"/>
      <c r="PDI11" s="34"/>
      <c r="PDJ11" s="64"/>
      <c r="PDK11" s="4"/>
      <c r="PDL11" s="65"/>
      <c r="PDM11" s="4"/>
      <c r="PDN11" s="4"/>
      <c r="PDO11" s="4"/>
      <c r="PDR11" s="34"/>
      <c r="PDS11" s="34"/>
      <c r="PDU11" s="34"/>
      <c r="PDV11" s="72"/>
      <c r="PDW11" s="63"/>
      <c r="PDX11" s="34"/>
      <c r="PDY11" s="64"/>
      <c r="PDZ11" s="4"/>
      <c r="PEA11" s="65"/>
      <c r="PEB11" s="4"/>
      <c r="PEC11" s="4"/>
      <c r="PED11" s="4"/>
      <c r="PEG11" s="34"/>
      <c r="PEH11" s="34"/>
      <c r="PEJ11" s="34"/>
      <c r="PEK11" s="72"/>
      <c r="PEL11" s="63"/>
      <c r="PEM11" s="34"/>
      <c r="PEN11" s="64"/>
      <c r="PEO11" s="4"/>
      <c r="PEP11" s="65"/>
      <c r="PEQ11" s="4"/>
      <c r="PER11" s="4"/>
      <c r="PES11" s="4"/>
      <c r="PEV11" s="34"/>
      <c r="PEW11" s="34"/>
      <c r="PEY11" s="34"/>
      <c r="PEZ11" s="72"/>
      <c r="PFA11" s="63"/>
      <c r="PFB11" s="34"/>
      <c r="PFC11" s="64"/>
      <c r="PFD11" s="4"/>
      <c r="PFE11" s="65"/>
      <c r="PFF11" s="4"/>
      <c r="PFG11" s="4"/>
      <c r="PFH11" s="4"/>
      <c r="PFK11" s="34"/>
      <c r="PFL11" s="34"/>
      <c r="PFN11" s="34"/>
      <c r="PFO11" s="72"/>
      <c r="PFP11" s="63"/>
      <c r="PFQ11" s="34"/>
      <c r="PFR11" s="64"/>
      <c r="PFS11" s="4"/>
      <c r="PFT11" s="65"/>
      <c r="PFU11" s="4"/>
      <c r="PFV11" s="4"/>
      <c r="PFW11" s="4"/>
      <c r="PFZ11" s="34"/>
      <c r="PGA11" s="34"/>
      <c r="PGC11" s="34"/>
      <c r="PGD11" s="72"/>
      <c r="PGE11" s="63"/>
      <c r="PGF11" s="34"/>
      <c r="PGG11" s="64"/>
      <c r="PGH11" s="4"/>
      <c r="PGI11" s="65"/>
      <c r="PGJ11" s="4"/>
      <c r="PGK11" s="4"/>
      <c r="PGL11" s="4"/>
      <c r="PGO11" s="34"/>
      <c r="PGP11" s="34"/>
      <c r="PGR11" s="34"/>
      <c r="PGS11" s="72"/>
      <c r="PGT11" s="63"/>
      <c r="PGU11" s="34"/>
      <c r="PGV11" s="64"/>
      <c r="PGW11" s="4"/>
      <c r="PGX11" s="65"/>
      <c r="PGY11" s="4"/>
      <c r="PGZ11" s="4"/>
      <c r="PHA11" s="4"/>
      <c r="PHD11" s="34"/>
      <c r="PHE11" s="34"/>
      <c r="PHG11" s="34"/>
      <c r="PHH11" s="72"/>
      <c r="PHI11" s="63"/>
      <c r="PHJ11" s="34"/>
      <c r="PHK11" s="64"/>
      <c r="PHL11" s="4"/>
      <c r="PHM11" s="65"/>
      <c r="PHN11" s="4"/>
      <c r="PHO11" s="4"/>
      <c r="PHP11" s="4"/>
      <c r="PHS11" s="34"/>
      <c r="PHT11" s="34"/>
      <c r="PHV11" s="34"/>
      <c r="PHW11" s="72"/>
      <c r="PHX11" s="63"/>
      <c r="PHY11" s="34"/>
      <c r="PHZ11" s="64"/>
      <c r="PIA11" s="4"/>
      <c r="PIB11" s="65"/>
      <c r="PIC11" s="4"/>
      <c r="PID11" s="4"/>
      <c r="PIE11" s="4"/>
      <c r="PIH11" s="34"/>
      <c r="PII11" s="34"/>
      <c r="PIK11" s="34"/>
      <c r="PIL11" s="72"/>
      <c r="PIM11" s="63"/>
      <c r="PIN11" s="34"/>
      <c r="PIO11" s="64"/>
      <c r="PIP11" s="4"/>
      <c r="PIQ11" s="65"/>
      <c r="PIR11" s="4"/>
      <c r="PIS11" s="4"/>
      <c r="PIT11" s="4"/>
      <c r="PIW11" s="34"/>
      <c r="PIX11" s="34"/>
      <c r="PIZ11" s="34"/>
      <c r="PJA11" s="72"/>
      <c r="PJB11" s="63"/>
      <c r="PJC11" s="34"/>
      <c r="PJD11" s="64"/>
      <c r="PJE11" s="4"/>
      <c r="PJF11" s="65"/>
      <c r="PJG11" s="4"/>
      <c r="PJH11" s="4"/>
      <c r="PJI11" s="4"/>
      <c r="PJL11" s="34"/>
      <c r="PJM11" s="34"/>
      <c r="PJO11" s="34"/>
      <c r="PJP11" s="72"/>
      <c r="PJQ11" s="63"/>
      <c r="PJR11" s="34"/>
      <c r="PJS11" s="64"/>
      <c r="PJT11" s="4"/>
      <c r="PJU11" s="65"/>
      <c r="PJV11" s="4"/>
      <c r="PJW11" s="4"/>
      <c r="PJX11" s="4"/>
      <c r="PKA11" s="34"/>
      <c r="PKB11" s="34"/>
      <c r="PKD11" s="34"/>
      <c r="PKE11" s="72"/>
      <c r="PKF11" s="63"/>
      <c r="PKG11" s="34"/>
      <c r="PKH11" s="64"/>
      <c r="PKI11" s="4"/>
      <c r="PKJ11" s="65"/>
      <c r="PKK11" s="4"/>
      <c r="PKL11" s="4"/>
      <c r="PKM11" s="4"/>
      <c r="PKP11" s="34"/>
      <c r="PKQ11" s="34"/>
      <c r="PKS11" s="34"/>
      <c r="PKT11" s="72"/>
      <c r="PKU11" s="63"/>
      <c r="PKV11" s="34"/>
      <c r="PKW11" s="64"/>
      <c r="PKX11" s="4"/>
      <c r="PKY11" s="65"/>
      <c r="PKZ11" s="4"/>
      <c r="PLA11" s="4"/>
      <c r="PLB11" s="4"/>
      <c r="PLE11" s="34"/>
      <c r="PLF11" s="34"/>
      <c r="PLH11" s="34"/>
      <c r="PLI11" s="72"/>
      <c r="PLJ11" s="63"/>
      <c r="PLK11" s="34"/>
      <c r="PLL11" s="64"/>
      <c r="PLM11" s="4"/>
      <c r="PLN11" s="65"/>
      <c r="PLO11" s="4"/>
      <c r="PLP11" s="4"/>
      <c r="PLQ11" s="4"/>
      <c r="PLT11" s="34"/>
      <c r="PLU11" s="34"/>
      <c r="PLW11" s="34"/>
      <c r="PLX11" s="72"/>
      <c r="PLY11" s="63"/>
      <c r="PLZ11" s="34"/>
      <c r="PMA11" s="64"/>
      <c r="PMB11" s="4"/>
      <c r="PMC11" s="65"/>
      <c r="PMD11" s="4"/>
      <c r="PME11" s="4"/>
      <c r="PMF11" s="4"/>
      <c r="PMI11" s="34"/>
      <c r="PMJ11" s="34"/>
      <c r="PML11" s="34"/>
      <c r="PMM11" s="72"/>
      <c r="PMN11" s="63"/>
      <c r="PMO11" s="34"/>
      <c r="PMP11" s="64"/>
      <c r="PMQ11" s="4"/>
      <c r="PMR11" s="65"/>
      <c r="PMS11" s="4"/>
      <c r="PMT11" s="4"/>
      <c r="PMU11" s="4"/>
      <c r="PMX11" s="34"/>
      <c r="PMY11" s="34"/>
      <c r="PNA11" s="34"/>
      <c r="PNB11" s="72"/>
      <c r="PNC11" s="63"/>
      <c r="PND11" s="34"/>
      <c r="PNE11" s="64"/>
      <c r="PNF11" s="4"/>
      <c r="PNG11" s="65"/>
      <c r="PNH11" s="4"/>
      <c r="PNI11" s="4"/>
      <c r="PNJ11" s="4"/>
      <c r="PNM11" s="34"/>
      <c r="PNN11" s="34"/>
      <c r="PNP11" s="34"/>
      <c r="PNQ11" s="72"/>
      <c r="PNR11" s="63"/>
      <c r="PNS11" s="34"/>
      <c r="PNT11" s="64"/>
      <c r="PNU11" s="4"/>
      <c r="PNV11" s="65"/>
      <c r="PNW11" s="4"/>
      <c r="PNX11" s="4"/>
      <c r="PNY11" s="4"/>
      <c r="POB11" s="34"/>
      <c r="POC11" s="34"/>
      <c r="POE11" s="34"/>
      <c r="POF11" s="72"/>
      <c r="POG11" s="63"/>
      <c r="POH11" s="34"/>
      <c r="POI11" s="64"/>
      <c r="POJ11" s="4"/>
      <c r="POK11" s="65"/>
      <c r="POL11" s="4"/>
      <c r="POM11" s="4"/>
      <c r="PON11" s="4"/>
      <c r="POQ11" s="34"/>
      <c r="POR11" s="34"/>
      <c r="POT11" s="34"/>
      <c r="POU11" s="72"/>
      <c r="POV11" s="63"/>
      <c r="POW11" s="34"/>
      <c r="POX11" s="64"/>
      <c r="POY11" s="4"/>
      <c r="POZ11" s="65"/>
      <c r="PPA11" s="4"/>
      <c r="PPB11" s="4"/>
      <c r="PPC11" s="4"/>
      <c r="PPF11" s="34"/>
      <c r="PPG11" s="34"/>
      <c r="PPI11" s="34"/>
      <c r="PPJ11" s="72"/>
      <c r="PPK11" s="63"/>
      <c r="PPL11" s="34"/>
      <c r="PPM11" s="64"/>
      <c r="PPN11" s="4"/>
      <c r="PPO11" s="65"/>
      <c r="PPP11" s="4"/>
      <c r="PPQ11" s="4"/>
      <c r="PPR11" s="4"/>
      <c r="PPU11" s="34"/>
      <c r="PPV11" s="34"/>
      <c r="PPX11" s="34"/>
      <c r="PPY11" s="72"/>
      <c r="PPZ11" s="63"/>
      <c r="PQA11" s="34"/>
      <c r="PQB11" s="64"/>
      <c r="PQC11" s="4"/>
      <c r="PQD11" s="65"/>
      <c r="PQE11" s="4"/>
      <c r="PQF11" s="4"/>
      <c r="PQG11" s="4"/>
      <c r="PQJ11" s="34"/>
      <c r="PQK11" s="34"/>
      <c r="PQM11" s="34"/>
      <c r="PQN11" s="72"/>
      <c r="PQO11" s="63"/>
      <c r="PQP11" s="34"/>
      <c r="PQQ11" s="64"/>
      <c r="PQR11" s="4"/>
      <c r="PQS11" s="65"/>
      <c r="PQT11" s="4"/>
      <c r="PQU11" s="4"/>
      <c r="PQV11" s="4"/>
      <c r="PQY11" s="34"/>
      <c r="PQZ11" s="34"/>
      <c r="PRB11" s="34"/>
      <c r="PRC11" s="72"/>
      <c r="PRD11" s="63"/>
      <c r="PRE11" s="34"/>
      <c r="PRF11" s="64"/>
      <c r="PRG11" s="4"/>
      <c r="PRH11" s="65"/>
      <c r="PRI11" s="4"/>
      <c r="PRJ11" s="4"/>
      <c r="PRK11" s="4"/>
      <c r="PRN11" s="34"/>
      <c r="PRO11" s="34"/>
      <c r="PRQ11" s="34"/>
      <c r="PRR11" s="72"/>
      <c r="PRS11" s="63"/>
      <c r="PRT11" s="34"/>
      <c r="PRU11" s="64"/>
      <c r="PRV11" s="4"/>
      <c r="PRW11" s="65"/>
      <c r="PRX11" s="4"/>
      <c r="PRY11" s="4"/>
      <c r="PRZ11" s="4"/>
      <c r="PSC11" s="34"/>
      <c r="PSD11" s="34"/>
      <c r="PSF11" s="34"/>
      <c r="PSG11" s="72"/>
      <c r="PSH11" s="63"/>
      <c r="PSI11" s="34"/>
      <c r="PSJ11" s="64"/>
      <c r="PSK11" s="4"/>
      <c r="PSL11" s="65"/>
      <c r="PSM11" s="4"/>
      <c r="PSN11" s="4"/>
      <c r="PSO11" s="4"/>
      <c r="PSR11" s="34"/>
      <c r="PSS11" s="34"/>
      <c r="PSU11" s="34"/>
      <c r="PSV11" s="72"/>
      <c r="PSW11" s="63"/>
      <c r="PSX11" s="34"/>
      <c r="PSY11" s="64"/>
      <c r="PSZ11" s="4"/>
      <c r="PTA11" s="65"/>
      <c r="PTB11" s="4"/>
      <c r="PTC11" s="4"/>
      <c r="PTD11" s="4"/>
      <c r="PTG11" s="34"/>
      <c r="PTH11" s="34"/>
      <c r="PTJ11" s="34"/>
      <c r="PTK11" s="72"/>
      <c r="PTL11" s="63"/>
      <c r="PTM11" s="34"/>
      <c r="PTN11" s="64"/>
      <c r="PTO11" s="4"/>
      <c r="PTP11" s="65"/>
      <c r="PTQ11" s="4"/>
      <c r="PTR11" s="4"/>
      <c r="PTS11" s="4"/>
      <c r="PTV11" s="34"/>
      <c r="PTW11" s="34"/>
      <c r="PTY11" s="34"/>
      <c r="PTZ11" s="72"/>
      <c r="PUA11" s="63"/>
      <c r="PUB11" s="34"/>
      <c r="PUC11" s="64"/>
      <c r="PUD11" s="4"/>
      <c r="PUE11" s="65"/>
      <c r="PUF11" s="4"/>
      <c r="PUG11" s="4"/>
      <c r="PUH11" s="4"/>
      <c r="PUK11" s="34"/>
      <c r="PUL11" s="34"/>
      <c r="PUN11" s="34"/>
      <c r="PUO11" s="72"/>
      <c r="PUP11" s="63"/>
      <c r="PUQ11" s="34"/>
      <c r="PUR11" s="64"/>
      <c r="PUS11" s="4"/>
      <c r="PUT11" s="65"/>
      <c r="PUU11" s="4"/>
      <c r="PUV11" s="4"/>
      <c r="PUW11" s="4"/>
      <c r="PUZ11" s="34"/>
      <c r="PVA11" s="34"/>
      <c r="PVC11" s="34"/>
      <c r="PVD11" s="72"/>
      <c r="PVE11" s="63"/>
      <c r="PVF11" s="34"/>
      <c r="PVG11" s="64"/>
      <c r="PVH11" s="4"/>
      <c r="PVI11" s="65"/>
      <c r="PVJ11" s="4"/>
      <c r="PVK11" s="4"/>
      <c r="PVL11" s="4"/>
      <c r="PVO11" s="34"/>
      <c r="PVP11" s="34"/>
      <c r="PVR11" s="34"/>
      <c r="PVS11" s="72"/>
      <c r="PVT11" s="63"/>
      <c r="PVU11" s="34"/>
      <c r="PVV11" s="64"/>
      <c r="PVW11" s="4"/>
      <c r="PVX11" s="65"/>
      <c r="PVY11" s="4"/>
      <c r="PVZ11" s="4"/>
      <c r="PWA11" s="4"/>
      <c r="PWD11" s="34"/>
      <c r="PWE11" s="34"/>
      <c r="PWG11" s="34"/>
      <c r="PWH11" s="72"/>
      <c r="PWI11" s="63"/>
      <c r="PWJ11" s="34"/>
      <c r="PWK11" s="64"/>
      <c r="PWL11" s="4"/>
      <c r="PWM11" s="65"/>
      <c r="PWN11" s="4"/>
      <c r="PWO11" s="4"/>
      <c r="PWP11" s="4"/>
      <c r="PWS11" s="34"/>
      <c r="PWT11" s="34"/>
      <c r="PWV11" s="34"/>
      <c r="PWW11" s="72"/>
      <c r="PWX11" s="63"/>
      <c r="PWY11" s="34"/>
      <c r="PWZ11" s="64"/>
      <c r="PXA11" s="4"/>
      <c r="PXB11" s="65"/>
      <c r="PXC11" s="4"/>
      <c r="PXD11" s="4"/>
      <c r="PXE11" s="4"/>
      <c r="PXH11" s="34"/>
      <c r="PXI11" s="34"/>
      <c r="PXK11" s="34"/>
      <c r="PXL11" s="72"/>
      <c r="PXM11" s="63"/>
      <c r="PXN11" s="34"/>
      <c r="PXO11" s="64"/>
      <c r="PXP11" s="4"/>
      <c r="PXQ11" s="65"/>
      <c r="PXR11" s="4"/>
      <c r="PXS11" s="4"/>
      <c r="PXT11" s="4"/>
      <c r="PXW11" s="34"/>
      <c r="PXX11" s="34"/>
      <c r="PXZ11" s="34"/>
      <c r="PYA11" s="72"/>
      <c r="PYB11" s="63"/>
      <c r="PYC11" s="34"/>
      <c r="PYD11" s="64"/>
      <c r="PYE11" s="4"/>
      <c r="PYF11" s="65"/>
      <c r="PYG11" s="4"/>
      <c r="PYH11" s="4"/>
      <c r="PYI11" s="4"/>
      <c r="PYL11" s="34"/>
      <c r="PYM11" s="34"/>
      <c r="PYO11" s="34"/>
      <c r="PYP11" s="72"/>
      <c r="PYQ11" s="63"/>
      <c r="PYR11" s="34"/>
      <c r="PYS11" s="64"/>
      <c r="PYT11" s="4"/>
      <c r="PYU11" s="65"/>
      <c r="PYV11" s="4"/>
      <c r="PYW11" s="4"/>
      <c r="PYX11" s="4"/>
      <c r="PZA11" s="34"/>
      <c r="PZB11" s="34"/>
      <c r="PZD11" s="34"/>
      <c r="PZE11" s="72"/>
      <c r="PZF11" s="63"/>
      <c r="PZG11" s="34"/>
      <c r="PZH11" s="64"/>
      <c r="PZI11" s="4"/>
      <c r="PZJ11" s="65"/>
      <c r="PZK11" s="4"/>
      <c r="PZL11" s="4"/>
      <c r="PZM11" s="4"/>
      <c r="PZP11" s="34"/>
      <c r="PZQ11" s="34"/>
      <c r="PZS11" s="34"/>
      <c r="PZT11" s="72"/>
      <c r="PZU11" s="63"/>
      <c r="PZV11" s="34"/>
      <c r="PZW11" s="64"/>
      <c r="PZX11" s="4"/>
      <c r="PZY11" s="65"/>
      <c r="PZZ11" s="4"/>
      <c r="QAA11" s="4"/>
      <c r="QAB11" s="4"/>
      <c r="QAE11" s="34"/>
      <c r="QAF11" s="34"/>
      <c r="QAH11" s="34"/>
      <c r="QAI11" s="72"/>
      <c r="QAJ11" s="63"/>
      <c r="QAK11" s="34"/>
      <c r="QAL11" s="64"/>
      <c r="QAM11" s="4"/>
      <c r="QAN11" s="65"/>
      <c r="QAO11" s="4"/>
      <c r="QAP11" s="4"/>
      <c r="QAQ11" s="4"/>
      <c r="QAT11" s="34"/>
      <c r="QAU11" s="34"/>
      <c r="QAW11" s="34"/>
      <c r="QAX11" s="72"/>
      <c r="QAY11" s="63"/>
      <c r="QAZ11" s="34"/>
      <c r="QBA11" s="64"/>
      <c r="QBB11" s="4"/>
      <c r="QBC11" s="65"/>
      <c r="QBD11" s="4"/>
      <c r="QBE11" s="4"/>
      <c r="QBF11" s="4"/>
      <c r="QBI11" s="34"/>
      <c r="QBJ11" s="34"/>
      <c r="QBL11" s="34"/>
      <c r="QBM11" s="72"/>
      <c r="QBN11" s="63"/>
      <c r="QBO11" s="34"/>
      <c r="QBP11" s="64"/>
      <c r="QBQ11" s="4"/>
      <c r="QBR11" s="65"/>
      <c r="QBS11" s="4"/>
      <c r="QBT11" s="4"/>
      <c r="QBU11" s="4"/>
      <c r="QBX11" s="34"/>
      <c r="QBY11" s="34"/>
      <c r="QCA11" s="34"/>
      <c r="QCB11" s="72"/>
      <c r="QCC11" s="63"/>
      <c r="QCD11" s="34"/>
      <c r="QCE11" s="64"/>
      <c r="QCF11" s="4"/>
      <c r="QCG11" s="65"/>
      <c r="QCH11" s="4"/>
      <c r="QCI11" s="4"/>
      <c r="QCJ11" s="4"/>
      <c r="QCM11" s="34"/>
      <c r="QCN11" s="34"/>
      <c r="QCP11" s="34"/>
      <c r="QCQ11" s="72"/>
      <c r="QCR11" s="63"/>
      <c r="QCS11" s="34"/>
      <c r="QCT11" s="64"/>
      <c r="QCU11" s="4"/>
      <c r="QCV11" s="65"/>
      <c r="QCW11" s="4"/>
      <c r="QCX11" s="4"/>
      <c r="QCY11" s="4"/>
      <c r="QDB11" s="34"/>
      <c r="QDC11" s="34"/>
      <c r="QDE11" s="34"/>
      <c r="QDF11" s="72"/>
      <c r="QDG11" s="63"/>
      <c r="QDH11" s="34"/>
      <c r="QDI11" s="64"/>
      <c r="QDJ11" s="4"/>
      <c r="QDK11" s="65"/>
      <c r="QDL11" s="4"/>
      <c r="QDM11" s="4"/>
      <c r="QDN11" s="4"/>
      <c r="QDQ11" s="34"/>
      <c r="QDR11" s="34"/>
      <c r="QDT11" s="34"/>
      <c r="QDU11" s="72"/>
      <c r="QDV11" s="63"/>
      <c r="QDW11" s="34"/>
      <c r="QDX11" s="64"/>
      <c r="QDY11" s="4"/>
      <c r="QDZ11" s="65"/>
      <c r="QEA11" s="4"/>
      <c r="QEB11" s="4"/>
      <c r="QEC11" s="4"/>
      <c r="QEF11" s="34"/>
      <c r="QEG11" s="34"/>
      <c r="QEI11" s="34"/>
      <c r="QEJ11" s="72"/>
      <c r="QEK11" s="63"/>
      <c r="QEL11" s="34"/>
      <c r="QEM11" s="64"/>
      <c r="QEN11" s="4"/>
      <c r="QEO11" s="65"/>
      <c r="QEP11" s="4"/>
      <c r="QEQ11" s="4"/>
      <c r="QER11" s="4"/>
      <c r="QEU11" s="34"/>
      <c r="QEV11" s="34"/>
      <c r="QEX11" s="34"/>
      <c r="QEY11" s="72"/>
      <c r="QEZ11" s="63"/>
      <c r="QFA11" s="34"/>
      <c r="QFB11" s="64"/>
      <c r="QFC11" s="4"/>
      <c r="QFD11" s="65"/>
      <c r="QFE11" s="4"/>
      <c r="QFF11" s="4"/>
      <c r="QFG11" s="4"/>
      <c r="QFJ11" s="34"/>
      <c r="QFK11" s="34"/>
      <c r="QFM11" s="34"/>
      <c r="QFN11" s="72"/>
      <c r="QFO11" s="63"/>
      <c r="QFP11" s="34"/>
      <c r="QFQ11" s="64"/>
      <c r="QFR11" s="4"/>
      <c r="QFS11" s="65"/>
      <c r="QFT11" s="4"/>
      <c r="QFU11" s="4"/>
      <c r="QFV11" s="4"/>
      <c r="QFY11" s="34"/>
      <c r="QFZ11" s="34"/>
      <c r="QGB11" s="34"/>
      <c r="QGC11" s="72"/>
      <c r="QGD11" s="63"/>
      <c r="QGE11" s="34"/>
      <c r="QGF11" s="64"/>
      <c r="QGG11" s="4"/>
      <c r="QGH11" s="65"/>
      <c r="QGI11" s="4"/>
      <c r="QGJ11" s="4"/>
      <c r="QGK11" s="4"/>
      <c r="QGN11" s="34"/>
      <c r="QGO11" s="34"/>
      <c r="QGQ11" s="34"/>
      <c r="QGR11" s="72"/>
      <c r="QGS11" s="63"/>
      <c r="QGT11" s="34"/>
      <c r="QGU11" s="64"/>
      <c r="QGV11" s="4"/>
      <c r="QGW11" s="65"/>
      <c r="QGX11" s="4"/>
      <c r="QGY11" s="4"/>
      <c r="QGZ11" s="4"/>
      <c r="QHC11" s="34"/>
      <c r="QHD11" s="34"/>
      <c r="QHF11" s="34"/>
      <c r="QHG11" s="72"/>
      <c r="QHH11" s="63"/>
      <c r="QHI11" s="34"/>
      <c r="QHJ11" s="64"/>
      <c r="QHK11" s="4"/>
      <c r="QHL11" s="65"/>
      <c r="QHM11" s="4"/>
      <c r="QHN11" s="4"/>
      <c r="QHO11" s="4"/>
      <c r="QHR11" s="34"/>
      <c r="QHS11" s="34"/>
      <c r="QHU11" s="34"/>
      <c r="QHV11" s="72"/>
      <c r="QHW11" s="63"/>
      <c r="QHX11" s="34"/>
      <c r="QHY11" s="64"/>
      <c r="QHZ11" s="4"/>
      <c r="QIA11" s="65"/>
      <c r="QIB11" s="4"/>
      <c r="QIC11" s="4"/>
      <c r="QID11" s="4"/>
      <c r="QIG11" s="34"/>
      <c r="QIH11" s="34"/>
      <c r="QIJ11" s="34"/>
      <c r="QIK11" s="72"/>
      <c r="QIL11" s="63"/>
      <c r="QIM11" s="34"/>
      <c r="QIN11" s="64"/>
      <c r="QIO11" s="4"/>
      <c r="QIP11" s="65"/>
      <c r="QIQ11" s="4"/>
      <c r="QIR11" s="4"/>
      <c r="QIS11" s="4"/>
      <c r="QIV11" s="34"/>
      <c r="QIW11" s="34"/>
      <c r="QIY11" s="34"/>
      <c r="QIZ11" s="72"/>
      <c r="QJA11" s="63"/>
      <c r="QJB11" s="34"/>
      <c r="QJC11" s="64"/>
      <c r="QJD11" s="4"/>
      <c r="QJE11" s="65"/>
      <c r="QJF11" s="4"/>
      <c r="QJG11" s="4"/>
      <c r="QJH11" s="4"/>
      <c r="QJK11" s="34"/>
      <c r="QJL11" s="34"/>
      <c r="QJN11" s="34"/>
      <c r="QJO11" s="72"/>
      <c r="QJP11" s="63"/>
      <c r="QJQ11" s="34"/>
      <c r="QJR11" s="64"/>
      <c r="QJS11" s="4"/>
      <c r="QJT11" s="65"/>
      <c r="QJU11" s="4"/>
      <c r="QJV11" s="4"/>
      <c r="QJW11" s="4"/>
      <c r="QJZ11" s="34"/>
      <c r="QKA11" s="34"/>
      <c r="QKC11" s="34"/>
      <c r="QKD11" s="72"/>
      <c r="QKE11" s="63"/>
      <c r="QKF11" s="34"/>
      <c r="QKG11" s="64"/>
      <c r="QKH11" s="4"/>
      <c r="QKI11" s="65"/>
      <c r="QKJ11" s="4"/>
      <c r="QKK11" s="4"/>
      <c r="QKL11" s="4"/>
      <c r="QKO11" s="34"/>
      <c r="QKP11" s="34"/>
      <c r="QKR11" s="34"/>
      <c r="QKS11" s="72"/>
      <c r="QKT11" s="63"/>
      <c r="QKU11" s="34"/>
      <c r="QKV11" s="64"/>
      <c r="QKW11" s="4"/>
      <c r="QKX11" s="65"/>
      <c r="QKY11" s="4"/>
      <c r="QKZ11" s="4"/>
      <c r="QLA11" s="4"/>
      <c r="QLD11" s="34"/>
      <c r="QLE11" s="34"/>
      <c r="QLG11" s="34"/>
      <c r="QLH11" s="72"/>
      <c r="QLI11" s="63"/>
      <c r="QLJ11" s="34"/>
      <c r="QLK11" s="64"/>
      <c r="QLL11" s="4"/>
      <c r="QLM11" s="65"/>
      <c r="QLN11" s="4"/>
      <c r="QLO11" s="4"/>
      <c r="QLP11" s="4"/>
      <c r="QLS11" s="34"/>
      <c r="QLT11" s="34"/>
      <c r="QLV11" s="34"/>
      <c r="QLW11" s="72"/>
      <c r="QLX11" s="63"/>
      <c r="QLY11" s="34"/>
      <c r="QLZ11" s="64"/>
      <c r="QMA11" s="4"/>
      <c r="QMB11" s="65"/>
      <c r="QMC11" s="4"/>
      <c r="QMD11" s="4"/>
      <c r="QME11" s="4"/>
      <c r="QMH11" s="34"/>
      <c r="QMI11" s="34"/>
      <c r="QMK11" s="34"/>
      <c r="QML11" s="72"/>
      <c r="QMM11" s="63"/>
      <c r="QMN11" s="34"/>
      <c r="QMO11" s="64"/>
      <c r="QMP11" s="4"/>
      <c r="QMQ11" s="65"/>
      <c r="QMR11" s="4"/>
      <c r="QMS11" s="4"/>
      <c r="QMT11" s="4"/>
      <c r="QMW11" s="34"/>
      <c r="QMX11" s="34"/>
      <c r="QMZ11" s="34"/>
      <c r="QNA11" s="72"/>
      <c r="QNB11" s="63"/>
      <c r="QNC11" s="34"/>
      <c r="QND11" s="64"/>
      <c r="QNE11" s="4"/>
      <c r="QNF11" s="65"/>
      <c r="QNG11" s="4"/>
      <c r="QNH11" s="4"/>
      <c r="QNI11" s="4"/>
      <c r="QNL11" s="34"/>
      <c r="QNM11" s="34"/>
      <c r="QNO11" s="34"/>
      <c r="QNP11" s="72"/>
      <c r="QNQ11" s="63"/>
      <c r="QNR11" s="34"/>
      <c r="QNS11" s="64"/>
      <c r="QNT11" s="4"/>
      <c r="QNU11" s="65"/>
      <c r="QNV11" s="4"/>
      <c r="QNW11" s="4"/>
      <c r="QNX11" s="4"/>
      <c r="QOA11" s="34"/>
      <c r="QOB11" s="34"/>
      <c r="QOD11" s="34"/>
      <c r="QOE11" s="72"/>
      <c r="QOF11" s="63"/>
      <c r="QOG11" s="34"/>
      <c r="QOH11" s="64"/>
      <c r="QOI11" s="4"/>
      <c r="QOJ11" s="65"/>
      <c r="QOK11" s="4"/>
      <c r="QOL11" s="4"/>
      <c r="QOM11" s="4"/>
      <c r="QOP11" s="34"/>
      <c r="QOQ11" s="34"/>
      <c r="QOS11" s="34"/>
      <c r="QOT11" s="72"/>
      <c r="QOU11" s="63"/>
      <c r="QOV11" s="34"/>
      <c r="QOW11" s="64"/>
      <c r="QOX11" s="4"/>
      <c r="QOY11" s="65"/>
      <c r="QOZ11" s="4"/>
      <c r="QPA11" s="4"/>
      <c r="QPB11" s="4"/>
      <c r="QPE11" s="34"/>
      <c r="QPF11" s="34"/>
      <c r="QPH11" s="34"/>
      <c r="QPI11" s="72"/>
      <c r="QPJ11" s="63"/>
      <c r="QPK11" s="34"/>
      <c r="QPL11" s="64"/>
      <c r="QPM11" s="4"/>
      <c r="QPN11" s="65"/>
      <c r="QPO11" s="4"/>
      <c r="QPP11" s="4"/>
      <c r="QPQ11" s="4"/>
      <c r="QPT11" s="34"/>
      <c r="QPU11" s="34"/>
      <c r="QPW11" s="34"/>
      <c r="QPX11" s="72"/>
      <c r="QPY11" s="63"/>
      <c r="QPZ11" s="34"/>
      <c r="QQA11" s="64"/>
      <c r="QQB11" s="4"/>
      <c r="QQC11" s="65"/>
      <c r="QQD11" s="4"/>
      <c r="QQE11" s="4"/>
      <c r="QQF11" s="4"/>
      <c r="QQI11" s="34"/>
      <c r="QQJ11" s="34"/>
      <c r="QQL11" s="34"/>
      <c r="QQM11" s="72"/>
      <c r="QQN11" s="63"/>
      <c r="QQO11" s="34"/>
      <c r="QQP11" s="64"/>
      <c r="QQQ11" s="4"/>
      <c r="QQR11" s="65"/>
      <c r="QQS11" s="4"/>
      <c r="QQT11" s="4"/>
      <c r="QQU11" s="4"/>
      <c r="QQX11" s="34"/>
      <c r="QQY11" s="34"/>
      <c r="QRA11" s="34"/>
      <c r="QRB11" s="72"/>
      <c r="QRC11" s="63"/>
      <c r="QRD11" s="34"/>
      <c r="QRE11" s="64"/>
      <c r="QRF11" s="4"/>
      <c r="QRG11" s="65"/>
      <c r="QRH11" s="4"/>
      <c r="QRI11" s="4"/>
      <c r="QRJ11" s="4"/>
      <c r="QRM11" s="34"/>
      <c r="QRN11" s="34"/>
      <c r="QRP11" s="34"/>
      <c r="QRQ11" s="72"/>
      <c r="QRR11" s="63"/>
      <c r="QRS11" s="34"/>
      <c r="QRT11" s="64"/>
      <c r="QRU11" s="4"/>
      <c r="QRV11" s="65"/>
      <c r="QRW11" s="4"/>
      <c r="QRX11" s="4"/>
      <c r="QRY11" s="4"/>
      <c r="QSB11" s="34"/>
      <c r="QSC11" s="34"/>
      <c r="QSE11" s="34"/>
      <c r="QSF11" s="72"/>
      <c r="QSG11" s="63"/>
      <c r="QSH11" s="34"/>
      <c r="QSI11" s="64"/>
      <c r="QSJ11" s="4"/>
      <c r="QSK11" s="65"/>
      <c r="QSL11" s="4"/>
      <c r="QSM11" s="4"/>
      <c r="QSN11" s="4"/>
      <c r="QSQ11" s="34"/>
      <c r="QSR11" s="34"/>
      <c r="QST11" s="34"/>
      <c r="QSU11" s="72"/>
      <c r="QSV11" s="63"/>
      <c r="QSW11" s="34"/>
      <c r="QSX11" s="64"/>
      <c r="QSY11" s="4"/>
      <c r="QSZ11" s="65"/>
      <c r="QTA11" s="4"/>
      <c r="QTB11" s="4"/>
      <c r="QTC11" s="4"/>
      <c r="QTF11" s="34"/>
      <c r="QTG11" s="34"/>
      <c r="QTI11" s="34"/>
      <c r="QTJ11" s="72"/>
      <c r="QTK11" s="63"/>
      <c r="QTL11" s="34"/>
      <c r="QTM11" s="64"/>
      <c r="QTN11" s="4"/>
      <c r="QTO11" s="65"/>
      <c r="QTP11" s="4"/>
      <c r="QTQ11" s="4"/>
      <c r="QTR11" s="4"/>
      <c r="QTU11" s="34"/>
      <c r="QTV11" s="34"/>
      <c r="QTX11" s="34"/>
      <c r="QTY11" s="72"/>
      <c r="QTZ11" s="63"/>
      <c r="QUA11" s="34"/>
      <c r="QUB11" s="64"/>
      <c r="QUC11" s="4"/>
      <c r="QUD11" s="65"/>
      <c r="QUE11" s="4"/>
      <c r="QUF11" s="4"/>
      <c r="QUG11" s="4"/>
      <c r="QUJ11" s="34"/>
      <c r="QUK11" s="34"/>
      <c r="QUM11" s="34"/>
      <c r="QUN11" s="72"/>
      <c r="QUO11" s="63"/>
      <c r="QUP11" s="34"/>
      <c r="QUQ11" s="64"/>
      <c r="QUR11" s="4"/>
      <c r="QUS11" s="65"/>
      <c r="QUT11" s="4"/>
      <c r="QUU11" s="4"/>
      <c r="QUV11" s="4"/>
      <c r="QUY11" s="34"/>
      <c r="QUZ11" s="34"/>
      <c r="QVB11" s="34"/>
      <c r="QVC11" s="72"/>
      <c r="QVD11" s="63"/>
      <c r="QVE11" s="34"/>
      <c r="QVF11" s="64"/>
      <c r="QVG11" s="4"/>
      <c r="QVH11" s="65"/>
      <c r="QVI11" s="4"/>
      <c r="QVJ11" s="4"/>
      <c r="QVK11" s="4"/>
      <c r="QVN11" s="34"/>
      <c r="QVO11" s="34"/>
      <c r="QVQ11" s="34"/>
      <c r="QVR11" s="72"/>
      <c r="QVS11" s="63"/>
      <c r="QVT11" s="34"/>
      <c r="QVU11" s="64"/>
      <c r="QVV11" s="4"/>
      <c r="QVW11" s="65"/>
      <c r="QVX11" s="4"/>
      <c r="QVY11" s="4"/>
      <c r="QVZ11" s="4"/>
      <c r="QWC11" s="34"/>
      <c r="QWD11" s="34"/>
      <c r="QWF11" s="34"/>
      <c r="QWG11" s="72"/>
      <c r="QWH11" s="63"/>
      <c r="QWI11" s="34"/>
      <c r="QWJ11" s="64"/>
      <c r="QWK11" s="4"/>
      <c r="QWL11" s="65"/>
      <c r="QWM11" s="4"/>
      <c r="QWN11" s="4"/>
      <c r="QWO11" s="4"/>
      <c r="QWR11" s="34"/>
      <c r="QWS11" s="34"/>
      <c r="QWU11" s="34"/>
      <c r="QWV11" s="72"/>
      <c r="QWW11" s="63"/>
      <c r="QWX11" s="34"/>
      <c r="QWY11" s="64"/>
      <c r="QWZ11" s="4"/>
      <c r="QXA11" s="65"/>
      <c r="QXB11" s="4"/>
      <c r="QXC11" s="4"/>
      <c r="QXD11" s="4"/>
      <c r="QXG11" s="34"/>
      <c r="QXH11" s="34"/>
      <c r="QXJ11" s="34"/>
      <c r="QXK11" s="72"/>
      <c r="QXL11" s="63"/>
      <c r="QXM11" s="34"/>
      <c r="QXN11" s="64"/>
      <c r="QXO11" s="4"/>
      <c r="QXP11" s="65"/>
      <c r="QXQ11" s="4"/>
      <c r="QXR11" s="4"/>
      <c r="QXS11" s="4"/>
      <c r="QXV11" s="34"/>
      <c r="QXW11" s="34"/>
      <c r="QXY11" s="34"/>
      <c r="QXZ11" s="72"/>
      <c r="QYA11" s="63"/>
      <c r="QYB11" s="34"/>
      <c r="QYC11" s="64"/>
      <c r="QYD11" s="4"/>
      <c r="QYE11" s="65"/>
      <c r="QYF11" s="4"/>
      <c r="QYG11" s="4"/>
      <c r="QYH11" s="4"/>
      <c r="QYK11" s="34"/>
      <c r="QYL11" s="34"/>
      <c r="QYN11" s="34"/>
      <c r="QYO11" s="72"/>
      <c r="QYP11" s="63"/>
      <c r="QYQ11" s="34"/>
      <c r="QYR11" s="64"/>
      <c r="QYS11" s="4"/>
      <c r="QYT11" s="65"/>
      <c r="QYU11" s="4"/>
      <c r="QYV11" s="4"/>
      <c r="QYW11" s="4"/>
      <c r="QYZ11" s="34"/>
      <c r="QZA11" s="34"/>
      <c r="QZC11" s="34"/>
      <c r="QZD11" s="72"/>
      <c r="QZE11" s="63"/>
      <c r="QZF11" s="34"/>
      <c r="QZG11" s="64"/>
      <c r="QZH11" s="4"/>
      <c r="QZI11" s="65"/>
      <c r="QZJ11" s="4"/>
      <c r="QZK11" s="4"/>
      <c r="QZL11" s="4"/>
      <c r="QZO11" s="34"/>
      <c r="QZP11" s="34"/>
      <c r="QZR11" s="34"/>
      <c r="QZS11" s="72"/>
      <c r="QZT11" s="63"/>
      <c r="QZU11" s="34"/>
      <c r="QZV11" s="64"/>
      <c r="QZW11" s="4"/>
      <c r="QZX11" s="65"/>
      <c r="QZY11" s="4"/>
      <c r="QZZ11" s="4"/>
      <c r="RAA11" s="4"/>
      <c r="RAD11" s="34"/>
      <c r="RAE11" s="34"/>
      <c r="RAG11" s="34"/>
      <c r="RAH11" s="72"/>
      <c r="RAI11" s="63"/>
      <c r="RAJ11" s="34"/>
      <c r="RAK11" s="64"/>
      <c r="RAL11" s="4"/>
      <c r="RAM11" s="65"/>
      <c r="RAN11" s="4"/>
      <c r="RAO11" s="4"/>
      <c r="RAP11" s="4"/>
      <c r="RAS11" s="34"/>
      <c r="RAT11" s="34"/>
      <c r="RAV11" s="34"/>
      <c r="RAW11" s="72"/>
      <c r="RAX11" s="63"/>
      <c r="RAY11" s="34"/>
      <c r="RAZ11" s="64"/>
      <c r="RBA11" s="4"/>
      <c r="RBB11" s="65"/>
      <c r="RBC11" s="4"/>
      <c r="RBD11" s="4"/>
      <c r="RBE11" s="4"/>
      <c r="RBH11" s="34"/>
      <c r="RBI11" s="34"/>
      <c r="RBK11" s="34"/>
      <c r="RBL11" s="72"/>
      <c r="RBM11" s="63"/>
      <c r="RBN11" s="34"/>
      <c r="RBO11" s="64"/>
      <c r="RBP11" s="4"/>
      <c r="RBQ11" s="65"/>
      <c r="RBR11" s="4"/>
      <c r="RBS11" s="4"/>
      <c r="RBT11" s="4"/>
      <c r="RBW11" s="34"/>
      <c r="RBX11" s="34"/>
      <c r="RBZ11" s="34"/>
      <c r="RCA11" s="72"/>
      <c r="RCB11" s="63"/>
      <c r="RCC11" s="34"/>
      <c r="RCD11" s="64"/>
      <c r="RCE11" s="4"/>
      <c r="RCF11" s="65"/>
      <c r="RCG11" s="4"/>
      <c r="RCH11" s="4"/>
      <c r="RCI11" s="4"/>
      <c r="RCL11" s="34"/>
      <c r="RCM11" s="34"/>
      <c r="RCO11" s="34"/>
      <c r="RCP11" s="72"/>
      <c r="RCQ11" s="63"/>
      <c r="RCR11" s="34"/>
      <c r="RCS11" s="64"/>
      <c r="RCT11" s="4"/>
      <c r="RCU11" s="65"/>
      <c r="RCV11" s="4"/>
      <c r="RCW11" s="4"/>
      <c r="RCX11" s="4"/>
      <c r="RDA11" s="34"/>
      <c r="RDB11" s="34"/>
      <c r="RDD11" s="34"/>
      <c r="RDE11" s="72"/>
      <c r="RDF11" s="63"/>
      <c r="RDG11" s="34"/>
      <c r="RDH11" s="64"/>
      <c r="RDI11" s="4"/>
      <c r="RDJ11" s="65"/>
      <c r="RDK11" s="4"/>
      <c r="RDL11" s="4"/>
      <c r="RDM11" s="4"/>
      <c r="RDP11" s="34"/>
      <c r="RDQ11" s="34"/>
      <c r="RDS11" s="34"/>
      <c r="RDT11" s="72"/>
      <c r="RDU11" s="63"/>
      <c r="RDV11" s="34"/>
      <c r="RDW11" s="64"/>
      <c r="RDX11" s="4"/>
      <c r="RDY11" s="65"/>
      <c r="RDZ11" s="4"/>
      <c r="REA11" s="4"/>
      <c r="REB11" s="4"/>
      <c r="REE11" s="34"/>
      <c r="REF11" s="34"/>
      <c r="REH11" s="34"/>
      <c r="REI11" s="72"/>
      <c r="REJ11" s="63"/>
      <c r="REK11" s="34"/>
      <c r="REL11" s="64"/>
      <c r="REM11" s="4"/>
      <c r="REN11" s="65"/>
      <c r="REO11" s="4"/>
      <c r="REP11" s="4"/>
      <c r="REQ11" s="4"/>
      <c r="RET11" s="34"/>
      <c r="REU11" s="34"/>
      <c r="REW11" s="34"/>
      <c r="REX11" s="72"/>
      <c r="REY11" s="63"/>
      <c r="REZ11" s="34"/>
      <c r="RFA11" s="64"/>
      <c r="RFB11" s="4"/>
      <c r="RFC11" s="65"/>
      <c r="RFD11" s="4"/>
      <c r="RFE11" s="4"/>
      <c r="RFF11" s="4"/>
      <c r="RFI11" s="34"/>
      <c r="RFJ11" s="34"/>
      <c r="RFL11" s="34"/>
      <c r="RFM11" s="72"/>
      <c r="RFN11" s="63"/>
      <c r="RFO11" s="34"/>
      <c r="RFP11" s="64"/>
      <c r="RFQ11" s="4"/>
      <c r="RFR11" s="65"/>
      <c r="RFS11" s="4"/>
      <c r="RFT11" s="4"/>
      <c r="RFU11" s="4"/>
      <c r="RFX11" s="34"/>
      <c r="RFY11" s="34"/>
      <c r="RGA11" s="34"/>
      <c r="RGB11" s="72"/>
      <c r="RGC11" s="63"/>
      <c r="RGD11" s="34"/>
      <c r="RGE11" s="64"/>
      <c r="RGF11" s="4"/>
      <c r="RGG11" s="65"/>
      <c r="RGH11" s="4"/>
      <c r="RGI11" s="4"/>
      <c r="RGJ11" s="4"/>
      <c r="RGM11" s="34"/>
      <c r="RGN11" s="34"/>
      <c r="RGP11" s="34"/>
      <c r="RGQ11" s="72"/>
      <c r="RGR11" s="63"/>
      <c r="RGS11" s="34"/>
      <c r="RGT11" s="64"/>
      <c r="RGU11" s="4"/>
      <c r="RGV11" s="65"/>
      <c r="RGW11" s="4"/>
      <c r="RGX11" s="4"/>
      <c r="RGY11" s="4"/>
      <c r="RHB11" s="34"/>
      <c r="RHC11" s="34"/>
      <c r="RHE11" s="34"/>
      <c r="RHF11" s="72"/>
      <c r="RHG11" s="63"/>
      <c r="RHH11" s="34"/>
      <c r="RHI11" s="64"/>
      <c r="RHJ11" s="4"/>
      <c r="RHK11" s="65"/>
      <c r="RHL11" s="4"/>
      <c r="RHM11" s="4"/>
      <c r="RHN11" s="4"/>
      <c r="RHQ11" s="34"/>
      <c r="RHR11" s="34"/>
      <c r="RHT11" s="34"/>
      <c r="RHU11" s="72"/>
      <c r="RHV11" s="63"/>
      <c r="RHW11" s="34"/>
      <c r="RHX11" s="64"/>
      <c r="RHY11" s="4"/>
      <c r="RHZ11" s="65"/>
      <c r="RIA11" s="4"/>
      <c r="RIB11" s="4"/>
      <c r="RIC11" s="4"/>
      <c r="RIF11" s="34"/>
      <c r="RIG11" s="34"/>
      <c r="RII11" s="34"/>
      <c r="RIJ11" s="72"/>
      <c r="RIK11" s="63"/>
      <c r="RIL11" s="34"/>
      <c r="RIM11" s="64"/>
      <c r="RIN11" s="4"/>
      <c r="RIO11" s="65"/>
      <c r="RIP11" s="4"/>
      <c r="RIQ11" s="4"/>
      <c r="RIR11" s="4"/>
      <c r="RIU11" s="34"/>
      <c r="RIV11" s="34"/>
      <c r="RIX11" s="34"/>
      <c r="RIY11" s="72"/>
      <c r="RIZ11" s="63"/>
      <c r="RJA11" s="34"/>
      <c r="RJB11" s="64"/>
      <c r="RJC11" s="4"/>
      <c r="RJD11" s="65"/>
      <c r="RJE11" s="4"/>
      <c r="RJF11" s="4"/>
      <c r="RJG11" s="4"/>
      <c r="RJJ11" s="34"/>
      <c r="RJK11" s="34"/>
      <c r="RJM11" s="34"/>
      <c r="RJN11" s="72"/>
      <c r="RJO11" s="63"/>
      <c r="RJP11" s="34"/>
      <c r="RJQ11" s="64"/>
      <c r="RJR11" s="4"/>
      <c r="RJS11" s="65"/>
      <c r="RJT11" s="4"/>
      <c r="RJU11" s="4"/>
      <c r="RJV11" s="4"/>
      <c r="RJY11" s="34"/>
      <c r="RJZ11" s="34"/>
      <c r="RKB11" s="34"/>
      <c r="RKC11" s="72"/>
      <c r="RKD11" s="63"/>
      <c r="RKE11" s="34"/>
      <c r="RKF11" s="64"/>
      <c r="RKG11" s="4"/>
      <c r="RKH11" s="65"/>
      <c r="RKI11" s="4"/>
      <c r="RKJ11" s="4"/>
      <c r="RKK11" s="4"/>
      <c r="RKN11" s="34"/>
      <c r="RKO11" s="34"/>
      <c r="RKQ11" s="34"/>
      <c r="RKR11" s="72"/>
      <c r="RKS11" s="63"/>
      <c r="RKT11" s="34"/>
      <c r="RKU11" s="64"/>
      <c r="RKV11" s="4"/>
      <c r="RKW11" s="65"/>
      <c r="RKX11" s="4"/>
      <c r="RKY11" s="4"/>
      <c r="RKZ11" s="4"/>
      <c r="RLC11" s="34"/>
      <c r="RLD11" s="34"/>
      <c r="RLF11" s="34"/>
      <c r="RLG11" s="72"/>
      <c r="RLH11" s="63"/>
      <c r="RLI11" s="34"/>
      <c r="RLJ11" s="64"/>
      <c r="RLK11" s="4"/>
      <c r="RLL11" s="65"/>
      <c r="RLM11" s="4"/>
      <c r="RLN11" s="4"/>
      <c r="RLO11" s="4"/>
      <c r="RLR11" s="34"/>
      <c r="RLS11" s="34"/>
      <c r="RLU11" s="34"/>
      <c r="RLV11" s="72"/>
      <c r="RLW11" s="63"/>
      <c r="RLX11" s="34"/>
      <c r="RLY11" s="64"/>
      <c r="RLZ11" s="4"/>
      <c r="RMA11" s="65"/>
      <c r="RMB11" s="4"/>
      <c r="RMC11" s="4"/>
      <c r="RMD11" s="4"/>
      <c r="RMG11" s="34"/>
      <c r="RMH11" s="34"/>
      <c r="RMJ11" s="34"/>
      <c r="RMK11" s="72"/>
      <c r="RML11" s="63"/>
      <c r="RMM11" s="34"/>
      <c r="RMN11" s="64"/>
      <c r="RMO11" s="4"/>
      <c r="RMP11" s="65"/>
      <c r="RMQ11" s="4"/>
      <c r="RMR11" s="4"/>
      <c r="RMS11" s="4"/>
      <c r="RMV11" s="34"/>
      <c r="RMW11" s="34"/>
      <c r="RMY11" s="34"/>
      <c r="RMZ11" s="72"/>
      <c r="RNA11" s="63"/>
      <c r="RNB11" s="34"/>
      <c r="RNC11" s="64"/>
      <c r="RND11" s="4"/>
      <c r="RNE11" s="65"/>
      <c r="RNF11" s="4"/>
      <c r="RNG11" s="4"/>
      <c r="RNH11" s="4"/>
      <c r="RNK11" s="34"/>
      <c r="RNL11" s="34"/>
      <c r="RNN11" s="34"/>
      <c r="RNO11" s="72"/>
      <c r="RNP11" s="63"/>
      <c r="RNQ11" s="34"/>
      <c r="RNR11" s="64"/>
      <c r="RNS11" s="4"/>
      <c r="RNT11" s="65"/>
      <c r="RNU11" s="4"/>
      <c r="RNV11" s="4"/>
      <c r="RNW11" s="4"/>
      <c r="RNZ11" s="34"/>
      <c r="ROA11" s="34"/>
      <c r="ROC11" s="34"/>
      <c r="ROD11" s="72"/>
      <c r="ROE11" s="63"/>
      <c r="ROF11" s="34"/>
      <c r="ROG11" s="64"/>
      <c r="ROH11" s="4"/>
      <c r="ROI11" s="65"/>
      <c r="ROJ11" s="4"/>
      <c r="ROK11" s="4"/>
      <c r="ROL11" s="4"/>
      <c r="ROO11" s="34"/>
      <c r="ROP11" s="34"/>
      <c r="ROR11" s="34"/>
      <c r="ROS11" s="72"/>
      <c r="ROT11" s="63"/>
      <c r="ROU11" s="34"/>
      <c r="ROV11" s="64"/>
      <c r="ROW11" s="4"/>
      <c r="ROX11" s="65"/>
      <c r="ROY11" s="4"/>
      <c r="ROZ11" s="4"/>
      <c r="RPA11" s="4"/>
      <c r="RPD11" s="34"/>
      <c r="RPE11" s="34"/>
      <c r="RPG11" s="34"/>
      <c r="RPH11" s="72"/>
      <c r="RPI11" s="63"/>
      <c r="RPJ11" s="34"/>
      <c r="RPK11" s="64"/>
      <c r="RPL11" s="4"/>
      <c r="RPM11" s="65"/>
      <c r="RPN11" s="4"/>
      <c r="RPO11" s="4"/>
      <c r="RPP11" s="4"/>
      <c r="RPS11" s="34"/>
      <c r="RPT11" s="34"/>
      <c r="RPV11" s="34"/>
      <c r="RPW11" s="72"/>
      <c r="RPX11" s="63"/>
      <c r="RPY11" s="34"/>
      <c r="RPZ11" s="64"/>
      <c r="RQA11" s="4"/>
      <c r="RQB11" s="65"/>
      <c r="RQC11" s="4"/>
      <c r="RQD11" s="4"/>
      <c r="RQE11" s="4"/>
      <c r="RQH11" s="34"/>
      <c r="RQI11" s="34"/>
      <c r="RQK11" s="34"/>
      <c r="RQL11" s="72"/>
      <c r="RQM11" s="63"/>
      <c r="RQN11" s="34"/>
      <c r="RQO11" s="64"/>
      <c r="RQP11" s="4"/>
      <c r="RQQ11" s="65"/>
      <c r="RQR11" s="4"/>
      <c r="RQS11" s="4"/>
      <c r="RQT11" s="4"/>
      <c r="RQW11" s="34"/>
      <c r="RQX11" s="34"/>
      <c r="RQZ11" s="34"/>
      <c r="RRA11" s="72"/>
      <c r="RRB11" s="63"/>
      <c r="RRC11" s="34"/>
      <c r="RRD11" s="64"/>
      <c r="RRE11" s="4"/>
      <c r="RRF11" s="65"/>
      <c r="RRG11" s="4"/>
      <c r="RRH11" s="4"/>
      <c r="RRI11" s="4"/>
      <c r="RRL11" s="34"/>
      <c r="RRM11" s="34"/>
      <c r="RRO11" s="34"/>
      <c r="RRP11" s="72"/>
      <c r="RRQ11" s="63"/>
      <c r="RRR11" s="34"/>
      <c r="RRS11" s="64"/>
      <c r="RRT11" s="4"/>
      <c r="RRU11" s="65"/>
      <c r="RRV11" s="4"/>
      <c r="RRW11" s="4"/>
      <c r="RRX11" s="4"/>
      <c r="RSA11" s="34"/>
      <c r="RSB11" s="34"/>
      <c r="RSD11" s="34"/>
      <c r="RSE11" s="72"/>
      <c r="RSF11" s="63"/>
      <c r="RSG11" s="34"/>
      <c r="RSH11" s="64"/>
      <c r="RSI11" s="4"/>
      <c r="RSJ11" s="65"/>
      <c r="RSK11" s="4"/>
      <c r="RSL11" s="4"/>
      <c r="RSM11" s="4"/>
      <c r="RSP11" s="34"/>
      <c r="RSQ11" s="34"/>
      <c r="RSS11" s="34"/>
      <c r="RST11" s="72"/>
      <c r="RSU11" s="63"/>
      <c r="RSV11" s="34"/>
      <c r="RSW11" s="64"/>
      <c r="RSX11" s="4"/>
      <c r="RSY11" s="65"/>
      <c r="RSZ11" s="4"/>
      <c r="RTA11" s="4"/>
      <c r="RTB11" s="4"/>
      <c r="RTE11" s="34"/>
      <c r="RTF11" s="34"/>
      <c r="RTH11" s="34"/>
      <c r="RTI11" s="72"/>
      <c r="RTJ11" s="63"/>
      <c r="RTK11" s="34"/>
      <c r="RTL11" s="64"/>
      <c r="RTM11" s="4"/>
      <c r="RTN11" s="65"/>
      <c r="RTO11" s="4"/>
      <c r="RTP11" s="4"/>
      <c r="RTQ11" s="4"/>
      <c r="RTT11" s="34"/>
      <c r="RTU11" s="34"/>
      <c r="RTW11" s="34"/>
      <c r="RTX11" s="72"/>
      <c r="RTY11" s="63"/>
      <c r="RTZ11" s="34"/>
      <c r="RUA11" s="64"/>
      <c r="RUB11" s="4"/>
      <c r="RUC11" s="65"/>
      <c r="RUD11" s="4"/>
      <c r="RUE11" s="4"/>
      <c r="RUF11" s="4"/>
      <c r="RUI11" s="34"/>
      <c r="RUJ11" s="34"/>
      <c r="RUL11" s="34"/>
      <c r="RUM11" s="72"/>
      <c r="RUN11" s="63"/>
      <c r="RUO11" s="34"/>
      <c r="RUP11" s="64"/>
      <c r="RUQ11" s="4"/>
      <c r="RUR11" s="65"/>
      <c r="RUS11" s="4"/>
      <c r="RUT11" s="4"/>
      <c r="RUU11" s="4"/>
      <c r="RUX11" s="34"/>
      <c r="RUY11" s="34"/>
      <c r="RVA11" s="34"/>
      <c r="RVB11" s="72"/>
      <c r="RVC11" s="63"/>
      <c r="RVD11" s="34"/>
      <c r="RVE11" s="64"/>
      <c r="RVF11" s="4"/>
      <c r="RVG11" s="65"/>
      <c r="RVH11" s="4"/>
      <c r="RVI11" s="4"/>
      <c r="RVJ11" s="4"/>
      <c r="RVM11" s="34"/>
      <c r="RVN11" s="34"/>
      <c r="RVP11" s="34"/>
      <c r="RVQ11" s="72"/>
      <c r="RVR11" s="63"/>
      <c r="RVS11" s="34"/>
      <c r="RVT11" s="64"/>
      <c r="RVU11" s="4"/>
      <c r="RVV11" s="65"/>
      <c r="RVW11" s="4"/>
      <c r="RVX11" s="4"/>
      <c r="RVY11" s="4"/>
      <c r="RWB11" s="34"/>
      <c r="RWC11" s="34"/>
      <c r="RWE11" s="34"/>
      <c r="RWF11" s="72"/>
      <c r="RWG11" s="63"/>
      <c r="RWH11" s="34"/>
      <c r="RWI11" s="64"/>
      <c r="RWJ11" s="4"/>
      <c r="RWK11" s="65"/>
      <c r="RWL11" s="4"/>
      <c r="RWM11" s="4"/>
      <c r="RWN11" s="4"/>
      <c r="RWQ11" s="34"/>
      <c r="RWR11" s="34"/>
      <c r="RWT11" s="34"/>
      <c r="RWU11" s="72"/>
      <c r="RWV11" s="63"/>
      <c r="RWW11" s="34"/>
      <c r="RWX11" s="64"/>
      <c r="RWY11" s="4"/>
      <c r="RWZ11" s="65"/>
      <c r="RXA11" s="4"/>
      <c r="RXB11" s="4"/>
      <c r="RXC11" s="4"/>
      <c r="RXF11" s="34"/>
      <c r="RXG11" s="34"/>
      <c r="RXI11" s="34"/>
      <c r="RXJ11" s="72"/>
      <c r="RXK11" s="63"/>
      <c r="RXL11" s="34"/>
      <c r="RXM11" s="64"/>
      <c r="RXN11" s="4"/>
      <c r="RXO11" s="65"/>
      <c r="RXP11" s="4"/>
      <c r="RXQ11" s="4"/>
      <c r="RXR11" s="4"/>
      <c r="RXU11" s="34"/>
      <c r="RXV11" s="34"/>
      <c r="RXX11" s="34"/>
      <c r="RXY11" s="72"/>
      <c r="RXZ11" s="63"/>
      <c r="RYA11" s="34"/>
      <c r="RYB11" s="64"/>
      <c r="RYC11" s="4"/>
      <c r="RYD11" s="65"/>
      <c r="RYE11" s="4"/>
      <c r="RYF11" s="4"/>
      <c r="RYG11" s="4"/>
      <c r="RYJ11" s="34"/>
      <c r="RYK11" s="34"/>
      <c r="RYM11" s="34"/>
      <c r="RYN11" s="72"/>
      <c r="RYO11" s="63"/>
      <c r="RYP11" s="34"/>
      <c r="RYQ11" s="64"/>
      <c r="RYR11" s="4"/>
      <c r="RYS11" s="65"/>
      <c r="RYT11" s="4"/>
      <c r="RYU11" s="4"/>
      <c r="RYV11" s="4"/>
      <c r="RYY11" s="34"/>
      <c r="RYZ11" s="34"/>
      <c r="RZB11" s="34"/>
      <c r="RZC11" s="72"/>
      <c r="RZD11" s="63"/>
      <c r="RZE11" s="34"/>
      <c r="RZF11" s="64"/>
      <c r="RZG11" s="4"/>
      <c r="RZH11" s="65"/>
      <c r="RZI11" s="4"/>
      <c r="RZJ11" s="4"/>
      <c r="RZK11" s="4"/>
      <c r="RZN11" s="34"/>
      <c r="RZO11" s="34"/>
      <c r="RZQ11" s="34"/>
      <c r="RZR11" s="72"/>
      <c r="RZS11" s="63"/>
      <c r="RZT11" s="34"/>
      <c r="RZU11" s="64"/>
      <c r="RZV11" s="4"/>
      <c r="RZW11" s="65"/>
      <c r="RZX11" s="4"/>
      <c r="RZY11" s="4"/>
      <c r="RZZ11" s="4"/>
      <c r="SAC11" s="34"/>
      <c r="SAD11" s="34"/>
      <c r="SAF11" s="34"/>
      <c r="SAG11" s="72"/>
      <c r="SAH11" s="63"/>
      <c r="SAI11" s="34"/>
      <c r="SAJ11" s="64"/>
      <c r="SAK11" s="4"/>
      <c r="SAL11" s="65"/>
      <c r="SAM11" s="4"/>
      <c r="SAN11" s="4"/>
      <c r="SAO11" s="4"/>
      <c r="SAR11" s="34"/>
      <c r="SAS11" s="34"/>
      <c r="SAU11" s="34"/>
      <c r="SAV11" s="72"/>
      <c r="SAW11" s="63"/>
      <c r="SAX11" s="34"/>
      <c r="SAY11" s="64"/>
      <c r="SAZ11" s="4"/>
      <c r="SBA11" s="65"/>
      <c r="SBB11" s="4"/>
      <c r="SBC11" s="4"/>
      <c r="SBD11" s="4"/>
      <c r="SBG11" s="34"/>
      <c r="SBH11" s="34"/>
      <c r="SBJ11" s="34"/>
      <c r="SBK11" s="72"/>
      <c r="SBL11" s="63"/>
      <c r="SBM11" s="34"/>
      <c r="SBN11" s="64"/>
      <c r="SBO11" s="4"/>
      <c r="SBP11" s="65"/>
      <c r="SBQ11" s="4"/>
      <c r="SBR11" s="4"/>
      <c r="SBS11" s="4"/>
      <c r="SBV11" s="34"/>
      <c r="SBW11" s="34"/>
      <c r="SBY11" s="34"/>
      <c r="SBZ11" s="72"/>
      <c r="SCA11" s="63"/>
      <c r="SCB11" s="34"/>
      <c r="SCC11" s="64"/>
      <c r="SCD11" s="4"/>
      <c r="SCE11" s="65"/>
      <c r="SCF11" s="4"/>
      <c r="SCG11" s="4"/>
      <c r="SCH11" s="4"/>
      <c r="SCK11" s="34"/>
      <c r="SCL11" s="34"/>
      <c r="SCN11" s="34"/>
      <c r="SCO11" s="72"/>
      <c r="SCP11" s="63"/>
      <c r="SCQ11" s="34"/>
      <c r="SCR11" s="64"/>
      <c r="SCS11" s="4"/>
      <c r="SCT11" s="65"/>
      <c r="SCU11" s="4"/>
      <c r="SCV11" s="4"/>
      <c r="SCW11" s="4"/>
      <c r="SCZ11" s="34"/>
      <c r="SDA11" s="34"/>
      <c r="SDC11" s="34"/>
      <c r="SDD11" s="72"/>
      <c r="SDE11" s="63"/>
      <c r="SDF11" s="34"/>
      <c r="SDG11" s="64"/>
      <c r="SDH11" s="4"/>
      <c r="SDI11" s="65"/>
      <c r="SDJ11" s="4"/>
      <c r="SDK11" s="4"/>
      <c r="SDL11" s="4"/>
      <c r="SDO11" s="34"/>
      <c r="SDP11" s="34"/>
      <c r="SDR11" s="34"/>
      <c r="SDS11" s="72"/>
      <c r="SDT11" s="63"/>
      <c r="SDU11" s="34"/>
      <c r="SDV11" s="64"/>
      <c r="SDW11" s="4"/>
      <c r="SDX11" s="65"/>
      <c r="SDY11" s="4"/>
      <c r="SDZ11" s="4"/>
      <c r="SEA11" s="4"/>
      <c r="SED11" s="34"/>
      <c r="SEE11" s="34"/>
      <c r="SEG11" s="34"/>
      <c r="SEH11" s="72"/>
      <c r="SEI11" s="63"/>
      <c r="SEJ11" s="34"/>
      <c r="SEK11" s="64"/>
      <c r="SEL11" s="4"/>
      <c r="SEM11" s="65"/>
      <c r="SEN11" s="4"/>
      <c r="SEO11" s="4"/>
      <c r="SEP11" s="4"/>
      <c r="SES11" s="34"/>
      <c r="SET11" s="34"/>
      <c r="SEV11" s="34"/>
      <c r="SEW11" s="72"/>
      <c r="SEX11" s="63"/>
      <c r="SEY11" s="34"/>
      <c r="SEZ11" s="64"/>
      <c r="SFA11" s="4"/>
      <c r="SFB11" s="65"/>
      <c r="SFC11" s="4"/>
      <c r="SFD11" s="4"/>
      <c r="SFE11" s="4"/>
      <c r="SFH11" s="34"/>
      <c r="SFI11" s="34"/>
      <c r="SFK11" s="34"/>
      <c r="SFL11" s="72"/>
      <c r="SFM11" s="63"/>
      <c r="SFN11" s="34"/>
      <c r="SFO11" s="64"/>
      <c r="SFP11" s="4"/>
      <c r="SFQ11" s="65"/>
      <c r="SFR11" s="4"/>
      <c r="SFS11" s="4"/>
      <c r="SFT11" s="4"/>
      <c r="SFW11" s="34"/>
      <c r="SFX11" s="34"/>
      <c r="SFZ11" s="34"/>
      <c r="SGA11" s="72"/>
      <c r="SGB11" s="63"/>
      <c r="SGC11" s="34"/>
      <c r="SGD11" s="64"/>
      <c r="SGE11" s="4"/>
      <c r="SGF11" s="65"/>
      <c r="SGG11" s="4"/>
      <c r="SGH11" s="4"/>
      <c r="SGI11" s="4"/>
      <c r="SGL11" s="34"/>
      <c r="SGM11" s="34"/>
      <c r="SGO11" s="34"/>
      <c r="SGP11" s="72"/>
      <c r="SGQ11" s="63"/>
      <c r="SGR11" s="34"/>
      <c r="SGS11" s="64"/>
      <c r="SGT11" s="4"/>
      <c r="SGU11" s="65"/>
      <c r="SGV11" s="4"/>
      <c r="SGW11" s="4"/>
      <c r="SGX11" s="4"/>
      <c r="SHA11" s="34"/>
      <c r="SHB11" s="34"/>
      <c r="SHD11" s="34"/>
      <c r="SHE11" s="72"/>
      <c r="SHF11" s="63"/>
      <c r="SHG11" s="34"/>
      <c r="SHH11" s="64"/>
      <c r="SHI11" s="4"/>
      <c r="SHJ11" s="65"/>
      <c r="SHK11" s="4"/>
      <c r="SHL11" s="4"/>
      <c r="SHM11" s="4"/>
      <c r="SHP11" s="34"/>
      <c r="SHQ11" s="34"/>
      <c r="SHS11" s="34"/>
      <c r="SHT11" s="72"/>
      <c r="SHU11" s="63"/>
      <c r="SHV11" s="34"/>
      <c r="SHW11" s="64"/>
      <c r="SHX11" s="4"/>
      <c r="SHY11" s="65"/>
      <c r="SHZ11" s="4"/>
      <c r="SIA11" s="4"/>
      <c r="SIB11" s="4"/>
      <c r="SIE11" s="34"/>
      <c r="SIF11" s="34"/>
      <c r="SIH11" s="34"/>
      <c r="SII11" s="72"/>
      <c r="SIJ11" s="63"/>
      <c r="SIK11" s="34"/>
      <c r="SIL11" s="64"/>
      <c r="SIM11" s="4"/>
      <c r="SIN11" s="65"/>
      <c r="SIO11" s="4"/>
      <c r="SIP11" s="4"/>
      <c r="SIQ11" s="4"/>
      <c r="SIT11" s="34"/>
      <c r="SIU11" s="34"/>
      <c r="SIW11" s="34"/>
      <c r="SIX11" s="72"/>
      <c r="SIY11" s="63"/>
      <c r="SIZ11" s="34"/>
      <c r="SJA11" s="64"/>
      <c r="SJB11" s="4"/>
      <c r="SJC11" s="65"/>
      <c r="SJD11" s="4"/>
      <c r="SJE11" s="4"/>
      <c r="SJF11" s="4"/>
      <c r="SJI11" s="34"/>
      <c r="SJJ11" s="34"/>
      <c r="SJL11" s="34"/>
      <c r="SJM11" s="72"/>
      <c r="SJN11" s="63"/>
      <c r="SJO11" s="34"/>
      <c r="SJP11" s="64"/>
      <c r="SJQ11" s="4"/>
      <c r="SJR11" s="65"/>
      <c r="SJS11" s="4"/>
      <c r="SJT11" s="4"/>
      <c r="SJU11" s="4"/>
      <c r="SJX11" s="34"/>
      <c r="SJY11" s="34"/>
      <c r="SKA11" s="34"/>
      <c r="SKB11" s="72"/>
      <c r="SKC11" s="63"/>
      <c r="SKD11" s="34"/>
      <c r="SKE11" s="64"/>
      <c r="SKF11" s="4"/>
      <c r="SKG11" s="65"/>
      <c r="SKH11" s="4"/>
      <c r="SKI11" s="4"/>
      <c r="SKJ11" s="4"/>
      <c r="SKM11" s="34"/>
      <c r="SKN11" s="34"/>
      <c r="SKP11" s="34"/>
      <c r="SKQ11" s="72"/>
      <c r="SKR11" s="63"/>
      <c r="SKS11" s="34"/>
      <c r="SKT11" s="64"/>
      <c r="SKU11" s="4"/>
      <c r="SKV11" s="65"/>
      <c r="SKW11" s="4"/>
      <c r="SKX11" s="4"/>
      <c r="SKY11" s="4"/>
      <c r="SLB11" s="34"/>
      <c r="SLC11" s="34"/>
      <c r="SLE11" s="34"/>
      <c r="SLF11" s="72"/>
      <c r="SLG11" s="63"/>
      <c r="SLH11" s="34"/>
      <c r="SLI11" s="64"/>
      <c r="SLJ11" s="4"/>
      <c r="SLK11" s="65"/>
      <c r="SLL11" s="4"/>
      <c r="SLM11" s="4"/>
      <c r="SLN11" s="4"/>
      <c r="SLQ11" s="34"/>
      <c r="SLR11" s="34"/>
      <c r="SLT11" s="34"/>
      <c r="SLU11" s="72"/>
      <c r="SLV11" s="63"/>
      <c r="SLW11" s="34"/>
      <c r="SLX11" s="64"/>
      <c r="SLY11" s="4"/>
      <c r="SLZ11" s="65"/>
      <c r="SMA11" s="4"/>
      <c r="SMB11" s="4"/>
      <c r="SMC11" s="4"/>
      <c r="SMF11" s="34"/>
      <c r="SMG11" s="34"/>
      <c r="SMI11" s="34"/>
      <c r="SMJ11" s="72"/>
      <c r="SMK11" s="63"/>
      <c r="SML11" s="34"/>
      <c r="SMM11" s="64"/>
      <c r="SMN11" s="4"/>
      <c r="SMO11" s="65"/>
      <c r="SMP11" s="4"/>
      <c r="SMQ11" s="4"/>
      <c r="SMR11" s="4"/>
      <c r="SMU11" s="34"/>
      <c r="SMV11" s="34"/>
      <c r="SMX11" s="34"/>
      <c r="SMY11" s="72"/>
      <c r="SMZ11" s="63"/>
      <c r="SNA11" s="34"/>
      <c r="SNB11" s="64"/>
      <c r="SNC11" s="4"/>
      <c r="SND11" s="65"/>
      <c r="SNE11" s="4"/>
      <c r="SNF11" s="4"/>
      <c r="SNG11" s="4"/>
      <c r="SNJ11" s="34"/>
      <c r="SNK11" s="34"/>
      <c r="SNM11" s="34"/>
      <c r="SNN11" s="72"/>
      <c r="SNO11" s="63"/>
      <c r="SNP11" s="34"/>
      <c r="SNQ11" s="64"/>
      <c r="SNR11" s="4"/>
      <c r="SNS11" s="65"/>
      <c r="SNT11" s="4"/>
      <c r="SNU11" s="4"/>
      <c r="SNV11" s="4"/>
      <c r="SNY11" s="34"/>
      <c r="SNZ11" s="34"/>
      <c r="SOB11" s="34"/>
      <c r="SOC11" s="72"/>
      <c r="SOD11" s="63"/>
      <c r="SOE11" s="34"/>
      <c r="SOF11" s="64"/>
      <c r="SOG11" s="4"/>
      <c r="SOH11" s="65"/>
      <c r="SOI11" s="4"/>
      <c r="SOJ11" s="4"/>
      <c r="SOK11" s="4"/>
      <c r="SON11" s="34"/>
      <c r="SOO11" s="34"/>
      <c r="SOQ11" s="34"/>
      <c r="SOR11" s="72"/>
      <c r="SOS11" s="63"/>
      <c r="SOT11" s="34"/>
      <c r="SOU11" s="64"/>
      <c r="SOV11" s="4"/>
      <c r="SOW11" s="65"/>
      <c r="SOX11" s="4"/>
      <c r="SOY11" s="4"/>
      <c r="SOZ11" s="4"/>
      <c r="SPC11" s="34"/>
      <c r="SPD11" s="34"/>
      <c r="SPF11" s="34"/>
      <c r="SPG11" s="72"/>
      <c r="SPH11" s="63"/>
      <c r="SPI11" s="34"/>
      <c r="SPJ11" s="64"/>
      <c r="SPK11" s="4"/>
      <c r="SPL11" s="65"/>
      <c r="SPM11" s="4"/>
      <c r="SPN11" s="4"/>
      <c r="SPO11" s="4"/>
      <c r="SPR11" s="34"/>
      <c r="SPS11" s="34"/>
      <c r="SPU11" s="34"/>
      <c r="SPV11" s="72"/>
      <c r="SPW11" s="63"/>
      <c r="SPX11" s="34"/>
      <c r="SPY11" s="64"/>
      <c r="SPZ11" s="4"/>
      <c r="SQA11" s="65"/>
      <c r="SQB11" s="4"/>
      <c r="SQC11" s="4"/>
      <c r="SQD11" s="4"/>
      <c r="SQG11" s="34"/>
      <c r="SQH11" s="34"/>
      <c r="SQJ11" s="34"/>
      <c r="SQK11" s="72"/>
      <c r="SQL11" s="63"/>
      <c r="SQM11" s="34"/>
      <c r="SQN11" s="64"/>
      <c r="SQO11" s="4"/>
      <c r="SQP11" s="65"/>
      <c r="SQQ11" s="4"/>
      <c r="SQR11" s="4"/>
      <c r="SQS11" s="4"/>
      <c r="SQV11" s="34"/>
      <c r="SQW11" s="34"/>
      <c r="SQY11" s="34"/>
      <c r="SQZ11" s="72"/>
      <c r="SRA11" s="63"/>
      <c r="SRB11" s="34"/>
      <c r="SRC11" s="64"/>
      <c r="SRD11" s="4"/>
      <c r="SRE11" s="65"/>
      <c r="SRF11" s="4"/>
      <c r="SRG11" s="4"/>
      <c r="SRH11" s="4"/>
      <c r="SRK11" s="34"/>
      <c r="SRL11" s="34"/>
      <c r="SRN11" s="34"/>
      <c r="SRO11" s="72"/>
      <c r="SRP11" s="63"/>
      <c r="SRQ11" s="34"/>
      <c r="SRR11" s="64"/>
      <c r="SRS11" s="4"/>
      <c r="SRT11" s="65"/>
      <c r="SRU11" s="4"/>
      <c r="SRV11" s="4"/>
      <c r="SRW11" s="4"/>
      <c r="SRZ11" s="34"/>
      <c r="SSA11" s="34"/>
      <c r="SSC11" s="34"/>
      <c r="SSD11" s="72"/>
      <c r="SSE11" s="63"/>
      <c r="SSF11" s="34"/>
      <c r="SSG11" s="64"/>
      <c r="SSH11" s="4"/>
      <c r="SSI11" s="65"/>
      <c r="SSJ11" s="4"/>
      <c r="SSK11" s="4"/>
      <c r="SSL11" s="4"/>
      <c r="SSO11" s="34"/>
      <c r="SSP11" s="34"/>
      <c r="SSR11" s="34"/>
      <c r="SSS11" s="72"/>
      <c r="SST11" s="63"/>
      <c r="SSU11" s="34"/>
      <c r="SSV11" s="64"/>
      <c r="SSW11" s="4"/>
      <c r="SSX11" s="65"/>
      <c r="SSY11" s="4"/>
      <c r="SSZ11" s="4"/>
      <c r="STA11" s="4"/>
      <c r="STD11" s="34"/>
      <c r="STE11" s="34"/>
      <c r="STG11" s="34"/>
      <c r="STH11" s="72"/>
      <c r="STI11" s="63"/>
      <c r="STJ11" s="34"/>
      <c r="STK11" s="64"/>
      <c r="STL11" s="4"/>
      <c r="STM11" s="65"/>
      <c r="STN11" s="4"/>
      <c r="STO11" s="4"/>
      <c r="STP11" s="4"/>
      <c r="STS11" s="34"/>
      <c r="STT11" s="34"/>
      <c r="STV11" s="34"/>
      <c r="STW11" s="72"/>
      <c r="STX11" s="63"/>
      <c r="STY11" s="34"/>
      <c r="STZ11" s="64"/>
      <c r="SUA11" s="4"/>
      <c r="SUB11" s="65"/>
      <c r="SUC11" s="4"/>
      <c r="SUD11" s="4"/>
      <c r="SUE11" s="4"/>
      <c r="SUH11" s="34"/>
      <c r="SUI11" s="34"/>
      <c r="SUK11" s="34"/>
      <c r="SUL11" s="72"/>
      <c r="SUM11" s="63"/>
      <c r="SUN11" s="34"/>
      <c r="SUO11" s="64"/>
      <c r="SUP11" s="4"/>
      <c r="SUQ11" s="65"/>
      <c r="SUR11" s="4"/>
      <c r="SUS11" s="4"/>
      <c r="SUT11" s="4"/>
      <c r="SUW11" s="34"/>
      <c r="SUX11" s="34"/>
      <c r="SUZ11" s="34"/>
      <c r="SVA11" s="72"/>
      <c r="SVB11" s="63"/>
      <c r="SVC11" s="34"/>
      <c r="SVD11" s="64"/>
      <c r="SVE11" s="4"/>
      <c r="SVF11" s="65"/>
      <c r="SVG11" s="4"/>
      <c r="SVH11" s="4"/>
      <c r="SVI11" s="4"/>
      <c r="SVL11" s="34"/>
      <c r="SVM11" s="34"/>
      <c r="SVO11" s="34"/>
      <c r="SVP11" s="72"/>
      <c r="SVQ11" s="63"/>
      <c r="SVR11" s="34"/>
      <c r="SVS11" s="64"/>
      <c r="SVT11" s="4"/>
      <c r="SVU11" s="65"/>
      <c r="SVV11" s="4"/>
      <c r="SVW11" s="4"/>
      <c r="SVX11" s="4"/>
      <c r="SWA11" s="34"/>
      <c r="SWB11" s="34"/>
      <c r="SWD11" s="34"/>
      <c r="SWE11" s="72"/>
      <c r="SWF11" s="63"/>
      <c r="SWG11" s="34"/>
      <c r="SWH11" s="64"/>
      <c r="SWI11" s="4"/>
      <c r="SWJ11" s="65"/>
      <c r="SWK11" s="4"/>
      <c r="SWL11" s="4"/>
      <c r="SWM11" s="4"/>
      <c r="SWP11" s="34"/>
      <c r="SWQ11" s="34"/>
      <c r="SWS11" s="34"/>
      <c r="SWT11" s="72"/>
      <c r="SWU11" s="63"/>
      <c r="SWV11" s="34"/>
      <c r="SWW11" s="64"/>
      <c r="SWX11" s="4"/>
      <c r="SWY11" s="65"/>
      <c r="SWZ11" s="4"/>
      <c r="SXA11" s="4"/>
      <c r="SXB11" s="4"/>
      <c r="SXE11" s="34"/>
      <c r="SXF11" s="34"/>
      <c r="SXH11" s="34"/>
      <c r="SXI11" s="72"/>
      <c r="SXJ11" s="63"/>
      <c r="SXK11" s="34"/>
      <c r="SXL11" s="64"/>
      <c r="SXM11" s="4"/>
      <c r="SXN11" s="65"/>
      <c r="SXO11" s="4"/>
      <c r="SXP11" s="4"/>
      <c r="SXQ11" s="4"/>
      <c r="SXT11" s="34"/>
      <c r="SXU11" s="34"/>
      <c r="SXW11" s="34"/>
      <c r="SXX11" s="72"/>
      <c r="SXY11" s="63"/>
      <c r="SXZ11" s="34"/>
      <c r="SYA11" s="64"/>
      <c r="SYB11" s="4"/>
      <c r="SYC11" s="65"/>
      <c r="SYD11" s="4"/>
      <c r="SYE11" s="4"/>
      <c r="SYF11" s="4"/>
      <c r="SYI11" s="34"/>
      <c r="SYJ11" s="34"/>
      <c r="SYL11" s="34"/>
      <c r="SYM11" s="72"/>
      <c r="SYN11" s="63"/>
      <c r="SYO11" s="34"/>
      <c r="SYP11" s="64"/>
      <c r="SYQ11" s="4"/>
      <c r="SYR11" s="65"/>
      <c r="SYS11" s="4"/>
      <c r="SYT11" s="4"/>
      <c r="SYU11" s="4"/>
      <c r="SYX11" s="34"/>
      <c r="SYY11" s="34"/>
      <c r="SZA11" s="34"/>
      <c r="SZB11" s="72"/>
      <c r="SZC11" s="63"/>
      <c r="SZD11" s="34"/>
      <c r="SZE11" s="64"/>
      <c r="SZF11" s="4"/>
      <c r="SZG11" s="65"/>
      <c r="SZH11" s="4"/>
      <c r="SZI11" s="4"/>
      <c r="SZJ11" s="4"/>
      <c r="SZM11" s="34"/>
      <c r="SZN11" s="34"/>
      <c r="SZP11" s="34"/>
      <c r="SZQ11" s="72"/>
      <c r="SZR11" s="63"/>
      <c r="SZS11" s="34"/>
      <c r="SZT11" s="64"/>
      <c r="SZU11" s="4"/>
      <c r="SZV11" s="65"/>
      <c r="SZW11" s="4"/>
      <c r="SZX11" s="4"/>
      <c r="SZY11" s="4"/>
      <c r="TAB11" s="34"/>
      <c r="TAC11" s="34"/>
      <c r="TAE11" s="34"/>
      <c r="TAF11" s="72"/>
      <c r="TAG11" s="63"/>
      <c r="TAH11" s="34"/>
      <c r="TAI11" s="64"/>
      <c r="TAJ11" s="4"/>
      <c r="TAK11" s="65"/>
      <c r="TAL11" s="4"/>
      <c r="TAM11" s="4"/>
      <c r="TAN11" s="4"/>
      <c r="TAQ11" s="34"/>
      <c r="TAR11" s="34"/>
      <c r="TAT11" s="34"/>
      <c r="TAU11" s="72"/>
      <c r="TAV11" s="63"/>
      <c r="TAW11" s="34"/>
      <c r="TAX11" s="64"/>
      <c r="TAY11" s="4"/>
      <c r="TAZ11" s="65"/>
      <c r="TBA11" s="4"/>
      <c r="TBB11" s="4"/>
      <c r="TBC11" s="4"/>
      <c r="TBF11" s="34"/>
      <c r="TBG11" s="34"/>
      <c r="TBI11" s="34"/>
      <c r="TBJ11" s="72"/>
      <c r="TBK11" s="63"/>
      <c r="TBL11" s="34"/>
      <c r="TBM11" s="64"/>
      <c r="TBN11" s="4"/>
      <c r="TBO11" s="65"/>
      <c r="TBP11" s="4"/>
      <c r="TBQ11" s="4"/>
      <c r="TBR11" s="4"/>
      <c r="TBU11" s="34"/>
      <c r="TBV11" s="34"/>
      <c r="TBX11" s="34"/>
      <c r="TBY11" s="72"/>
      <c r="TBZ11" s="63"/>
      <c r="TCA11" s="34"/>
      <c r="TCB11" s="64"/>
      <c r="TCC11" s="4"/>
      <c r="TCD11" s="65"/>
      <c r="TCE11" s="4"/>
      <c r="TCF11" s="4"/>
      <c r="TCG11" s="4"/>
      <c r="TCJ11" s="34"/>
      <c r="TCK11" s="34"/>
      <c r="TCM11" s="34"/>
      <c r="TCN11" s="72"/>
      <c r="TCO11" s="63"/>
      <c r="TCP11" s="34"/>
      <c r="TCQ11" s="64"/>
      <c r="TCR11" s="4"/>
      <c r="TCS11" s="65"/>
      <c r="TCT11" s="4"/>
      <c r="TCU11" s="4"/>
      <c r="TCV11" s="4"/>
      <c r="TCY11" s="34"/>
      <c r="TCZ11" s="34"/>
      <c r="TDB11" s="34"/>
      <c r="TDC11" s="72"/>
      <c r="TDD11" s="63"/>
      <c r="TDE11" s="34"/>
      <c r="TDF11" s="64"/>
      <c r="TDG11" s="4"/>
      <c r="TDH11" s="65"/>
      <c r="TDI11" s="4"/>
      <c r="TDJ11" s="4"/>
      <c r="TDK11" s="4"/>
      <c r="TDN11" s="34"/>
      <c r="TDO11" s="34"/>
      <c r="TDQ11" s="34"/>
      <c r="TDR11" s="72"/>
      <c r="TDS11" s="63"/>
      <c r="TDT11" s="34"/>
      <c r="TDU11" s="64"/>
      <c r="TDV11" s="4"/>
      <c r="TDW11" s="65"/>
      <c r="TDX11" s="4"/>
      <c r="TDY11" s="4"/>
      <c r="TDZ11" s="4"/>
      <c r="TEC11" s="34"/>
      <c r="TED11" s="34"/>
      <c r="TEF11" s="34"/>
      <c r="TEG11" s="72"/>
      <c r="TEH11" s="63"/>
      <c r="TEI11" s="34"/>
      <c r="TEJ11" s="64"/>
      <c r="TEK11" s="4"/>
      <c r="TEL11" s="65"/>
      <c r="TEM11" s="4"/>
      <c r="TEN11" s="4"/>
      <c r="TEO11" s="4"/>
      <c r="TER11" s="34"/>
      <c r="TES11" s="34"/>
      <c r="TEU11" s="34"/>
      <c r="TEV11" s="72"/>
      <c r="TEW11" s="63"/>
      <c r="TEX11" s="34"/>
      <c r="TEY11" s="64"/>
      <c r="TEZ11" s="4"/>
      <c r="TFA11" s="65"/>
      <c r="TFB11" s="4"/>
      <c r="TFC11" s="4"/>
      <c r="TFD11" s="4"/>
      <c r="TFG11" s="34"/>
      <c r="TFH11" s="34"/>
      <c r="TFJ11" s="34"/>
      <c r="TFK11" s="72"/>
      <c r="TFL11" s="63"/>
      <c r="TFM11" s="34"/>
      <c r="TFN11" s="64"/>
      <c r="TFO11" s="4"/>
      <c r="TFP11" s="65"/>
      <c r="TFQ11" s="4"/>
      <c r="TFR11" s="4"/>
      <c r="TFS11" s="4"/>
      <c r="TFV11" s="34"/>
      <c r="TFW11" s="34"/>
      <c r="TFY11" s="34"/>
      <c r="TFZ11" s="72"/>
      <c r="TGA11" s="63"/>
      <c r="TGB11" s="34"/>
      <c r="TGC11" s="64"/>
      <c r="TGD11" s="4"/>
      <c r="TGE11" s="65"/>
      <c r="TGF11" s="4"/>
      <c r="TGG11" s="4"/>
      <c r="TGH11" s="4"/>
      <c r="TGK11" s="34"/>
      <c r="TGL11" s="34"/>
      <c r="TGN11" s="34"/>
      <c r="TGO11" s="72"/>
      <c r="TGP11" s="63"/>
      <c r="TGQ11" s="34"/>
      <c r="TGR11" s="64"/>
      <c r="TGS11" s="4"/>
      <c r="TGT11" s="65"/>
      <c r="TGU11" s="4"/>
      <c r="TGV11" s="4"/>
      <c r="TGW11" s="4"/>
      <c r="TGZ11" s="34"/>
      <c r="THA11" s="34"/>
      <c r="THC11" s="34"/>
      <c r="THD11" s="72"/>
      <c r="THE11" s="63"/>
      <c r="THF11" s="34"/>
      <c r="THG11" s="64"/>
      <c r="THH11" s="4"/>
      <c r="THI11" s="65"/>
      <c r="THJ11" s="4"/>
      <c r="THK11" s="4"/>
      <c r="THL11" s="4"/>
      <c r="THO11" s="34"/>
      <c r="THP11" s="34"/>
      <c r="THR11" s="34"/>
      <c r="THS11" s="72"/>
      <c r="THT11" s="63"/>
      <c r="THU11" s="34"/>
      <c r="THV11" s="64"/>
      <c r="THW11" s="4"/>
      <c r="THX11" s="65"/>
      <c r="THY11" s="4"/>
      <c r="THZ11" s="4"/>
      <c r="TIA11" s="4"/>
      <c r="TID11" s="34"/>
      <c r="TIE11" s="34"/>
      <c r="TIG11" s="34"/>
      <c r="TIH11" s="72"/>
      <c r="TII11" s="63"/>
      <c r="TIJ11" s="34"/>
      <c r="TIK11" s="64"/>
      <c r="TIL11" s="4"/>
      <c r="TIM11" s="65"/>
      <c r="TIN11" s="4"/>
      <c r="TIO11" s="4"/>
      <c r="TIP11" s="4"/>
      <c r="TIS11" s="34"/>
      <c r="TIT11" s="34"/>
      <c r="TIV11" s="34"/>
      <c r="TIW11" s="72"/>
      <c r="TIX11" s="63"/>
      <c r="TIY11" s="34"/>
      <c r="TIZ11" s="64"/>
      <c r="TJA11" s="4"/>
      <c r="TJB11" s="65"/>
      <c r="TJC11" s="4"/>
      <c r="TJD11" s="4"/>
      <c r="TJE11" s="4"/>
      <c r="TJH11" s="34"/>
      <c r="TJI11" s="34"/>
      <c r="TJK11" s="34"/>
      <c r="TJL11" s="72"/>
      <c r="TJM11" s="63"/>
      <c r="TJN11" s="34"/>
      <c r="TJO11" s="64"/>
      <c r="TJP11" s="4"/>
      <c r="TJQ11" s="65"/>
      <c r="TJR11" s="4"/>
      <c r="TJS11" s="4"/>
      <c r="TJT11" s="4"/>
      <c r="TJW11" s="34"/>
      <c r="TJX11" s="34"/>
      <c r="TJZ11" s="34"/>
      <c r="TKA11" s="72"/>
      <c r="TKB11" s="63"/>
      <c r="TKC11" s="34"/>
      <c r="TKD11" s="64"/>
      <c r="TKE11" s="4"/>
      <c r="TKF11" s="65"/>
      <c r="TKG11" s="4"/>
      <c r="TKH11" s="4"/>
      <c r="TKI11" s="4"/>
      <c r="TKL11" s="34"/>
      <c r="TKM11" s="34"/>
      <c r="TKO11" s="34"/>
      <c r="TKP11" s="72"/>
      <c r="TKQ11" s="63"/>
      <c r="TKR11" s="34"/>
      <c r="TKS11" s="64"/>
      <c r="TKT11" s="4"/>
      <c r="TKU11" s="65"/>
      <c r="TKV11" s="4"/>
      <c r="TKW11" s="4"/>
      <c r="TKX11" s="4"/>
      <c r="TLA11" s="34"/>
      <c r="TLB11" s="34"/>
      <c r="TLD11" s="34"/>
      <c r="TLE11" s="72"/>
      <c r="TLF11" s="63"/>
      <c r="TLG11" s="34"/>
      <c r="TLH11" s="64"/>
      <c r="TLI11" s="4"/>
      <c r="TLJ11" s="65"/>
      <c r="TLK11" s="4"/>
      <c r="TLL11" s="4"/>
      <c r="TLM11" s="4"/>
      <c r="TLP11" s="34"/>
      <c r="TLQ11" s="34"/>
      <c r="TLS11" s="34"/>
      <c r="TLT11" s="72"/>
      <c r="TLU11" s="63"/>
      <c r="TLV11" s="34"/>
      <c r="TLW11" s="64"/>
      <c r="TLX11" s="4"/>
      <c r="TLY11" s="65"/>
      <c r="TLZ11" s="4"/>
      <c r="TMA11" s="4"/>
      <c r="TMB11" s="4"/>
      <c r="TME11" s="34"/>
      <c r="TMF11" s="34"/>
      <c r="TMH11" s="34"/>
      <c r="TMI11" s="72"/>
      <c r="TMJ11" s="63"/>
      <c r="TMK11" s="34"/>
      <c r="TML11" s="64"/>
      <c r="TMM11" s="4"/>
      <c r="TMN11" s="65"/>
      <c r="TMO11" s="4"/>
      <c r="TMP11" s="4"/>
      <c r="TMQ11" s="4"/>
      <c r="TMT11" s="34"/>
      <c r="TMU11" s="34"/>
      <c r="TMW11" s="34"/>
      <c r="TMX11" s="72"/>
      <c r="TMY11" s="63"/>
      <c r="TMZ11" s="34"/>
      <c r="TNA11" s="64"/>
      <c r="TNB11" s="4"/>
      <c r="TNC11" s="65"/>
      <c r="TND11" s="4"/>
      <c r="TNE11" s="4"/>
      <c r="TNF11" s="4"/>
      <c r="TNI11" s="34"/>
      <c r="TNJ11" s="34"/>
      <c r="TNL11" s="34"/>
      <c r="TNM11" s="72"/>
      <c r="TNN11" s="63"/>
      <c r="TNO11" s="34"/>
      <c r="TNP11" s="64"/>
      <c r="TNQ11" s="4"/>
      <c r="TNR11" s="65"/>
      <c r="TNS11" s="4"/>
      <c r="TNT11" s="4"/>
      <c r="TNU11" s="4"/>
      <c r="TNX11" s="34"/>
      <c r="TNY11" s="34"/>
      <c r="TOA11" s="34"/>
      <c r="TOB11" s="72"/>
      <c r="TOC11" s="63"/>
      <c r="TOD11" s="34"/>
      <c r="TOE11" s="64"/>
      <c r="TOF11" s="4"/>
      <c r="TOG11" s="65"/>
      <c r="TOH11" s="4"/>
      <c r="TOI11" s="4"/>
      <c r="TOJ11" s="4"/>
      <c r="TOM11" s="34"/>
      <c r="TON11" s="34"/>
      <c r="TOP11" s="34"/>
      <c r="TOQ11" s="72"/>
      <c r="TOR11" s="63"/>
      <c r="TOS11" s="34"/>
      <c r="TOT11" s="64"/>
      <c r="TOU11" s="4"/>
      <c r="TOV11" s="65"/>
      <c r="TOW11" s="4"/>
      <c r="TOX11" s="4"/>
      <c r="TOY11" s="4"/>
      <c r="TPB11" s="34"/>
      <c r="TPC11" s="34"/>
      <c r="TPE11" s="34"/>
      <c r="TPF11" s="72"/>
      <c r="TPG11" s="63"/>
      <c r="TPH11" s="34"/>
      <c r="TPI11" s="64"/>
      <c r="TPJ11" s="4"/>
      <c r="TPK11" s="65"/>
      <c r="TPL11" s="4"/>
      <c r="TPM11" s="4"/>
      <c r="TPN11" s="4"/>
      <c r="TPQ11" s="34"/>
      <c r="TPR11" s="34"/>
      <c r="TPT11" s="34"/>
      <c r="TPU11" s="72"/>
      <c r="TPV11" s="63"/>
      <c r="TPW11" s="34"/>
      <c r="TPX11" s="64"/>
      <c r="TPY11" s="4"/>
      <c r="TPZ11" s="65"/>
      <c r="TQA11" s="4"/>
      <c r="TQB11" s="4"/>
      <c r="TQC11" s="4"/>
      <c r="TQF11" s="34"/>
      <c r="TQG11" s="34"/>
      <c r="TQI11" s="34"/>
      <c r="TQJ11" s="72"/>
      <c r="TQK11" s="63"/>
      <c r="TQL11" s="34"/>
      <c r="TQM11" s="64"/>
      <c r="TQN11" s="4"/>
      <c r="TQO11" s="65"/>
      <c r="TQP11" s="4"/>
      <c r="TQQ11" s="4"/>
      <c r="TQR11" s="4"/>
      <c r="TQU11" s="34"/>
      <c r="TQV11" s="34"/>
      <c r="TQX11" s="34"/>
      <c r="TQY11" s="72"/>
      <c r="TQZ11" s="63"/>
      <c r="TRA11" s="34"/>
      <c r="TRB11" s="64"/>
      <c r="TRC11" s="4"/>
      <c r="TRD11" s="65"/>
      <c r="TRE11" s="4"/>
      <c r="TRF11" s="4"/>
      <c r="TRG11" s="4"/>
      <c r="TRJ11" s="34"/>
      <c r="TRK11" s="34"/>
      <c r="TRM11" s="34"/>
      <c r="TRN11" s="72"/>
      <c r="TRO11" s="63"/>
      <c r="TRP11" s="34"/>
      <c r="TRQ11" s="64"/>
      <c r="TRR11" s="4"/>
      <c r="TRS11" s="65"/>
      <c r="TRT11" s="4"/>
      <c r="TRU11" s="4"/>
      <c r="TRV11" s="4"/>
      <c r="TRY11" s="34"/>
      <c r="TRZ11" s="34"/>
      <c r="TSB11" s="34"/>
      <c r="TSC11" s="72"/>
      <c r="TSD11" s="63"/>
      <c r="TSE11" s="34"/>
      <c r="TSF11" s="64"/>
      <c r="TSG11" s="4"/>
      <c r="TSH11" s="65"/>
      <c r="TSI11" s="4"/>
      <c r="TSJ11" s="4"/>
      <c r="TSK11" s="4"/>
      <c r="TSN11" s="34"/>
      <c r="TSO11" s="34"/>
      <c r="TSQ11" s="34"/>
      <c r="TSR11" s="72"/>
      <c r="TSS11" s="63"/>
      <c r="TST11" s="34"/>
      <c r="TSU11" s="64"/>
      <c r="TSV11" s="4"/>
      <c r="TSW11" s="65"/>
      <c r="TSX11" s="4"/>
      <c r="TSY11" s="4"/>
      <c r="TSZ11" s="4"/>
      <c r="TTC11" s="34"/>
      <c r="TTD11" s="34"/>
      <c r="TTF11" s="34"/>
      <c r="TTG11" s="72"/>
      <c r="TTH11" s="63"/>
      <c r="TTI11" s="34"/>
      <c r="TTJ11" s="64"/>
      <c r="TTK11" s="4"/>
      <c r="TTL11" s="65"/>
      <c r="TTM11" s="4"/>
      <c r="TTN11" s="4"/>
      <c r="TTO11" s="4"/>
      <c r="TTR11" s="34"/>
      <c r="TTS11" s="34"/>
      <c r="TTU11" s="34"/>
      <c r="TTV11" s="72"/>
      <c r="TTW11" s="63"/>
      <c r="TTX11" s="34"/>
      <c r="TTY11" s="64"/>
      <c r="TTZ11" s="4"/>
      <c r="TUA11" s="65"/>
      <c r="TUB11" s="4"/>
      <c r="TUC11" s="4"/>
      <c r="TUD11" s="4"/>
      <c r="TUG11" s="34"/>
      <c r="TUH11" s="34"/>
      <c r="TUJ11" s="34"/>
      <c r="TUK11" s="72"/>
      <c r="TUL11" s="63"/>
      <c r="TUM11" s="34"/>
      <c r="TUN11" s="64"/>
      <c r="TUO11" s="4"/>
      <c r="TUP11" s="65"/>
      <c r="TUQ11" s="4"/>
      <c r="TUR11" s="4"/>
      <c r="TUS11" s="4"/>
      <c r="TUV11" s="34"/>
      <c r="TUW11" s="34"/>
      <c r="TUY11" s="34"/>
      <c r="TUZ11" s="72"/>
      <c r="TVA11" s="63"/>
      <c r="TVB11" s="34"/>
      <c r="TVC11" s="64"/>
      <c r="TVD11" s="4"/>
      <c r="TVE11" s="65"/>
      <c r="TVF11" s="4"/>
      <c r="TVG11" s="4"/>
      <c r="TVH11" s="4"/>
      <c r="TVK11" s="34"/>
      <c r="TVL11" s="34"/>
      <c r="TVN11" s="34"/>
      <c r="TVO11" s="72"/>
      <c r="TVP11" s="63"/>
      <c r="TVQ11" s="34"/>
      <c r="TVR11" s="64"/>
      <c r="TVS11" s="4"/>
      <c r="TVT11" s="65"/>
      <c r="TVU11" s="4"/>
      <c r="TVV11" s="4"/>
      <c r="TVW11" s="4"/>
      <c r="TVZ11" s="34"/>
      <c r="TWA11" s="34"/>
      <c r="TWC11" s="34"/>
      <c r="TWD11" s="72"/>
      <c r="TWE11" s="63"/>
      <c r="TWF11" s="34"/>
      <c r="TWG11" s="64"/>
      <c r="TWH11" s="4"/>
      <c r="TWI11" s="65"/>
      <c r="TWJ11" s="4"/>
      <c r="TWK11" s="4"/>
      <c r="TWL11" s="4"/>
      <c r="TWO11" s="34"/>
      <c r="TWP11" s="34"/>
      <c r="TWR11" s="34"/>
      <c r="TWS11" s="72"/>
      <c r="TWT11" s="63"/>
      <c r="TWU11" s="34"/>
      <c r="TWV11" s="64"/>
      <c r="TWW11" s="4"/>
      <c r="TWX11" s="65"/>
      <c r="TWY11" s="4"/>
      <c r="TWZ11" s="4"/>
      <c r="TXA11" s="4"/>
      <c r="TXD11" s="34"/>
      <c r="TXE11" s="34"/>
      <c r="TXG11" s="34"/>
      <c r="TXH11" s="72"/>
      <c r="TXI11" s="63"/>
      <c r="TXJ11" s="34"/>
      <c r="TXK11" s="64"/>
      <c r="TXL11" s="4"/>
      <c r="TXM11" s="65"/>
      <c r="TXN11" s="4"/>
      <c r="TXO11" s="4"/>
      <c r="TXP11" s="4"/>
      <c r="TXS11" s="34"/>
      <c r="TXT11" s="34"/>
      <c r="TXV11" s="34"/>
      <c r="TXW11" s="72"/>
      <c r="TXX11" s="63"/>
      <c r="TXY11" s="34"/>
      <c r="TXZ11" s="64"/>
      <c r="TYA11" s="4"/>
      <c r="TYB11" s="65"/>
      <c r="TYC11" s="4"/>
      <c r="TYD11" s="4"/>
      <c r="TYE11" s="4"/>
      <c r="TYH11" s="34"/>
      <c r="TYI11" s="34"/>
      <c r="TYK11" s="34"/>
      <c r="TYL11" s="72"/>
      <c r="TYM11" s="63"/>
      <c r="TYN11" s="34"/>
      <c r="TYO11" s="64"/>
      <c r="TYP11" s="4"/>
      <c r="TYQ11" s="65"/>
      <c r="TYR11" s="4"/>
      <c r="TYS11" s="4"/>
      <c r="TYT11" s="4"/>
      <c r="TYW11" s="34"/>
      <c r="TYX11" s="34"/>
      <c r="TYZ11" s="34"/>
      <c r="TZA11" s="72"/>
      <c r="TZB11" s="63"/>
      <c r="TZC11" s="34"/>
      <c r="TZD11" s="64"/>
      <c r="TZE11" s="4"/>
      <c r="TZF11" s="65"/>
      <c r="TZG11" s="4"/>
      <c r="TZH11" s="4"/>
      <c r="TZI11" s="4"/>
      <c r="TZL11" s="34"/>
      <c r="TZM11" s="34"/>
      <c r="TZO11" s="34"/>
      <c r="TZP11" s="72"/>
      <c r="TZQ11" s="63"/>
      <c r="TZR11" s="34"/>
      <c r="TZS11" s="64"/>
      <c r="TZT11" s="4"/>
      <c r="TZU11" s="65"/>
      <c r="TZV11" s="4"/>
      <c r="TZW11" s="4"/>
      <c r="TZX11" s="4"/>
      <c r="UAA11" s="34"/>
      <c r="UAB11" s="34"/>
      <c r="UAD11" s="34"/>
      <c r="UAE11" s="72"/>
      <c r="UAF11" s="63"/>
      <c r="UAG11" s="34"/>
      <c r="UAH11" s="64"/>
      <c r="UAI11" s="4"/>
      <c r="UAJ11" s="65"/>
      <c r="UAK11" s="4"/>
      <c r="UAL11" s="4"/>
      <c r="UAM11" s="4"/>
      <c r="UAP11" s="34"/>
      <c r="UAQ11" s="34"/>
      <c r="UAS11" s="34"/>
      <c r="UAT11" s="72"/>
      <c r="UAU11" s="63"/>
      <c r="UAV11" s="34"/>
      <c r="UAW11" s="64"/>
      <c r="UAX11" s="4"/>
      <c r="UAY11" s="65"/>
      <c r="UAZ11" s="4"/>
      <c r="UBA11" s="4"/>
      <c r="UBB11" s="4"/>
      <c r="UBE11" s="34"/>
      <c r="UBF11" s="34"/>
      <c r="UBH11" s="34"/>
      <c r="UBI11" s="72"/>
      <c r="UBJ11" s="63"/>
      <c r="UBK11" s="34"/>
      <c r="UBL11" s="64"/>
      <c r="UBM11" s="4"/>
      <c r="UBN11" s="65"/>
      <c r="UBO11" s="4"/>
      <c r="UBP11" s="4"/>
      <c r="UBQ11" s="4"/>
      <c r="UBT11" s="34"/>
      <c r="UBU11" s="34"/>
      <c r="UBW11" s="34"/>
      <c r="UBX11" s="72"/>
      <c r="UBY11" s="63"/>
      <c r="UBZ11" s="34"/>
      <c r="UCA11" s="64"/>
      <c r="UCB11" s="4"/>
      <c r="UCC11" s="65"/>
      <c r="UCD11" s="4"/>
      <c r="UCE11" s="4"/>
      <c r="UCF11" s="4"/>
      <c r="UCI11" s="34"/>
      <c r="UCJ11" s="34"/>
      <c r="UCL11" s="34"/>
      <c r="UCM11" s="72"/>
      <c r="UCN11" s="63"/>
      <c r="UCO11" s="34"/>
      <c r="UCP11" s="64"/>
      <c r="UCQ11" s="4"/>
      <c r="UCR11" s="65"/>
      <c r="UCS11" s="4"/>
      <c r="UCT11" s="4"/>
      <c r="UCU11" s="4"/>
      <c r="UCX11" s="34"/>
      <c r="UCY11" s="34"/>
      <c r="UDA11" s="34"/>
      <c r="UDB11" s="72"/>
      <c r="UDC11" s="63"/>
      <c r="UDD11" s="34"/>
      <c r="UDE11" s="64"/>
      <c r="UDF11" s="4"/>
      <c r="UDG11" s="65"/>
      <c r="UDH11" s="4"/>
      <c r="UDI11" s="4"/>
      <c r="UDJ11" s="4"/>
      <c r="UDM11" s="34"/>
      <c r="UDN11" s="34"/>
      <c r="UDP11" s="34"/>
      <c r="UDQ11" s="72"/>
      <c r="UDR11" s="63"/>
      <c r="UDS11" s="34"/>
      <c r="UDT11" s="64"/>
      <c r="UDU11" s="4"/>
      <c r="UDV11" s="65"/>
      <c r="UDW11" s="4"/>
      <c r="UDX11" s="4"/>
      <c r="UDY11" s="4"/>
      <c r="UEB11" s="34"/>
      <c r="UEC11" s="34"/>
      <c r="UEE11" s="34"/>
      <c r="UEF11" s="72"/>
      <c r="UEG11" s="63"/>
      <c r="UEH11" s="34"/>
      <c r="UEI11" s="64"/>
      <c r="UEJ11" s="4"/>
      <c r="UEK11" s="65"/>
      <c r="UEL11" s="4"/>
      <c r="UEM11" s="4"/>
      <c r="UEN11" s="4"/>
      <c r="UEQ11" s="34"/>
      <c r="UER11" s="34"/>
      <c r="UET11" s="34"/>
      <c r="UEU11" s="72"/>
      <c r="UEV11" s="63"/>
      <c r="UEW11" s="34"/>
      <c r="UEX11" s="64"/>
      <c r="UEY11" s="4"/>
      <c r="UEZ11" s="65"/>
      <c r="UFA11" s="4"/>
      <c r="UFB11" s="4"/>
      <c r="UFC11" s="4"/>
      <c r="UFF11" s="34"/>
      <c r="UFG11" s="34"/>
      <c r="UFI11" s="34"/>
      <c r="UFJ11" s="72"/>
      <c r="UFK11" s="63"/>
      <c r="UFL11" s="34"/>
      <c r="UFM11" s="64"/>
      <c r="UFN11" s="4"/>
      <c r="UFO11" s="65"/>
      <c r="UFP11" s="4"/>
      <c r="UFQ11" s="4"/>
      <c r="UFR11" s="4"/>
      <c r="UFU11" s="34"/>
      <c r="UFV11" s="34"/>
      <c r="UFX11" s="34"/>
      <c r="UFY11" s="72"/>
      <c r="UFZ11" s="63"/>
      <c r="UGA11" s="34"/>
      <c r="UGB11" s="64"/>
      <c r="UGC11" s="4"/>
      <c r="UGD11" s="65"/>
      <c r="UGE11" s="4"/>
      <c r="UGF11" s="4"/>
      <c r="UGG11" s="4"/>
      <c r="UGJ11" s="34"/>
      <c r="UGK11" s="34"/>
      <c r="UGM11" s="34"/>
      <c r="UGN11" s="72"/>
      <c r="UGO11" s="63"/>
      <c r="UGP11" s="34"/>
      <c r="UGQ11" s="64"/>
      <c r="UGR11" s="4"/>
      <c r="UGS11" s="65"/>
      <c r="UGT11" s="4"/>
      <c r="UGU11" s="4"/>
      <c r="UGV11" s="4"/>
      <c r="UGY11" s="34"/>
      <c r="UGZ11" s="34"/>
      <c r="UHB11" s="34"/>
      <c r="UHC11" s="72"/>
      <c r="UHD11" s="63"/>
      <c r="UHE11" s="34"/>
      <c r="UHF11" s="64"/>
      <c r="UHG11" s="4"/>
      <c r="UHH11" s="65"/>
      <c r="UHI11" s="4"/>
      <c r="UHJ11" s="4"/>
      <c r="UHK11" s="4"/>
      <c r="UHN11" s="34"/>
      <c r="UHO11" s="34"/>
      <c r="UHQ11" s="34"/>
      <c r="UHR11" s="72"/>
      <c r="UHS11" s="63"/>
      <c r="UHT11" s="34"/>
      <c r="UHU11" s="64"/>
      <c r="UHV11" s="4"/>
      <c r="UHW11" s="65"/>
      <c r="UHX11" s="4"/>
      <c r="UHY11" s="4"/>
      <c r="UHZ11" s="4"/>
      <c r="UIC11" s="34"/>
      <c r="UID11" s="34"/>
      <c r="UIF11" s="34"/>
      <c r="UIG11" s="72"/>
      <c r="UIH11" s="63"/>
      <c r="UII11" s="34"/>
      <c r="UIJ11" s="64"/>
      <c r="UIK11" s="4"/>
      <c r="UIL11" s="65"/>
      <c r="UIM11" s="4"/>
      <c r="UIN11" s="4"/>
      <c r="UIO11" s="4"/>
      <c r="UIR11" s="34"/>
      <c r="UIS11" s="34"/>
      <c r="UIU11" s="34"/>
      <c r="UIV11" s="72"/>
      <c r="UIW11" s="63"/>
      <c r="UIX11" s="34"/>
      <c r="UIY11" s="64"/>
      <c r="UIZ11" s="4"/>
      <c r="UJA11" s="65"/>
      <c r="UJB11" s="4"/>
      <c r="UJC11" s="4"/>
      <c r="UJD11" s="4"/>
      <c r="UJG11" s="34"/>
      <c r="UJH11" s="34"/>
      <c r="UJJ11" s="34"/>
      <c r="UJK11" s="72"/>
      <c r="UJL11" s="63"/>
      <c r="UJM11" s="34"/>
      <c r="UJN11" s="64"/>
      <c r="UJO11" s="4"/>
      <c r="UJP11" s="65"/>
      <c r="UJQ11" s="4"/>
      <c r="UJR11" s="4"/>
      <c r="UJS11" s="4"/>
      <c r="UJV11" s="34"/>
      <c r="UJW11" s="34"/>
      <c r="UJY11" s="34"/>
      <c r="UJZ11" s="72"/>
      <c r="UKA11" s="63"/>
      <c r="UKB11" s="34"/>
      <c r="UKC11" s="64"/>
      <c r="UKD11" s="4"/>
      <c r="UKE11" s="65"/>
      <c r="UKF11" s="4"/>
      <c r="UKG11" s="4"/>
      <c r="UKH11" s="4"/>
      <c r="UKK11" s="34"/>
      <c r="UKL11" s="34"/>
      <c r="UKN11" s="34"/>
      <c r="UKO11" s="72"/>
      <c r="UKP11" s="63"/>
      <c r="UKQ11" s="34"/>
      <c r="UKR11" s="64"/>
      <c r="UKS11" s="4"/>
      <c r="UKT11" s="65"/>
      <c r="UKU11" s="4"/>
      <c r="UKV11" s="4"/>
      <c r="UKW11" s="4"/>
      <c r="UKZ11" s="34"/>
      <c r="ULA11" s="34"/>
      <c r="ULC11" s="34"/>
      <c r="ULD11" s="72"/>
      <c r="ULE11" s="63"/>
      <c r="ULF11" s="34"/>
      <c r="ULG11" s="64"/>
      <c r="ULH11" s="4"/>
      <c r="ULI11" s="65"/>
      <c r="ULJ11" s="4"/>
      <c r="ULK11" s="4"/>
      <c r="ULL11" s="4"/>
      <c r="ULO11" s="34"/>
      <c r="ULP11" s="34"/>
      <c r="ULR11" s="34"/>
      <c r="ULS11" s="72"/>
      <c r="ULT11" s="63"/>
      <c r="ULU11" s="34"/>
      <c r="ULV11" s="64"/>
      <c r="ULW11" s="4"/>
      <c r="ULX11" s="65"/>
      <c r="ULY11" s="4"/>
      <c r="ULZ11" s="4"/>
      <c r="UMA11" s="4"/>
      <c r="UMD11" s="34"/>
      <c r="UME11" s="34"/>
      <c r="UMG11" s="34"/>
      <c r="UMH11" s="72"/>
      <c r="UMI11" s="63"/>
      <c r="UMJ11" s="34"/>
      <c r="UMK11" s="64"/>
      <c r="UML11" s="4"/>
      <c r="UMM11" s="65"/>
      <c r="UMN11" s="4"/>
      <c r="UMO11" s="4"/>
      <c r="UMP11" s="4"/>
      <c r="UMS11" s="34"/>
      <c r="UMT11" s="34"/>
      <c r="UMV11" s="34"/>
      <c r="UMW11" s="72"/>
      <c r="UMX11" s="63"/>
      <c r="UMY11" s="34"/>
      <c r="UMZ11" s="64"/>
      <c r="UNA11" s="4"/>
      <c r="UNB11" s="65"/>
      <c r="UNC11" s="4"/>
      <c r="UND11" s="4"/>
      <c r="UNE11" s="4"/>
      <c r="UNH11" s="34"/>
      <c r="UNI11" s="34"/>
      <c r="UNK11" s="34"/>
      <c r="UNL11" s="72"/>
      <c r="UNM11" s="63"/>
      <c r="UNN11" s="34"/>
      <c r="UNO11" s="64"/>
      <c r="UNP11" s="4"/>
      <c r="UNQ11" s="65"/>
      <c r="UNR11" s="4"/>
      <c r="UNS11" s="4"/>
      <c r="UNT11" s="4"/>
      <c r="UNW11" s="34"/>
      <c r="UNX11" s="34"/>
      <c r="UNZ11" s="34"/>
      <c r="UOA11" s="72"/>
      <c r="UOB11" s="63"/>
      <c r="UOC11" s="34"/>
      <c r="UOD11" s="64"/>
      <c r="UOE11" s="4"/>
      <c r="UOF11" s="65"/>
      <c r="UOG11" s="4"/>
      <c r="UOH11" s="4"/>
      <c r="UOI11" s="4"/>
      <c r="UOL11" s="34"/>
      <c r="UOM11" s="34"/>
      <c r="UOO11" s="34"/>
      <c r="UOP11" s="72"/>
      <c r="UOQ11" s="63"/>
      <c r="UOR11" s="34"/>
      <c r="UOS11" s="64"/>
      <c r="UOT11" s="4"/>
      <c r="UOU11" s="65"/>
      <c r="UOV11" s="4"/>
      <c r="UOW11" s="4"/>
      <c r="UOX11" s="4"/>
      <c r="UPA11" s="34"/>
      <c r="UPB11" s="34"/>
      <c r="UPD11" s="34"/>
      <c r="UPE11" s="72"/>
      <c r="UPF11" s="63"/>
      <c r="UPG11" s="34"/>
      <c r="UPH11" s="64"/>
      <c r="UPI11" s="4"/>
      <c r="UPJ11" s="65"/>
      <c r="UPK11" s="4"/>
      <c r="UPL11" s="4"/>
      <c r="UPM11" s="4"/>
      <c r="UPP11" s="34"/>
      <c r="UPQ11" s="34"/>
      <c r="UPS11" s="34"/>
      <c r="UPT11" s="72"/>
      <c r="UPU11" s="63"/>
      <c r="UPV11" s="34"/>
      <c r="UPW11" s="64"/>
      <c r="UPX11" s="4"/>
      <c r="UPY11" s="65"/>
      <c r="UPZ11" s="4"/>
      <c r="UQA11" s="4"/>
      <c r="UQB11" s="4"/>
      <c r="UQE11" s="34"/>
      <c r="UQF11" s="34"/>
      <c r="UQH11" s="34"/>
      <c r="UQI11" s="72"/>
      <c r="UQJ11" s="63"/>
      <c r="UQK11" s="34"/>
      <c r="UQL11" s="64"/>
      <c r="UQM11" s="4"/>
      <c r="UQN11" s="65"/>
      <c r="UQO11" s="4"/>
      <c r="UQP11" s="4"/>
      <c r="UQQ11" s="4"/>
      <c r="UQT11" s="34"/>
      <c r="UQU11" s="34"/>
      <c r="UQW11" s="34"/>
      <c r="UQX11" s="72"/>
      <c r="UQY11" s="63"/>
      <c r="UQZ11" s="34"/>
      <c r="URA11" s="64"/>
      <c r="URB11" s="4"/>
      <c r="URC11" s="65"/>
      <c r="URD11" s="4"/>
      <c r="URE11" s="4"/>
      <c r="URF11" s="4"/>
      <c r="URI11" s="34"/>
      <c r="URJ11" s="34"/>
      <c r="URL11" s="34"/>
      <c r="URM11" s="72"/>
      <c r="URN11" s="63"/>
      <c r="URO11" s="34"/>
      <c r="URP11" s="64"/>
      <c r="URQ11" s="4"/>
      <c r="URR11" s="65"/>
      <c r="URS11" s="4"/>
      <c r="URT11" s="4"/>
      <c r="URU11" s="4"/>
      <c r="URX11" s="34"/>
      <c r="URY11" s="34"/>
      <c r="USA11" s="34"/>
      <c r="USB11" s="72"/>
      <c r="USC11" s="63"/>
      <c r="USD11" s="34"/>
      <c r="USE11" s="64"/>
      <c r="USF11" s="4"/>
      <c r="USG11" s="65"/>
      <c r="USH11" s="4"/>
      <c r="USI11" s="4"/>
      <c r="USJ11" s="4"/>
      <c r="USM11" s="34"/>
      <c r="USN11" s="34"/>
      <c r="USP11" s="34"/>
      <c r="USQ11" s="72"/>
      <c r="USR11" s="63"/>
      <c r="USS11" s="34"/>
      <c r="UST11" s="64"/>
      <c r="USU11" s="4"/>
      <c r="USV11" s="65"/>
      <c r="USW11" s="4"/>
      <c r="USX11" s="4"/>
      <c r="USY11" s="4"/>
      <c r="UTB11" s="34"/>
      <c r="UTC11" s="34"/>
      <c r="UTE11" s="34"/>
      <c r="UTF11" s="72"/>
      <c r="UTG11" s="63"/>
      <c r="UTH11" s="34"/>
      <c r="UTI11" s="64"/>
      <c r="UTJ11" s="4"/>
      <c r="UTK11" s="65"/>
      <c r="UTL11" s="4"/>
      <c r="UTM11" s="4"/>
      <c r="UTN11" s="4"/>
      <c r="UTQ11" s="34"/>
      <c r="UTR11" s="34"/>
      <c r="UTT11" s="34"/>
      <c r="UTU11" s="72"/>
      <c r="UTV11" s="63"/>
      <c r="UTW11" s="34"/>
      <c r="UTX11" s="64"/>
      <c r="UTY11" s="4"/>
      <c r="UTZ11" s="65"/>
      <c r="UUA11" s="4"/>
      <c r="UUB11" s="4"/>
      <c r="UUC11" s="4"/>
      <c r="UUF11" s="34"/>
      <c r="UUG11" s="34"/>
      <c r="UUI11" s="34"/>
      <c r="UUJ11" s="72"/>
      <c r="UUK11" s="63"/>
      <c r="UUL11" s="34"/>
      <c r="UUM11" s="64"/>
      <c r="UUN11" s="4"/>
      <c r="UUO11" s="65"/>
      <c r="UUP11" s="4"/>
      <c r="UUQ11" s="4"/>
      <c r="UUR11" s="4"/>
      <c r="UUU11" s="34"/>
      <c r="UUV11" s="34"/>
      <c r="UUX11" s="34"/>
      <c r="UUY11" s="72"/>
      <c r="UUZ11" s="63"/>
      <c r="UVA11" s="34"/>
      <c r="UVB11" s="64"/>
      <c r="UVC11" s="4"/>
      <c r="UVD11" s="65"/>
      <c r="UVE11" s="4"/>
      <c r="UVF11" s="4"/>
      <c r="UVG11" s="4"/>
      <c r="UVJ11" s="34"/>
      <c r="UVK11" s="34"/>
      <c r="UVM11" s="34"/>
      <c r="UVN11" s="72"/>
      <c r="UVO11" s="63"/>
      <c r="UVP11" s="34"/>
      <c r="UVQ11" s="64"/>
      <c r="UVR11" s="4"/>
      <c r="UVS11" s="65"/>
      <c r="UVT11" s="4"/>
      <c r="UVU11" s="4"/>
      <c r="UVV11" s="4"/>
      <c r="UVY11" s="34"/>
      <c r="UVZ11" s="34"/>
      <c r="UWB11" s="34"/>
      <c r="UWC11" s="72"/>
      <c r="UWD11" s="63"/>
      <c r="UWE11" s="34"/>
      <c r="UWF11" s="64"/>
      <c r="UWG11" s="4"/>
      <c r="UWH11" s="65"/>
      <c r="UWI11" s="4"/>
      <c r="UWJ11" s="4"/>
      <c r="UWK11" s="4"/>
      <c r="UWN11" s="34"/>
      <c r="UWO11" s="34"/>
      <c r="UWQ11" s="34"/>
      <c r="UWR11" s="72"/>
      <c r="UWS11" s="63"/>
      <c r="UWT11" s="34"/>
      <c r="UWU11" s="64"/>
      <c r="UWV11" s="4"/>
      <c r="UWW11" s="65"/>
      <c r="UWX11" s="4"/>
      <c r="UWY11" s="4"/>
      <c r="UWZ11" s="4"/>
      <c r="UXC11" s="34"/>
      <c r="UXD11" s="34"/>
      <c r="UXF11" s="34"/>
      <c r="UXG11" s="72"/>
      <c r="UXH11" s="63"/>
      <c r="UXI11" s="34"/>
      <c r="UXJ11" s="64"/>
      <c r="UXK11" s="4"/>
      <c r="UXL11" s="65"/>
      <c r="UXM11" s="4"/>
      <c r="UXN11" s="4"/>
      <c r="UXO11" s="4"/>
      <c r="UXR11" s="34"/>
      <c r="UXS11" s="34"/>
      <c r="UXU11" s="34"/>
      <c r="UXV11" s="72"/>
      <c r="UXW11" s="63"/>
      <c r="UXX11" s="34"/>
      <c r="UXY11" s="64"/>
      <c r="UXZ11" s="4"/>
      <c r="UYA11" s="65"/>
      <c r="UYB11" s="4"/>
      <c r="UYC11" s="4"/>
      <c r="UYD11" s="4"/>
      <c r="UYG11" s="34"/>
      <c r="UYH11" s="34"/>
      <c r="UYJ11" s="34"/>
      <c r="UYK11" s="72"/>
      <c r="UYL11" s="63"/>
      <c r="UYM11" s="34"/>
      <c r="UYN11" s="64"/>
      <c r="UYO11" s="4"/>
      <c r="UYP11" s="65"/>
      <c r="UYQ11" s="4"/>
      <c r="UYR11" s="4"/>
      <c r="UYS11" s="4"/>
      <c r="UYV11" s="34"/>
      <c r="UYW11" s="34"/>
      <c r="UYY11" s="34"/>
      <c r="UYZ11" s="72"/>
      <c r="UZA11" s="63"/>
      <c r="UZB11" s="34"/>
      <c r="UZC11" s="64"/>
      <c r="UZD11" s="4"/>
      <c r="UZE11" s="65"/>
      <c r="UZF11" s="4"/>
      <c r="UZG11" s="4"/>
      <c r="UZH11" s="4"/>
      <c r="UZK11" s="34"/>
      <c r="UZL11" s="34"/>
      <c r="UZN11" s="34"/>
      <c r="UZO11" s="72"/>
      <c r="UZP11" s="63"/>
      <c r="UZQ11" s="34"/>
      <c r="UZR11" s="64"/>
      <c r="UZS11" s="4"/>
      <c r="UZT11" s="65"/>
      <c r="UZU11" s="4"/>
      <c r="UZV11" s="4"/>
      <c r="UZW11" s="4"/>
      <c r="UZZ11" s="34"/>
      <c r="VAA11" s="34"/>
      <c r="VAC11" s="34"/>
      <c r="VAD11" s="72"/>
      <c r="VAE11" s="63"/>
      <c r="VAF11" s="34"/>
      <c r="VAG11" s="64"/>
      <c r="VAH11" s="4"/>
      <c r="VAI11" s="65"/>
      <c r="VAJ11" s="4"/>
      <c r="VAK11" s="4"/>
      <c r="VAL11" s="4"/>
      <c r="VAO11" s="34"/>
      <c r="VAP11" s="34"/>
      <c r="VAR11" s="34"/>
      <c r="VAS11" s="72"/>
      <c r="VAT11" s="63"/>
      <c r="VAU11" s="34"/>
      <c r="VAV11" s="64"/>
      <c r="VAW11" s="4"/>
      <c r="VAX11" s="65"/>
      <c r="VAY11" s="4"/>
      <c r="VAZ11" s="4"/>
      <c r="VBA11" s="4"/>
      <c r="VBD11" s="34"/>
      <c r="VBE11" s="34"/>
      <c r="VBG11" s="34"/>
      <c r="VBH11" s="72"/>
      <c r="VBI11" s="63"/>
      <c r="VBJ11" s="34"/>
      <c r="VBK11" s="64"/>
      <c r="VBL11" s="4"/>
      <c r="VBM11" s="65"/>
      <c r="VBN11" s="4"/>
      <c r="VBO11" s="4"/>
      <c r="VBP11" s="4"/>
      <c r="VBS11" s="34"/>
      <c r="VBT11" s="34"/>
      <c r="VBV11" s="34"/>
      <c r="VBW11" s="72"/>
      <c r="VBX11" s="63"/>
      <c r="VBY11" s="34"/>
      <c r="VBZ11" s="64"/>
      <c r="VCA11" s="4"/>
      <c r="VCB11" s="65"/>
      <c r="VCC11" s="4"/>
      <c r="VCD11" s="4"/>
      <c r="VCE11" s="4"/>
      <c r="VCH11" s="34"/>
      <c r="VCI11" s="34"/>
      <c r="VCK11" s="34"/>
      <c r="VCL11" s="72"/>
      <c r="VCM11" s="63"/>
      <c r="VCN11" s="34"/>
      <c r="VCO11" s="64"/>
      <c r="VCP11" s="4"/>
      <c r="VCQ11" s="65"/>
      <c r="VCR11" s="4"/>
      <c r="VCS11" s="4"/>
      <c r="VCT11" s="4"/>
      <c r="VCW11" s="34"/>
      <c r="VCX11" s="34"/>
      <c r="VCZ11" s="34"/>
      <c r="VDA11" s="72"/>
      <c r="VDB11" s="63"/>
      <c r="VDC11" s="34"/>
      <c r="VDD11" s="64"/>
      <c r="VDE11" s="4"/>
      <c r="VDF11" s="65"/>
      <c r="VDG11" s="4"/>
      <c r="VDH11" s="4"/>
      <c r="VDI11" s="4"/>
      <c r="VDL11" s="34"/>
      <c r="VDM11" s="34"/>
      <c r="VDO11" s="34"/>
      <c r="VDP11" s="72"/>
      <c r="VDQ11" s="63"/>
      <c r="VDR11" s="34"/>
      <c r="VDS11" s="64"/>
      <c r="VDT11" s="4"/>
      <c r="VDU11" s="65"/>
      <c r="VDV11" s="4"/>
      <c r="VDW11" s="4"/>
      <c r="VDX11" s="4"/>
      <c r="VEA11" s="34"/>
      <c r="VEB11" s="34"/>
      <c r="VED11" s="34"/>
      <c r="VEE11" s="72"/>
      <c r="VEF11" s="63"/>
      <c r="VEG11" s="34"/>
      <c r="VEH11" s="64"/>
      <c r="VEI11" s="4"/>
      <c r="VEJ11" s="65"/>
      <c r="VEK11" s="4"/>
      <c r="VEL11" s="4"/>
      <c r="VEM11" s="4"/>
      <c r="VEP11" s="34"/>
      <c r="VEQ11" s="34"/>
      <c r="VES11" s="34"/>
      <c r="VET11" s="72"/>
      <c r="VEU11" s="63"/>
      <c r="VEV11" s="34"/>
      <c r="VEW11" s="64"/>
      <c r="VEX11" s="4"/>
      <c r="VEY11" s="65"/>
      <c r="VEZ11" s="4"/>
      <c r="VFA11" s="4"/>
      <c r="VFB11" s="4"/>
      <c r="VFE11" s="34"/>
      <c r="VFF11" s="34"/>
      <c r="VFH11" s="34"/>
      <c r="VFI11" s="72"/>
      <c r="VFJ11" s="63"/>
      <c r="VFK11" s="34"/>
      <c r="VFL11" s="64"/>
      <c r="VFM11" s="4"/>
      <c r="VFN11" s="65"/>
      <c r="VFO11" s="4"/>
      <c r="VFP11" s="4"/>
      <c r="VFQ11" s="4"/>
      <c r="VFT11" s="34"/>
      <c r="VFU11" s="34"/>
      <c r="VFW11" s="34"/>
      <c r="VFX11" s="72"/>
      <c r="VFY11" s="63"/>
      <c r="VFZ11" s="34"/>
      <c r="VGA11" s="64"/>
      <c r="VGB11" s="4"/>
      <c r="VGC11" s="65"/>
      <c r="VGD11" s="4"/>
      <c r="VGE11" s="4"/>
      <c r="VGF11" s="4"/>
      <c r="VGI11" s="34"/>
      <c r="VGJ11" s="34"/>
      <c r="VGL11" s="34"/>
      <c r="VGM11" s="72"/>
      <c r="VGN11" s="63"/>
      <c r="VGO11" s="34"/>
      <c r="VGP11" s="64"/>
      <c r="VGQ11" s="4"/>
      <c r="VGR11" s="65"/>
      <c r="VGS11" s="4"/>
      <c r="VGT11" s="4"/>
      <c r="VGU11" s="4"/>
      <c r="VGX11" s="34"/>
      <c r="VGY11" s="34"/>
      <c r="VHA11" s="34"/>
      <c r="VHB11" s="72"/>
      <c r="VHC11" s="63"/>
      <c r="VHD11" s="34"/>
      <c r="VHE11" s="64"/>
      <c r="VHF11" s="4"/>
      <c r="VHG11" s="65"/>
      <c r="VHH11" s="4"/>
      <c r="VHI11" s="4"/>
      <c r="VHJ11" s="4"/>
      <c r="VHM11" s="34"/>
      <c r="VHN11" s="34"/>
      <c r="VHP11" s="34"/>
      <c r="VHQ11" s="72"/>
      <c r="VHR11" s="63"/>
      <c r="VHS11" s="34"/>
      <c r="VHT11" s="64"/>
      <c r="VHU11" s="4"/>
      <c r="VHV11" s="65"/>
      <c r="VHW11" s="4"/>
      <c r="VHX11" s="4"/>
      <c r="VHY11" s="4"/>
      <c r="VIB11" s="34"/>
      <c r="VIC11" s="34"/>
      <c r="VIE11" s="34"/>
      <c r="VIF11" s="72"/>
      <c r="VIG11" s="63"/>
      <c r="VIH11" s="34"/>
      <c r="VII11" s="64"/>
      <c r="VIJ11" s="4"/>
      <c r="VIK11" s="65"/>
      <c r="VIL11" s="4"/>
      <c r="VIM11" s="4"/>
      <c r="VIN11" s="4"/>
      <c r="VIQ11" s="34"/>
      <c r="VIR11" s="34"/>
      <c r="VIT11" s="34"/>
      <c r="VIU11" s="72"/>
      <c r="VIV11" s="63"/>
      <c r="VIW11" s="34"/>
      <c r="VIX11" s="64"/>
      <c r="VIY11" s="4"/>
      <c r="VIZ11" s="65"/>
      <c r="VJA11" s="4"/>
      <c r="VJB11" s="4"/>
      <c r="VJC11" s="4"/>
      <c r="VJF11" s="34"/>
      <c r="VJG11" s="34"/>
      <c r="VJI11" s="34"/>
      <c r="VJJ11" s="72"/>
      <c r="VJK11" s="63"/>
      <c r="VJL11" s="34"/>
      <c r="VJM11" s="64"/>
      <c r="VJN11" s="4"/>
      <c r="VJO11" s="65"/>
      <c r="VJP11" s="4"/>
      <c r="VJQ11" s="4"/>
      <c r="VJR11" s="4"/>
      <c r="VJU11" s="34"/>
      <c r="VJV11" s="34"/>
      <c r="VJX11" s="34"/>
      <c r="VJY11" s="72"/>
      <c r="VJZ11" s="63"/>
      <c r="VKA11" s="34"/>
      <c r="VKB11" s="64"/>
      <c r="VKC11" s="4"/>
      <c r="VKD11" s="65"/>
      <c r="VKE11" s="4"/>
      <c r="VKF11" s="4"/>
      <c r="VKG11" s="4"/>
      <c r="VKJ11" s="34"/>
      <c r="VKK11" s="34"/>
      <c r="VKM11" s="34"/>
      <c r="VKN11" s="72"/>
      <c r="VKO11" s="63"/>
      <c r="VKP11" s="34"/>
      <c r="VKQ11" s="64"/>
      <c r="VKR11" s="4"/>
      <c r="VKS11" s="65"/>
      <c r="VKT11" s="4"/>
      <c r="VKU11" s="4"/>
      <c r="VKV11" s="4"/>
      <c r="VKY11" s="34"/>
      <c r="VKZ11" s="34"/>
      <c r="VLB11" s="34"/>
      <c r="VLC11" s="72"/>
      <c r="VLD11" s="63"/>
      <c r="VLE11" s="34"/>
      <c r="VLF11" s="64"/>
      <c r="VLG11" s="4"/>
      <c r="VLH11" s="65"/>
      <c r="VLI11" s="4"/>
      <c r="VLJ11" s="4"/>
      <c r="VLK11" s="4"/>
      <c r="VLN11" s="34"/>
      <c r="VLO11" s="34"/>
      <c r="VLQ11" s="34"/>
      <c r="VLR11" s="72"/>
      <c r="VLS11" s="63"/>
      <c r="VLT11" s="34"/>
      <c r="VLU11" s="64"/>
      <c r="VLV11" s="4"/>
      <c r="VLW11" s="65"/>
      <c r="VLX11" s="4"/>
      <c r="VLY11" s="4"/>
      <c r="VLZ11" s="4"/>
      <c r="VMC11" s="34"/>
      <c r="VMD11" s="34"/>
      <c r="VMF11" s="34"/>
      <c r="VMG11" s="72"/>
      <c r="VMH11" s="63"/>
      <c r="VMI11" s="34"/>
      <c r="VMJ11" s="64"/>
      <c r="VMK11" s="4"/>
      <c r="VML11" s="65"/>
      <c r="VMM11" s="4"/>
      <c r="VMN11" s="4"/>
      <c r="VMO11" s="4"/>
      <c r="VMR11" s="34"/>
      <c r="VMS11" s="34"/>
      <c r="VMU11" s="34"/>
      <c r="VMV11" s="72"/>
      <c r="VMW11" s="63"/>
      <c r="VMX11" s="34"/>
      <c r="VMY11" s="64"/>
      <c r="VMZ11" s="4"/>
      <c r="VNA11" s="65"/>
      <c r="VNB11" s="4"/>
      <c r="VNC11" s="4"/>
      <c r="VND11" s="4"/>
      <c r="VNG11" s="34"/>
      <c r="VNH11" s="34"/>
      <c r="VNJ11" s="34"/>
      <c r="VNK11" s="72"/>
      <c r="VNL11" s="63"/>
      <c r="VNM11" s="34"/>
      <c r="VNN11" s="64"/>
      <c r="VNO11" s="4"/>
      <c r="VNP11" s="65"/>
      <c r="VNQ11" s="4"/>
      <c r="VNR11" s="4"/>
      <c r="VNS11" s="4"/>
      <c r="VNV11" s="34"/>
      <c r="VNW11" s="34"/>
      <c r="VNY11" s="34"/>
      <c r="VNZ11" s="72"/>
      <c r="VOA11" s="63"/>
      <c r="VOB11" s="34"/>
      <c r="VOC11" s="64"/>
      <c r="VOD11" s="4"/>
      <c r="VOE11" s="65"/>
      <c r="VOF11" s="4"/>
      <c r="VOG11" s="4"/>
      <c r="VOH11" s="4"/>
      <c r="VOK11" s="34"/>
      <c r="VOL11" s="34"/>
      <c r="VON11" s="34"/>
      <c r="VOO11" s="72"/>
      <c r="VOP11" s="63"/>
      <c r="VOQ11" s="34"/>
      <c r="VOR11" s="64"/>
      <c r="VOS11" s="4"/>
      <c r="VOT11" s="65"/>
      <c r="VOU11" s="4"/>
      <c r="VOV11" s="4"/>
      <c r="VOW11" s="4"/>
      <c r="VOZ11" s="34"/>
      <c r="VPA11" s="34"/>
      <c r="VPC11" s="34"/>
      <c r="VPD11" s="72"/>
      <c r="VPE11" s="63"/>
      <c r="VPF11" s="34"/>
      <c r="VPG11" s="64"/>
      <c r="VPH11" s="4"/>
      <c r="VPI11" s="65"/>
      <c r="VPJ11" s="4"/>
      <c r="VPK11" s="4"/>
      <c r="VPL11" s="4"/>
      <c r="VPO11" s="34"/>
      <c r="VPP11" s="34"/>
      <c r="VPR11" s="34"/>
      <c r="VPS11" s="72"/>
      <c r="VPT11" s="63"/>
      <c r="VPU11" s="34"/>
      <c r="VPV11" s="64"/>
      <c r="VPW11" s="4"/>
      <c r="VPX11" s="65"/>
      <c r="VPY11" s="4"/>
      <c r="VPZ11" s="4"/>
      <c r="VQA11" s="4"/>
      <c r="VQD11" s="34"/>
      <c r="VQE11" s="34"/>
      <c r="VQG11" s="34"/>
      <c r="VQH11" s="72"/>
      <c r="VQI11" s="63"/>
      <c r="VQJ11" s="34"/>
      <c r="VQK11" s="64"/>
      <c r="VQL11" s="4"/>
      <c r="VQM11" s="65"/>
      <c r="VQN11" s="4"/>
      <c r="VQO11" s="4"/>
      <c r="VQP11" s="4"/>
      <c r="VQS11" s="34"/>
      <c r="VQT11" s="34"/>
      <c r="VQV11" s="34"/>
      <c r="VQW11" s="72"/>
      <c r="VQX11" s="63"/>
      <c r="VQY11" s="34"/>
      <c r="VQZ11" s="64"/>
      <c r="VRA11" s="4"/>
      <c r="VRB11" s="65"/>
      <c r="VRC11" s="4"/>
      <c r="VRD11" s="4"/>
      <c r="VRE11" s="4"/>
      <c r="VRH11" s="34"/>
      <c r="VRI11" s="34"/>
      <c r="VRK11" s="34"/>
      <c r="VRL11" s="72"/>
      <c r="VRM11" s="63"/>
      <c r="VRN11" s="34"/>
      <c r="VRO11" s="64"/>
      <c r="VRP11" s="4"/>
      <c r="VRQ11" s="65"/>
      <c r="VRR11" s="4"/>
      <c r="VRS11" s="4"/>
      <c r="VRT11" s="4"/>
      <c r="VRW11" s="34"/>
      <c r="VRX11" s="34"/>
      <c r="VRZ11" s="34"/>
      <c r="VSA11" s="72"/>
      <c r="VSB11" s="63"/>
      <c r="VSC11" s="34"/>
      <c r="VSD11" s="64"/>
      <c r="VSE11" s="4"/>
      <c r="VSF11" s="65"/>
      <c r="VSG11" s="4"/>
      <c r="VSH11" s="4"/>
      <c r="VSI11" s="4"/>
      <c r="VSL11" s="34"/>
      <c r="VSM11" s="34"/>
      <c r="VSO11" s="34"/>
      <c r="VSP11" s="72"/>
      <c r="VSQ11" s="63"/>
      <c r="VSR11" s="34"/>
      <c r="VSS11" s="64"/>
      <c r="VST11" s="4"/>
      <c r="VSU11" s="65"/>
      <c r="VSV11" s="4"/>
      <c r="VSW11" s="4"/>
      <c r="VSX11" s="4"/>
      <c r="VTA11" s="34"/>
      <c r="VTB11" s="34"/>
      <c r="VTD11" s="34"/>
      <c r="VTE11" s="72"/>
      <c r="VTF11" s="63"/>
      <c r="VTG11" s="34"/>
      <c r="VTH11" s="64"/>
      <c r="VTI11" s="4"/>
      <c r="VTJ11" s="65"/>
      <c r="VTK11" s="4"/>
      <c r="VTL11" s="4"/>
      <c r="VTM11" s="4"/>
      <c r="VTP11" s="34"/>
      <c r="VTQ11" s="34"/>
      <c r="VTS11" s="34"/>
      <c r="VTT11" s="72"/>
      <c r="VTU11" s="63"/>
      <c r="VTV11" s="34"/>
      <c r="VTW11" s="64"/>
      <c r="VTX11" s="4"/>
      <c r="VTY11" s="65"/>
      <c r="VTZ11" s="4"/>
      <c r="VUA11" s="4"/>
      <c r="VUB11" s="4"/>
      <c r="VUE11" s="34"/>
      <c r="VUF11" s="34"/>
      <c r="VUH11" s="34"/>
      <c r="VUI11" s="72"/>
      <c r="VUJ11" s="63"/>
      <c r="VUK11" s="34"/>
      <c r="VUL11" s="64"/>
      <c r="VUM11" s="4"/>
      <c r="VUN11" s="65"/>
      <c r="VUO11" s="4"/>
      <c r="VUP11" s="4"/>
      <c r="VUQ11" s="4"/>
      <c r="VUT11" s="34"/>
      <c r="VUU11" s="34"/>
      <c r="VUW11" s="34"/>
      <c r="VUX11" s="72"/>
      <c r="VUY11" s="63"/>
      <c r="VUZ11" s="34"/>
      <c r="VVA11" s="64"/>
      <c r="VVB11" s="4"/>
      <c r="VVC11" s="65"/>
      <c r="VVD11" s="4"/>
      <c r="VVE11" s="4"/>
      <c r="VVF11" s="4"/>
      <c r="VVI11" s="34"/>
      <c r="VVJ11" s="34"/>
      <c r="VVL11" s="34"/>
      <c r="VVM11" s="72"/>
      <c r="VVN11" s="63"/>
      <c r="VVO11" s="34"/>
      <c r="VVP11" s="64"/>
      <c r="VVQ11" s="4"/>
      <c r="VVR11" s="65"/>
      <c r="VVS11" s="4"/>
      <c r="VVT11" s="4"/>
      <c r="VVU11" s="4"/>
      <c r="VVX11" s="34"/>
      <c r="VVY11" s="34"/>
      <c r="VWA11" s="34"/>
      <c r="VWB11" s="72"/>
      <c r="VWC11" s="63"/>
      <c r="VWD11" s="34"/>
      <c r="VWE11" s="64"/>
      <c r="VWF11" s="4"/>
      <c r="VWG11" s="65"/>
      <c r="VWH11" s="4"/>
      <c r="VWI11" s="4"/>
      <c r="VWJ11" s="4"/>
      <c r="VWM11" s="34"/>
      <c r="VWN11" s="34"/>
      <c r="VWP11" s="34"/>
      <c r="VWQ11" s="72"/>
      <c r="VWR11" s="63"/>
      <c r="VWS11" s="34"/>
      <c r="VWT11" s="64"/>
      <c r="VWU11" s="4"/>
      <c r="VWV11" s="65"/>
      <c r="VWW11" s="4"/>
      <c r="VWX11" s="4"/>
      <c r="VWY11" s="4"/>
      <c r="VXB11" s="34"/>
      <c r="VXC11" s="34"/>
      <c r="VXE11" s="34"/>
      <c r="VXF11" s="72"/>
      <c r="VXG11" s="63"/>
      <c r="VXH11" s="34"/>
      <c r="VXI11" s="64"/>
      <c r="VXJ11" s="4"/>
      <c r="VXK11" s="65"/>
      <c r="VXL11" s="4"/>
      <c r="VXM11" s="4"/>
      <c r="VXN11" s="4"/>
      <c r="VXQ11" s="34"/>
      <c r="VXR11" s="34"/>
      <c r="VXT11" s="34"/>
      <c r="VXU11" s="72"/>
      <c r="VXV11" s="63"/>
      <c r="VXW11" s="34"/>
      <c r="VXX11" s="64"/>
      <c r="VXY11" s="4"/>
      <c r="VXZ11" s="65"/>
      <c r="VYA11" s="4"/>
      <c r="VYB11" s="4"/>
      <c r="VYC11" s="4"/>
      <c r="VYF11" s="34"/>
      <c r="VYG11" s="34"/>
      <c r="VYI11" s="34"/>
      <c r="VYJ11" s="72"/>
      <c r="VYK11" s="63"/>
      <c r="VYL11" s="34"/>
      <c r="VYM11" s="64"/>
      <c r="VYN11" s="4"/>
      <c r="VYO11" s="65"/>
      <c r="VYP11" s="4"/>
      <c r="VYQ11" s="4"/>
      <c r="VYR11" s="4"/>
      <c r="VYU11" s="34"/>
      <c r="VYV11" s="34"/>
      <c r="VYX11" s="34"/>
      <c r="VYY11" s="72"/>
      <c r="VYZ11" s="63"/>
      <c r="VZA11" s="34"/>
      <c r="VZB11" s="64"/>
      <c r="VZC11" s="4"/>
      <c r="VZD11" s="65"/>
      <c r="VZE11" s="4"/>
      <c r="VZF11" s="4"/>
      <c r="VZG11" s="4"/>
      <c r="VZJ11" s="34"/>
      <c r="VZK11" s="34"/>
      <c r="VZM11" s="34"/>
      <c r="VZN11" s="72"/>
      <c r="VZO11" s="63"/>
      <c r="VZP11" s="34"/>
      <c r="VZQ11" s="64"/>
      <c r="VZR11" s="4"/>
      <c r="VZS11" s="65"/>
      <c r="VZT11" s="4"/>
      <c r="VZU11" s="4"/>
      <c r="VZV11" s="4"/>
      <c r="VZY11" s="34"/>
      <c r="VZZ11" s="34"/>
      <c r="WAB11" s="34"/>
      <c r="WAC11" s="72"/>
      <c r="WAD11" s="63"/>
      <c r="WAE11" s="34"/>
      <c r="WAF11" s="64"/>
      <c r="WAG11" s="4"/>
      <c r="WAH11" s="65"/>
      <c r="WAI11" s="4"/>
      <c r="WAJ11" s="4"/>
      <c r="WAK11" s="4"/>
      <c r="WAN11" s="34"/>
      <c r="WAO11" s="34"/>
      <c r="WAQ11" s="34"/>
      <c r="WAR11" s="72"/>
      <c r="WAS11" s="63"/>
      <c r="WAT11" s="34"/>
      <c r="WAU11" s="64"/>
      <c r="WAV11" s="4"/>
      <c r="WAW11" s="65"/>
      <c r="WAX11" s="4"/>
      <c r="WAY11" s="4"/>
      <c r="WAZ11" s="4"/>
      <c r="WBC11" s="34"/>
      <c r="WBD11" s="34"/>
      <c r="WBF11" s="34"/>
      <c r="WBG11" s="72"/>
      <c r="WBH11" s="63"/>
      <c r="WBI11" s="34"/>
      <c r="WBJ11" s="64"/>
      <c r="WBK11" s="4"/>
      <c r="WBL11" s="65"/>
      <c r="WBM11" s="4"/>
      <c r="WBN11" s="4"/>
      <c r="WBO11" s="4"/>
      <c r="WBR11" s="34"/>
      <c r="WBS11" s="34"/>
      <c r="WBU11" s="34"/>
      <c r="WBV11" s="72"/>
      <c r="WBW11" s="63"/>
      <c r="WBX11" s="34"/>
      <c r="WBY11" s="64"/>
      <c r="WBZ11" s="4"/>
      <c r="WCA11" s="65"/>
      <c r="WCB11" s="4"/>
      <c r="WCC11" s="4"/>
      <c r="WCD11" s="4"/>
      <c r="WCG11" s="34"/>
      <c r="WCH11" s="34"/>
      <c r="WCJ11" s="34"/>
      <c r="WCK11" s="72"/>
      <c r="WCL11" s="63"/>
      <c r="WCM11" s="34"/>
      <c r="WCN11" s="64"/>
      <c r="WCO11" s="4"/>
      <c r="WCP11" s="65"/>
      <c r="WCQ11" s="4"/>
      <c r="WCR11" s="4"/>
      <c r="WCS11" s="4"/>
      <c r="WCV11" s="34"/>
      <c r="WCW11" s="34"/>
      <c r="WCY11" s="34"/>
      <c r="WCZ11" s="72"/>
      <c r="WDA11" s="63"/>
      <c r="WDB11" s="34"/>
      <c r="WDC11" s="64"/>
      <c r="WDD11" s="4"/>
      <c r="WDE11" s="65"/>
      <c r="WDF11" s="4"/>
      <c r="WDG11" s="4"/>
      <c r="WDH11" s="4"/>
      <c r="WDK11" s="34"/>
      <c r="WDL11" s="34"/>
      <c r="WDN11" s="34"/>
      <c r="WDO11" s="72"/>
      <c r="WDP11" s="63"/>
      <c r="WDQ11" s="34"/>
      <c r="WDR11" s="64"/>
      <c r="WDS11" s="4"/>
      <c r="WDT11" s="65"/>
      <c r="WDU11" s="4"/>
      <c r="WDV11" s="4"/>
      <c r="WDW11" s="4"/>
      <c r="WDZ11" s="34"/>
      <c r="WEA11" s="34"/>
      <c r="WEC11" s="34"/>
      <c r="WED11" s="72"/>
      <c r="WEE11" s="63"/>
      <c r="WEF11" s="34"/>
      <c r="WEG11" s="64"/>
      <c r="WEH11" s="4"/>
      <c r="WEI11" s="65"/>
      <c r="WEJ11" s="4"/>
      <c r="WEK11" s="4"/>
      <c r="WEL11" s="4"/>
      <c r="WEO11" s="34"/>
      <c r="WEP11" s="34"/>
      <c r="WER11" s="34"/>
      <c r="WES11" s="72"/>
      <c r="WET11" s="63"/>
      <c r="WEU11" s="34"/>
      <c r="WEV11" s="64"/>
      <c r="WEW11" s="4"/>
      <c r="WEX11" s="65"/>
      <c r="WEY11" s="4"/>
      <c r="WEZ11" s="4"/>
      <c r="WFA11" s="4"/>
      <c r="WFD11" s="34"/>
      <c r="WFE11" s="34"/>
      <c r="WFG11" s="34"/>
      <c r="WFH11" s="72"/>
      <c r="WFI11" s="63"/>
      <c r="WFJ11" s="34"/>
      <c r="WFK11" s="64"/>
      <c r="WFL11" s="4"/>
      <c r="WFM11" s="65"/>
      <c r="WFN11" s="4"/>
      <c r="WFO11" s="4"/>
      <c r="WFP11" s="4"/>
      <c r="WFS11" s="34"/>
      <c r="WFT11" s="34"/>
      <c r="WFV11" s="34"/>
      <c r="WFW11" s="72"/>
      <c r="WFX11" s="63"/>
      <c r="WFY11" s="34"/>
      <c r="WFZ11" s="64"/>
      <c r="WGA11" s="4"/>
      <c r="WGB11" s="65"/>
      <c r="WGC11" s="4"/>
      <c r="WGD11" s="4"/>
      <c r="WGE11" s="4"/>
      <c r="WGH11" s="34"/>
      <c r="WGI11" s="34"/>
      <c r="WGK11" s="34"/>
      <c r="WGL11" s="72"/>
      <c r="WGM11" s="63"/>
      <c r="WGN11" s="34"/>
      <c r="WGO11" s="64"/>
      <c r="WGP11" s="4"/>
      <c r="WGQ11" s="65"/>
      <c r="WGR11" s="4"/>
      <c r="WGS11" s="4"/>
      <c r="WGT11" s="4"/>
      <c r="WGW11" s="34"/>
      <c r="WGX11" s="34"/>
      <c r="WGZ11" s="34"/>
      <c r="WHA11" s="72"/>
      <c r="WHB11" s="63"/>
      <c r="WHC11" s="34"/>
      <c r="WHD11" s="64"/>
      <c r="WHE11" s="4"/>
      <c r="WHF11" s="65"/>
      <c r="WHG11" s="4"/>
      <c r="WHH11" s="4"/>
      <c r="WHI11" s="4"/>
      <c r="WHL11" s="34"/>
      <c r="WHM11" s="34"/>
      <c r="WHO11" s="34"/>
      <c r="WHP11" s="72"/>
      <c r="WHQ11" s="63"/>
      <c r="WHR11" s="34"/>
      <c r="WHS11" s="64"/>
      <c r="WHT11" s="4"/>
      <c r="WHU11" s="65"/>
      <c r="WHV11" s="4"/>
      <c r="WHW11" s="4"/>
      <c r="WHX11" s="4"/>
      <c r="WIA11" s="34"/>
      <c r="WIB11" s="34"/>
      <c r="WID11" s="34"/>
      <c r="WIE11" s="72"/>
      <c r="WIF11" s="63"/>
      <c r="WIG11" s="34"/>
      <c r="WIH11" s="64"/>
      <c r="WII11" s="4"/>
      <c r="WIJ11" s="65"/>
      <c r="WIK11" s="4"/>
      <c r="WIL11" s="4"/>
      <c r="WIM11" s="4"/>
      <c r="WIP11" s="34"/>
      <c r="WIQ11" s="34"/>
      <c r="WIS11" s="34"/>
      <c r="WIT11" s="72"/>
      <c r="WIU11" s="63"/>
      <c r="WIV11" s="34"/>
      <c r="WIW11" s="64"/>
      <c r="WIX11" s="4"/>
      <c r="WIY11" s="65"/>
      <c r="WIZ11" s="4"/>
      <c r="WJA11" s="4"/>
      <c r="WJB11" s="4"/>
      <c r="WJE11" s="34"/>
      <c r="WJF11" s="34"/>
      <c r="WJH11" s="34"/>
      <c r="WJI11" s="72"/>
      <c r="WJJ11" s="63"/>
      <c r="WJK11" s="34"/>
      <c r="WJL11" s="64"/>
      <c r="WJM11" s="4"/>
      <c r="WJN11" s="65"/>
      <c r="WJO11" s="4"/>
      <c r="WJP11" s="4"/>
      <c r="WJQ11" s="4"/>
      <c r="WJT11" s="34"/>
      <c r="WJU11" s="34"/>
      <c r="WJW11" s="34"/>
      <c r="WJX11" s="72"/>
      <c r="WJY11" s="63"/>
      <c r="WJZ11" s="34"/>
      <c r="WKA11" s="64"/>
      <c r="WKB11" s="4"/>
      <c r="WKC11" s="65"/>
      <c r="WKD11" s="4"/>
      <c r="WKE11" s="4"/>
      <c r="WKF11" s="4"/>
      <c r="WKI11" s="34"/>
      <c r="WKJ11" s="34"/>
      <c r="WKL11" s="34"/>
      <c r="WKM11" s="72"/>
      <c r="WKN11" s="63"/>
      <c r="WKO11" s="34"/>
      <c r="WKP11" s="64"/>
      <c r="WKQ11" s="4"/>
      <c r="WKR11" s="65"/>
      <c r="WKS11" s="4"/>
      <c r="WKT11" s="4"/>
      <c r="WKU11" s="4"/>
      <c r="WKX11" s="34"/>
      <c r="WKY11" s="34"/>
      <c r="WLA11" s="34"/>
      <c r="WLB11" s="72"/>
      <c r="WLC11" s="63"/>
      <c r="WLD11" s="34"/>
      <c r="WLE11" s="64"/>
      <c r="WLF11" s="4"/>
      <c r="WLG11" s="65"/>
      <c r="WLH11" s="4"/>
      <c r="WLI11" s="4"/>
      <c r="WLJ11" s="4"/>
      <c r="WLM11" s="34"/>
      <c r="WLN11" s="34"/>
      <c r="WLP11" s="34"/>
      <c r="WLQ11" s="72"/>
      <c r="WLR11" s="63"/>
      <c r="WLS11" s="34"/>
      <c r="WLT11" s="64"/>
      <c r="WLU11" s="4"/>
      <c r="WLV11" s="65"/>
      <c r="WLW11" s="4"/>
      <c r="WLX11" s="4"/>
      <c r="WLY11" s="4"/>
      <c r="WMB11" s="34"/>
      <c r="WMC11" s="34"/>
      <c r="WME11" s="34"/>
      <c r="WMF11" s="72"/>
      <c r="WMG11" s="63"/>
      <c r="WMH11" s="34"/>
      <c r="WMI11" s="64"/>
      <c r="WMJ11" s="4"/>
      <c r="WMK11" s="65"/>
      <c r="WML11" s="4"/>
      <c r="WMM11" s="4"/>
      <c r="WMN11" s="4"/>
      <c r="WMQ11" s="34"/>
      <c r="WMR11" s="34"/>
      <c r="WMT11" s="34"/>
      <c r="WMU11" s="72"/>
      <c r="WMV11" s="63"/>
      <c r="WMW11" s="34"/>
      <c r="WMX11" s="64"/>
      <c r="WMY11" s="4"/>
      <c r="WMZ11" s="65"/>
      <c r="WNA11" s="4"/>
      <c r="WNB11" s="4"/>
      <c r="WNC11" s="4"/>
      <c r="WNF11" s="34"/>
      <c r="WNG11" s="34"/>
      <c r="WNI11" s="34"/>
      <c r="WNJ11" s="72"/>
      <c r="WNK11" s="63"/>
      <c r="WNL11" s="34"/>
      <c r="WNM11" s="64"/>
      <c r="WNN11" s="4"/>
      <c r="WNO11" s="65"/>
      <c r="WNP11" s="4"/>
      <c r="WNQ11" s="4"/>
      <c r="WNR11" s="4"/>
      <c r="WNU11" s="34"/>
      <c r="WNV11" s="34"/>
      <c r="WNX11" s="34"/>
      <c r="WNY11" s="72"/>
      <c r="WNZ11" s="63"/>
      <c r="WOA11" s="34"/>
      <c r="WOB11" s="64"/>
      <c r="WOC11" s="4"/>
      <c r="WOD11" s="65"/>
      <c r="WOE11" s="4"/>
      <c r="WOF11" s="4"/>
      <c r="WOG11" s="4"/>
      <c r="WOJ11" s="34"/>
      <c r="WOK11" s="34"/>
      <c r="WOM11" s="34"/>
      <c r="WON11" s="72"/>
      <c r="WOO11" s="63"/>
      <c r="WOP11" s="34"/>
      <c r="WOQ11" s="64"/>
      <c r="WOR11" s="4"/>
      <c r="WOS11" s="65"/>
      <c r="WOT11" s="4"/>
      <c r="WOU11" s="4"/>
      <c r="WOV11" s="4"/>
      <c r="WOY11" s="34"/>
      <c r="WOZ11" s="34"/>
      <c r="WPB11" s="34"/>
      <c r="WPC11" s="72"/>
      <c r="WPD11" s="63"/>
      <c r="WPE11" s="34"/>
      <c r="WPF11" s="64"/>
      <c r="WPG11" s="4"/>
      <c r="WPH11" s="65"/>
      <c r="WPI11" s="4"/>
      <c r="WPJ11" s="4"/>
      <c r="WPK11" s="4"/>
      <c r="WPN11" s="34"/>
      <c r="WPO11" s="34"/>
      <c r="WPQ11" s="34"/>
      <c r="WPR11" s="72"/>
      <c r="WPS11" s="63"/>
      <c r="WPT11" s="34"/>
      <c r="WPU11" s="64"/>
      <c r="WPV11" s="4"/>
      <c r="WPW11" s="65"/>
      <c r="WPX11" s="4"/>
      <c r="WPY11" s="4"/>
      <c r="WPZ11" s="4"/>
      <c r="WQC11" s="34"/>
      <c r="WQD11" s="34"/>
      <c r="WQF11" s="34"/>
      <c r="WQG11" s="72"/>
      <c r="WQH11" s="63"/>
      <c r="WQI11" s="34"/>
      <c r="WQJ11" s="64"/>
      <c r="WQK11" s="4"/>
      <c r="WQL11" s="65"/>
      <c r="WQM11" s="4"/>
      <c r="WQN11" s="4"/>
      <c r="WQO11" s="4"/>
      <c r="WQR11" s="34"/>
      <c r="WQS11" s="34"/>
      <c r="WQU11" s="34"/>
      <c r="WQV11" s="72"/>
      <c r="WQW11" s="63"/>
      <c r="WQX11" s="34"/>
      <c r="WQY11" s="64"/>
      <c r="WQZ11" s="4"/>
      <c r="WRA11" s="65"/>
      <c r="WRB11" s="4"/>
      <c r="WRC11" s="4"/>
      <c r="WRD11" s="4"/>
      <c r="WRG11" s="34"/>
      <c r="WRH11" s="34"/>
      <c r="WRJ11" s="34"/>
      <c r="WRK11" s="72"/>
      <c r="WRL11" s="63"/>
      <c r="WRM11" s="34"/>
      <c r="WRN11" s="64"/>
      <c r="WRO11" s="4"/>
      <c r="WRP11" s="65"/>
      <c r="WRQ11" s="4"/>
      <c r="WRR11" s="4"/>
      <c r="WRS11" s="4"/>
      <c r="WRV11" s="34"/>
      <c r="WRW11" s="34"/>
      <c r="WRY11" s="34"/>
      <c r="WRZ11" s="72"/>
      <c r="WSA11" s="63"/>
      <c r="WSB11" s="34"/>
      <c r="WSC11" s="64"/>
      <c r="WSD11" s="4"/>
      <c r="WSE11" s="65"/>
      <c r="WSF11" s="4"/>
      <c r="WSG11" s="4"/>
      <c r="WSH11" s="4"/>
      <c r="WSK11" s="34"/>
      <c r="WSL11" s="34"/>
      <c r="WSN11" s="34"/>
      <c r="WSO11" s="72"/>
      <c r="WSP11" s="63"/>
      <c r="WSQ11" s="34"/>
      <c r="WSR11" s="64"/>
      <c r="WSS11" s="4"/>
      <c r="WST11" s="65"/>
      <c r="WSU11" s="4"/>
      <c r="WSV11" s="4"/>
      <c r="WSW11" s="4"/>
      <c r="WSZ11" s="34"/>
      <c r="WTA11" s="34"/>
      <c r="WTC11" s="34"/>
      <c r="WTD11" s="72"/>
      <c r="WTE11" s="63"/>
      <c r="WTF11" s="34"/>
      <c r="WTG11" s="64"/>
      <c r="WTH11" s="4"/>
      <c r="WTI11" s="65"/>
      <c r="WTJ11" s="4"/>
      <c r="WTK11" s="4"/>
      <c r="WTL11" s="4"/>
      <c r="WTO11" s="34"/>
      <c r="WTP11" s="34"/>
      <c r="WTR11" s="34"/>
      <c r="WTS11" s="72"/>
      <c r="WTT11" s="63"/>
      <c r="WTU11" s="34"/>
      <c r="WTV11" s="64"/>
      <c r="WTW11" s="4"/>
      <c r="WTX11" s="65"/>
      <c r="WTY11" s="4"/>
      <c r="WTZ11" s="4"/>
      <c r="WUA11" s="4"/>
      <c r="WUD11" s="34"/>
      <c r="WUE11" s="34"/>
      <c r="WUG11" s="34"/>
      <c r="WUH11" s="72"/>
      <c r="WUI11" s="63"/>
      <c r="WUJ11" s="34"/>
      <c r="WUK11" s="64"/>
      <c r="WUL11" s="4"/>
      <c r="WUM11" s="65"/>
      <c r="WUN11" s="4"/>
      <c r="WUO11" s="4"/>
      <c r="WUP11" s="4"/>
      <c r="WUS11" s="34"/>
      <c r="WUT11" s="34"/>
      <c r="WUV11" s="34"/>
      <c r="WUW11" s="72"/>
      <c r="WUX11" s="63"/>
      <c r="WUY11" s="34"/>
      <c r="WUZ11" s="64"/>
      <c r="WVA11" s="4"/>
      <c r="WVB11" s="65"/>
      <c r="WVC11" s="4"/>
      <c r="WVD11" s="4"/>
      <c r="WVE11" s="4"/>
      <c r="WVH11" s="34"/>
      <c r="WVI11" s="34"/>
      <c r="WVK11" s="34"/>
      <c r="WVL11" s="72"/>
      <c r="WVM11" s="63"/>
      <c r="WVN11" s="34"/>
      <c r="WVO11" s="64"/>
      <c r="WVP11" s="4"/>
      <c r="WVQ11" s="65"/>
      <c r="WVR11" s="4"/>
      <c r="WVS11" s="4"/>
      <c r="WVT11" s="4"/>
      <c r="WVW11" s="34"/>
      <c r="WVX11" s="34"/>
      <c r="WVZ11" s="34"/>
      <c r="WWA11" s="72"/>
      <c r="WWB11" s="63"/>
      <c r="WWC11" s="34"/>
      <c r="WWD11" s="64"/>
      <c r="WWE11" s="4"/>
      <c r="WWF11" s="65"/>
      <c r="WWG11" s="4"/>
      <c r="WWH11" s="4"/>
      <c r="WWI11" s="4"/>
      <c r="WWL11" s="34"/>
      <c r="WWM11" s="34"/>
      <c r="WWO11" s="34"/>
      <c r="WWP11" s="72"/>
      <c r="WWQ11" s="63"/>
      <c r="WWR11" s="34"/>
      <c r="WWS11" s="64"/>
      <c r="WWT11" s="4"/>
      <c r="WWU11" s="65"/>
      <c r="WWV11" s="4"/>
      <c r="WWW11" s="4"/>
      <c r="WWX11" s="4"/>
      <c r="WXA11" s="34"/>
      <c r="WXB11" s="34"/>
      <c r="WXD11" s="34"/>
      <c r="WXE11" s="72"/>
      <c r="WXF11" s="63"/>
      <c r="WXG11" s="34"/>
      <c r="WXH11" s="64"/>
      <c r="WXI11" s="4"/>
      <c r="WXJ11" s="65"/>
      <c r="WXK11" s="4"/>
      <c r="WXL11" s="4"/>
      <c r="WXM11" s="4"/>
      <c r="WXP11" s="34"/>
      <c r="WXQ11" s="34"/>
      <c r="WXS11" s="34"/>
      <c r="WXT11" s="72"/>
      <c r="WXU11" s="63"/>
      <c r="WXV11" s="34"/>
      <c r="WXW11" s="64"/>
      <c r="WXX11" s="4"/>
      <c r="WXY11" s="65"/>
      <c r="WXZ11" s="4"/>
      <c r="WYA11" s="4"/>
      <c r="WYB11" s="4"/>
      <c r="WYE11" s="34"/>
      <c r="WYF11" s="34"/>
      <c r="WYH11" s="34"/>
      <c r="WYI11" s="72"/>
      <c r="WYJ11" s="63"/>
      <c r="WYK11" s="34"/>
      <c r="WYL11" s="64"/>
      <c r="WYM11" s="4"/>
      <c r="WYN11" s="65"/>
      <c r="WYO11" s="4"/>
      <c r="WYP11" s="4"/>
      <c r="WYQ11" s="4"/>
      <c r="WYT11" s="34"/>
      <c r="WYU11" s="34"/>
      <c r="WYW11" s="34"/>
      <c r="WYX11" s="72"/>
      <c r="WYY11" s="63"/>
      <c r="WYZ11" s="34"/>
      <c r="WZA11" s="64"/>
      <c r="WZB11" s="4"/>
      <c r="WZC11" s="65"/>
      <c r="WZD11" s="4"/>
      <c r="WZE11" s="4"/>
      <c r="WZF11" s="4"/>
      <c r="WZI11" s="34"/>
      <c r="WZJ11" s="34"/>
      <c r="WZL11" s="34"/>
      <c r="WZM11" s="72"/>
      <c r="WZN11" s="63"/>
      <c r="WZO11" s="34"/>
      <c r="WZP11" s="64"/>
      <c r="WZQ11" s="4"/>
      <c r="WZR11" s="65"/>
      <c r="WZS11" s="4"/>
      <c r="WZT11" s="4"/>
      <c r="WZU11" s="4"/>
      <c r="WZX11" s="34"/>
      <c r="WZY11" s="34"/>
      <c r="XAA11" s="34"/>
      <c r="XAB11" s="72"/>
      <c r="XAC11" s="63"/>
      <c r="XAD11" s="34"/>
      <c r="XAE11" s="64"/>
      <c r="XAF11" s="4"/>
      <c r="XAG11" s="65"/>
      <c r="XAH11" s="4"/>
      <c r="XAI11" s="4"/>
      <c r="XAJ11" s="4"/>
      <c r="XAM11" s="34"/>
      <c r="XAN11" s="34"/>
      <c r="XAP11" s="34"/>
      <c r="XAQ11" s="72"/>
      <c r="XAR11" s="63"/>
      <c r="XAS11" s="34"/>
      <c r="XAT11" s="64"/>
      <c r="XAU11" s="4"/>
      <c r="XAV11" s="65"/>
      <c r="XAW11" s="4"/>
      <c r="XAX11" s="4"/>
      <c r="XAY11" s="4"/>
      <c r="XBB11" s="34"/>
      <c r="XBC11" s="34"/>
      <c r="XBE11" s="34"/>
      <c r="XBF11" s="72"/>
      <c r="XBG11" s="63"/>
      <c r="XBH11" s="34"/>
      <c r="XBI11" s="64"/>
      <c r="XBJ11" s="4"/>
      <c r="XBK11" s="65"/>
      <c r="XBL11" s="4"/>
      <c r="XBM11" s="4"/>
      <c r="XBN11" s="4"/>
      <c r="XBQ11" s="34"/>
      <c r="XBR11" s="34"/>
      <c r="XBT11" s="34"/>
      <c r="XBU11" s="72"/>
      <c r="XBV11" s="63"/>
      <c r="XBW11" s="34"/>
      <c r="XBX11" s="64"/>
      <c r="XBY11" s="4"/>
      <c r="XBZ11" s="65"/>
      <c r="XCA11" s="4"/>
      <c r="XCB11" s="4"/>
      <c r="XCC11" s="4"/>
      <c r="XCF11" s="34"/>
      <c r="XCG11" s="34"/>
      <c r="XCI11" s="34"/>
      <c r="XCJ11" s="72"/>
      <c r="XCK11" s="63"/>
      <c r="XCL11" s="34"/>
      <c r="XCM11" s="64"/>
      <c r="XCN11" s="4"/>
      <c r="XCO11" s="65"/>
      <c r="XCP11" s="4"/>
      <c r="XCQ11" s="4"/>
      <c r="XCR11" s="4"/>
      <c r="XCU11" s="34"/>
      <c r="XCV11" s="34"/>
      <c r="XCX11" s="34"/>
      <c r="XCY11" s="72"/>
      <c r="XCZ11" s="63"/>
      <c r="XDA11" s="34"/>
      <c r="XDB11" s="64"/>
      <c r="XDC11" s="4"/>
      <c r="XDD11" s="65"/>
      <c r="XDE11" s="4"/>
      <c r="XDF11" s="4"/>
      <c r="XDG11" s="4"/>
      <c r="XDJ11" s="34"/>
      <c r="XDK11" s="34"/>
      <c r="XDM11" s="34"/>
      <c r="XDN11" s="72"/>
      <c r="XDO11" s="63"/>
      <c r="XDP11" s="34"/>
      <c r="XDQ11" s="64"/>
      <c r="XDR11" s="4"/>
      <c r="XDS11" s="65"/>
      <c r="XDT11" s="4"/>
      <c r="XDU11" s="4"/>
      <c r="XDV11" s="4"/>
      <c r="XDY11" s="34"/>
      <c r="XDZ11" s="34"/>
      <c r="XEB11" s="34"/>
      <c r="XEC11" s="72"/>
      <c r="XED11" s="63"/>
      <c r="XEE11" s="34"/>
      <c r="XEF11" s="64"/>
      <c r="XEG11" s="4"/>
      <c r="XEH11" s="65"/>
      <c r="XEI11" s="4"/>
      <c r="XEJ11" s="4"/>
      <c r="XEK11" s="4"/>
      <c r="XEN11" s="34"/>
      <c r="XEO11" s="34"/>
      <c r="XEQ11" s="34"/>
      <c r="XER11" s="72"/>
      <c r="XES11" s="63"/>
      <c r="XET11" s="34"/>
      <c r="XEU11" s="64"/>
      <c r="XEV11" s="4"/>
      <c r="XEW11" s="65"/>
      <c r="XEX11" s="4"/>
      <c r="XEY11" s="4"/>
      <c r="XEZ11" s="4"/>
      <c r="XFC11" s="34"/>
      <c r="XFD11" s="34"/>
    </row>
    <row r="12" spans="1:1024 1026:4095 4098:5119 5121:8190 8193:15360 15363:16384" x14ac:dyDescent="0.3">
      <c r="A12">
        <v>0</v>
      </c>
      <c r="B12">
        <v>0</v>
      </c>
      <c r="C12" s="34">
        <v>0.45822411085487663</v>
      </c>
      <c r="D12" s="34">
        <v>0.56075228262529886</v>
      </c>
      <c r="E12">
        <v>6</v>
      </c>
      <c r="F12" s="63">
        <v>1.9300000000000001E-3</v>
      </c>
      <c r="G12" s="90">
        <v>0.12788411085487605</v>
      </c>
      <c r="H12" s="34">
        <v>0.12133504964882173</v>
      </c>
      <c r="I12" s="34">
        <v>0.59880239520958078</v>
      </c>
      <c r="J12" s="64">
        <v>0.61842105263157898</v>
      </c>
      <c r="K12" s="4">
        <v>0.55294117647058827</v>
      </c>
      <c r="L12" s="65">
        <v>0.58385093167701863</v>
      </c>
      <c r="M12" s="4">
        <v>0.58241758241758246</v>
      </c>
      <c r="N12" s="4">
        <v>0.64634146341463417</v>
      </c>
      <c r="O12" s="4">
        <v>0.61271676300578037</v>
      </c>
      <c r="R12" s="34"/>
      <c r="S12" s="34"/>
      <c r="U12" s="34"/>
      <c r="V12" s="72"/>
      <c r="W12" s="63"/>
      <c r="X12" s="34"/>
      <c r="Y12" s="64"/>
      <c r="Z12" s="4"/>
      <c r="AA12" s="65"/>
      <c r="AB12" s="4"/>
      <c r="AC12" s="4"/>
      <c r="AD12" s="4"/>
      <c r="AG12" s="34"/>
      <c r="AH12" s="34"/>
      <c r="AJ12" s="34"/>
      <c r="AK12" s="72"/>
      <c r="AL12" s="63"/>
      <c r="AM12" s="34"/>
      <c r="AN12" s="64"/>
      <c r="AO12" s="4"/>
      <c r="AP12" s="65"/>
      <c r="AQ12" s="4"/>
      <c r="AR12" s="4"/>
      <c r="AS12" s="4"/>
      <c r="AV12" s="34"/>
      <c r="AW12" s="34"/>
      <c r="AY12" s="34"/>
      <c r="AZ12" s="72"/>
      <c r="BA12" s="63"/>
      <c r="BB12" s="34"/>
      <c r="BC12" s="64"/>
      <c r="BD12" s="4"/>
      <c r="BE12" s="65"/>
      <c r="BF12" s="4"/>
      <c r="BG12" s="4"/>
      <c r="BH12" s="4"/>
      <c r="BK12" s="34"/>
      <c r="BL12" s="34"/>
      <c r="BN12" s="34"/>
      <c r="BO12" s="72"/>
      <c r="BP12" s="63"/>
      <c r="BQ12" s="34"/>
      <c r="BR12" s="64"/>
      <c r="BS12" s="4"/>
      <c r="BT12" s="65"/>
      <c r="BU12" s="4"/>
      <c r="BV12" s="4"/>
      <c r="BW12" s="4"/>
      <c r="BZ12" s="34"/>
      <c r="CA12" s="34"/>
      <c r="CC12" s="34"/>
      <c r="CD12" s="72"/>
      <c r="CE12" s="63"/>
      <c r="CF12" s="34"/>
      <c r="CG12" s="64"/>
      <c r="CH12" s="4"/>
      <c r="CI12" s="65"/>
      <c r="CJ12" s="4"/>
      <c r="CK12" s="4"/>
      <c r="CL12" s="4"/>
      <c r="CO12" s="34"/>
      <c r="CP12" s="34"/>
      <c r="CR12" s="34"/>
      <c r="CS12" s="72"/>
      <c r="CT12" s="63"/>
      <c r="CU12" s="34"/>
      <c r="CV12" s="64"/>
      <c r="CW12" s="4"/>
      <c r="CX12" s="65"/>
      <c r="CY12" s="4"/>
      <c r="CZ12" s="4"/>
      <c r="DA12" s="4"/>
      <c r="DD12" s="34"/>
      <c r="DE12" s="34"/>
      <c r="DG12" s="34"/>
      <c r="DH12" s="72"/>
      <c r="DI12" s="63"/>
      <c r="DJ12" s="34"/>
      <c r="DK12" s="64"/>
      <c r="DL12" s="4"/>
      <c r="DM12" s="65"/>
      <c r="DN12" s="4"/>
      <c r="DO12" s="4"/>
      <c r="DP12" s="4"/>
      <c r="DS12" s="34"/>
      <c r="DT12" s="34"/>
      <c r="DV12" s="34"/>
      <c r="DW12" s="72"/>
      <c r="DX12" s="63"/>
      <c r="DY12" s="34"/>
      <c r="DZ12" s="64"/>
      <c r="EA12" s="4"/>
      <c r="EB12" s="65"/>
      <c r="EC12" s="4"/>
      <c r="ED12" s="4"/>
      <c r="EE12" s="4"/>
      <c r="EH12" s="34"/>
      <c r="EI12" s="34"/>
      <c r="EK12" s="34"/>
      <c r="EL12" s="72"/>
      <c r="EM12" s="63"/>
      <c r="EN12" s="34"/>
      <c r="EO12" s="64"/>
      <c r="EP12" s="4"/>
      <c r="EQ12" s="65"/>
      <c r="ER12" s="4"/>
      <c r="ES12" s="4"/>
      <c r="ET12" s="4"/>
      <c r="EW12" s="34"/>
      <c r="EX12" s="34"/>
      <c r="EZ12" s="34"/>
      <c r="FA12" s="72"/>
      <c r="FB12" s="63"/>
      <c r="FC12" s="34"/>
      <c r="FD12" s="64"/>
      <c r="FE12" s="4"/>
      <c r="FF12" s="65"/>
      <c r="FG12" s="4"/>
      <c r="FH12" s="4"/>
      <c r="FI12" s="4"/>
      <c r="FL12" s="34"/>
      <c r="FM12" s="34"/>
      <c r="FO12" s="34"/>
      <c r="FP12" s="72"/>
      <c r="FQ12" s="63"/>
      <c r="FR12" s="34"/>
      <c r="FS12" s="64"/>
      <c r="FT12" s="4"/>
      <c r="FU12" s="65"/>
      <c r="FV12" s="4"/>
      <c r="FW12" s="4"/>
      <c r="FX12" s="4"/>
      <c r="GA12" s="34"/>
      <c r="GB12" s="34"/>
      <c r="GD12" s="34"/>
      <c r="GE12" s="72"/>
      <c r="GF12" s="63"/>
      <c r="GG12" s="34"/>
      <c r="GH12" s="64"/>
      <c r="GI12" s="4"/>
      <c r="GJ12" s="65"/>
      <c r="GK12" s="4"/>
      <c r="GL12" s="4"/>
      <c r="GM12" s="4"/>
      <c r="GP12" s="34"/>
      <c r="GQ12" s="34"/>
      <c r="GS12" s="34"/>
      <c r="GT12" s="72"/>
      <c r="GU12" s="63"/>
      <c r="GV12" s="34"/>
      <c r="GW12" s="64"/>
      <c r="GX12" s="4"/>
      <c r="GY12" s="65"/>
      <c r="GZ12" s="4"/>
      <c r="HA12" s="4"/>
      <c r="HB12" s="4"/>
      <c r="HE12" s="34"/>
      <c r="HF12" s="34"/>
      <c r="HH12" s="34"/>
      <c r="HI12" s="72"/>
      <c r="HJ12" s="63"/>
      <c r="HK12" s="34"/>
      <c r="HL12" s="64"/>
      <c r="HM12" s="4"/>
      <c r="HN12" s="65"/>
      <c r="HO12" s="4"/>
      <c r="HP12" s="4"/>
      <c r="HQ12" s="4"/>
      <c r="HT12" s="34"/>
      <c r="HU12" s="34"/>
      <c r="HW12" s="34"/>
      <c r="HX12" s="72"/>
      <c r="HY12" s="63"/>
      <c r="HZ12" s="34"/>
      <c r="IA12" s="64"/>
      <c r="IB12" s="4"/>
      <c r="IC12" s="65"/>
      <c r="ID12" s="4"/>
      <c r="IE12" s="4"/>
      <c r="IF12" s="4"/>
      <c r="II12" s="34"/>
      <c r="IJ12" s="34"/>
      <c r="IL12" s="34"/>
      <c r="IM12" s="72"/>
      <c r="IN12" s="63"/>
      <c r="IO12" s="34"/>
      <c r="IP12" s="64"/>
      <c r="IQ12" s="4"/>
      <c r="IR12" s="65"/>
      <c r="IS12" s="4"/>
      <c r="IT12" s="4"/>
      <c r="IU12" s="4"/>
      <c r="IX12" s="34"/>
      <c r="IY12" s="34"/>
      <c r="JA12" s="34"/>
      <c r="JB12" s="72"/>
      <c r="JC12" s="63"/>
      <c r="JD12" s="34"/>
      <c r="JE12" s="64"/>
      <c r="JF12" s="4"/>
      <c r="JG12" s="65"/>
      <c r="JH12" s="4"/>
      <c r="JI12" s="4"/>
      <c r="JJ12" s="4"/>
      <c r="JM12" s="34"/>
      <c r="JN12" s="34"/>
      <c r="JP12" s="34"/>
      <c r="JQ12" s="72"/>
      <c r="JR12" s="63"/>
      <c r="JS12" s="34"/>
      <c r="JT12" s="64"/>
      <c r="JU12" s="4"/>
      <c r="JV12" s="65"/>
      <c r="JW12" s="4"/>
      <c r="JX12" s="4"/>
      <c r="JY12" s="4"/>
      <c r="KB12" s="34"/>
      <c r="KC12" s="34"/>
      <c r="KE12" s="34"/>
      <c r="KF12" s="72"/>
      <c r="KG12" s="63"/>
      <c r="KH12" s="34"/>
      <c r="KI12" s="64"/>
      <c r="KJ12" s="4"/>
      <c r="KK12" s="65"/>
      <c r="KL12" s="4"/>
      <c r="KM12" s="4"/>
      <c r="KN12" s="4"/>
      <c r="KQ12" s="34"/>
      <c r="KR12" s="34"/>
      <c r="KT12" s="34"/>
      <c r="KU12" s="72"/>
      <c r="KV12" s="63"/>
      <c r="KW12" s="34"/>
      <c r="KX12" s="64"/>
      <c r="KY12" s="4"/>
      <c r="KZ12" s="65"/>
      <c r="LA12" s="4"/>
      <c r="LB12" s="4"/>
      <c r="LC12" s="4"/>
      <c r="LF12" s="34"/>
      <c r="LG12" s="34"/>
      <c r="LI12" s="34"/>
      <c r="LJ12" s="72"/>
      <c r="LK12" s="63"/>
      <c r="LL12" s="34"/>
      <c r="LM12" s="64"/>
      <c r="LN12" s="4"/>
      <c r="LO12" s="65"/>
      <c r="LP12" s="4"/>
      <c r="LQ12" s="4"/>
      <c r="LR12" s="4"/>
      <c r="LU12" s="34"/>
      <c r="LV12" s="34"/>
      <c r="LX12" s="34"/>
      <c r="LY12" s="72"/>
      <c r="LZ12" s="63"/>
      <c r="MA12" s="34"/>
      <c r="MB12" s="64"/>
      <c r="MC12" s="4"/>
      <c r="MD12" s="65"/>
      <c r="ME12" s="4"/>
      <c r="MF12" s="4"/>
      <c r="MG12" s="4"/>
      <c r="MJ12" s="34"/>
      <c r="MK12" s="34"/>
      <c r="MM12" s="34"/>
      <c r="MN12" s="72"/>
      <c r="MO12" s="63"/>
      <c r="MP12" s="34"/>
      <c r="MQ12" s="64"/>
      <c r="MR12" s="4"/>
      <c r="MS12" s="65"/>
      <c r="MT12" s="4"/>
      <c r="MU12" s="4"/>
      <c r="MV12" s="4"/>
      <c r="MY12" s="34"/>
      <c r="MZ12" s="34"/>
      <c r="NB12" s="34"/>
      <c r="NC12" s="72"/>
      <c r="ND12" s="63"/>
      <c r="NE12" s="34"/>
      <c r="NF12" s="64"/>
      <c r="NG12" s="4"/>
      <c r="NH12" s="65"/>
      <c r="NI12" s="4"/>
      <c r="NJ12" s="4"/>
      <c r="NK12" s="4"/>
      <c r="NN12" s="34"/>
      <c r="NO12" s="34"/>
      <c r="NQ12" s="34"/>
      <c r="NR12" s="72"/>
      <c r="NS12" s="63"/>
      <c r="NT12" s="34"/>
      <c r="NU12" s="64"/>
      <c r="NV12" s="4"/>
      <c r="NW12" s="65"/>
      <c r="NX12" s="4"/>
      <c r="NY12" s="4"/>
      <c r="NZ12" s="4"/>
      <c r="OC12" s="34"/>
      <c r="OD12" s="34"/>
      <c r="OF12" s="34"/>
      <c r="OG12" s="72"/>
      <c r="OH12" s="63"/>
      <c r="OI12" s="34"/>
      <c r="OJ12" s="64"/>
      <c r="OK12" s="4"/>
      <c r="OL12" s="65"/>
      <c r="OM12" s="4"/>
      <c r="ON12" s="4"/>
      <c r="OO12" s="4"/>
      <c r="OR12" s="34"/>
      <c r="OS12" s="34"/>
      <c r="OU12" s="34"/>
      <c r="OV12" s="72"/>
      <c r="OW12" s="63"/>
      <c r="OX12" s="34"/>
      <c r="OY12" s="64"/>
      <c r="OZ12" s="4"/>
      <c r="PA12" s="65"/>
      <c r="PB12" s="4"/>
      <c r="PC12" s="4"/>
      <c r="PD12" s="4"/>
      <c r="PG12" s="34"/>
      <c r="PH12" s="34"/>
      <c r="PJ12" s="34"/>
      <c r="PK12" s="72"/>
      <c r="PL12" s="63"/>
      <c r="PM12" s="34"/>
      <c r="PN12" s="64"/>
      <c r="PO12" s="4"/>
      <c r="PP12" s="65"/>
      <c r="PQ12" s="4"/>
      <c r="PR12" s="4"/>
      <c r="PS12" s="4"/>
      <c r="PV12" s="34"/>
      <c r="PW12" s="34"/>
      <c r="PY12" s="34"/>
      <c r="PZ12" s="72"/>
      <c r="QA12" s="63"/>
      <c r="QB12" s="34"/>
      <c r="QC12" s="64"/>
      <c r="QD12" s="4"/>
      <c r="QE12" s="65"/>
      <c r="QF12" s="4"/>
      <c r="QG12" s="4"/>
      <c r="QH12" s="4"/>
      <c r="QK12" s="34"/>
      <c r="QL12" s="34"/>
      <c r="QN12" s="34"/>
      <c r="QO12" s="72"/>
      <c r="QP12" s="63"/>
      <c r="QQ12" s="34"/>
      <c r="QR12" s="64"/>
      <c r="QS12" s="4"/>
      <c r="QT12" s="65"/>
      <c r="QU12" s="4"/>
      <c r="QV12" s="4"/>
      <c r="QW12" s="4"/>
      <c r="QZ12" s="34"/>
      <c r="RA12" s="34"/>
      <c r="RC12" s="34"/>
      <c r="RD12" s="72"/>
      <c r="RE12" s="63"/>
      <c r="RF12" s="34"/>
      <c r="RG12" s="64"/>
      <c r="RH12" s="4"/>
      <c r="RI12" s="65"/>
      <c r="RJ12" s="4"/>
      <c r="RK12" s="4"/>
      <c r="RL12" s="4"/>
      <c r="RO12" s="34"/>
      <c r="RP12" s="34"/>
      <c r="RR12" s="34"/>
      <c r="RS12" s="72"/>
      <c r="RT12" s="63"/>
      <c r="RU12" s="34"/>
      <c r="RV12" s="64"/>
      <c r="RW12" s="4"/>
      <c r="RX12" s="65"/>
      <c r="RY12" s="4"/>
      <c r="RZ12" s="4"/>
      <c r="SA12" s="4"/>
      <c r="SD12" s="34"/>
      <c r="SE12" s="34"/>
      <c r="SG12" s="34"/>
      <c r="SH12" s="72"/>
      <c r="SI12" s="63"/>
      <c r="SJ12" s="34"/>
      <c r="SK12" s="64"/>
      <c r="SL12" s="4"/>
      <c r="SM12" s="65"/>
      <c r="SN12" s="4"/>
      <c r="SO12" s="4"/>
      <c r="SP12" s="4"/>
      <c r="SS12" s="34"/>
      <c r="ST12" s="34"/>
      <c r="SV12" s="34"/>
      <c r="SW12" s="72"/>
      <c r="SX12" s="63"/>
      <c r="SY12" s="34"/>
      <c r="SZ12" s="64"/>
      <c r="TA12" s="4"/>
      <c r="TB12" s="65"/>
      <c r="TC12" s="4"/>
      <c r="TD12" s="4"/>
      <c r="TE12" s="4"/>
      <c r="TH12" s="34"/>
      <c r="TI12" s="34"/>
      <c r="TK12" s="34"/>
      <c r="TL12" s="72"/>
      <c r="TM12" s="63"/>
      <c r="TN12" s="34"/>
      <c r="TO12" s="64"/>
      <c r="TP12" s="4"/>
      <c r="TQ12" s="65"/>
      <c r="TR12" s="4"/>
      <c r="TS12" s="4"/>
      <c r="TT12" s="4"/>
      <c r="TW12" s="34"/>
      <c r="TX12" s="34"/>
      <c r="TZ12" s="34"/>
      <c r="UA12" s="72"/>
      <c r="UB12" s="63"/>
      <c r="UC12" s="34"/>
      <c r="UD12" s="64"/>
      <c r="UE12" s="4"/>
      <c r="UF12" s="65"/>
      <c r="UG12" s="4"/>
      <c r="UH12" s="4"/>
      <c r="UI12" s="4"/>
      <c r="UL12" s="34"/>
      <c r="UM12" s="34"/>
      <c r="UO12" s="34"/>
      <c r="UP12" s="72"/>
      <c r="UQ12" s="63"/>
      <c r="UR12" s="34"/>
      <c r="US12" s="64"/>
      <c r="UT12" s="4"/>
      <c r="UU12" s="65"/>
      <c r="UV12" s="4"/>
      <c r="UW12" s="4"/>
      <c r="UX12" s="4"/>
      <c r="VA12" s="34"/>
      <c r="VB12" s="34"/>
      <c r="VD12" s="34"/>
      <c r="VE12" s="72"/>
      <c r="VF12" s="63"/>
      <c r="VG12" s="34"/>
      <c r="VH12" s="64"/>
      <c r="VI12" s="4"/>
      <c r="VJ12" s="65"/>
      <c r="VK12" s="4"/>
      <c r="VL12" s="4"/>
      <c r="VM12" s="4"/>
      <c r="VP12" s="34"/>
      <c r="VQ12" s="34"/>
      <c r="VS12" s="34"/>
      <c r="VT12" s="72"/>
      <c r="VU12" s="63"/>
      <c r="VV12" s="34"/>
      <c r="VW12" s="64"/>
      <c r="VX12" s="4"/>
      <c r="VY12" s="65"/>
      <c r="VZ12" s="4"/>
      <c r="WA12" s="4"/>
      <c r="WB12" s="4"/>
      <c r="WE12" s="34"/>
      <c r="WF12" s="34"/>
      <c r="WH12" s="34"/>
      <c r="WI12" s="72"/>
      <c r="WJ12" s="63"/>
      <c r="WK12" s="34"/>
      <c r="WL12" s="64"/>
      <c r="WM12" s="4"/>
      <c r="WN12" s="65"/>
      <c r="WO12" s="4"/>
      <c r="WP12" s="4"/>
      <c r="WQ12" s="4"/>
      <c r="WT12" s="34"/>
      <c r="WU12" s="34"/>
      <c r="WW12" s="34"/>
      <c r="WX12" s="72"/>
      <c r="WY12" s="63"/>
      <c r="WZ12" s="34"/>
      <c r="XA12" s="64"/>
      <c r="XB12" s="4"/>
      <c r="XC12" s="65"/>
      <c r="XD12" s="4"/>
      <c r="XE12" s="4"/>
      <c r="XF12" s="4"/>
      <c r="XI12" s="34"/>
      <c r="XJ12" s="34"/>
      <c r="XL12" s="34"/>
      <c r="XM12" s="72"/>
      <c r="XN12" s="63"/>
      <c r="XO12" s="34"/>
      <c r="XP12" s="64"/>
      <c r="XQ12" s="4"/>
      <c r="XR12" s="65"/>
      <c r="XS12" s="4"/>
      <c r="XT12" s="4"/>
      <c r="XU12" s="4"/>
      <c r="XX12" s="34"/>
      <c r="XY12" s="34"/>
      <c r="YA12" s="34"/>
      <c r="YB12" s="72"/>
      <c r="YC12" s="63"/>
      <c r="YD12" s="34"/>
      <c r="YE12" s="64"/>
      <c r="YF12" s="4"/>
      <c r="YG12" s="65"/>
      <c r="YH12" s="4"/>
      <c r="YI12" s="4"/>
      <c r="YJ12" s="4"/>
      <c r="YM12" s="34"/>
      <c r="YN12" s="34"/>
      <c r="YP12" s="34"/>
      <c r="YQ12" s="72"/>
      <c r="YR12" s="63"/>
      <c r="YS12" s="34"/>
      <c r="YT12" s="64"/>
      <c r="YU12" s="4"/>
      <c r="YV12" s="65"/>
      <c r="YW12" s="4"/>
      <c r="YX12" s="4"/>
      <c r="YY12" s="4"/>
      <c r="ZB12" s="34"/>
      <c r="ZC12" s="34"/>
      <c r="ZE12" s="34"/>
      <c r="ZF12" s="72"/>
      <c r="ZG12" s="63"/>
      <c r="ZH12" s="34"/>
      <c r="ZI12" s="64"/>
      <c r="ZJ12" s="4"/>
      <c r="ZK12" s="65"/>
      <c r="ZL12" s="4"/>
      <c r="ZM12" s="4"/>
      <c r="ZN12" s="4"/>
      <c r="ZQ12" s="34"/>
      <c r="ZR12" s="34"/>
      <c r="ZT12" s="34"/>
      <c r="ZU12" s="72"/>
      <c r="ZV12" s="63"/>
      <c r="ZW12" s="34"/>
      <c r="ZX12" s="64"/>
      <c r="ZY12" s="4"/>
      <c r="ZZ12" s="65"/>
      <c r="AAA12" s="4"/>
      <c r="AAB12" s="4"/>
      <c r="AAC12" s="4"/>
      <c r="AAF12" s="34"/>
      <c r="AAG12" s="34"/>
      <c r="AAI12" s="34"/>
      <c r="AAJ12" s="72"/>
      <c r="AAK12" s="63"/>
      <c r="AAL12" s="34"/>
      <c r="AAM12" s="64"/>
      <c r="AAN12" s="4"/>
      <c r="AAO12" s="65"/>
      <c r="AAP12" s="4"/>
      <c r="AAQ12" s="4"/>
      <c r="AAR12" s="4"/>
      <c r="AAU12" s="34"/>
      <c r="AAV12" s="34"/>
      <c r="AAX12" s="34"/>
      <c r="AAY12" s="72"/>
      <c r="AAZ12" s="63"/>
      <c r="ABA12" s="34"/>
      <c r="ABB12" s="64"/>
      <c r="ABC12" s="4"/>
      <c r="ABD12" s="65"/>
      <c r="ABE12" s="4"/>
      <c r="ABF12" s="4"/>
      <c r="ABG12" s="4"/>
      <c r="ABJ12" s="34"/>
      <c r="ABK12" s="34"/>
      <c r="ABM12" s="34"/>
      <c r="ABN12" s="72"/>
      <c r="ABO12" s="63"/>
      <c r="ABP12" s="34"/>
      <c r="ABQ12" s="64"/>
      <c r="ABR12" s="4"/>
      <c r="ABS12" s="65"/>
      <c r="ABT12" s="4"/>
      <c r="ABU12" s="4"/>
      <c r="ABV12" s="4"/>
      <c r="ABY12" s="34"/>
      <c r="ABZ12" s="34"/>
      <c r="ACB12" s="34"/>
      <c r="ACC12" s="72"/>
      <c r="ACD12" s="63"/>
      <c r="ACE12" s="34"/>
      <c r="ACF12" s="64"/>
      <c r="ACG12" s="4"/>
      <c r="ACH12" s="65"/>
      <c r="ACI12" s="4"/>
      <c r="ACJ12" s="4"/>
      <c r="ACK12" s="4"/>
      <c r="ACN12" s="34"/>
      <c r="ACO12" s="34"/>
      <c r="ACQ12" s="34"/>
      <c r="ACR12" s="72"/>
      <c r="ACS12" s="63"/>
      <c r="ACT12" s="34"/>
      <c r="ACU12" s="64"/>
      <c r="ACV12" s="4"/>
      <c r="ACW12" s="65"/>
      <c r="ACX12" s="4"/>
      <c r="ACY12" s="4"/>
      <c r="ACZ12" s="4"/>
      <c r="ADC12" s="34"/>
      <c r="ADD12" s="34"/>
      <c r="ADF12" s="34"/>
      <c r="ADG12" s="72"/>
      <c r="ADH12" s="63"/>
      <c r="ADI12" s="34"/>
      <c r="ADJ12" s="64"/>
      <c r="ADK12" s="4"/>
      <c r="ADL12" s="65"/>
      <c r="ADM12" s="4"/>
      <c r="ADN12" s="4"/>
      <c r="ADO12" s="4"/>
      <c r="ADR12" s="34"/>
      <c r="ADS12" s="34"/>
      <c r="ADU12" s="34"/>
      <c r="ADV12" s="72"/>
      <c r="ADW12" s="63"/>
      <c r="ADX12" s="34"/>
      <c r="ADY12" s="64"/>
      <c r="ADZ12" s="4"/>
      <c r="AEA12" s="65"/>
      <c r="AEB12" s="4"/>
      <c r="AEC12" s="4"/>
      <c r="AED12" s="4"/>
      <c r="AEG12" s="34"/>
      <c r="AEH12" s="34"/>
      <c r="AEJ12" s="34"/>
      <c r="AEK12" s="72"/>
      <c r="AEL12" s="63"/>
      <c r="AEM12" s="34"/>
      <c r="AEN12" s="64"/>
      <c r="AEO12" s="4"/>
      <c r="AEP12" s="65"/>
      <c r="AEQ12" s="4"/>
      <c r="AER12" s="4"/>
      <c r="AES12" s="4"/>
      <c r="AEV12" s="34"/>
      <c r="AEW12" s="34"/>
      <c r="AEY12" s="34"/>
      <c r="AEZ12" s="72"/>
      <c r="AFA12" s="63"/>
      <c r="AFB12" s="34"/>
      <c r="AFC12" s="64"/>
      <c r="AFD12" s="4"/>
      <c r="AFE12" s="65"/>
      <c r="AFF12" s="4"/>
      <c r="AFG12" s="4"/>
      <c r="AFH12" s="4"/>
      <c r="AFK12" s="34"/>
      <c r="AFL12" s="34"/>
      <c r="AFN12" s="34"/>
      <c r="AFO12" s="72"/>
      <c r="AFP12" s="63"/>
      <c r="AFQ12" s="34"/>
      <c r="AFR12" s="64"/>
      <c r="AFS12" s="4"/>
      <c r="AFT12" s="65"/>
      <c r="AFU12" s="4"/>
      <c r="AFV12" s="4"/>
      <c r="AFW12" s="4"/>
      <c r="AFZ12" s="34"/>
      <c r="AGA12" s="34"/>
      <c r="AGC12" s="34"/>
      <c r="AGD12" s="72"/>
      <c r="AGE12" s="63"/>
      <c r="AGF12" s="34"/>
      <c r="AGG12" s="64"/>
      <c r="AGH12" s="4"/>
      <c r="AGI12" s="65"/>
      <c r="AGJ12" s="4"/>
      <c r="AGK12" s="4"/>
      <c r="AGL12" s="4"/>
      <c r="AGO12" s="34"/>
      <c r="AGP12" s="34"/>
      <c r="AGR12" s="34"/>
      <c r="AGS12" s="72"/>
      <c r="AGT12" s="63"/>
      <c r="AGU12" s="34"/>
      <c r="AGV12" s="64"/>
      <c r="AGW12" s="4"/>
      <c r="AGX12" s="65"/>
      <c r="AGY12" s="4"/>
      <c r="AGZ12" s="4"/>
      <c r="AHA12" s="4"/>
      <c r="AHD12" s="34"/>
      <c r="AHE12" s="34"/>
      <c r="AHG12" s="34"/>
      <c r="AHH12" s="72"/>
      <c r="AHI12" s="63"/>
      <c r="AHJ12" s="34"/>
      <c r="AHK12" s="64"/>
      <c r="AHL12" s="4"/>
      <c r="AHM12" s="65"/>
      <c r="AHN12" s="4"/>
      <c r="AHO12" s="4"/>
      <c r="AHP12" s="4"/>
      <c r="AHS12" s="34"/>
      <c r="AHT12" s="34"/>
      <c r="AHV12" s="34"/>
      <c r="AHW12" s="72"/>
      <c r="AHX12" s="63"/>
      <c r="AHY12" s="34"/>
      <c r="AHZ12" s="64"/>
      <c r="AIA12" s="4"/>
      <c r="AIB12" s="65"/>
      <c r="AIC12" s="4"/>
      <c r="AID12" s="4"/>
      <c r="AIE12" s="4"/>
      <c r="AIH12" s="34"/>
      <c r="AII12" s="34"/>
      <c r="AIK12" s="34"/>
      <c r="AIL12" s="72"/>
      <c r="AIM12" s="63"/>
      <c r="AIN12" s="34"/>
      <c r="AIO12" s="64"/>
      <c r="AIP12" s="4"/>
      <c r="AIQ12" s="65"/>
      <c r="AIR12" s="4"/>
      <c r="AIS12" s="4"/>
      <c r="AIT12" s="4"/>
      <c r="AIW12" s="34"/>
      <c r="AIX12" s="34"/>
      <c r="AIZ12" s="34"/>
      <c r="AJA12" s="72"/>
      <c r="AJB12" s="63"/>
      <c r="AJC12" s="34"/>
      <c r="AJD12" s="64"/>
      <c r="AJE12" s="4"/>
      <c r="AJF12" s="65"/>
      <c r="AJG12" s="4"/>
      <c r="AJH12" s="4"/>
      <c r="AJI12" s="4"/>
      <c r="AJL12" s="34"/>
      <c r="AJM12" s="34"/>
      <c r="AJO12" s="34"/>
      <c r="AJP12" s="72"/>
      <c r="AJQ12" s="63"/>
      <c r="AJR12" s="34"/>
      <c r="AJS12" s="64"/>
      <c r="AJT12" s="4"/>
      <c r="AJU12" s="65"/>
      <c r="AJV12" s="4"/>
      <c r="AJW12" s="4"/>
      <c r="AJX12" s="4"/>
      <c r="AKA12" s="34"/>
      <c r="AKB12" s="34"/>
      <c r="AKD12" s="34"/>
      <c r="AKE12" s="72"/>
      <c r="AKF12" s="63"/>
      <c r="AKG12" s="34"/>
      <c r="AKH12" s="64"/>
      <c r="AKI12" s="4"/>
      <c r="AKJ12" s="65"/>
      <c r="AKK12" s="4"/>
      <c r="AKL12" s="4"/>
      <c r="AKM12" s="4"/>
      <c r="AKP12" s="34"/>
      <c r="AKQ12" s="34"/>
      <c r="AKS12" s="34"/>
      <c r="AKT12" s="72"/>
      <c r="AKU12" s="63"/>
      <c r="AKV12" s="34"/>
      <c r="AKW12" s="64"/>
      <c r="AKX12" s="4"/>
      <c r="AKY12" s="65"/>
      <c r="AKZ12" s="4"/>
      <c r="ALA12" s="4"/>
      <c r="ALB12" s="4"/>
      <c r="ALE12" s="34"/>
      <c r="ALF12" s="34"/>
      <c r="ALH12" s="34"/>
      <c r="ALI12" s="72"/>
      <c r="ALJ12" s="63"/>
      <c r="ALK12" s="34"/>
      <c r="ALL12" s="64"/>
      <c r="ALM12" s="4"/>
      <c r="ALN12" s="65"/>
      <c r="ALO12" s="4"/>
      <c r="ALP12" s="4"/>
      <c r="ALQ12" s="4"/>
      <c r="ALT12" s="34"/>
      <c r="ALU12" s="34"/>
      <c r="ALW12" s="34"/>
      <c r="ALX12" s="72"/>
      <c r="ALY12" s="63"/>
      <c r="ALZ12" s="34"/>
      <c r="AMA12" s="64"/>
      <c r="AMB12" s="4"/>
      <c r="AMC12" s="65"/>
      <c r="AMD12" s="4"/>
      <c r="AME12" s="4"/>
      <c r="AMF12" s="4"/>
      <c r="AMI12" s="34"/>
      <c r="AMJ12" s="34"/>
      <c r="AML12" s="34"/>
      <c r="AMM12" s="72"/>
      <c r="AMN12" s="63"/>
      <c r="AMO12" s="34"/>
      <c r="AMP12" s="64"/>
      <c r="AMQ12" s="4"/>
      <c r="AMR12" s="65"/>
      <c r="AMS12" s="4"/>
      <c r="AMT12" s="4"/>
      <c r="AMU12" s="4"/>
      <c r="AMX12" s="34"/>
      <c r="AMY12" s="34"/>
      <c r="ANA12" s="34"/>
      <c r="ANB12" s="72"/>
      <c r="ANC12" s="63"/>
      <c r="AND12" s="34"/>
      <c r="ANE12" s="64"/>
      <c r="ANF12" s="4"/>
      <c r="ANG12" s="65"/>
      <c r="ANH12" s="4"/>
      <c r="ANI12" s="4"/>
      <c r="ANJ12" s="4"/>
      <c r="ANM12" s="34"/>
      <c r="ANN12" s="34"/>
      <c r="ANP12" s="34"/>
      <c r="ANQ12" s="72"/>
      <c r="ANR12" s="63"/>
      <c r="ANS12" s="34"/>
      <c r="ANT12" s="64"/>
      <c r="ANU12" s="4"/>
      <c r="ANV12" s="65"/>
      <c r="ANW12" s="4"/>
      <c r="ANX12" s="4"/>
      <c r="ANY12" s="4"/>
      <c r="AOB12" s="34"/>
      <c r="AOC12" s="34"/>
      <c r="AOE12" s="34"/>
      <c r="AOF12" s="72"/>
      <c r="AOG12" s="63"/>
      <c r="AOH12" s="34"/>
      <c r="AOI12" s="64"/>
      <c r="AOJ12" s="4"/>
      <c r="AOK12" s="65"/>
      <c r="AOL12" s="4"/>
      <c r="AOM12" s="4"/>
      <c r="AON12" s="4"/>
      <c r="AOQ12" s="34"/>
      <c r="AOR12" s="34"/>
      <c r="AOT12" s="34"/>
      <c r="AOU12" s="72"/>
      <c r="AOV12" s="63"/>
      <c r="AOW12" s="34"/>
      <c r="AOX12" s="64"/>
      <c r="AOY12" s="4"/>
      <c r="AOZ12" s="65"/>
      <c r="APA12" s="4"/>
      <c r="APB12" s="4"/>
      <c r="APC12" s="4"/>
      <c r="APF12" s="34"/>
      <c r="APG12" s="34"/>
      <c r="API12" s="34"/>
      <c r="APJ12" s="72"/>
      <c r="APK12" s="63"/>
      <c r="APL12" s="34"/>
      <c r="APM12" s="64"/>
      <c r="APN12" s="4"/>
      <c r="APO12" s="65"/>
      <c r="APP12" s="4"/>
      <c r="APQ12" s="4"/>
      <c r="APR12" s="4"/>
      <c r="APU12" s="34"/>
      <c r="APV12" s="34"/>
      <c r="APX12" s="34"/>
      <c r="APY12" s="72"/>
      <c r="APZ12" s="63"/>
      <c r="AQA12" s="34"/>
      <c r="AQB12" s="64"/>
      <c r="AQC12" s="4"/>
      <c r="AQD12" s="65"/>
      <c r="AQE12" s="4"/>
      <c r="AQF12" s="4"/>
      <c r="AQG12" s="4"/>
      <c r="AQJ12" s="34"/>
      <c r="AQK12" s="34"/>
      <c r="AQM12" s="34"/>
      <c r="AQN12" s="72"/>
      <c r="AQO12" s="63"/>
      <c r="AQP12" s="34"/>
      <c r="AQQ12" s="64"/>
      <c r="AQR12" s="4"/>
      <c r="AQS12" s="65"/>
      <c r="AQT12" s="4"/>
      <c r="AQU12" s="4"/>
      <c r="AQV12" s="4"/>
      <c r="AQY12" s="34"/>
      <c r="AQZ12" s="34"/>
      <c r="ARB12" s="34"/>
      <c r="ARC12" s="72"/>
      <c r="ARD12" s="63"/>
      <c r="ARE12" s="34"/>
      <c r="ARF12" s="64"/>
      <c r="ARG12" s="4"/>
      <c r="ARH12" s="65"/>
      <c r="ARI12" s="4"/>
      <c r="ARJ12" s="4"/>
      <c r="ARK12" s="4"/>
      <c r="ARN12" s="34"/>
      <c r="ARO12" s="34"/>
      <c r="ARQ12" s="34"/>
      <c r="ARR12" s="72"/>
      <c r="ARS12" s="63"/>
      <c r="ART12" s="34"/>
      <c r="ARU12" s="64"/>
      <c r="ARV12" s="4"/>
      <c r="ARW12" s="65"/>
      <c r="ARX12" s="4"/>
      <c r="ARY12" s="4"/>
      <c r="ARZ12" s="4"/>
      <c r="ASC12" s="34"/>
      <c r="ASD12" s="34"/>
      <c r="ASF12" s="34"/>
      <c r="ASG12" s="72"/>
      <c r="ASH12" s="63"/>
      <c r="ASI12" s="34"/>
      <c r="ASJ12" s="64"/>
      <c r="ASK12" s="4"/>
      <c r="ASL12" s="65"/>
      <c r="ASM12" s="4"/>
      <c r="ASN12" s="4"/>
      <c r="ASO12" s="4"/>
      <c r="ASR12" s="34"/>
      <c r="ASS12" s="34"/>
      <c r="ASU12" s="34"/>
      <c r="ASV12" s="72"/>
      <c r="ASW12" s="63"/>
      <c r="ASX12" s="34"/>
      <c r="ASY12" s="64"/>
      <c r="ASZ12" s="4"/>
      <c r="ATA12" s="65"/>
      <c r="ATB12" s="4"/>
      <c r="ATC12" s="4"/>
      <c r="ATD12" s="4"/>
      <c r="ATG12" s="34"/>
      <c r="ATH12" s="34"/>
      <c r="ATJ12" s="34"/>
      <c r="ATK12" s="72"/>
      <c r="ATL12" s="63"/>
      <c r="ATM12" s="34"/>
      <c r="ATN12" s="64"/>
      <c r="ATO12" s="4"/>
      <c r="ATP12" s="65"/>
      <c r="ATQ12" s="4"/>
      <c r="ATR12" s="4"/>
      <c r="ATS12" s="4"/>
      <c r="ATV12" s="34"/>
      <c r="ATW12" s="34"/>
      <c r="ATY12" s="34"/>
      <c r="ATZ12" s="72"/>
      <c r="AUA12" s="63"/>
      <c r="AUB12" s="34"/>
      <c r="AUC12" s="64"/>
      <c r="AUD12" s="4"/>
      <c r="AUE12" s="65"/>
      <c r="AUF12" s="4"/>
      <c r="AUG12" s="4"/>
      <c r="AUH12" s="4"/>
      <c r="AUK12" s="34"/>
      <c r="AUL12" s="34"/>
      <c r="AUN12" s="34"/>
      <c r="AUO12" s="72"/>
      <c r="AUP12" s="63"/>
      <c r="AUQ12" s="34"/>
      <c r="AUR12" s="64"/>
      <c r="AUS12" s="4"/>
      <c r="AUT12" s="65"/>
      <c r="AUU12" s="4"/>
      <c r="AUV12" s="4"/>
      <c r="AUW12" s="4"/>
      <c r="AUZ12" s="34"/>
      <c r="AVA12" s="34"/>
      <c r="AVC12" s="34"/>
      <c r="AVD12" s="72"/>
      <c r="AVE12" s="63"/>
      <c r="AVF12" s="34"/>
      <c r="AVG12" s="64"/>
      <c r="AVH12" s="4"/>
      <c r="AVI12" s="65"/>
      <c r="AVJ12" s="4"/>
      <c r="AVK12" s="4"/>
      <c r="AVL12" s="4"/>
      <c r="AVO12" s="34"/>
      <c r="AVP12" s="34"/>
      <c r="AVR12" s="34"/>
      <c r="AVS12" s="72"/>
      <c r="AVT12" s="63"/>
      <c r="AVU12" s="34"/>
      <c r="AVV12" s="64"/>
      <c r="AVW12" s="4"/>
      <c r="AVX12" s="65"/>
      <c r="AVY12" s="4"/>
      <c r="AVZ12" s="4"/>
      <c r="AWA12" s="4"/>
      <c r="AWD12" s="34"/>
      <c r="AWE12" s="34"/>
      <c r="AWG12" s="34"/>
      <c r="AWH12" s="72"/>
      <c r="AWI12" s="63"/>
      <c r="AWJ12" s="34"/>
      <c r="AWK12" s="64"/>
      <c r="AWL12" s="4"/>
      <c r="AWM12" s="65"/>
      <c r="AWN12" s="4"/>
      <c r="AWO12" s="4"/>
      <c r="AWP12" s="4"/>
      <c r="AWS12" s="34"/>
      <c r="AWT12" s="34"/>
      <c r="AWV12" s="34"/>
      <c r="AWW12" s="72"/>
      <c r="AWX12" s="63"/>
      <c r="AWY12" s="34"/>
      <c r="AWZ12" s="64"/>
      <c r="AXA12" s="4"/>
      <c r="AXB12" s="65"/>
      <c r="AXC12" s="4"/>
      <c r="AXD12" s="4"/>
      <c r="AXE12" s="4"/>
      <c r="AXH12" s="34"/>
      <c r="AXI12" s="34"/>
      <c r="AXK12" s="34"/>
      <c r="AXL12" s="72"/>
      <c r="AXM12" s="63"/>
      <c r="AXN12" s="34"/>
      <c r="AXO12" s="64"/>
      <c r="AXP12" s="4"/>
      <c r="AXQ12" s="65"/>
      <c r="AXR12" s="4"/>
      <c r="AXS12" s="4"/>
      <c r="AXT12" s="4"/>
      <c r="AXW12" s="34"/>
      <c r="AXX12" s="34"/>
      <c r="AXZ12" s="34"/>
      <c r="AYA12" s="72"/>
      <c r="AYB12" s="63"/>
      <c r="AYC12" s="34"/>
      <c r="AYD12" s="64"/>
      <c r="AYE12" s="4"/>
      <c r="AYF12" s="65"/>
      <c r="AYG12" s="4"/>
      <c r="AYH12" s="4"/>
      <c r="AYI12" s="4"/>
      <c r="AYL12" s="34"/>
      <c r="AYM12" s="34"/>
      <c r="AYO12" s="34"/>
      <c r="AYP12" s="72"/>
      <c r="AYQ12" s="63"/>
      <c r="AYR12" s="34"/>
      <c r="AYS12" s="64"/>
      <c r="AYT12" s="4"/>
      <c r="AYU12" s="65"/>
      <c r="AYV12" s="4"/>
      <c r="AYW12" s="4"/>
      <c r="AYX12" s="4"/>
      <c r="AZA12" s="34"/>
      <c r="AZB12" s="34"/>
      <c r="AZD12" s="34"/>
      <c r="AZE12" s="72"/>
      <c r="AZF12" s="63"/>
      <c r="AZG12" s="34"/>
      <c r="AZH12" s="64"/>
      <c r="AZI12" s="4"/>
      <c r="AZJ12" s="65"/>
      <c r="AZK12" s="4"/>
      <c r="AZL12" s="4"/>
      <c r="AZM12" s="4"/>
      <c r="AZP12" s="34"/>
      <c r="AZQ12" s="34"/>
      <c r="AZS12" s="34"/>
      <c r="AZT12" s="72"/>
      <c r="AZU12" s="63"/>
      <c r="AZV12" s="34"/>
      <c r="AZW12" s="64"/>
      <c r="AZX12" s="4"/>
      <c r="AZY12" s="65"/>
      <c r="AZZ12" s="4"/>
      <c r="BAA12" s="4"/>
      <c r="BAB12" s="4"/>
      <c r="BAE12" s="34"/>
      <c r="BAF12" s="34"/>
      <c r="BAH12" s="34"/>
      <c r="BAI12" s="72"/>
      <c r="BAJ12" s="63"/>
      <c r="BAK12" s="34"/>
      <c r="BAL12" s="64"/>
      <c r="BAM12" s="4"/>
      <c r="BAN12" s="65"/>
      <c r="BAO12" s="4"/>
      <c r="BAP12" s="4"/>
      <c r="BAQ12" s="4"/>
      <c r="BAT12" s="34"/>
      <c r="BAU12" s="34"/>
      <c r="BAW12" s="34"/>
      <c r="BAX12" s="72"/>
      <c r="BAY12" s="63"/>
      <c r="BAZ12" s="34"/>
      <c r="BBA12" s="64"/>
      <c r="BBB12" s="4"/>
      <c r="BBC12" s="65"/>
      <c r="BBD12" s="4"/>
      <c r="BBE12" s="4"/>
      <c r="BBF12" s="4"/>
      <c r="BBI12" s="34"/>
      <c r="BBJ12" s="34"/>
      <c r="BBL12" s="34"/>
      <c r="BBM12" s="72"/>
      <c r="BBN12" s="63"/>
      <c r="BBO12" s="34"/>
      <c r="BBP12" s="64"/>
      <c r="BBQ12" s="4"/>
      <c r="BBR12" s="65"/>
      <c r="BBS12" s="4"/>
      <c r="BBT12" s="4"/>
      <c r="BBU12" s="4"/>
      <c r="BBX12" s="34"/>
      <c r="BBY12" s="34"/>
      <c r="BCA12" s="34"/>
      <c r="BCB12" s="72"/>
      <c r="BCC12" s="63"/>
      <c r="BCD12" s="34"/>
      <c r="BCE12" s="64"/>
      <c r="BCF12" s="4"/>
      <c r="BCG12" s="65"/>
      <c r="BCH12" s="4"/>
      <c r="BCI12" s="4"/>
      <c r="BCJ12" s="4"/>
      <c r="BCM12" s="34"/>
      <c r="BCN12" s="34"/>
      <c r="BCP12" s="34"/>
      <c r="BCQ12" s="72"/>
      <c r="BCR12" s="63"/>
      <c r="BCS12" s="34"/>
      <c r="BCT12" s="64"/>
      <c r="BCU12" s="4"/>
      <c r="BCV12" s="65"/>
      <c r="BCW12" s="4"/>
      <c r="BCX12" s="4"/>
      <c r="BCY12" s="4"/>
      <c r="BDB12" s="34"/>
      <c r="BDC12" s="34"/>
      <c r="BDE12" s="34"/>
      <c r="BDF12" s="72"/>
      <c r="BDG12" s="63"/>
      <c r="BDH12" s="34"/>
      <c r="BDI12" s="64"/>
      <c r="BDJ12" s="4"/>
      <c r="BDK12" s="65"/>
      <c r="BDL12" s="4"/>
      <c r="BDM12" s="4"/>
      <c r="BDN12" s="4"/>
      <c r="BDQ12" s="34"/>
      <c r="BDR12" s="34"/>
      <c r="BDT12" s="34"/>
      <c r="BDU12" s="72"/>
      <c r="BDV12" s="63"/>
      <c r="BDW12" s="34"/>
      <c r="BDX12" s="64"/>
      <c r="BDY12" s="4"/>
      <c r="BDZ12" s="65"/>
      <c r="BEA12" s="4"/>
      <c r="BEB12" s="4"/>
      <c r="BEC12" s="4"/>
      <c r="BEF12" s="34"/>
      <c r="BEG12" s="34"/>
      <c r="BEI12" s="34"/>
      <c r="BEJ12" s="72"/>
      <c r="BEK12" s="63"/>
      <c r="BEL12" s="34"/>
      <c r="BEM12" s="64"/>
      <c r="BEN12" s="4"/>
      <c r="BEO12" s="65"/>
      <c r="BEP12" s="4"/>
      <c r="BEQ12" s="4"/>
      <c r="BER12" s="4"/>
      <c r="BEU12" s="34"/>
      <c r="BEV12" s="34"/>
      <c r="BEX12" s="34"/>
      <c r="BEY12" s="72"/>
      <c r="BEZ12" s="63"/>
      <c r="BFA12" s="34"/>
      <c r="BFB12" s="64"/>
      <c r="BFC12" s="4"/>
      <c r="BFD12" s="65"/>
      <c r="BFE12" s="4"/>
      <c r="BFF12" s="4"/>
      <c r="BFG12" s="4"/>
      <c r="BFJ12" s="34"/>
      <c r="BFK12" s="34"/>
      <c r="BFM12" s="34"/>
      <c r="BFN12" s="72"/>
      <c r="BFO12" s="63"/>
      <c r="BFP12" s="34"/>
      <c r="BFQ12" s="64"/>
      <c r="BFR12" s="4"/>
      <c r="BFS12" s="65"/>
      <c r="BFT12" s="4"/>
      <c r="BFU12" s="4"/>
      <c r="BFV12" s="4"/>
      <c r="BFY12" s="34"/>
      <c r="BFZ12" s="34"/>
      <c r="BGB12" s="34"/>
      <c r="BGC12" s="72"/>
      <c r="BGD12" s="63"/>
      <c r="BGE12" s="34"/>
      <c r="BGF12" s="64"/>
      <c r="BGG12" s="4"/>
      <c r="BGH12" s="65"/>
      <c r="BGI12" s="4"/>
      <c r="BGJ12" s="4"/>
      <c r="BGK12" s="4"/>
      <c r="BGN12" s="34"/>
      <c r="BGO12" s="34"/>
      <c r="BGQ12" s="34"/>
      <c r="BGR12" s="72"/>
      <c r="BGS12" s="63"/>
      <c r="BGT12" s="34"/>
      <c r="BGU12" s="64"/>
      <c r="BGV12" s="4"/>
      <c r="BGW12" s="65"/>
      <c r="BGX12" s="4"/>
      <c r="BGY12" s="4"/>
      <c r="BGZ12" s="4"/>
      <c r="BHC12" s="34"/>
      <c r="BHD12" s="34"/>
      <c r="BHF12" s="34"/>
      <c r="BHG12" s="72"/>
      <c r="BHH12" s="63"/>
      <c r="BHI12" s="34"/>
      <c r="BHJ12" s="64"/>
      <c r="BHK12" s="4"/>
      <c r="BHL12" s="65"/>
      <c r="BHM12" s="4"/>
      <c r="BHN12" s="4"/>
      <c r="BHO12" s="4"/>
      <c r="BHR12" s="34"/>
      <c r="BHS12" s="34"/>
      <c r="BHU12" s="34"/>
      <c r="BHV12" s="72"/>
      <c r="BHW12" s="63"/>
      <c r="BHX12" s="34"/>
      <c r="BHY12" s="64"/>
      <c r="BHZ12" s="4"/>
      <c r="BIA12" s="65"/>
      <c r="BIB12" s="4"/>
      <c r="BIC12" s="4"/>
      <c r="BID12" s="4"/>
      <c r="BIG12" s="34"/>
      <c r="BIH12" s="34"/>
      <c r="BIJ12" s="34"/>
      <c r="BIK12" s="72"/>
      <c r="BIL12" s="63"/>
      <c r="BIM12" s="34"/>
      <c r="BIN12" s="64"/>
      <c r="BIO12" s="4"/>
      <c r="BIP12" s="65"/>
      <c r="BIQ12" s="4"/>
      <c r="BIR12" s="4"/>
      <c r="BIS12" s="4"/>
      <c r="BIV12" s="34"/>
      <c r="BIW12" s="34"/>
      <c r="BIY12" s="34"/>
      <c r="BIZ12" s="72"/>
      <c r="BJA12" s="63"/>
      <c r="BJB12" s="34"/>
      <c r="BJC12" s="64"/>
      <c r="BJD12" s="4"/>
      <c r="BJE12" s="65"/>
      <c r="BJF12" s="4"/>
      <c r="BJG12" s="4"/>
      <c r="BJH12" s="4"/>
      <c r="BJK12" s="34"/>
      <c r="BJL12" s="34"/>
      <c r="BJN12" s="34"/>
      <c r="BJO12" s="72"/>
      <c r="BJP12" s="63"/>
      <c r="BJQ12" s="34"/>
      <c r="BJR12" s="64"/>
      <c r="BJS12" s="4"/>
      <c r="BJT12" s="65"/>
      <c r="BJU12" s="4"/>
      <c r="BJV12" s="4"/>
      <c r="BJW12" s="4"/>
      <c r="BJZ12" s="34"/>
      <c r="BKA12" s="34"/>
      <c r="BKC12" s="34"/>
      <c r="BKD12" s="72"/>
      <c r="BKE12" s="63"/>
      <c r="BKF12" s="34"/>
      <c r="BKG12" s="64"/>
      <c r="BKH12" s="4"/>
      <c r="BKI12" s="65"/>
      <c r="BKJ12" s="4"/>
      <c r="BKK12" s="4"/>
      <c r="BKL12" s="4"/>
      <c r="BKO12" s="34"/>
      <c r="BKP12" s="34"/>
      <c r="BKR12" s="34"/>
      <c r="BKS12" s="72"/>
      <c r="BKT12" s="63"/>
      <c r="BKU12" s="34"/>
      <c r="BKV12" s="64"/>
      <c r="BKW12" s="4"/>
      <c r="BKX12" s="65"/>
      <c r="BKY12" s="4"/>
      <c r="BKZ12" s="4"/>
      <c r="BLA12" s="4"/>
      <c r="BLD12" s="34"/>
      <c r="BLE12" s="34"/>
      <c r="BLG12" s="34"/>
      <c r="BLH12" s="72"/>
      <c r="BLI12" s="63"/>
      <c r="BLJ12" s="34"/>
      <c r="BLK12" s="64"/>
      <c r="BLL12" s="4"/>
      <c r="BLM12" s="65"/>
      <c r="BLN12" s="4"/>
      <c r="BLO12" s="4"/>
      <c r="BLP12" s="4"/>
      <c r="BLS12" s="34"/>
      <c r="BLT12" s="34"/>
      <c r="BLV12" s="34"/>
      <c r="BLW12" s="72"/>
      <c r="BLX12" s="63"/>
      <c r="BLY12" s="34"/>
      <c r="BLZ12" s="64"/>
      <c r="BMA12" s="4"/>
      <c r="BMB12" s="65"/>
      <c r="BMC12" s="4"/>
      <c r="BMD12" s="4"/>
      <c r="BME12" s="4"/>
      <c r="BMH12" s="34"/>
      <c r="BMI12" s="34"/>
      <c r="BMK12" s="34"/>
      <c r="BML12" s="72"/>
      <c r="BMM12" s="63"/>
      <c r="BMN12" s="34"/>
      <c r="BMO12" s="64"/>
      <c r="BMP12" s="4"/>
      <c r="BMQ12" s="65"/>
      <c r="BMR12" s="4"/>
      <c r="BMS12" s="4"/>
      <c r="BMT12" s="4"/>
      <c r="BMW12" s="34"/>
      <c r="BMX12" s="34"/>
      <c r="BMZ12" s="34"/>
      <c r="BNA12" s="72"/>
      <c r="BNB12" s="63"/>
      <c r="BNC12" s="34"/>
      <c r="BND12" s="64"/>
      <c r="BNE12" s="4"/>
      <c r="BNF12" s="65"/>
      <c r="BNG12" s="4"/>
      <c r="BNH12" s="4"/>
      <c r="BNI12" s="4"/>
      <c r="BNL12" s="34"/>
      <c r="BNM12" s="34"/>
      <c r="BNO12" s="34"/>
      <c r="BNP12" s="72"/>
      <c r="BNQ12" s="63"/>
      <c r="BNR12" s="34"/>
      <c r="BNS12" s="64"/>
      <c r="BNT12" s="4"/>
      <c r="BNU12" s="65"/>
      <c r="BNV12" s="4"/>
      <c r="BNW12" s="4"/>
      <c r="BNX12" s="4"/>
      <c r="BOA12" s="34"/>
      <c r="BOB12" s="34"/>
      <c r="BOD12" s="34"/>
      <c r="BOE12" s="72"/>
      <c r="BOF12" s="63"/>
      <c r="BOG12" s="34"/>
      <c r="BOH12" s="64"/>
      <c r="BOI12" s="4"/>
      <c r="BOJ12" s="65"/>
      <c r="BOK12" s="4"/>
      <c r="BOL12" s="4"/>
      <c r="BOM12" s="4"/>
      <c r="BOP12" s="34"/>
      <c r="BOQ12" s="34"/>
      <c r="BOS12" s="34"/>
      <c r="BOT12" s="72"/>
      <c r="BOU12" s="63"/>
      <c r="BOV12" s="34"/>
      <c r="BOW12" s="64"/>
      <c r="BOX12" s="4"/>
      <c r="BOY12" s="65"/>
      <c r="BOZ12" s="4"/>
      <c r="BPA12" s="4"/>
      <c r="BPB12" s="4"/>
      <c r="BPE12" s="34"/>
      <c r="BPF12" s="34"/>
      <c r="BPH12" s="34"/>
      <c r="BPI12" s="72"/>
      <c r="BPJ12" s="63"/>
      <c r="BPK12" s="34"/>
      <c r="BPL12" s="64"/>
      <c r="BPM12" s="4"/>
      <c r="BPN12" s="65"/>
      <c r="BPO12" s="4"/>
      <c r="BPP12" s="4"/>
      <c r="BPQ12" s="4"/>
      <c r="BPT12" s="34"/>
      <c r="BPU12" s="34"/>
      <c r="BPW12" s="34"/>
      <c r="BPX12" s="72"/>
      <c r="BPY12" s="63"/>
      <c r="BPZ12" s="34"/>
      <c r="BQA12" s="64"/>
      <c r="BQB12" s="4"/>
      <c r="BQC12" s="65"/>
      <c r="BQD12" s="4"/>
      <c r="BQE12" s="4"/>
      <c r="BQF12" s="4"/>
      <c r="BQI12" s="34"/>
      <c r="BQJ12" s="34"/>
      <c r="BQL12" s="34"/>
      <c r="BQM12" s="72"/>
      <c r="BQN12" s="63"/>
      <c r="BQO12" s="34"/>
      <c r="BQP12" s="64"/>
      <c r="BQQ12" s="4"/>
      <c r="BQR12" s="65"/>
      <c r="BQS12" s="4"/>
      <c r="BQT12" s="4"/>
      <c r="BQU12" s="4"/>
      <c r="BQX12" s="34"/>
      <c r="BQY12" s="34"/>
      <c r="BRA12" s="34"/>
      <c r="BRB12" s="72"/>
      <c r="BRC12" s="63"/>
      <c r="BRD12" s="34"/>
      <c r="BRE12" s="64"/>
      <c r="BRF12" s="4"/>
      <c r="BRG12" s="65"/>
      <c r="BRH12" s="4"/>
      <c r="BRI12" s="4"/>
      <c r="BRJ12" s="4"/>
      <c r="BRM12" s="34"/>
      <c r="BRN12" s="34"/>
      <c r="BRP12" s="34"/>
      <c r="BRQ12" s="72"/>
      <c r="BRR12" s="63"/>
      <c r="BRS12" s="34"/>
      <c r="BRT12" s="64"/>
      <c r="BRU12" s="4"/>
      <c r="BRV12" s="65"/>
      <c r="BRW12" s="4"/>
      <c r="BRX12" s="4"/>
      <c r="BRY12" s="4"/>
      <c r="BSB12" s="34"/>
      <c r="BSC12" s="34"/>
      <c r="BSE12" s="34"/>
      <c r="BSF12" s="72"/>
      <c r="BSG12" s="63"/>
      <c r="BSH12" s="34"/>
      <c r="BSI12" s="64"/>
      <c r="BSJ12" s="4"/>
      <c r="BSK12" s="65"/>
      <c r="BSL12" s="4"/>
      <c r="BSM12" s="4"/>
      <c r="BSN12" s="4"/>
      <c r="BSQ12" s="34"/>
      <c r="BSR12" s="34"/>
      <c r="BST12" s="34"/>
      <c r="BSU12" s="72"/>
      <c r="BSV12" s="63"/>
      <c r="BSW12" s="34"/>
      <c r="BSX12" s="64"/>
      <c r="BSY12" s="4"/>
      <c r="BSZ12" s="65"/>
      <c r="BTA12" s="4"/>
      <c r="BTB12" s="4"/>
      <c r="BTC12" s="4"/>
      <c r="BTF12" s="34"/>
      <c r="BTG12" s="34"/>
      <c r="BTI12" s="34"/>
      <c r="BTJ12" s="72"/>
      <c r="BTK12" s="63"/>
      <c r="BTL12" s="34"/>
      <c r="BTM12" s="64"/>
      <c r="BTN12" s="4"/>
      <c r="BTO12" s="65"/>
      <c r="BTP12" s="4"/>
      <c r="BTQ12" s="4"/>
      <c r="BTR12" s="4"/>
      <c r="BTU12" s="34"/>
      <c r="BTV12" s="34"/>
      <c r="BTX12" s="34"/>
      <c r="BTY12" s="72"/>
      <c r="BTZ12" s="63"/>
      <c r="BUA12" s="34"/>
      <c r="BUB12" s="64"/>
      <c r="BUC12" s="4"/>
      <c r="BUD12" s="65"/>
      <c r="BUE12" s="4"/>
      <c r="BUF12" s="4"/>
      <c r="BUG12" s="4"/>
      <c r="BUJ12" s="34"/>
      <c r="BUK12" s="34"/>
      <c r="BUM12" s="34"/>
      <c r="BUN12" s="72"/>
      <c r="BUO12" s="63"/>
      <c r="BUP12" s="34"/>
      <c r="BUQ12" s="64"/>
      <c r="BUR12" s="4"/>
      <c r="BUS12" s="65"/>
      <c r="BUT12" s="4"/>
      <c r="BUU12" s="4"/>
      <c r="BUV12" s="4"/>
      <c r="BUY12" s="34"/>
      <c r="BUZ12" s="34"/>
      <c r="BVB12" s="34"/>
      <c r="BVC12" s="72"/>
      <c r="BVD12" s="63"/>
      <c r="BVE12" s="34"/>
      <c r="BVF12" s="64"/>
      <c r="BVG12" s="4"/>
      <c r="BVH12" s="65"/>
      <c r="BVI12" s="4"/>
      <c r="BVJ12" s="4"/>
      <c r="BVK12" s="4"/>
      <c r="BVN12" s="34"/>
      <c r="BVO12" s="34"/>
      <c r="BVQ12" s="34"/>
      <c r="BVR12" s="72"/>
      <c r="BVS12" s="63"/>
      <c r="BVT12" s="34"/>
      <c r="BVU12" s="64"/>
      <c r="BVV12" s="4"/>
      <c r="BVW12" s="65"/>
      <c r="BVX12" s="4"/>
      <c r="BVY12" s="4"/>
      <c r="BVZ12" s="4"/>
      <c r="BWC12" s="34"/>
      <c r="BWD12" s="34"/>
      <c r="BWF12" s="34"/>
      <c r="BWG12" s="72"/>
      <c r="BWH12" s="63"/>
      <c r="BWI12" s="34"/>
      <c r="BWJ12" s="64"/>
      <c r="BWK12" s="4"/>
      <c r="BWL12" s="65"/>
      <c r="BWM12" s="4"/>
      <c r="BWN12" s="4"/>
      <c r="BWO12" s="4"/>
      <c r="BWR12" s="34"/>
      <c r="BWS12" s="34"/>
      <c r="BWU12" s="34"/>
      <c r="BWV12" s="72"/>
      <c r="BWW12" s="63"/>
      <c r="BWX12" s="34"/>
      <c r="BWY12" s="64"/>
      <c r="BWZ12" s="4"/>
      <c r="BXA12" s="65"/>
      <c r="BXB12" s="4"/>
      <c r="BXC12" s="4"/>
      <c r="BXD12" s="4"/>
      <c r="BXG12" s="34"/>
      <c r="BXH12" s="34"/>
      <c r="BXJ12" s="34"/>
      <c r="BXK12" s="72"/>
      <c r="BXL12" s="63"/>
      <c r="BXM12" s="34"/>
      <c r="BXN12" s="64"/>
      <c r="BXO12" s="4"/>
      <c r="BXP12" s="65"/>
      <c r="BXQ12" s="4"/>
      <c r="BXR12" s="4"/>
      <c r="BXS12" s="4"/>
      <c r="BXV12" s="34"/>
      <c r="BXW12" s="34"/>
      <c r="BXY12" s="34"/>
      <c r="BXZ12" s="72"/>
      <c r="BYA12" s="63"/>
      <c r="BYB12" s="34"/>
      <c r="BYC12" s="64"/>
      <c r="BYD12" s="4"/>
      <c r="BYE12" s="65"/>
      <c r="BYF12" s="4"/>
      <c r="BYG12" s="4"/>
      <c r="BYH12" s="4"/>
      <c r="BYK12" s="34"/>
      <c r="BYL12" s="34"/>
      <c r="BYN12" s="34"/>
      <c r="BYO12" s="72"/>
      <c r="BYP12" s="63"/>
      <c r="BYQ12" s="34"/>
      <c r="BYR12" s="64"/>
      <c r="BYS12" s="4"/>
      <c r="BYT12" s="65"/>
      <c r="BYU12" s="4"/>
      <c r="BYV12" s="4"/>
      <c r="BYW12" s="4"/>
      <c r="BYZ12" s="34"/>
      <c r="BZA12" s="34"/>
      <c r="BZC12" s="34"/>
      <c r="BZD12" s="72"/>
      <c r="BZE12" s="63"/>
      <c r="BZF12" s="34"/>
      <c r="BZG12" s="64"/>
      <c r="BZH12" s="4"/>
      <c r="BZI12" s="65"/>
      <c r="BZJ12" s="4"/>
      <c r="BZK12" s="4"/>
      <c r="BZL12" s="4"/>
      <c r="BZO12" s="34"/>
      <c r="BZP12" s="34"/>
      <c r="BZR12" s="34"/>
      <c r="BZS12" s="72"/>
      <c r="BZT12" s="63"/>
      <c r="BZU12" s="34"/>
      <c r="BZV12" s="64"/>
      <c r="BZW12" s="4"/>
      <c r="BZX12" s="65"/>
      <c r="BZY12" s="4"/>
      <c r="BZZ12" s="4"/>
      <c r="CAA12" s="4"/>
      <c r="CAD12" s="34"/>
      <c r="CAE12" s="34"/>
      <c r="CAG12" s="34"/>
      <c r="CAH12" s="72"/>
      <c r="CAI12" s="63"/>
      <c r="CAJ12" s="34"/>
      <c r="CAK12" s="64"/>
      <c r="CAL12" s="4"/>
      <c r="CAM12" s="65"/>
      <c r="CAN12" s="4"/>
      <c r="CAO12" s="4"/>
      <c r="CAP12" s="4"/>
      <c r="CAS12" s="34"/>
      <c r="CAT12" s="34"/>
      <c r="CAV12" s="34"/>
      <c r="CAW12" s="72"/>
      <c r="CAX12" s="63"/>
      <c r="CAY12" s="34"/>
      <c r="CAZ12" s="64"/>
      <c r="CBA12" s="4"/>
      <c r="CBB12" s="65"/>
      <c r="CBC12" s="4"/>
      <c r="CBD12" s="4"/>
      <c r="CBE12" s="4"/>
      <c r="CBH12" s="34"/>
      <c r="CBI12" s="34"/>
      <c r="CBK12" s="34"/>
      <c r="CBL12" s="72"/>
      <c r="CBM12" s="63"/>
      <c r="CBN12" s="34"/>
      <c r="CBO12" s="64"/>
      <c r="CBP12" s="4"/>
      <c r="CBQ12" s="65"/>
      <c r="CBR12" s="4"/>
      <c r="CBS12" s="4"/>
      <c r="CBT12" s="4"/>
      <c r="CBW12" s="34"/>
      <c r="CBX12" s="34"/>
      <c r="CBZ12" s="34"/>
      <c r="CCA12" s="72"/>
      <c r="CCB12" s="63"/>
      <c r="CCC12" s="34"/>
      <c r="CCD12" s="64"/>
      <c r="CCE12" s="4"/>
      <c r="CCF12" s="65"/>
      <c r="CCG12" s="4"/>
      <c r="CCH12" s="4"/>
      <c r="CCI12" s="4"/>
      <c r="CCL12" s="34"/>
      <c r="CCM12" s="34"/>
      <c r="CCO12" s="34"/>
      <c r="CCP12" s="72"/>
      <c r="CCQ12" s="63"/>
      <c r="CCR12" s="34"/>
      <c r="CCS12" s="64"/>
      <c r="CCT12" s="4"/>
      <c r="CCU12" s="65"/>
      <c r="CCV12" s="4"/>
      <c r="CCW12" s="4"/>
      <c r="CCX12" s="4"/>
      <c r="CDA12" s="34"/>
      <c r="CDB12" s="34"/>
      <c r="CDD12" s="34"/>
      <c r="CDE12" s="72"/>
      <c r="CDF12" s="63"/>
      <c r="CDG12" s="34"/>
      <c r="CDH12" s="64"/>
      <c r="CDI12" s="4"/>
      <c r="CDJ12" s="65"/>
      <c r="CDK12" s="4"/>
      <c r="CDL12" s="4"/>
      <c r="CDM12" s="4"/>
      <c r="CDP12" s="34"/>
      <c r="CDQ12" s="34"/>
      <c r="CDS12" s="34"/>
      <c r="CDT12" s="72"/>
      <c r="CDU12" s="63"/>
      <c r="CDV12" s="34"/>
      <c r="CDW12" s="64"/>
      <c r="CDX12" s="4"/>
      <c r="CDY12" s="65"/>
      <c r="CDZ12" s="4"/>
      <c r="CEA12" s="4"/>
      <c r="CEB12" s="4"/>
      <c r="CEE12" s="34"/>
      <c r="CEF12" s="34"/>
      <c r="CEH12" s="34"/>
      <c r="CEI12" s="72"/>
      <c r="CEJ12" s="63"/>
      <c r="CEK12" s="34"/>
      <c r="CEL12" s="64"/>
      <c r="CEM12" s="4"/>
      <c r="CEN12" s="65"/>
      <c r="CEO12" s="4"/>
      <c r="CEP12" s="4"/>
      <c r="CEQ12" s="4"/>
      <c r="CET12" s="34"/>
      <c r="CEU12" s="34"/>
      <c r="CEW12" s="34"/>
      <c r="CEX12" s="72"/>
      <c r="CEY12" s="63"/>
      <c r="CEZ12" s="34"/>
      <c r="CFA12" s="64"/>
      <c r="CFB12" s="4"/>
      <c r="CFC12" s="65"/>
      <c r="CFD12" s="4"/>
      <c r="CFE12" s="4"/>
      <c r="CFF12" s="4"/>
      <c r="CFI12" s="34"/>
      <c r="CFJ12" s="34"/>
      <c r="CFL12" s="34"/>
      <c r="CFM12" s="72"/>
      <c r="CFN12" s="63"/>
      <c r="CFO12" s="34"/>
      <c r="CFP12" s="64"/>
      <c r="CFQ12" s="4"/>
      <c r="CFR12" s="65"/>
      <c r="CFS12" s="4"/>
      <c r="CFT12" s="4"/>
      <c r="CFU12" s="4"/>
      <c r="CFX12" s="34"/>
      <c r="CFY12" s="34"/>
      <c r="CGA12" s="34"/>
      <c r="CGB12" s="72"/>
      <c r="CGC12" s="63"/>
      <c r="CGD12" s="34"/>
      <c r="CGE12" s="64"/>
      <c r="CGF12" s="4"/>
      <c r="CGG12" s="65"/>
      <c r="CGH12" s="4"/>
      <c r="CGI12" s="4"/>
      <c r="CGJ12" s="4"/>
      <c r="CGM12" s="34"/>
      <c r="CGN12" s="34"/>
      <c r="CGP12" s="34"/>
      <c r="CGQ12" s="72"/>
      <c r="CGR12" s="63"/>
      <c r="CGS12" s="34"/>
      <c r="CGT12" s="64"/>
      <c r="CGU12" s="4"/>
      <c r="CGV12" s="65"/>
      <c r="CGW12" s="4"/>
      <c r="CGX12" s="4"/>
      <c r="CGY12" s="4"/>
      <c r="CHB12" s="34"/>
      <c r="CHC12" s="34"/>
      <c r="CHE12" s="34"/>
      <c r="CHF12" s="72"/>
      <c r="CHG12" s="63"/>
      <c r="CHH12" s="34"/>
      <c r="CHI12" s="64"/>
      <c r="CHJ12" s="4"/>
      <c r="CHK12" s="65"/>
      <c r="CHL12" s="4"/>
      <c r="CHM12" s="4"/>
      <c r="CHN12" s="4"/>
      <c r="CHQ12" s="34"/>
      <c r="CHR12" s="34"/>
      <c r="CHT12" s="34"/>
      <c r="CHU12" s="72"/>
      <c r="CHV12" s="63"/>
      <c r="CHW12" s="34"/>
      <c r="CHX12" s="64"/>
      <c r="CHY12" s="4"/>
      <c r="CHZ12" s="65"/>
      <c r="CIA12" s="4"/>
      <c r="CIB12" s="4"/>
      <c r="CIC12" s="4"/>
      <c r="CIF12" s="34"/>
      <c r="CIG12" s="34"/>
      <c r="CII12" s="34"/>
      <c r="CIJ12" s="72"/>
      <c r="CIK12" s="63"/>
      <c r="CIL12" s="34"/>
      <c r="CIM12" s="64"/>
      <c r="CIN12" s="4"/>
      <c r="CIO12" s="65"/>
      <c r="CIP12" s="4"/>
      <c r="CIQ12" s="4"/>
      <c r="CIR12" s="4"/>
      <c r="CIU12" s="34"/>
      <c r="CIV12" s="34"/>
      <c r="CIX12" s="34"/>
      <c r="CIY12" s="72"/>
      <c r="CIZ12" s="63"/>
      <c r="CJA12" s="34"/>
      <c r="CJB12" s="64"/>
      <c r="CJC12" s="4"/>
      <c r="CJD12" s="65"/>
      <c r="CJE12" s="4"/>
      <c r="CJF12" s="4"/>
      <c r="CJG12" s="4"/>
      <c r="CJJ12" s="34"/>
      <c r="CJK12" s="34"/>
      <c r="CJM12" s="34"/>
      <c r="CJN12" s="72"/>
      <c r="CJO12" s="63"/>
      <c r="CJP12" s="34"/>
      <c r="CJQ12" s="64"/>
      <c r="CJR12" s="4"/>
      <c r="CJS12" s="65"/>
      <c r="CJT12" s="4"/>
      <c r="CJU12" s="4"/>
      <c r="CJV12" s="4"/>
      <c r="CJY12" s="34"/>
      <c r="CJZ12" s="34"/>
      <c r="CKB12" s="34"/>
      <c r="CKC12" s="72"/>
      <c r="CKD12" s="63"/>
      <c r="CKE12" s="34"/>
      <c r="CKF12" s="64"/>
      <c r="CKG12" s="4"/>
      <c r="CKH12" s="65"/>
      <c r="CKI12" s="4"/>
      <c r="CKJ12" s="4"/>
      <c r="CKK12" s="4"/>
      <c r="CKN12" s="34"/>
      <c r="CKO12" s="34"/>
      <c r="CKQ12" s="34"/>
      <c r="CKR12" s="72"/>
      <c r="CKS12" s="63"/>
      <c r="CKT12" s="34"/>
      <c r="CKU12" s="64"/>
      <c r="CKV12" s="4"/>
      <c r="CKW12" s="65"/>
      <c r="CKX12" s="4"/>
      <c r="CKY12" s="4"/>
      <c r="CKZ12" s="4"/>
      <c r="CLC12" s="34"/>
      <c r="CLD12" s="34"/>
      <c r="CLF12" s="34"/>
      <c r="CLG12" s="72"/>
      <c r="CLH12" s="63"/>
      <c r="CLI12" s="34"/>
      <c r="CLJ12" s="64"/>
      <c r="CLK12" s="4"/>
      <c r="CLL12" s="65"/>
      <c r="CLM12" s="4"/>
      <c r="CLN12" s="4"/>
      <c r="CLO12" s="4"/>
      <c r="CLR12" s="34"/>
      <c r="CLS12" s="34"/>
      <c r="CLU12" s="34"/>
      <c r="CLV12" s="72"/>
      <c r="CLW12" s="63"/>
      <c r="CLX12" s="34"/>
      <c r="CLY12" s="64"/>
      <c r="CLZ12" s="4"/>
      <c r="CMA12" s="65"/>
      <c r="CMB12" s="4"/>
      <c r="CMC12" s="4"/>
      <c r="CMD12" s="4"/>
      <c r="CMG12" s="34"/>
      <c r="CMH12" s="34"/>
      <c r="CMJ12" s="34"/>
      <c r="CMK12" s="72"/>
      <c r="CML12" s="63"/>
      <c r="CMM12" s="34"/>
      <c r="CMN12" s="64"/>
      <c r="CMO12" s="4"/>
      <c r="CMP12" s="65"/>
      <c r="CMQ12" s="4"/>
      <c r="CMR12" s="4"/>
      <c r="CMS12" s="4"/>
      <c r="CMV12" s="34"/>
      <c r="CMW12" s="34"/>
      <c r="CMY12" s="34"/>
      <c r="CMZ12" s="72"/>
      <c r="CNA12" s="63"/>
      <c r="CNB12" s="34"/>
      <c r="CNC12" s="64"/>
      <c r="CND12" s="4"/>
      <c r="CNE12" s="65"/>
      <c r="CNF12" s="4"/>
      <c r="CNG12" s="4"/>
      <c r="CNH12" s="4"/>
      <c r="CNK12" s="34"/>
      <c r="CNL12" s="34"/>
      <c r="CNN12" s="34"/>
      <c r="CNO12" s="72"/>
      <c r="CNP12" s="63"/>
      <c r="CNQ12" s="34"/>
      <c r="CNR12" s="64"/>
      <c r="CNS12" s="4"/>
      <c r="CNT12" s="65"/>
      <c r="CNU12" s="4"/>
      <c r="CNV12" s="4"/>
      <c r="CNW12" s="4"/>
      <c r="CNZ12" s="34"/>
      <c r="COA12" s="34"/>
      <c r="COC12" s="34"/>
      <c r="COD12" s="72"/>
      <c r="COE12" s="63"/>
      <c r="COF12" s="34"/>
      <c r="COG12" s="64"/>
      <c r="COH12" s="4"/>
      <c r="COI12" s="65"/>
      <c r="COJ12" s="4"/>
      <c r="COK12" s="4"/>
      <c r="COL12" s="4"/>
      <c r="COO12" s="34"/>
      <c r="COP12" s="34"/>
      <c r="COR12" s="34"/>
      <c r="COS12" s="72"/>
      <c r="COT12" s="63"/>
      <c r="COU12" s="34"/>
      <c r="COV12" s="64"/>
      <c r="COW12" s="4"/>
      <c r="COX12" s="65"/>
      <c r="COY12" s="4"/>
      <c r="COZ12" s="4"/>
      <c r="CPA12" s="4"/>
      <c r="CPD12" s="34"/>
      <c r="CPE12" s="34"/>
      <c r="CPG12" s="34"/>
      <c r="CPH12" s="72"/>
      <c r="CPI12" s="63"/>
      <c r="CPJ12" s="34"/>
      <c r="CPK12" s="64"/>
      <c r="CPL12" s="4"/>
      <c r="CPM12" s="65"/>
      <c r="CPN12" s="4"/>
      <c r="CPO12" s="4"/>
      <c r="CPP12" s="4"/>
      <c r="CPS12" s="34"/>
      <c r="CPT12" s="34"/>
      <c r="CPV12" s="34"/>
      <c r="CPW12" s="72"/>
      <c r="CPX12" s="63"/>
      <c r="CPY12" s="34"/>
      <c r="CPZ12" s="64"/>
      <c r="CQA12" s="4"/>
      <c r="CQB12" s="65"/>
      <c r="CQC12" s="4"/>
      <c r="CQD12" s="4"/>
      <c r="CQE12" s="4"/>
      <c r="CQH12" s="34"/>
      <c r="CQI12" s="34"/>
      <c r="CQK12" s="34"/>
      <c r="CQL12" s="72"/>
      <c r="CQM12" s="63"/>
      <c r="CQN12" s="34"/>
      <c r="CQO12" s="64"/>
      <c r="CQP12" s="4"/>
      <c r="CQQ12" s="65"/>
      <c r="CQR12" s="4"/>
      <c r="CQS12" s="4"/>
      <c r="CQT12" s="4"/>
      <c r="CQW12" s="34"/>
      <c r="CQX12" s="34"/>
      <c r="CQZ12" s="34"/>
      <c r="CRA12" s="72"/>
      <c r="CRB12" s="63"/>
      <c r="CRC12" s="34"/>
      <c r="CRD12" s="64"/>
      <c r="CRE12" s="4"/>
      <c r="CRF12" s="65"/>
      <c r="CRG12" s="4"/>
      <c r="CRH12" s="4"/>
      <c r="CRI12" s="4"/>
      <c r="CRL12" s="34"/>
      <c r="CRM12" s="34"/>
      <c r="CRO12" s="34"/>
      <c r="CRP12" s="72"/>
      <c r="CRQ12" s="63"/>
      <c r="CRR12" s="34"/>
      <c r="CRS12" s="64"/>
      <c r="CRT12" s="4"/>
      <c r="CRU12" s="65"/>
      <c r="CRV12" s="4"/>
      <c r="CRW12" s="4"/>
      <c r="CRX12" s="4"/>
      <c r="CSA12" s="34"/>
      <c r="CSB12" s="34"/>
      <c r="CSD12" s="34"/>
      <c r="CSE12" s="72"/>
      <c r="CSF12" s="63"/>
      <c r="CSG12" s="34"/>
      <c r="CSH12" s="64"/>
      <c r="CSI12" s="4"/>
      <c r="CSJ12" s="65"/>
      <c r="CSK12" s="4"/>
      <c r="CSL12" s="4"/>
      <c r="CSM12" s="4"/>
      <c r="CSP12" s="34"/>
      <c r="CSQ12" s="34"/>
      <c r="CSS12" s="34"/>
      <c r="CST12" s="72"/>
      <c r="CSU12" s="63"/>
      <c r="CSV12" s="34"/>
      <c r="CSW12" s="64"/>
      <c r="CSX12" s="4"/>
      <c r="CSY12" s="65"/>
      <c r="CSZ12" s="4"/>
      <c r="CTA12" s="4"/>
      <c r="CTB12" s="4"/>
      <c r="CTE12" s="34"/>
      <c r="CTF12" s="34"/>
      <c r="CTH12" s="34"/>
      <c r="CTI12" s="72"/>
      <c r="CTJ12" s="63"/>
      <c r="CTK12" s="34"/>
      <c r="CTL12" s="64"/>
      <c r="CTM12" s="4"/>
      <c r="CTN12" s="65"/>
      <c r="CTO12" s="4"/>
      <c r="CTP12" s="4"/>
      <c r="CTQ12" s="4"/>
      <c r="CTT12" s="34"/>
      <c r="CTU12" s="34"/>
      <c r="CTW12" s="34"/>
      <c r="CTX12" s="72"/>
      <c r="CTY12" s="63"/>
      <c r="CTZ12" s="34"/>
      <c r="CUA12" s="64"/>
      <c r="CUB12" s="4"/>
      <c r="CUC12" s="65"/>
      <c r="CUD12" s="4"/>
      <c r="CUE12" s="4"/>
      <c r="CUF12" s="4"/>
      <c r="CUI12" s="34"/>
      <c r="CUJ12" s="34"/>
      <c r="CUL12" s="34"/>
      <c r="CUM12" s="72"/>
      <c r="CUN12" s="63"/>
      <c r="CUO12" s="34"/>
      <c r="CUP12" s="64"/>
      <c r="CUQ12" s="4"/>
      <c r="CUR12" s="65"/>
      <c r="CUS12" s="4"/>
      <c r="CUT12" s="4"/>
      <c r="CUU12" s="4"/>
      <c r="CUX12" s="34"/>
      <c r="CUY12" s="34"/>
      <c r="CVA12" s="34"/>
      <c r="CVB12" s="72"/>
      <c r="CVC12" s="63"/>
      <c r="CVD12" s="34"/>
      <c r="CVE12" s="64"/>
      <c r="CVF12" s="4"/>
      <c r="CVG12" s="65"/>
      <c r="CVH12" s="4"/>
      <c r="CVI12" s="4"/>
      <c r="CVJ12" s="4"/>
      <c r="CVM12" s="34"/>
      <c r="CVN12" s="34"/>
      <c r="CVP12" s="34"/>
      <c r="CVQ12" s="72"/>
      <c r="CVR12" s="63"/>
      <c r="CVS12" s="34"/>
      <c r="CVT12" s="64"/>
      <c r="CVU12" s="4"/>
      <c r="CVV12" s="65"/>
      <c r="CVW12" s="4"/>
      <c r="CVX12" s="4"/>
      <c r="CVY12" s="4"/>
      <c r="CWB12" s="34"/>
      <c r="CWC12" s="34"/>
      <c r="CWE12" s="34"/>
      <c r="CWF12" s="72"/>
      <c r="CWG12" s="63"/>
      <c r="CWH12" s="34"/>
      <c r="CWI12" s="64"/>
      <c r="CWJ12" s="4"/>
      <c r="CWK12" s="65"/>
      <c r="CWL12" s="4"/>
      <c r="CWM12" s="4"/>
      <c r="CWN12" s="4"/>
      <c r="CWQ12" s="34"/>
      <c r="CWR12" s="34"/>
      <c r="CWT12" s="34"/>
      <c r="CWU12" s="72"/>
      <c r="CWV12" s="63"/>
      <c r="CWW12" s="34"/>
      <c r="CWX12" s="64"/>
      <c r="CWY12" s="4"/>
      <c r="CWZ12" s="65"/>
      <c r="CXA12" s="4"/>
      <c r="CXB12" s="4"/>
      <c r="CXC12" s="4"/>
      <c r="CXF12" s="34"/>
      <c r="CXG12" s="34"/>
      <c r="CXI12" s="34"/>
      <c r="CXJ12" s="72"/>
      <c r="CXK12" s="63"/>
      <c r="CXL12" s="34"/>
      <c r="CXM12" s="64"/>
      <c r="CXN12" s="4"/>
      <c r="CXO12" s="65"/>
      <c r="CXP12" s="4"/>
      <c r="CXQ12" s="4"/>
      <c r="CXR12" s="4"/>
      <c r="CXU12" s="34"/>
      <c r="CXV12" s="34"/>
      <c r="CXX12" s="34"/>
      <c r="CXY12" s="72"/>
      <c r="CXZ12" s="63"/>
      <c r="CYA12" s="34"/>
      <c r="CYB12" s="64"/>
      <c r="CYC12" s="4"/>
      <c r="CYD12" s="65"/>
      <c r="CYE12" s="4"/>
      <c r="CYF12" s="4"/>
      <c r="CYG12" s="4"/>
      <c r="CYJ12" s="34"/>
      <c r="CYK12" s="34"/>
      <c r="CYM12" s="34"/>
      <c r="CYN12" s="72"/>
      <c r="CYO12" s="63"/>
      <c r="CYP12" s="34"/>
      <c r="CYQ12" s="64"/>
      <c r="CYR12" s="4"/>
      <c r="CYS12" s="65"/>
      <c r="CYT12" s="4"/>
      <c r="CYU12" s="4"/>
      <c r="CYV12" s="4"/>
      <c r="CYY12" s="34"/>
      <c r="CYZ12" s="34"/>
      <c r="CZB12" s="34"/>
      <c r="CZC12" s="72"/>
      <c r="CZD12" s="63"/>
      <c r="CZE12" s="34"/>
      <c r="CZF12" s="64"/>
      <c r="CZG12" s="4"/>
      <c r="CZH12" s="65"/>
      <c r="CZI12" s="4"/>
      <c r="CZJ12" s="4"/>
      <c r="CZK12" s="4"/>
      <c r="CZN12" s="34"/>
      <c r="CZO12" s="34"/>
      <c r="CZQ12" s="34"/>
      <c r="CZR12" s="72"/>
      <c r="CZS12" s="63"/>
      <c r="CZT12" s="34"/>
      <c r="CZU12" s="64"/>
      <c r="CZV12" s="4"/>
      <c r="CZW12" s="65"/>
      <c r="CZX12" s="4"/>
      <c r="CZY12" s="4"/>
      <c r="CZZ12" s="4"/>
      <c r="DAC12" s="34"/>
      <c r="DAD12" s="34"/>
      <c r="DAF12" s="34"/>
      <c r="DAG12" s="72"/>
      <c r="DAH12" s="63"/>
      <c r="DAI12" s="34"/>
      <c r="DAJ12" s="64"/>
      <c r="DAK12" s="4"/>
      <c r="DAL12" s="65"/>
      <c r="DAM12" s="4"/>
      <c r="DAN12" s="4"/>
      <c r="DAO12" s="4"/>
      <c r="DAR12" s="34"/>
      <c r="DAS12" s="34"/>
      <c r="DAU12" s="34"/>
      <c r="DAV12" s="72"/>
      <c r="DAW12" s="63"/>
      <c r="DAX12" s="34"/>
      <c r="DAY12" s="64"/>
      <c r="DAZ12" s="4"/>
      <c r="DBA12" s="65"/>
      <c r="DBB12" s="4"/>
      <c r="DBC12" s="4"/>
      <c r="DBD12" s="4"/>
      <c r="DBG12" s="34"/>
      <c r="DBH12" s="34"/>
      <c r="DBJ12" s="34"/>
      <c r="DBK12" s="72"/>
      <c r="DBL12" s="63"/>
      <c r="DBM12" s="34"/>
      <c r="DBN12" s="64"/>
      <c r="DBO12" s="4"/>
      <c r="DBP12" s="65"/>
      <c r="DBQ12" s="4"/>
      <c r="DBR12" s="4"/>
      <c r="DBS12" s="4"/>
      <c r="DBV12" s="34"/>
      <c r="DBW12" s="34"/>
      <c r="DBY12" s="34"/>
      <c r="DBZ12" s="72"/>
      <c r="DCA12" s="63"/>
      <c r="DCB12" s="34"/>
      <c r="DCC12" s="64"/>
      <c r="DCD12" s="4"/>
      <c r="DCE12" s="65"/>
      <c r="DCF12" s="4"/>
      <c r="DCG12" s="4"/>
      <c r="DCH12" s="4"/>
      <c r="DCK12" s="34"/>
      <c r="DCL12" s="34"/>
      <c r="DCN12" s="34"/>
      <c r="DCO12" s="72"/>
      <c r="DCP12" s="63"/>
      <c r="DCQ12" s="34"/>
      <c r="DCR12" s="64"/>
      <c r="DCS12" s="4"/>
      <c r="DCT12" s="65"/>
      <c r="DCU12" s="4"/>
      <c r="DCV12" s="4"/>
      <c r="DCW12" s="4"/>
      <c r="DCZ12" s="34"/>
      <c r="DDA12" s="34"/>
      <c r="DDC12" s="34"/>
      <c r="DDD12" s="72"/>
      <c r="DDE12" s="63"/>
      <c r="DDF12" s="34"/>
      <c r="DDG12" s="64"/>
      <c r="DDH12" s="4"/>
      <c r="DDI12" s="65"/>
      <c r="DDJ12" s="4"/>
      <c r="DDK12" s="4"/>
      <c r="DDL12" s="4"/>
      <c r="DDO12" s="34"/>
      <c r="DDP12" s="34"/>
      <c r="DDR12" s="34"/>
      <c r="DDS12" s="72"/>
      <c r="DDT12" s="63"/>
      <c r="DDU12" s="34"/>
      <c r="DDV12" s="64"/>
      <c r="DDW12" s="4"/>
      <c r="DDX12" s="65"/>
      <c r="DDY12" s="4"/>
      <c r="DDZ12" s="4"/>
      <c r="DEA12" s="4"/>
      <c r="DED12" s="34"/>
      <c r="DEE12" s="34"/>
      <c r="DEG12" s="34"/>
      <c r="DEH12" s="72"/>
      <c r="DEI12" s="63"/>
      <c r="DEJ12" s="34"/>
      <c r="DEK12" s="64"/>
      <c r="DEL12" s="4"/>
      <c r="DEM12" s="65"/>
      <c r="DEN12" s="4"/>
      <c r="DEO12" s="4"/>
      <c r="DEP12" s="4"/>
      <c r="DES12" s="34"/>
      <c r="DET12" s="34"/>
      <c r="DEV12" s="34"/>
      <c r="DEW12" s="72"/>
      <c r="DEX12" s="63"/>
      <c r="DEY12" s="34"/>
      <c r="DEZ12" s="64"/>
      <c r="DFA12" s="4"/>
      <c r="DFB12" s="65"/>
      <c r="DFC12" s="4"/>
      <c r="DFD12" s="4"/>
      <c r="DFE12" s="4"/>
      <c r="DFH12" s="34"/>
      <c r="DFI12" s="34"/>
      <c r="DFK12" s="34"/>
      <c r="DFL12" s="72"/>
      <c r="DFM12" s="63"/>
      <c r="DFN12" s="34"/>
      <c r="DFO12" s="64"/>
      <c r="DFP12" s="4"/>
      <c r="DFQ12" s="65"/>
      <c r="DFR12" s="4"/>
      <c r="DFS12" s="4"/>
      <c r="DFT12" s="4"/>
      <c r="DFW12" s="34"/>
      <c r="DFX12" s="34"/>
      <c r="DFZ12" s="34"/>
      <c r="DGA12" s="72"/>
      <c r="DGB12" s="63"/>
      <c r="DGC12" s="34"/>
      <c r="DGD12" s="64"/>
      <c r="DGE12" s="4"/>
      <c r="DGF12" s="65"/>
      <c r="DGG12" s="4"/>
      <c r="DGH12" s="4"/>
      <c r="DGI12" s="4"/>
      <c r="DGL12" s="34"/>
      <c r="DGM12" s="34"/>
      <c r="DGO12" s="34"/>
      <c r="DGP12" s="72"/>
      <c r="DGQ12" s="63"/>
      <c r="DGR12" s="34"/>
      <c r="DGS12" s="64"/>
      <c r="DGT12" s="4"/>
      <c r="DGU12" s="65"/>
      <c r="DGV12" s="4"/>
      <c r="DGW12" s="4"/>
      <c r="DGX12" s="4"/>
      <c r="DHA12" s="34"/>
      <c r="DHB12" s="34"/>
      <c r="DHD12" s="34"/>
      <c r="DHE12" s="72"/>
      <c r="DHF12" s="63"/>
      <c r="DHG12" s="34"/>
      <c r="DHH12" s="64"/>
      <c r="DHI12" s="4"/>
      <c r="DHJ12" s="65"/>
      <c r="DHK12" s="4"/>
      <c r="DHL12" s="4"/>
      <c r="DHM12" s="4"/>
      <c r="DHP12" s="34"/>
      <c r="DHQ12" s="34"/>
      <c r="DHS12" s="34"/>
      <c r="DHT12" s="72"/>
      <c r="DHU12" s="63"/>
      <c r="DHV12" s="34"/>
      <c r="DHW12" s="64"/>
      <c r="DHX12" s="4"/>
      <c r="DHY12" s="65"/>
      <c r="DHZ12" s="4"/>
      <c r="DIA12" s="4"/>
      <c r="DIB12" s="4"/>
      <c r="DIE12" s="34"/>
      <c r="DIF12" s="34"/>
      <c r="DIH12" s="34"/>
      <c r="DII12" s="72"/>
      <c r="DIJ12" s="63"/>
      <c r="DIK12" s="34"/>
      <c r="DIL12" s="64"/>
      <c r="DIM12" s="4"/>
      <c r="DIN12" s="65"/>
      <c r="DIO12" s="4"/>
      <c r="DIP12" s="4"/>
      <c r="DIQ12" s="4"/>
      <c r="DIT12" s="34"/>
      <c r="DIU12" s="34"/>
      <c r="DIW12" s="34"/>
      <c r="DIX12" s="72"/>
      <c r="DIY12" s="63"/>
      <c r="DIZ12" s="34"/>
      <c r="DJA12" s="64"/>
      <c r="DJB12" s="4"/>
      <c r="DJC12" s="65"/>
      <c r="DJD12" s="4"/>
      <c r="DJE12" s="4"/>
      <c r="DJF12" s="4"/>
      <c r="DJI12" s="34"/>
      <c r="DJJ12" s="34"/>
      <c r="DJL12" s="34"/>
      <c r="DJM12" s="72"/>
      <c r="DJN12" s="63"/>
      <c r="DJO12" s="34"/>
      <c r="DJP12" s="64"/>
      <c r="DJQ12" s="4"/>
      <c r="DJR12" s="65"/>
      <c r="DJS12" s="4"/>
      <c r="DJT12" s="4"/>
      <c r="DJU12" s="4"/>
      <c r="DJX12" s="34"/>
      <c r="DJY12" s="34"/>
      <c r="DKA12" s="34"/>
      <c r="DKB12" s="72"/>
      <c r="DKC12" s="63"/>
      <c r="DKD12" s="34"/>
      <c r="DKE12" s="64"/>
      <c r="DKF12" s="4"/>
      <c r="DKG12" s="65"/>
      <c r="DKH12" s="4"/>
      <c r="DKI12" s="4"/>
      <c r="DKJ12" s="4"/>
      <c r="DKM12" s="34"/>
      <c r="DKN12" s="34"/>
      <c r="DKP12" s="34"/>
      <c r="DKQ12" s="72"/>
      <c r="DKR12" s="63"/>
      <c r="DKS12" s="34"/>
      <c r="DKT12" s="64"/>
      <c r="DKU12" s="4"/>
      <c r="DKV12" s="65"/>
      <c r="DKW12" s="4"/>
      <c r="DKX12" s="4"/>
      <c r="DKY12" s="4"/>
      <c r="DLB12" s="34"/>
      <c r="DLC12" s="34"/>
      <c r="DLE12" s="34"/>
      <c r="DLF12" s="72"/>
      <c r="DLG12" s="63"/>
      <c r="DLH12" s="34"/>
      <c r="DLI12" s="64"/>
      <c r="DLJ12" s="4"/>
      <c r="DLK12" s="65"/>
      <c r="DLL12" s="4"/>
      <c r="DLM12" s="4"/>
      <c r="DLN12" s="4"/>
      <c r="DLQ12" s="34"/>
      <c r="DLR12" s="34"/>
      <c r="DLT12" s="34"/>
      <c r="DLU12" s="72"/>
      <c r="DLV12" s="63"/>
      <c r="DLW12" s="34"/>
      <c r="DLX12" s="64"/>
      <c r="DLY12" s="4"/>
      <c r="DLZ12" s="65"/>
      <c r="DMA12" s="4"/>
      <c r="DMB12" s="4"/>
      <c r="DMC12" s="4"/>
      <c r="DMF12" s="34"/>
      <c r="DMG12" s="34"/>
      <c r="DMI12" s="34"/>
      <c r="DMJ12" s="72"/>
      <c r="DMK12" s="63"/>
      <c r="DML12" s="34"/>
      <c r="DMM12" s="64"/>
      <c r="DMN12" s="4"/>
      <c r="DMO12" s="65"/>
      <c r="DMP12" s="4"/>
      <c r="DMQ12" s="4"/>
      <c r="DMR12" s="4"/>
      <c r="DMU12" s="34"/>
      <c r="DMV12" s="34"/>
      <c r="DMX12" s="34"/>
      <c r="DMY12" s="72"/>
      <c r="DMZ12" s="63"/>
      <c r="DNA12" s="34"/>
      <c r="DNB12" s="64"/>
      <c r="DNC12" s="4"/>
      <c r="DND12" s="65"/>
      <c r="DNE12" s="4"/>
      <c r="DNF12" s="4"/>
      <c r="DNG12" s="4"/>
      <c r="DNJ12" s="34"/>
      <c r="DNK12" s="34"/>
      <c r="DNM12" s="34"/>
      <c r="DNN12" s="72"/>
      <c r="DNO12" s="63"/>
      <c r="DNP12" s="34"/>
      <c r="DNQ12" s="64"/>
      <c r="DNR12" s="4"/>
      <c r="DNS12" s="65"/>
      <c r="DNT12" s="4"/>
      <c r="DNU12" s="4"/>
      <c r="DNV12" s="4"/>
      <c r="DNY12" s="34"/>
      <c r="DNZ12" s="34"/>
      <c r="DOB12" s="34"/>
      <c r="DOC12" s="72"/>
      <c r="DOD12" s="63"/>
      <c r="DOE12" s="34"/>
      <c r="DOF12" s="64"/>
      <c r="DOG12" s="4"/>
      <c r="DOH12" s="65"/>
      <c r="DOI12" s="4"/>
      <c r="DOJ12" s="4"/>
      <c r="DOK12" s="4"/>
      <c r="DON12" s="34"/>
      <c r="DOO12" s="34"/>
      <c r="DOQ12" s="34"/>
      <c r="DOR12" s="72"/>
      <c r="DOS12" s="63"/>
      <c r="DOT12" s="34"/>
      <c r="DOU12" s="64"/>
      <c r="DOV12" s="4"/>
      <c r="DOW12" s="65"/>
      <c r="DOX12" s="4"/>
      <c r="DOY12" s="4"/>
      <c r="DOZ12" s="4"/>
      <c r="DPC12" s="34"/>
      <c r="DPD12" s="34"/>
      <c r="DPF12" s="34"/>
      <c r="DPG12" s="72"/>
      <c r="DPH12" s="63"/>
      <c r="DPI12" s="34"/>
      <c r="DPJ12" s="64"/>
      <c r="DPK12" s="4"/>
      <c r="DPL12" s="65"/>
      <c r="DPM12" s="4"/>
      <c r="DPN12" s="4"/>
      <c r="DPO12" s="4"/>
      <c r="DPR12" s="34"/>
      <c r="DPS12" s="34"/>
      <c r="DPU12" s="34"/>
      <c r="DPV12" s="72"/>
      <c r="DPW12" s="63"/>
      <c r="DPX12" s="34"/>
      <c r="DPY12" s="64"/>
      <c r="DPZ12" s="4"/>
      <c r="DQA12" s="65"/>
      <c r="DQB12" s="4"/>
      <c r="DQC12" s="4"/>
      <c r="DQD12" s="4"/>
      <c r="DQG12" s="34"/>
      <c r="DQH12" s="34"/>
      <c r="DQJ12" s="34"/>
      <c r="DQK12" s="72"/>
      <c r="DQL12" s="63"/>
      <c r="DQM12" s="34"/>
      <c r="DQN12" s="64"/>
      <c r="DQO12" s="4"/>
      <c r="DQP12" s="65"/>
      <c r="DQQ12" s="4"/>
      <c r="DQR12" s="4"/>
      <c r="DQS12" s="4"/>
      <c r="DQV12" s="34"/>
      <c r="DQW12" s="34"/>
      <c r="DQY12" s="34"/>
      <c r="DQZ12" s="72"/>
      <c r="DRA12" s="63"/>
      <c r="DRB12" s="34"/>
      <c r="DRC12" s="64"/>
      <c r="DRD12" s="4"/>
      <c r="DRE12" s="65"/>
      <c r="DRF12" s="4"/>
      <c r="DRG12" s="4"/>
      <c r="DRH12" s="4"/>
      <c r="DRK12" s="34"/>
      <c r="DRL12" s="34"/>
      <c r="DRN12" s="34"/>
      <c r="DRO12" s="72"/>
      <c r="DRP12" s="63"/>
      <c r="DRQ12" s="34"/>
      <c r="DRR12" s="64"/>
      <c r="DRS12" s="4"/>
      <c r="DRT12" s="65"/>
      <c r="DRU12" s="4"/>
      <c r="DRV12" s="4"/>
      <c r="DRW12" s="4"/>
      <c r="DRZ12" s="34"/>
      <c r="DSA12" s="34"/>
      <c r="DSC12" s="34"/>
      <c r="DSD12" s="72"/>
      <c r="DSE12" s="63"/>
      <c r="DSF12" s="34"/>
      <c r="DSG12" s="64"/>
      <c r="DSH12" s="4"/>
      <c r="DSI12" s="65"/>
      <c r="DSJ12" s="4"/>
      <c r="DSK12" s="4"/>
      <c r="DSL12" s="4"/>
      <c r="DSO12" s="34"/>
      <c r="DSP12" s="34"/>
      <c r="DSR12" s="34"/>
      <c r="DSS12" s="72"/>
      <c r="DST12" s="63"/>
      <c r="DSU12" s="34"/>
      <c r="DSV12" s="64"/>
      <c r="DSW12" s="4"/>
      <c r="DSX12" s="65"/>
      <c r="DSY12" s="4"/>
      <c r="DSZ12" s="4"/>
      <c r="DTA12" s="4"/>
      <c r="DTD12" s="34"/>
      <c r="DTE12" s="34"/>
      <c r="DTG12" s="34"/>
      <c r="DTH12" s="72"/>
      <c r="DTI12" s="63"/>
      <c r="DTJ12" s="34"/>
      <c r="DTK12" s="64"/>
      <c r="DTL12" s="4"/>
      <c r="DTM12" s="65"/>
      <c r="DTN12" s="4"/>
      <c r="DTO12" s="4"/>
      <c r="DTP12" s="4"/>
      <c r="DTS12" s="34"/>
      <c r="DTT12" s="34"/>
      <c r="DTV12" s="34"/>
      <c r="DTW12" s="72"/>
      <c r="DTX12" s="63"/>
      <c r="DTY12" s="34"/>
      <c r="DTZ12" s="64"/>
      <c r="DUA12" s="4"/>
      <c r="DUB12" s="65"/>
      <c r="DUC12" s="4"/>
      <c r="DUD12" s="4"/>
      <c r="DUE12" s="4"/>
      <c r="DUH12" s="34"/>
      <c r="DUI12" s="34"/>
      <c r="DUK12" s="34"/>
      <c r="DUL12" s="72"/>
      <c r="DUM12" s="63"/>
      <c r="DUN12" s="34"/>
      <c r="DUO12" s="64"/>
      <c r="DUP12" s="4"/>
      <c r="DUQ12" s="65"/>
      <c r="DUR12" s="4"/>
      <c r="DUS12" s="4"/>
      <c r="DUT12" s="4"/>
      <c r="DUW12" s="34"/>
      <c r="DUX12" s="34"/>
      <c r="DUZ12" s="34"/>
      <c r="DVA12" s="72"/>
      <c r="DVB12" s="63"/>
      <c r="DVC12" s="34"/>
      <c r="DVD12" s="64"/>
      <c r="DVE12" s="4"/>
      <c r="DVF12" s="65"/>
      <c r="DVG12" s="4"/>
      <c r="DVH12" s="4"/>
      <c r="DVI12" s="4"/>
      <c r="DVL12" s="34"/>
      <c r="DVM12" s="34"/>
      <c r="DVO12" s="34"/>
      <c r="DVP12" s="72"/>
      <c r="DVQ12" s="63"/>
      <c r="DVR12" s="34"/>
      <c r="DVS12" s="64"/>
      <c r="DVT12" s="4"/>
      <c r="DVU12" s="65"/>
      <c r="DVV12" s="4"/>
      <c r="DVW12" s="4"/>
      <c r="DVX12" s="4"/>
      <c r="DWA12" s="34"/>
      <c r="DWB12" s="34"/>
      <c r="DWD12" s="34"/>
      <c r="DWE12" s="72"/>
      <c r="DWF12" s="63"/>
      <c r="DWG12" s="34"/>
      <c r="DWH12" s="64"/>
      <c r="DWI12" s="4"/>
      <c r="DWJ12" s="65"/>
      <c r="DWK12" s="4"/>
      <c r="DWL12" s="4"/>
      <c r="DWM12" s="4"/>
      <c r="DWP12" s="34"/>
      <c r="DWQ12" s="34"/>
      <c r="DWS12" s="34"/>
      <c r="DWT12" s="72"/>
      <c r="DWU12" s="63"/>
      <c r="DWV12" s="34"/>
      <c r="DWW12" s="64"/>
      <c r="DWX12" s="4"/>
      <c r="DWY12" s="65"/>
      <c r="DWZ12" s="4"/>
      <c r="DXA12" s="4"/>
      <c r="DXB12" s="4"/>
      <c r="DXE12" s="34"/>
      <c r="DXF12" s="34"/>
      <c r="DXH12" s="34"/>
      <c r="DXI12" s="72"/>
      <c r="DXJ12" s="63"/>
      <c r="DXK12" s="34"/>
      <c r="DXL12" s="64"/>
      <c r="DXM12" s="4"/>
      <c r="DXN12" s="65"/>
      <c r="DXO12" s="4"/>
      <c r="DXP12" s="4"/>
      <c r="DXQ12" s="4"/>
      <c r="DXT12" s="34"/>
      <c r="DXU12" s="34"/>
      <c r="DXW12" s="34"/>
      <c r="DXX12" s="72"/>
      <c r="DXY12" s="63"/>
      <c r="DXZ12" s="34"/>
      <c r="DYA12" s="64"/>
      <c r="DYB12" s="4"/>
      <c r="DYC12" s="65"/>
      <c r="DYD12" s="4"/>
      <c r="DYE12" s="4"/>
      <c r="DYF12" s="4"/>
      <c r="DYI12" s="34"/>
      <c r="DYJ12" s="34"/>
      <c r="DYL12" s="34"/>
      <c r="DYM12" s="72"/>
      <c r="DYN12" s="63"/>
      <c r="DYO12" s="34"/>
      <c r="DYP12" s="64"/>
      <c r="DYQ12" s="4"/>
      <c r="DYR12" s="65"/>
      <c r="DYS12" s="4"/>
      <c r="DYT12" s="4"/>
      <c r="DYU12" s="4"/>
      <c r="DYX12" s="34"/>
      <c r="DYY12" s="34"/>
      <c r="DZA12" s="34"/>
      <c r="DZB12" s="72"/>
      <c r="DZC12" s="63"/>
      <c r="DZD12" s="34"/>
      <c r="DZE12" s="64"/>
      <c r="DZF12" s="4"/>
      <c r="DZG12" s="65"/>
      <c r="DZH12" s="4"/>
      <c r="DZI12" s="4"/>
      <c r="DZJ12" s="4"/>
      <c r="DZM12" s="34"/>
      <c r="DZN12" s="34"/>
      <c r="DZP12" s="34"/>
      <c r="DZQ12" s="72"/>
      <c r="DZR12" s="63"/>
      <c r="DZS12" s="34"/>
      <c r="DZT12" s="64"/>
      <c r="DZU12" s="4"/>
      <c r="DZV12" s="65"/>
      <c r="DZW12" s="4"/>
      <c r="DZX12" s="4"/>
      <c r="DZY12" s="4"/>
      <c r="EAB12" s="34"/>
      <c r="EAC12" s="34"/>
      <c r="EAE12" s="34"/>
      <c r="EAF12" s="72"/>
      <c r="EAG12" s="63"/>
      <c r="EAH12" s="34"/>
      <c r="EAI12" s="64"/>
      <c r="EAJ12" s="4"/>
      <c r="EAK12" s="65"/>
      <c r="EAL12" s="4"/>
      <c r="EAM12" s="4"/>
      <c r="EAN12" s="4"/>
      <c r="EAQ12" s="34"/>
      <c r="EAR12" s="34"/>
      <c r="EAT12" s="34"/>
      <c r="EAU12" s="72"/>
      <c r="EAV12" s="63"/>
      <c r="EAW12" s="34"/>
      <c r="EAX12" s="64"/>
      <c r="EAY12" s="4"/>
      <c r="EAZ12" s="65"/>
      <c r="EBA12" s="4"/>
      <c r="EBB12" s="4"/>
      <c r="EBC12" s="4"/>
      <c r="EBF12" s="34"/>
      <c r="EBG12" s="34"/>
      <c r="EBI12" s="34"/>
      <c r="EBJ12" s="72"/>
      <c r="EBK12" s="63"/>
      <c r="EBL12" s="34"/>
      <c r="EBM12" s="64"/>
      <c r="EBN12" s="4"/>
      <c r="EBO12" s="65"/>
      <c r="EBP12" s="4"/>
      <c r="EBQ12" s="4"/>
      <c r="EBR12" s="4"/>
      <c r="EBU12" s="34"/>
      <c r="EBV12" s="34"/>
      <c r="EBX12" s="34"/>
      <c r="EBY12" s="72"/>
      <c r="EBZ12" s="63"/>
      <c r="ECA12" s="34"/>
      <c r="ECB12" s="64"/>
      <c r="ECC12" s="4"/>
      <c r="ECD12" s="65"/>
      <c r="ECE12" s="4"/>
      <c r="ECF12" s="4"/>
      <c r="ECG12" s="4"/>
      <c r="ECJ12" s="34"/>
      <c r="ECK12" s="34"/>
      <c r="ECM12" s="34"/>
      <c r="ECN12" s="72"/>
      <c r="ECO12" s="63"/>
      <c r="ECP12" s="34"/>
      <c r="ECQ12" s="64"/>
      <c r="ECR12" s="4"/>
      <c r="ECS12" s="65"/>
      <c r="ECT12" s="4"/>
      <c r="ECU12" s="4"/>
      <c r="ECV12" s="4"/>
      <c r="ECY12" s="34"/>
      <c r="ECZ12" s="34"/>
      <c r="EDB12" s="34"/>
      <c r="EDC12" s="72"/>
      <c r="EDD12" s="63"/>
      <c r="EDE12" s="34"/>
      <c r="EDF12" s="64"/>
      <c r="EDG12" s="4"/>
      <c r="EDH12" s="65"/>
      <c r="EDI12" s="4"/>
      <c r="EDJ12" s="4"/>
      <c r="EDK12" s="4"/>
      <c r="EDN12" s="34"/>
      <c r="EDO12" s="34"/>
      <c r="EDQ12" s="34"/>
      <c r="EDR12" s="72"/>
      <c r="EDS12" s="63"/>
      <c r="EDT12" s="34"/>
      <c r="EDU12" s="64"/>
      <c r="EDV12" s="4"/>
      <c r="EDW12" s="65"/>
      <c r="EDX12" s="4"/>
      <c r="EDY12" s="4"/>
      <c r="EDZ12" s="4"/>
      <c r="EEC12" s="34"/>
      <c r="EED12" s="34"/>
      <c r="EEF12" s="34"/>
      <c r="EEG12" s="72"/>
      <c r="EEH12" s="63"/>
      <c r="EEI12" s="34"/>
      <c r="EEJ12" s="64"/>
      <c r="EEK12" s="4"/>
      <c r="EEL12" s="65"/>
      <c r="EEM12" s="4"/>
      <c r="EEN12" s="4"/>
      <c r="EEO12" s="4"/>
      <c r="EER12" s="34"/>
      <c r="EES12" s="34"/>
      <c r="EEU12" s="34"/>
      <c r="EEV12" s="72"/>
      <c r="EEW12" s="63"/>
      <c r="EEX12" s="34"/>
      <c r="EEY12" s="64"/>
      <c r="EEZ12" s="4"/>
      <c r="EFA12" s="65"/>
      <c r="EFB12" s="4"/>
      <c r="EFC12" s="4"/>
      <c r="EFD12" s="4"/>
      <c r="EFG12" s="34"/>
      <c r="EFH12" s="34"/>
      <c r="EFJ12" s="34"/>
      <c r="EFK12" s="72"/>
      <c r="EFL12" s="63"/>
      <c r="EFM12" s="34"/>
      <c r="EFN12" s="64"/>
      <c r="EFO12" s="4"/>
      <c r="EFP12" s="65"/>
      <c r="EFQ12" s="4"/>
      <c r="EFR12" s="4"/>
      <c r="EFS12" s="4"/>
      <c r="EFV12" s="34"/>
      <c r="EFW12" s="34"/>
      <c r="EFY12" s="34"/>
      <c r="EFZ12" s="72"/>
      <c r="EGA12" s="63"/>
      <c r="EGB12" s="34"/>
      <c r="EGC12" s="64"/>
      <c r="EGD12" s="4"/>
      <c r="EGE12" s="65"/>
      <c r="EGF12" s="4"/>
      <c r="EGG12" s="4"/>
      <c r="EGH12" s="4"/>
      <c r="EGK12" s="34"/>
      <c r="EGL12" s="34"/>
      <c r="EGN12" s="34"/>
      <c r="EGO12" s="72"/>
      <c r="EGP12" s="63"/>
      <c r="EGQ12" s="34"/>
      <c r="EGR12" s="64"/>
      <c r="EGS12" s="4"/>
      <c r="EGT12" s="65"/>
      <c r="EGU12" s="4"/>
      <c r="EGV12" s="4"/>
      <c r="EGW12" s="4"/>
      <c r="EGZ12" s="34"/>
      <c r="EHA12" s="34"/>
      <c r="EHC12" s="34"/>
      <c r="EHD12" s="72"/>
      <c r="EHE12" s="63"/>
      <c r="EHF12" s="34"/>
      <c r="EHG12" s="64"/>
      <c r="EHH12" s="4"/>
      <c r="EHI12" s="65"/>
      <c r="EHJ12" s="4"/>
      <c r="EHK12" s="4"/>
      <c r="EHL12" s="4"/>
      <c r="EHO12" s="34"/>
      <c r="EHP12" s="34"/>
      <c r="EHR12" s="34"/>
      <c r="EHS12" s="72"/>
      <c r="EHT12" s="63"/>
      <c r="EHU12" s="34"/>
      <c r="EHV12" s="64"/>
      <c r="EHW12" s="4"/>
      <c r="EHX12" s="65"/>
      <c r="EHY12" s="4"/>
      <c r="EHZ12" s="4"/>
      <c r="EIA12" s="4"/>
      <c r="EID12" s="34"/>
      <c r="EIE12" s="34"/>
      <c r="EIG12" s="34"/>
      <c r="EIH12" s="72"/>
      <c r="EII12" s="63"/>
      <c r="EIJ12" s="34"/>
      <c r="EIK12" s="64"/>
      <c r="EIL12" s="4"/>
      <c r="EIM12" s="65"/>
      <c r="EIN12" s="4"/>
      <c r="EIO12" s="4"/>
      <c r="EIP12" s="4"/>
      <c r="EIS12" s="34"/>
      <c r="EIT12" s="34"/>
      <c r="EIV12" s="34"/>
      <c r="EIW12" s="72"/>
      <c r="EIX12" s="63"/>
      <c r="EIY12" s="34"/>
      <c r="EIZ12" s="64"/>
      <c r="EJA12" s="4"/>
      <c r="EJB12" s="65"/>
      <c r="EJC12" s="4"/>
      <c r="EJD12" s="4"/>
      <c r="EJE12" s="4"/>
      <c r="EJH12" s="34"/>
      <c r="EJI12" s="34"/>
      <c r="EJK12" s="34"/>
      <c r="EJL12" s="72"/>
      <c r="EJM12" s="63"/>
      <c r="EJN12" s="34"/>
      <c r="EJO12" s="64"/>
      <c r="EJP12" s="4"/>
      <c r="EJQ12" s="65"/>
      <c r="EJR12" s="4"/>
      <c r="EJS12" s="4"/>
      <c r="EJT12" s="4"/>
      <c r="EJW12" s="34"/>
      <c r="EJX12" s="34"/>
      <c r="EJZ12" s="34"/>
      <c r="EKA12" s="72"/>
      <c r="EKB12" s="63"/>
      <c r="EKC12" s="34"/>
      <c r="EKD12" s="64"/>
      <c r="EKE12" s="4"/>
      <c r="EKF12" s="65"/>
      <c r="EKG12" s="4"/>
      <c r="EKH12" s="4"/>
      <c r="EKI12" s="4"/>
      <c r="EKL12" s="34"/>
      <c r="EKM12" s="34"/>
      <c r="EKO12" s="34"/>
      <c r="EKP12" s="72"/>
      <c r="EKQ12" s="63"/>
      <c r="EKR12" s="34"/>
      <c r="EKS12" s="64"/>
      <c r="EKT12" s="4"/>
      <c r="EKU12" s="65"/>
      <c r="EKV12" s="4"/>
      <c r="EKW12" s="4"/>
      <c r="EKX12" s="4"/>
      <c r="ELA12" s="34"/>
      <c r="ELB12" s="34"/>
      <c r="ELD12" s="34"/>
      <c r="ELE12" s="72"/>
      <c r="ELF12" s="63"/>
      <c r="ELG12" s="34"/>
      <c r="ELH12" s="64"/>
      <c r="ELI12" s="4"/>
      <c r="ELJ12" s="65"/>
      <c r="ELK12" s="4"/>
      <c r="ELL12" s="4"/>
      <c r="ELM12" s="4"/>
      <c r="ELP12" s="34"/>
      <c r="ELQ12" s="34"/>
      <c r="ELS12" s="34"/>
      <c r="ELT12" s="72"/>
      <c r="ELU12" s="63"/>
      <c r="ELV12" s="34"/>
      <c r="ELW12" s="64"/>
      <c r="ELX12" s="4"/>
      <c r="ELY12" s="65"/>
      <c r="ELZ12" s="4"/>
      <c r="EMA12" s="4"/>
      <c r="EMB12" s="4"/>
      <c r="EME12" s="34"/>
      <c r="EMF12" s="34"/>
      <c r="EMH12" s="34"/>
      <c r="EMI12" s="72"/>
      <c r="EMJ12" s="63"/>
      <c r="EMK12" s="34"/>
      <c r="EML12" s="64"/>
      <c r="EMM12" s="4"/>
      <c r="EMN12" s="65"/>
      <c r="EMO12" s="4"/>
      <c r="EMP12" s="4"/>
      <c r="EMQ12" s="4"/>
      <c r="EMT12" s="34"/>
      <c r="EMU12" s="34"/>
      <c r="EMW12" s="34"/>
      <c r="EMX12" s="72"/>
      <c r="EMY12" s="63"/>
      <c r="EMZ12" s="34"/>
      <c r="ENA12" s="64"/>
      <c r="ENB12" s="4"/>
      <c r="ENC12" s="65"/>
      <c r="END12" s="4"/>
      <c r="ENE12" s="4"/>
      <c r="ENF12" s="4"/>
      <c r="ENI12" s="34"/>
      <c r="ENJ12" s="34"/>
      <c r="ENL12" s="34"/>
      <c r="ENM12" s="72"/>
      <c r="ENN12" s="63"/>
      <c r="ENO12" s="34"/>
      <c r="ENP12" s="64"/>
      <c r="ENQ12" s="4"/>
      <c r="ENR12" s="65"/>
      <c r="ENS12" s="4"/>
      <c r="ENT12" s="4"/>
      <c r="ENU12" s="4"/>
      <c r="ENX12" s="34"/>
      <c r="ENY12" s="34"/>
      <c r="EOA12" s="34"/>
      <c r="EOB12" s="72"/>
      <c r="EOC12" s="63"/>
      <c r="EOD12" s="34"/>
      <c r="EOE12" s="64"/>
      <c r="EOF12" s="4"/>
      <c r="EOG12" s="65"/>
      <c r="EOH12" s="4"/>
      <c r="EOI12" s="4"/>
      <c r="EOJ12" s="4"/>
      <c r="EOM12" s="34"/>
      <c r="EON12" s="34"/>
      <c r="EOP12" s="34"/>
      <c r="EOQ12" s="72"/>
      <c r="EOR12" s="63"/>
      <c r="EOS12" s="34"/>
      <c r="EOT12" s="64"/>
      <c r="EOU12" s="4"/>
      <c r="EOV12" s="65"/>
      <c r="EOW12" s="4"/>
      <c r="EOX12" s="4"/>
      <c r="EOY12" s="4"/>
      <c r="EPB12" s="34"/>
      <c r="EPC12" s="34"/>
      <c r="EPE12" s="34"/>
      <c r="EPF12" s="72"/>
      <c r="EPG12" s="63"/>
      <c r="EPH12" s="34"/>
      <c r="EPI12" s="64"/>
      <c r="EPJ12" s="4"/>
      <c r="EPK12" s="65"/>
      <c r="EPL12" s="4"/>
      <c r="EPM12" s="4"/>
      <c r="EPN12" s="4"/>
      <c r="EPQ12" s="34"/>
      <c r="EPR12" s="34"/>
      <c r="EPT12" s="34"/>
      <c r="EPU12" s="72"/>
      <c r="EPV12" s="63"/>
      <c r="EPW12" s="34"/>
      <c r="EPX12" s="64"/>
      <c r="EPY12" s="4"/>
      <c r="EPZ12" s="65"/>
      <c r="EQA12" s="4"/>
      <c r="EQB12" s="4"/>
      <c r="EQC12" s="4"/>
      <c r="EQF12" s="34"/>
      <c r="EQG12" s="34"/>
      <c r="EQI12" s="34"/>
      <c r="EQJ12" s="72"/>
      <c r="EQK12" s="63"/>
      <c r="EQL12" s="34"/>
      <c r="EQM12" s="64"/>
      <c r="EQN12" s="4"/>
      <c r="EQO12" s="65"/>
      <c r="EQP12" s="4"/>
      <c r="EQQ12" s="4"/>
      <c r="EQR12" s="4"/>
      <c r="EQU12" s="34"/>
      <c r="EQV12" s="34"/>
      <c r="EQX12" s="34"/>
      <c r="EQY12" s="72"/>
      <c r="EQZ12" s="63"/>
      <c r="ERA12" s="34"/>
      <c r="ERB12" s="64"/>
      <c r="ERC12" s="4"/>
      <c r="ERD12" s="65"/>
      <c r="ERE12" s="4"/>
      <c r="ERF12" s="4"/>
      <c r="ERG12" s="4"/>
      <c r="ERJ12" s="34"/>
      <c r="ERK12" s="34"/>
      <c r="ERM12" s="34"/>
      <c r="ERN12" s="72"/>
      <c r="ERO12" s="63"/>
      <c r="ERP12" s="34"/>
      <c r="ERQ12" s="64"/>
      <c r="ERR12" s="4"/>
      <c r="ERS12" s="65"/>
      <c r="ERT12" s="4"/>
      <c r="ERU12" s="4"/>
      <c r="ERV12" s="4"/>
      <c r="ERY12" s="34"/>
      <c r="ERZ12" s="34"/>
      <c r="ESB12" s="34"/>
      <c r="ESC12" s="72"/>
      <c r="ESD12" s="63"/>
      <c r="ESE12" s="34"/>
      <c r="ESF12" s="64"/>
      <c r="ESG12" s="4"/>
      <c r="ESH12" s="65"/>
      <c r="ESI12" s="4"/>
      <c r="ESJ12" s="4"/>
      <c r="ESK12" s="4"/>
      <c r="ESN12" s="34"/>
      <c r="ESO12" s="34"/>
      <c r="ESQ12" s="34"/>
      <c r="ESR12" s="72"/>
      <c r="ESS12" s="63"/>
      <c r="EST12" s="34"/>
      <c r="ESU12" s="64"/>
      <c r="ESV12" s="4"/>
      <c r="ESW12" s="65"/>
      <c r="ESX12" s="4"/>
      <c r="ESY12" s="4"/>
      <c r="ESZ12" s="4"/>
      <c r="ETC12" s="34"/>
      <c r="ETD12" s="34"/>
      <c r="ETF12" s="34"/>
      <c r="ETG12" s="72"/>
      <c r="ETH12" s="63"/>
      <c r="ETI12" s="34"/>
      <c r="ETJ12" s="64"/>
      <c r="ETK12" s="4"/>
      <c r="ETL12" s="65"/>
      <c r="ETM12" s="4"/>
      <c r="ETN12" s="4"/>
      <c r="ETO12" s="4"/>
      <c r="ETR12" s="34"/>
      <c r="ETS12" s="34"/>
      <c r="ETU12" s="34"/>
      <c r="ETV12" s="72"/>
      <c r="ETW12" s="63"/>
      <c r="ETX12" s="34"/>
      <c r="ETY12" s="64"/>
      <c r="ETZ12" s="4"/>
      <c r="EUA12" s="65"/>
      <c r="EUB12" s="4"/>
      <c r="EUC12" s="4"/>
      <c r="EUD12" s="4"/>
      <c r="EUG12" s="34"/>
      <c r="EUH12" s="34"/>
      <c r="EUJ12" s="34"/>
      <c r="EUK12" s="72"/>
      <c r="EUL12" s="63"/>
      <c r="EUM12" s="34"/>
      <c r="EUN12" s="64"/>
      <c r="EUO12" s="4"/>
      <c r="EUP12" s="65"/>
      <c r="EUQ12" s="4"/>
      <c r="EUR12" s="4"/>
      <c r="EUS12" s="4"/>
      <c r="EUV12" s="34"/>
      <c r="EUW12" s="34"/>
      <c r="EUY12" s="34"/>
      <c r="EUZ12" s="72"/>
      <c r="EVA12" s="63"/>
      <c r="EVB12" s="34"/>
      <c r="EVC12" s="64"/>
      <c r="EVD12" s="4"/>
      <c r="EVE12" s="65"/>
      <c r="EVF12" s="4"/>
      <c r="EVG12" s="4"/>
      <c r="EVH12" s="4"/>
      <c r="EVK12" s="34"/>
      <c r="EVL12" s="34"/>
      <c r="EVN12" s="34"/>
      <c r="EVO12" s="72"/>
      <c r="EVP12" s="63"/>
      <c r="EVQ12" s="34"/>
      <c r="EVR12" s="64"/>
      <c r="EVS12" s="4"/>
      <c r="EVT12" s="65"/>
      <c r="EVU12" s="4"/>
      <c r="EVV12" s="4"/>
      <c r="EVW12" s="4"/>
      <c r="EVZ12" s="34"/>
      <c r="EWA12" s="34"/>
      <c r="EWC12" s="34"/>
      <c r="EWD12" s="72"/>
      <c r="EWE12" s="63"/>
      <c r="EWF12" s="34"/>
      <c r="EWG12" s="64"/>
      <c r="EWH12" s="4"/>
      <c r="EWI12" s="65"/>
      <c r="EWJ12" s="4"/>
      <c r="EWK12" s="4"/>
      <c r="EWL12" s="4"/>
      <c r="EWO12" s="34"/>
      <c r="EWP12" s="34"/>
      <c r="EWR12" s="34"/>
      <c r="EWS12" s="72"/>
      <c r="EWT12" s="63"/>
      <c r="EWU12" s="34"/>
      <c r="EWV12" s="64"/>
      <c r="EWW12" s="4"/>
      <c r="EWX12" s="65"/>
      <c r="EWY12" s="4"/>
      <c r="EWZ12" s="4"/>
      <c r="EXA12" s="4"/>
      <c r="EXD12" s="34"/>
      <c r="EXE12" s="34"/>
      <c r="EXG12" s="34"/>
      <c r="EXH12" s="72"/>
      <c r="EXI12" s="63"/>
      <c r="EXJ12" s="34"/>
      <c r="EXK12" s="64"/>
      <c r="EXL12" s="4"/>
      <c r="EXM12" s="65"/>
      <c r="EXN12" s="4"/>
      <c r="EXO12" s="4"/>
      <c r="EXP12" s="4"/>
      <c r="EXS12" s="34"/>
      <c r="EXT12" s="34"/>
      <c r="EXV12" s="34"/>
      <c r="EXW12" s="72"/>
      <c r="EXX12" s="63"/>
      <c r="EXY12" s="34"/>
      <c r="EXZ12" s="64"/>
      <c r="EYA12" s="4"/>
      <c r="EYB12" s="65"/>
      <c r="EYC12" s="4"/>
      <c r="EYD12" s="4"/>
      <c r="EYE12" s="4"/>
      <c r="EYH12" s="34"/>
      <c r="EYI12" s="34"/>
      <c r="EYK12" s="34"/>
      <c r="EYL12" s="72"/>
      <c r="EYM12" s="63"/>
      <c r="EYN12" s="34"/>
      <c r="EYO12" s="64"/>
      <c r="EYP12" s="4"/>
      <c r="EYQ12" s="65"/>
      <c r="EYR12" s="4"/>
      <c r="EYS12" s="4"/>
      <c r="EYT12" s="4"/>
      <c r="EYW12" s="34"/>
      <c r="EYX12" s="34"/>
      <c r="EYZ12" s="34"/>
      <c r="EZA12" s="72"/>
      <c r="EZB12" s="63"/>
      <c r="EZC12" s="34"/>
      <c r="EZD12" s="64"/>
      <c r="EZE12" s="4"/>
      <c r="EZF12" s="65"/>
      <c r="EZG12" s="4"/>
      <c r="EZH12" s="4"/>
      <c r="EZI12" s="4"/>
      <c r="EZL12" s="34"/>
      <c r="EZM12" s="34"/>
      <c r="EZO12" s="34"/>
      <c r="EZP12" s="72"/>
      <c r="EZQ12" s="63"/>
      <c r="EZR12" s="34"/>
      <c r="EZS12" s="64"/>
      <c r="EZT12" s="4"/>
      <c r="EZU12" s="65"/>
      <c r="EZV12" s="4"/>
      <c r="EZW12" s="4"/>
      <c r="EZX12" s="4"/>
      <c r="FAA12" s="34"/>
      <c r="FAB12" s="34"/>
      <c r="FAD12" s="34"/>
      <c r="FAE12" s="72"/>
      <c r="FAF12" s="63"/>
      <c r="FAG12" s="34"/>
      <c r="FAH12" s="64"/>
      <c r="FAI12" s="4"/>
      <c r="FAJ12" s="65"/>
      <c r="FAK12" s="4"/>
      <c r="FAL12" s="4"/>
      <c r="FAM12" s="4"/>
      <c r="FAP12" s="34"/>
      <c r="FAQ12" s="34"/>
      <c r="FAS12" s="34"/>
      <c r="FAT12" s="72"/>
      <c r="FAU12" s="63"/>
      <c r="FAV12" s="34"/>
      <c r="FAW12" s="64"/>
      <c r="FAX12" s="4"/>
      <c r="FAY12" s="65"/>
      <c r="FAZ12" s="4"/>
      <c r="FBA12" s="4"/>
      <c r="FBB12" s="4"/>
      <c r="FBE12" s="34"/>
      <c r="FBF12" s="34"/>
      <c r="FBH12" s="34"/>
      <c r="FBI12" s="72"/>
      <c r="FBJ12" s="63"/>
      <c r="FBK12" s="34"/>
      <c r="FBL12" s="64"/>
      <c r="FBM12" s="4"/>
      <c r="FBN12" s="65"/>
      <c r="FBO12" s="4"/>
      <c r="FBP12" s="4"/>
      <c r="FBQ12" s="4"/>
      <c r="FBT12" s="34"/>
      <c r="FBU12" s="34"/>
      <c r="FBW12" s="34"/>
      <c r="FBX12" s="72"/>
      <c r="FBY12" s="63"/>
      <c r="FBZ12" s="34"/>
      <c r="FCA12" s="64"/>
      <c r="FCB12" s="4"/>
      <c r="FCC12" s="65"/>
      <c r="FCD12" s="4"/>
      <c r="FCE12" s="4"/>
      <c r="FCF12" s="4"/>
      <c r="FCI12" s="34"/>
      <c r="FCJ12" s="34"/>
      <c r="FCL12" s="34"/>
      <c r="FCM12" s="72"/>
      <c r="FCN12" s="63"/>
      <c r="FCO12" s="34"/>
      <c r="FCP12" s="64"/>
      <c r="FCQ12" s="4"/>
      <c r="FCR12" s="65"/>
      <c r="FCS12" s="4"/>
      <c r="FCT12" s="4"/>
      <c r="FCU12" s="4"/>
      <c r="FCX12" s="34"/>
      <c r="FCY12" s="34"/>
      <c r="FDA12" s="34"/>
      <c r="FDB12" s="72"/>
      <c r="FDC12" s="63"/>
      <c r="FDD12" s="34"/>
      <c r="FDE12" s="64"/>
      <c r="FDF12" s="4"/>
      <c r="FDG12" s="65"/>
      <c r="FDH12" s="4"/>
      <c r="FDI12" s="4"/>
      <c r="FDJ12" s="4"/>
      <c r="FDM12" s="34"/>
      <c r="FDN12" s="34"/>
      <c r="FDP12" s="34"/>
      <c r="FDQ12" s="72"/>
      <c r="FDR12" s="63"/>
      <c r="FDS12" s="34"/>
      <c r="FDT12" s="64"/>
      <c r="FDU12" s="4"/>
      <c r="FDV12" s="65"/>
      <c r="FDW12" s="4"/>
      <c r="FDX12" s="4"/>
      <c r="FDY12" s="4"/>
      <c r="FEB12" s="34"/>
      <c r="FEC12" s="34"/>
      <c r="FEE12" s="34"/>
      <c r="FEF12" s="72"/>
      <c r="FEG12" s="63"/>
      <c r="FEH12" s="34"/>
      <c r="FEI12" s="64"/>
      <c r="FEJ12" s="4"/>
      <c r="FEK12" s="65"/>
      <c r="FEL12" s="4"/>
      <c r="FEM12" s="4"/>
      <c r="FEN12" s="4"/>
      <c r="FEQ12" s="34"/>
      <c r="FER12" s="34"/>
      <c r="FET12" s="34"/>
      <c r="FEU12" s="72"/>
      <c r="FEV12" s="63"/>
      <c r="FEW12" s="34"/>
      <c r="FEX12" s="64"/>
      <c r="FEY12" s="4"/>
      <c r="FEZ12" s="65"/>
      <c r="FFA12" s="4"/>
      <c r="FFB12" s="4"/>
      <c r="FFC12" s="4"/>
      <c r="FFF12" s="34"/>
      <c r="FFG12" s="34"/>
      <c r="FFI12" s="34"/>
      <c r="FFJ12" s="72"/>
      <c r="FFK12" s="63"/>
      <c r="FFL12" s="34"/>
      <c r="FFM12" s="64"/>
      <c r="FFN12" s="4"/>
      <c r="FFO12" s="65"/>
      <c r="FFP12" s="4"/>
      <c r="FFQ12" s="4"/>
      <c r="FFR12" s="4"/>
      <c r="FFU12" s="34"/>
      <c r="FFV12" s="34"/>
      <c r="FFX12" s="34"/>
      <c r="FFY12" s="72"/>
      <c r="FFZ12" s="63"/>
      <c r="FGA12" s="34"/>
      <c r="FGB12" s="64"/>
      <c r="FGC12" s="4"/>
      <c r="FGD12" s="65"/>
      <c r="FGE12" s="4"/>
      <c r="FGF12" s="4"/>
      <c r="FGG12" s="4"/>
      <c r="FGJ12" s="34"/>
      <c r="FGK12" s="34"/>
      <c r="FGM12" s="34"/>
      <c r="FGN12" s="72"/>
      <c r="FGO12" s="63"/>
      <c r="FGP12" s="34"/>
      <c r="FGQ12" s="64"/>
      <c r="FGR12" s="4"/>
      <c r="FGS12" s="65"/>
      <c r="FGT12" s="4"/>
      <c r="FGU12" s="4"/>
      <c r="FGV12" s="4"/>
      <c r="FGY12" s="34"/>
      <c r="FGZ12" s="34"/>
      <c r="FHB12" s="34"/>
      <c r="FHC12" s="72"/>
      <c r="FHD12" s="63"/>
      <c r="FHE12" s="34"/>
      <c r="FHF12" s="64"/>
      <c r="FHG12" s="4"/>
      <c r="FHH12" s="65"/>
      <c r="FHI12" s="4"/>
      <c r="FHJ12" s="4"/>
      <c r="FHK12" s="4"/>
      <c r="FHN12" s="34"/>
      <c r="FHO12" s="34"/>
      <c r="FHQ12" s="34"/>
      <c r="FHR12" s="72"/>
      <c r="FHS12" s="63"/>
      <c r="FHT12" s="34"/>
      <c r="FHU12" s="64"/>
      <c r="FHV12" s="4"/>
      <c r="FHW12" s="65"/>
      <c r="FHX12" s="4"/>
      <c r="FHY12" s="4"/>
      <c r="FHZ12" s="4"/>
      <c r="FIC12" s="34"/>
      <c r="FID12" s="34"/>
      <c r="FIF12" s="34"/>
      <c r="FIG12" s="72"/>
      <c r="FIH12" s="63"/>
      <c r="FII12" s="34"/>
      <c r="FIJ12" s="64"/>
      <c r="FIK12" s="4"/>
      <c r="FIL12" s="65"/>
      <c r="FIM12" s="4"/>
      <c r="FIN12" s="4"/>
      <c r="FIO12" s="4"/>
      <c r="FIR12" s="34"/>
      <c r="FIS12" s="34"/>
      <c r="FIU12" s="34"/>
      <c r="FIV12" s="72"/>
      <c r="FIW12" s="63"/>
      <c r="FIX12" s="34"/>
      <c r="FIY12" s="64"/>
      <c r="FIZ12" s="4"/>
      <c r="FJA12" s="65"/>
      <c r="FJB12" s="4"/>
      <c r="FJC12" s="4"/>
      <c r="FJD12" s="4"/>
      <c r="FJG12" s="34"/>
      <c r="FJH12" s="34"/>
      <c r="FJJ12" s="34"/>
      <c r="FJK12" s="72"/>
      <c r="FJL12" s="63"/>
      <c r="FJM12" s="34"/>
      <c r="FJN12" s="64"/>
      <c r="FJO12" s="4"/>
      <c r="FJP12" s="65"/>
      <c r="FJQ12" s="4"/>
      <c r="FJR12" s="4"/>
      <c r="FJS12" s="4"/>
      <c r="FJV12" s="34"/>
      <c r="FJW12" s="34"/>
      <c r="FJY12" s="34"/>
      <c r="FJZ12" s="72"/>
      <c r="FKA12" s="63"/>
      <c r="FKB12" s="34"/>
      <c r="FKC12" s="64"/>
      <c r="FKD12" s="4"/>
      <c r="FKE12" s="65"/>
      <c r="FKF12" s="4"/>
      <c r="FKG12" s="4"/>
      <c r="FKH12" s="4"/>
      <c r="FKK12" s="34"/>
      <c r="FKL12" s="34"/>
      <c r="FKN12" s="34"/>
      <c r="FKO12" s="72"/>
      <c r="FKP12" s="63"/>
      <c r="FKQ12" s="34"/>
      <c r="FKR12" s="64"/>
      <c r="FKS12" s="4"/>
      <c r="FKT12" s="65"/>
      <c r="FKU12" s="4"/>
      <c r="FKV12" s="4"/>
      <c r="FKW12" s="4"/>
      <c r="FKZ12" s="34"/>
      <c r="FLA12" s="34"/>
      <c r="FLC12" s="34"/>
      <c r="FLD12" s="72"/>
      <c r="FLE12" s="63"/>
      <c r="FLF12" s="34"/>
      <c r="FLG12" s="64"/>
      <c r="FLH12" s="4"/>
      <c r="FLI12" s="65"/>
      <c r="FLJ12" s="4"/>
      <c r="FLK12" s="4"/>
      <c r="FLL12" s="4"/>
      <c r="FLO12" s="34"/>
      <c r="FLP12" s="34"/>
      <c r="FLR12" s="34"/>
      <c r="FLS12" s="72"/>
      <c r="FLT12" s="63"/>
      <c r="FLU12" s="34"/>
      <c r="FLV12" s="64"/>
      <c r="FLW12" s="4"/>
      <c r="FLX12" s="65"/>
      <c r="FLY12" s="4"/>
      <c r="FLZ12" s="4"/>
      <c r="FMA12" s="4"/>
      <c r="FMD12" s="34"/>
      <c r="FME12" s="34"/>
      <c r="FMG12" s="34"/>
      <c r="FMH12" s="72"/>
      <c r="FMI12" s="63"/>
      <c r="FMJ12" s="34"/>
      <c r="FMK12" s="64"/>
      <c r="FML12" s="4"/>
      <c r="FMM12" s="65"/>
      <c r="FMN12" s="4"/>
      <c r="FMO12" s="4"/>
      <c r="FMP12" s="4"/>
      <c r="FMS12" s="34"/>
      <c r="FMT12" s="34"/>
      <c r="FMV12" s="34"/>
      <c r="FMW12" s="72"/>
      <c r="FMX12" s="63"/>
      <c r="FMY12" s="34"/>
      <c r="FMZ12" s="64"/>
      <c r="FNA12" s="4"/>
      <c r="FNB12" s="65"/>
      <c r="FNC12" s="4"/>
      <c r="FND12" s="4"/>
      <c r="FNE12" s="4"/>
      <c r="FNH12" s="34"/>
      <c r="FNI12" s="34"/>
      <c r="FNK12" s="34"/>
      <c r="FNL12" s="72"/>
      <c r="FNM12" s="63"/>
      <c r="FNN12" s="34"/>
      <c r="FNO12" s="64"/>
      <c r="FNP12" s="4"/>
      <c r="FNQ12" s="65"/>
      <c r="FNR12" s="4"/>
      <c r="FNS12" s="4"/>
      <c r="FNT12" s="4"/>
      <c r="FNW12" s="34"/>
      <c r="FNX12" s="34"/>
      <c r="FNZ12" s="34"/>
      <c r="FOA12" s="72"/>
      <c r="FOB12" s="63"/>
      <c r="FOC12" s="34"/>
      <c r="FOD12" s="64"/>
      <c r="FOE12" s="4"/>
      <c r="FOF12" s="65"/>
      <c r="FOG12" s="4"/>
      <c r="FOH12" s="4"/>
      <c r="FOI12" s="4"/>
      <c r="FOL12" s="34"/>
      <c r="FOM12" s="34"/>
      <c r="FOO12" s="34"/>
      <c r="FOP12" s="72"/>
      <c r="FOQ12" s="63"/>
      <c r="FOR12" s="34"/>
      <c r="FOS12" s="64"/>
      <c r="FOT12" s="4"/>
      <c r="FOU12" s="65"/>
      <c r="FOV12" s="4"/>
      <c r="FOW12" s="4"/>
      <c r="FOX12" s="4"/>
      <c r="FPA12" s="34"/>
      <c r="FPB12" s="34"/>
      <c r="FPD12" s="34"/>
      <c r="FPE12" s="72"/>
      <c r="FPF12" s="63"/>
      <c r="FPG12" s="34"/>
      <c r="FPH12" s="64"/>
      <c r="FPI12" s="4"/>
      <c r="FPJ12" s="65"/>
      <c r="FPK12" s="4"/>
      <c r="FPL12" s="4"/>
      <c r="FPM12" s="4"/>
      <c r="FPP12" s="34"/>
      <c r="FPQ12" s="34"/>
      <c r="FPS12" s="34"/>
      <c r="FPT12" s="72"/>
      <c r="FPU12" s="63"/>
      <c r="FPV12" s="34"/>
      <c r="FPW12" s="64"/>
      <c r="FPX12" s="4"/>
      <c r="FPY12" s="65"/>
      <c r="FPZ12" s="4"/>
      <c r="FQA12" s="4"/>
      <c r="FQB12" s="4"/>
      <c r="FQE12" s="34"/>
      <c r="FQF12" s="34"/>
      <c r="FQH12" s="34"/>
      <c r="FQI12" s="72"/>
      <c r="FQJ12" s="63"/>
      <c r="FQK12" s="34"/>
      <c r="FQL12" s="64"/>
      <c r="FQM12" s="4"/>
      <c r="FQN12" s="65"/>
      <c r="FQO12" s="4"/>
      <c r="FQP12" s="4"/>
      <c r="FQQ12" s="4"/>
      <c r="FQT12" s="34"/>
      <c r="FQU12" s="34"/>
      <c r="FQW12" s="34"/>
      <c r="FQX12" s="72"/>
      <c r="FQY12" s="63"/>
      <c r="FQZ12" s="34"/>
      <c r="FRA12" s="64"/>
      <c r="FRB12" s="4"/>
      <c r="FRC12" s="65"/>
      <c r="FRD12" s="4"/>
      <c r="FRE12" s="4"/>
      <c r="FRF12" s="4"/>
      <c r="FRI12" s="34"/>
      <c r="FRJ12" s="34"/>
      <c r="FRL12" s="34"/>
      <c r="FRM12" s="72"/>
      <c r="FRN12" s="63"/>
      <c r="FRO12" s="34"/>
      <c r="FRP12" s="64"/>
      <c r="FRQ12" s="4"/>
      <c r="FRR12" s="65"/>
      <c r="FRS12" s="4"/>
      <c r="FRT12" s="4"/>
      <c r="FRU12" s="4"/>
      <c r="FRX12" s="34"/>
      <c r="FRY12" s="34"/>
      <c r="FSA12" s="34"/>
      <c r="FSB12" s="72"/>
      <c r="FSC12" s="63"/>
      <c r="FSD12" s="34"/>
      <c r="FSE12" s="64"/>
      <c r="FSF12" s="4"/>
      <c r="FSG12" s="65"/>
      <c r="FSH12" s="4"/>
      <c r="FSI12" s="4"/>
      <c r="FSJ12" s="4"/>
      <c r="FSM12" s="34"/>
      <c r="FSN12" s="34"/>
      <c r="FSP12" s="34"/>
      <c r="FSQ12" s="72"/>
      <c r="FSR12" s="63"/>
      <c r="FSS12" s="34"/>
      <c r="FST12" s="64"/>
      <c r="FSU12" s="4"/>
      <c r="FSV12" s="65"/>
      <c r="FSW12" s="4"/>
      <c r="FSX12" s="4"/>
      <c r="FSY12" s="4"/>
      <c r="FTB12" s="34"/>
      <c r="FTC12" s="34"/>
      <c r="FTE12" s="34"/>
      <c r="FTF12" s="72"/>
      <c r="FTG12" s="63"/>
      <c r="FTH12" s="34"/>
      <c r="FTI12" s="64"/>
      <c r="FTJ12" s="4"/>
      <c r="FTK12" s="65"/>
      <c r="FTL12" s="4"/>
      <c r="FTM12" s="4"/>
      <c r="FTN12" s="4"/>
      <c r="FTQ12" s="34"/>
      <c r="FTR12" s="34"/>
      <c r="FTT12" s="34"/>
      <c r="FTU12" s="72"/>
      <c r="FTV12" s="63"/>
      <c r="FTW12" s="34"/>
      <c r="FTX12" s="64"/>
      <c r="FTY12" s="4"/>
      <c r="FTZ12" s="65"/>
      <c r="FUA12" s="4"/>
      <c r="FUB12" s="4"/>
      <c r="FUC12" s="4"/>
      <c r="FUF12" s="34"/>
      <c r="FUG12" s="34"/>
      <c r="FUI12" s="34"/>
      <c r="FUJ12" s="72"/>
      <c r="FUK12" s="63"/>
      <c r="FUL12" s="34"/>
      <c r="FUM12" s="64"/>
      <c r="FUN12" s="4"/>
      <c r="FUO12" s="65"/>
      <c r="FUP12" s="4"/>
      <c r="FUQ12" s="4"/>
      <c r="FUR12" s="4"/>
      <c r="FUU12" s="34"/>
      <c r="FUV12" s="34"/>
      <c r="FUX12" s="34"/>
      <c r="FUY12" s="72"/>
      <c r="FUZ12" s="63"/>
      <c r="FVA12" s="34"/>
      <c r="FVB12" s="64"/>
      <c r="FVC12" s="4"/>
      <c r="FVD12" s="65"/>
      <c r="FVE12" s="4"/>
      <c r="FVF12" s="4"/>
      <c r="FVG12" s="4"/>
      <c r="FVJ12" s="34"/>
      <c r="FVK12" s="34"/>
      <c r="FVM12" s="34"/>
      <c r="FVN12" s="72"/>
      <c r="FVO12" s="63"/>
      <c r="FVP12" s="34"/>
      <c r="FVQ12" s="64"/>
      <c r="FVR12" s="4"/>
      <c r="FVS12" s="65"/>
      <c r="FVT12" s="4"/>
      <c r="FVU12" s="4"/>
      <c r="FVV12" s="4"/>
      <c r="FVY12" s="34"/>
      <c r="FVZ12" s="34"/>
      <c r="FWB12" s="34"/>
      <c r="FWC12" s="72"/>
      <c r="FWD12" s="63"/>
      <c r="FWE12" s="34"/>
      <c r="FWF12" s="64"/>
      <c r="FWG12" s="4"/>
      <c r="FWH12" s="65"/>
      <c r="FWI12" s="4"/>
      <c r="FWJ12" s="4"/>
      <c r="FWK12" s="4"/>
      <c r="FWN12" s="34"/>
      <c r="FWO12" s="34"/>
      <c r="FWQ12" s="34"/>
      <c r="FWR12" s="72"/>
      <c r="FWS12" s="63"/>
      <c r="FWT12" s="34"/>
      <c r="FWU12" s="64"/>
      <c r="FWV12" s="4"/>
      <c r="FWW12" s="65"/>
      <c r="FWX12" s="4"/>
      <c r="FWY12" s="4"/>
      <c r="FWZ12" s="4"/>
      <c r="FXC12" s="34"/>
      <c r="FXD12" s="34"/>
      <c r="FXF12" s="34"/>
      <c r="FXG12" s="72"/>
      <c r="FXH12" s="63"/>
      <c r="FXI12" s="34"/>
      <c r="FXJ12" s="64"/>
      <c r="FXK12" s="4"/>
      <c r="FXL12" s="65"/>
      <c r="FXM12" s="4"/>
      <c r="FXN12" s="4"/>
      <c r="FXO12" s="4"/>
      <c r="FXR12" s="34"/>
      <c r="FXS12" s="34"/>
      <c r="FXU12" s="34"/>
      <c r="FXV12" s="72"/>
      <c r="FXW12" s="63"/>
      <c r="FXX12" s="34"/>
      <c r="FXY12" s="64"/>
      <c r="FXZ12" s="4"/>
      <c r="FYA12" s="65"/>
      <c r="FYB12" s="4"/>
      <c r="FYC12" s="4"/>
      <c r="FYD12" s="4"/>
      <c r="FYG12" s="34"/>
      <c r="FYH12" s="34"/>
      <c r="FYJ12" s="34"/>
      <c r="FYK12" s="72"/>
      <c r="FYL12" s="63"/>
      <c r="FYM12" s="34"/>
      <c r="FYN12" s="64"/>
      <c r="FYO12" s="4"/>
      <c r="FYP12" s="65"/>
      <c r="FYQ12" s="4"/>
      <c r="FYR12" s="4"/>
      <c r="FYS12" s="4"/>
      <c r="FYV12" s="34"/>
      <c r="FYW12" s="34"/>
      <c r="FYY12" s="34"/>
      <c r="FYZ12" s="72"/>
      <c r="FZA12" s="63"/>
      <c r="FZB12" s="34"/>
      <c r="FZC12" s="64"/>
      <c r="FZD12" s="4"/>
      <c r="FZE12" s="65"/>
      <c r="FZF12" s="4"/>
      <c r="FZG12" s="4"/>
      <c r="FZH12" s="4"/>
      <c r="FZK12" s="34"/>
      <c r="FZL12" s="34"/>
      <c r="FZN12" s="34"/>
      <c r="FZO12" s="72"/>
      <c r="FZP12" s="63"/>
      <c r="FZQ12" s="34"/>
      <c r="FZR12" s="64"/>
      <c r="FZS12" s="4"/>
      <c r="FZT12" s="65"/>
      <c r="FZU12" s="4"/>
      <c r="FZV12" s="4"/>
      <c r="FZW12" s="4"/>
      <c r="FZZ12" s="34"/>
      <c r="GAA12" s="34"/>
      <c r="GAC12" s="34"/>
      <c r="GAD12" s="72"/>
      <c r="GAE12" s="63"/>
      <c r="GAF12" s="34"/>
      <c r="GAG12" s="64"/>
      <c r="GAH12" s="4"/>
      <c r="GAI12" s="65"/>
      <c r="GAJ12" s="4"/>
      <c r="GAK12" s="4"/>
      <c r="GAL12" s="4"/>
      <c r="GAO12" s="34"/>
      <c r="GAP12" s="34"/>
      <c r="GAR12" s="34"/>
      <c r="GAS12" s="72"/>
      <c r="GAT12" s="63"/>
      <c r="GAU12" s="34"/>
      <c r="GAV12" s="64"/>
      <c r="GAW12" s="4"/>
      <c r="GAX12" s="65"/>
      <c r="GAY12" s="4"/>
      <c r="GAZ12" s="4"/>
      <c r="GBA12" s="4"/>
      <c r="GBD12" s="34"/>
      <c r="GBE12" s="34"/>
      <c r="GBG12" s="34"/>
      <c r="GBH12" s="72"/>
      <c r="GBI12" s="63"/>
      <c r="GBJ12" s="34"/>
      <c r="GBK12" s="64"/>
      <c r="GBL12" s="4"/>
      <c r="GBM12" s="65"/>
      <c r="GBN12" s="4"/>
      <c r="GBO12" s="4"/>
      <c r="GBP12" s="4"/>
      <c r="GBS12" s="34"/>
      <c r="GBT12" s="34"/>
      <c r="GBV12" s="34"/>
      <c r="GBW12" s="72"/>
      <c r="GBX12" s="63"/>
      <c r="GBY12" s="34"/>
      <c r="GBZ12" s="64"/>
      <c r="GCA12" s="4"/>
      <c r="GCB12" s="65"/>
      <c r="GCC12" s="4"/>
      <c r="GCD12" s="4"/>
      <c r="GCE12" s="4"/>
      <c r="GCH12" s="34"/>
      <c r="GCI12" s="34"/>
      <c r="GCK12" s="34"/>
      <c r="GCL12" s="72"/>
      <c r="GCM12" s="63"/>
      <c r="GCN12" s="34"/>
      <c r="GCO12" s="64"/>
      <c r="GCP12" s="4"/>
      <c r="GCQ12" s="65"/>
      <c r="GCR12" s="4"/>
      <c r="GCS12" s="4"/>
      <c r="GCT12" s="4"/>
      <c r="GCW12" s="34"/>
      <c r="GCX12" s="34"/>
      <c r="GCZ12" s="34"/>
      <c r="GDA12" s="72"/>
      <c r="GDB12" s="63"/>
      <c r="GDC12" s="34"/>
      <c r="GDD12" s="64"/>
      <c r="GDE12" s="4"/>
      <c r="GDF12" s="65"/>
      <c r="GDG12" s="4"/>
      <c r="GDH12" s="4"/>
      <c r="GDI12" s="4"/>
      <c r="GDL12" s="34"/>
      <c r="GDM12" s="34"/>
      <c r="GDO12" s="34"/>
      <c r="GDP12" s="72"/>
      <c r="GDQ12" s="63"/>
      <c r="GDR12" s="34"/>
      <c r="GDS12" s="64"/>
      <c r="GDT12" s="4"/>
      <c r="GDU12" s="65"/>
      <c r="GDV12" s="4"/>
      <c r="GDW12" s="4"/>
      <c r="GDX12" s="4"/>
      <c r="GEA12" s="34"/>
      <c r="GEB12" s="34"/>
      <c r="GED12" s="34"/>
      <c r="GEE12" s="72"/>
      <c r="GEF12" s="63"/>
      <c r="GEG12" s="34"/>
      <c r="GEH12" s="64"/>
      <c r="GEI12" s="4"/>
      <c r="GEJ12" s="65"/>
      <c r="GEK12" s="4"/>
      <c r="GEL12" s="4"/>
      <c r="GEM12" s="4"/>
      <c r="GEP12" s="34"/>
      <c r="GEQ12" s="34"/>
      <c r="GES12" s="34"/>
      <c r="GET12" s="72"/>
      <c r="GEU12" s="63"/>
      <c r="GEV12" s="34"/>
      <c r="GEW12" s="64"/>
      <c r="GEX12" s="4"/>
      <c r="GEY12" s="65"/>
      <c r="GEZ12" s="4"/>
      <c r="GFA12" s="4"/>
      <c r="GFB12" s="4"/>
      <c r="GFE12" s="34"/>
      <c r="GFF12" s="34"/>
      <c r="GFH12" s="34"/>
      <c r="GFI12" s="72"/>
      <c r="GFJ12" s="63"/>
      <c r="GFK12" s="34"/>
      <c r="GFL12" s="64"/>
      <c r="GFM12" s="4"/>
      <c r="GFN12" s="65"/>
      <c r="GFO12" s="4"/>
      <c r="GFP12" s="4"/>
      <c r="GFQ12" s="4"/>
      <c r="GFT12" s="34"/>
      <c r="GFU12" s="34"/>
      <c r="GFW12" s="34"/>
      <c r="GFX12" s="72"/>
      <c r="GFY12" s="63"/>
      <c r="GFZ12" s="34"/>
      <c r="GGA12" s="64"/>
      <c r="GGB12" s="4"/>
      <c r="GGC12" s="65"/>
      <c r="GGD12" s="4"/>
      <c r="GGE12" s="4"/>
      <c r="GGF12" s="4"/>
      <c r="GGI12" s="34"/>
      <c r="GGJ12" s="34"/>
      <c r="GGL12" s="34"/>
      <c r="GGM12" s="72"/>
      <c r="GGN12" s="63"/>
      <c r="GGO12" s="34"/>
      <c r="GGP12" s="64"/>
      <c r="GGQ12" s="4"/>
      <c r="GGR12" s="65"/>
      <c r="GGS12" s="4"/>
      <c r="GGT12" s="4"/>
      <c r="GGU12" s="4"/>
      <c r="GGX12" s="34"/>
      <c r="GGY12" s="34"/>
      <c r="GHA12" s="34"/>
      <c r="GHB12" s="72"/>
      <c r="GHC12" s="63"/>
      <c r="GHD12" s="34"/>
      <c r="GHE12" s="64"/>
      <c r="GHF12" s="4"/>
      <c r="GHG12" s="65"/>
      <c r="GHH12" s="4"/>
      <c r="GHI12" s="4"/>
      <c r="GHJ12" s="4"/>
      <c r="GHM12" s="34"/>
      <c r="GHN12" s="34"/>
      <c r="GHP12" s="34"/>
      <c r="GHQ12" s="72"/>
      <c r="GHR12" s="63"/>
      <c r="GHS12" s="34"/>
      <c r="GHT12" s="64"/>
      <c r="GHU12" s="4"/>
      <c r="GHV12" s="65"/>
      <c r="GHW12" s="4"/>
      <c r="GHX12" s="4"/>
      <c r="GHY12" s="4"/>
      <c r="GIB12" s="34"/>
      <c r="GIC12" s="34"/>
      <c r="GIE12" s="34"/>
      <c r="GIF12" s="72"/>
      <c r="GIG12" s="63"/>
      <c r="GIH12" s="34"/>
      <c r="GII12" s="64"/>
      <c r="GIJ12" s="4"/>
      <c r="GIK12" s="65"/>
      <c r="GIL12" s="4"/>
      <c r="GIM12" s="4"/>
      <c r="GIN12" s="4"/>
      <c r="GIQ12" s="34"/>
      <c r="GIR12" s="34"/>
      <c r="GIT12" s="34"/>
      <c r="GIU12" s="72"/>
      <c r="GIV12" s="63"/>
      <c r="GIW12" s="34"/>
      <c r="GIX12" s="64"/>
      <c r="GIY12" s="4"/>
      <c r="GIZ12" s="65"/>
      <c r="GJA12" s="4"/>
      <c r="GJB12" s="4"/>
      <c r="GJC12" s="4"/>
      <c r="GJF12" s="34"/>
      <c r="GJG12" s="34"/>
      <c r="GJI12" s="34"/>
      <c r="GJJ12" s="72"/>
      <c r="GJK12" s="63"/>
      <c r="GJL12" s="34"/>
      <c r="GJM12" s="64"/>
      <c r="GJN12" s="4"/>
      <c r="GJO12" s="65"/>
      <c r="GJP12" s="4"/>
      <c r="GJQ12" s="4"/>
      <c r="GJR12" s="4"/>
      <c r="GJU12" s="34"/>
      <c r="GJV12" s="34"/>
      <c r="GJX12" s="34"/>
      <c r="GJY12" s="72"/>
      <c r="GJZ12" s="63"/>
      <c r="GKA12" s="34"/>
      <c r="GKB12" s="64"/>
      <c r="GKC12" s="4"/>
      <c r="GKD12" s="65"/>
      <c r="GKE12" s="4"/>
      <c r="GKF12" s="4"/>
      <c r="GKG12" s="4"/>
      <c r="GKJ12" s="34"/>
      <c r="GKK12" s="34"/>
      <c r="GKM12" s="34"/>
      <c r="GKN12" s="72"/>
      <c r="GKO12" s="63"/>
      <c r="GKP12" s="34"/>
      <c r="GKQ12" s="64"/>
      <c r="GKR12" s="4"/>
      <c r="GKS12" s="65"/>
      <c r="GKT12" s="4"/>
      <c r="GKU12" s="4"/>
      <c r="GKV12" s="4"/>
      <c r="GKY12" s="34"/>
      <c r="GKZ12" s="34"/>
      <c r="GLB12" s="34"/>
      <c r="GLC12" s="72"/>
      <c r="GLD12" s="63"/>
      <c r="GLE12" s="34"/>
      <c r="GLF12" s="64"/>
      <c r="GLG12" s="4"/>
      <c r="GLH12" s="65"/>
      <c r="GLI12" s="4"/>
      <c r="GLJ12" s="4"/>
      <c r="GLK12" s="4"/>
      <c r="GLN12" s="34"/>
      <c r="GLO12" s="34"/>
      <c r="GLQ12" s="34"/>
      <c r="GLR12" s="72"/>
      <c r="GLS12" s="63"/>
      <c r="GLT12" s="34"/>
      <c r="GLU12" s="64"/>
      <c r="GLV12" s="4"/>
      <c r="GLW12" s="65"/>
      <c r="GLX12" s="4"/>
      <c r="GLY12" s="4"/>
      <c r="GLZ12" s="4"/>
      <c r="GMC12" s="34"/>
      <c r="GMD12" s="34"/>
      <c r="GMF12" s="34"/>
      <c r="GMG12" s="72"/>
      <c r="GMH12" s="63"/>
      <c r="GMI12" s="34"/>
      <c r="GMJ12" s="64"/>
      <c r="GMK12" s="4"/>
      <c r="GML12" s="65"/>
      <c r="GMM12" s="4"/>
      <c r="GMN12" s="4"/>
      <c r="GMO12" s="4"/>
      <c r="GMR12" s="34"/>
      <c r="GMS12" s="34"/>
      <c r="GMU12" s="34"/>
      <c r="GMV12" s="72"/>
      <c r="GMW12" s="63"/>
      <c r="GMX12" s="34"/>
      <c r="GMY12" s="64"/>
      <c r="GMZ12" s="4"/>
      <c r="GNA12" s="65"/>
      <c r="GNB12" s="4"/>
      <c r="GNC12" s="4"/>
      <c r="GND12" s="4"/>
      <c r="GNG12" s="34"/>
      <c r="GNH12" s="34"/>
      <c r="GNJ12" s="34"/>
      <c r="GNK12" s="72"/>
      <c r="GNL12" s="63"/>
      <c r="GNM12" s="34"/>
      <c r="GNN12" s="64"/>
      <c r="GNO12" s="4"/>
      <c r="GNP12" s="65"/>
      <c r="GNQ12" s="4"/>
      <c r="GNR12" s="4"/>
      <c r="GNS12" s="4"/>
      <c r="GNV12" s="34"/>
      <c r="GNW12" s="34"/>
      <c r="GNY12" s="34"/>
      <c r="GNZ12" s="72"/>
      <c r="GOA12" s="63"/>
      <c r="GOB12" s="34"/>
      <c r="GOC12" s="64"/>
      <c r="GOD12" s="4"/>
      <c r="GOE12" s="65"/>
      <c r="GOF12" s="4"/>
      <c r="GOG12" s="4"/>
      <c r="GOH12" s="4"/>
      <c r="GOK12" s="34"/>
      <c r="GOL12" s="34"/>
      <c r="GON12" s="34"/>
      <c r="GOO12" s="72"/>
      <c r="GOP12" s="63"/>
      <c r="GOQ12" s="34"/>
      <c r="GOR12" s="64"/>
      <c r="GOS12" s="4"/>
      <c r="GOT12" s="65"/>
      <c r="GOU12" s="4"/>
      <c r="GOV12" s="4"/>
      <c r="GOW12" s="4"/>
      <c r="GOZ12" s="34"/>
      <c r="GPA12" s="34"/>
      <c r="GPC12" s="34"/>
      <c r="GPD12" s="72"/>
      <c r="GPE12" s="63"/>
      <c r="GPF12" s="34"/>
      <c r="GPG12" s="64"/>
      <c r="GPH12" s="4"/>
      <c r="GPI12" s="65"/>
      <c r="GPJ12" s="4"/>
      <c r="GPK12" s="4"/>
      <c r="GPL12" s="4"/>
      <c r="GPO12" s="34"/>
      <c r="GPP12" s="34"/>
      <c r="GPR12" s="34"/>
      <c r="GPS12" s="72"/>
      <c r="GPT12" s="63"/>
      <c r="GPU12" s="34"/>
      <c r="GPV12" s="64"/>
      <c r="GPW12" s="4"/>
      <c r="GPX12" s="65"/>
      <c r="GPY12" s="4"/>
      <c r="GPZ12" s="4"/>
      <c r="GQA12" s="4"/>
      <c r="GQD12" s="34"/>
      <c r="GQE12" s="34"/>
      <c r="GQG12" s="34"/>
      <c r="GQH12" s="72"/>
      <c r="GQI12" s="63"/>
      <c r="GQJ12" s="34"/>
      <c r="GQK12" s="64"/>
      <c r="GQL12" s="4"/>
      <c r="GQM12" s="65"/>
      <c r="GQN12" s="4"/>
      <c r="GQO12" s="4"/>
      <c r="GQP12" s="4"/>
      <c r="GQS12" s="34"/>
      <c r="GQT12" s="34"/>
      <c r="GQV12" s="34"/>
      <c r="GQW12" s="72"/>
      <c r="GQX12" s="63"/>
      <c r="GQY12" s="34"/>
      <c r="GQZ12" s="64"/>
      <c r="GRA12" s="4"/>
      <c r="GRB12" s="65"/>
      <c r="GRC12" s="4"/>
      <c r="GRD12" s="4"/>
      <c r="GRE12" s="4"/>
      <c r="GRH12" s="34"/>
      <c r="GRI12" s="34"/>
      <c r="GRK12" s="34"/>
      <c r="GRL12" s="72"/>
      <c r="GRM12" s="63"/>
      <c r="GRN12" s="34"/>
      <c r="GRO12" s="64"/>
      <c r="GRP12" s="4"/>
      <c r="GRQ12" s="65"/>
      <c r="GRR12" s="4"/>
      <c r="GRS12" s="4"/>
      <c r="GRT12" s="4"/>
      <c r="GRW12" s="34"/>
      <c r="GRX12" s="34"/>
      <c r="GRZ12" s="34"/>
      <c r="GSA12" s="72"/>
      <c r="GSB12" s="63"/>
      <c r="GSC12" s="34"/>
      <c r="GSD12" s="64"/>
      <c r="GSE12" s="4"/>
      <c r="GSF12" s="65"/>
      <c r="GSG12" s="4"/>
      <c r="GSH12" s="4"/>
      <c r="GSI12" s="4"/>
      <c r="GSL12" s="34"/>
      <c r="GSM12" s="34"/>
      <c r="GSO12" s="34"/>
      <c r="GSP12" s="72"/>
      <c r="GSQ12" s="63"/>
      <c r="GSR12" s="34"/>
      <c r="GSS12" s="64"/>
      <c r="GST12" s="4"/>
      <c r="GSU12" s="65"/>
      <c r="GSV12" s="4"/>
      <c r="GSW12" s="4"/>
      <c r="GSX12" s="4"/>
      <c r="GTA12" s="34"/>
      <c r="GTB12" s="34"/>
      <c r="GTD12" s="34"/>
      <c r="GTE12" s="72"/>
      <c r="GTF12" s="63"/>
      <c r="GTG12" s="34"/>
      <c r="GTH12" s="64"/>
      <c r="GTI12" s="4"/>
      <c r="GTJ12" s="65"/>
      <c r="GTK12" s="4"/>
      <c r="GTL12" s="4"/>
      <c r="GTM12" s="4"/>
      <c r="GTP12" s="34"/>
      <c r="GTQ12" s="34"/>
      <c r="GTS12" s="34"/>
      <c r="GTT12" s="72"/>
      <c r="GTU12" s="63"/>
      <c r="GTV12" s="34"/>
      <c r="GTW12" s="64"/>
      <c r="GTX12" s="4"/>
      <c r="GTY12" s="65"/>
      <c r="GTZ12" s="4"/>
      <c r="GUA12" s="4"/>
      <c r="GUB12" s="4"/>
      <c r="GUE12" s="34"/>
      <c r="GUF12" s="34"/>
      <c r="GUH12" s="34"/>
      <c r="GUI12" s="72"/>
      <c r="GUJ12" s="63"/>
      <c r="GUK12" s="34"/>
      <c r="GUL12" s="64"/>
      <c r="GUM12" s="4"/>
      <c r="GUN12" s="65"/>
      <c r="GUO12" s="4"/>
      <c r="GUP12" s="4"/>
      <c r="GUQ12" s="4"/>
      <c r="GUT12" s="34"/>
      <c r="GUU12" s="34"/>
      <c r="GUW12" s="34"/>
      <c r="GUX12" s="72"/>
      <c r="GUY12" s="63"/>
      <c r="GUZ12" s="34"/>
      <c r="GVA12" s="64"/>
      <c r="GVB12" s="4"/>
      <c r="GVC12" s="65"/>
      <c r="GVD12" s="4"/>
      <c r="GVE12" s="4"/>
      <c r="GVF12" s="4"/>
      <c r="GVI12" s="34"/>
      <c r="GVJ12" s="34"/>
      <c r="GVL12" s="34"/>
      <c r="GVM12" s="72"/>
      <c r="GVN12" s="63"/>
      <c r="GVO12" s="34"/>
      <c r="GVP12" s="64"/>
      <c r="GVQ12" s="4"/>
      <c r="GVR12" s="65"/>
      <c r="GVS12" s="4"/>
      <c r="GVT12" s="4"/>
      <c r="GVU12" s="4"/>
      <c r="GVX12" s="34"/>
      <c r="GVY12" s="34"/>
      <c r="GWA12" s="34"/>
      <c r="GWB12" s="72"/>
      <c r="GWC12" s="63"/>
      <c r="GWD12" s="34"/>
      <c r="GWE12" s="64"/>
      <c r="GWF12" s="4"/>
      <c r="GWG12" s="65"/>
      <c r="GWH12" s="4"/>
      <c r="GWI12" s="4"/>
      <c r="GWJ12" s="4"/>
      <c r="GWM12" s="34"/>
      <c r="GWN12" s="34"/>
      <c r="GWP12" s="34"/>
      <c r="GWQ12" s="72"/>
      <c r="GWR12" s="63"/>
      <c r="GWS12" s="34"/>
      <c r="GWT12" s="64"/>
      <c r="GWU12" s="4"/>
      <c r="GWV12" s="65"/>
      <c r="GWW12" s="4"/>
      <c r="GWX12" s="4"/>
      <c r="GWY12" s="4"/>
      <c r="GXB12" s="34"/>
      <c r="GXC12" s="34"/>
      <c r="GXE12" s="34"/>
      <c r="GXF12" s="72"/>
      <c r="GXG12" s="63"/>
      <c r="GXH12" s="34"/>
      <c r="GXI12" s="64"/>
      <c r="GXJ12" s="4"/>
      <c r="GXK12" s="65"/>
      <c r="GXL12" s="4"/>
      <c r="GXM12" s="4"/>
      <c r="GXN12" s="4"/>
      <c r="GXQ12" s="34"/>
      <c r="GXR12" s="34"/>
      <c r="GXT12" s="34"/>
      <c r="GXU12" s="72"/>
      <c r="GXV12" s="63"/>
      <c r="GXW12" s="34"/>
      <c r="GXX12" s="64"/>
      <c r="GXY12" s="4"/>
      <c r="GXZ12" s="65"/>
      <c r="GYA12" s="4"/>
      <c r="GYB12" s="4"/>
      <c r="GYC12" s="4"/>
      <c r="GYF12" s="34"/>
      <c r="GYG12" s="34"/>
      <c r="GYI12" s="34"/>
      <c r="GYJ12" s="72"/>
      <c r="GYK12" s="63"/>
      <c r="GYL12" s="34"/>
      <c r="GYM12" s="64"/>
      <c r="GYN12" s="4"/>
      <c r="GYO12" s="65"/>
      <c r="GYP12" s="4"/>
      <c r="GYQ12" s="4"/>
      <c r="GYR12" s="4"/>
      <c r="GYU12" s="34"/>
      <c r="GYV12" s="34"/>
      <c r="GYX12" s="34"/>
      <c r="GYY12" s="72"/>
      <c r="GYZ12" s="63"/>
      <c r="GZA12" s="34"/>
      <c r="GZB12" s="64"/>
      <c r="GZC12" s="4"/>
      <c r="GZD12" s="65"/>
      <c r="GZE12" s="4"/>
      <c r="GZF12" s="4"/>
      <c r="GZG12" s="4"/>
      <c r="GZJ12" s="34"/>
      <c r="GZK12" s="34"/>
      <c r="GZM12" s="34"/>
      <c r="GZN12" s="72"/>
      <c r="GZO12" s="63"/>
      <c r="GZP12" s="34"/>
      <c r="GZQ12" s="64"/>
      <c r="GZR12" s="4"/>
      <c r="GZS12" s="65"/>
      <c r="GZT12" s="4"/>
      <c r="GZU12" s="4"/>
      <c r="GZV12" s="4"/>
      <c r="GZY12" s="34"/>
      <c r="GZZ12" s="34"/>
      <c r="HAB12" s="34"/>
      <c r="HAC12" s="72"/>
      <c r="HAD12" s="63"/>
      <c r="HAE12" s="34"/>
      <c r="HAF12" s="64"/>
      <c r="HAG12" s="4"/>
      <c r="HAH12" s="65"/>
      <c r="HAI12" s="4"/>
      <c r="HAJ12" s="4"/>
      <c r="HAK12" s="4"/>
      <c r="HAN12" s="34"/>
      <c r="HAO12" s="34"/>
      <c r="HAQ12" s="34"/>
      <c r="HAR12" s="72"/>
      <c r="HAS12" s="63"/>
      <c r="HAT12" s="34"/>
      <c r="HAU12" s="64"/>
      <c r="HAV12" s="4"/>
      <c r="HAW12" s="65"/>
      <c r="HAX12" s="4"/>
      <c r="HAY12" s="4"/>
      <c r="HAZ12" s="4"/>
      <c r="HBC12" s="34"/>
      <c r="HBD12" s="34"/>
      <c r="HBF12" s="34"/>
      <c r="HBG12" s="72"/>
      <c r="HBH12" s="63"/>
      <c r="HBI12" s="34"/>
      <c r="HBJ12" s="64"/>
      <c r="HBK12" s="4"/>
      <c r="HBL12" s="65"/>
      <c r="HBM12" s="4"/>
      <c r="HBN12" s="4"/>
      <c r="HBO12" s="4"/>
      <c r="HBR12" s="34"/>
      <c r="HBS12" s="34"/>
      <c r="HBU12" s="34"/>
      <c r="HBV12" s="72"/>
      <c r="HBW12" s="63"/>
      <c r="HBX12" s="34"/>
      <c r="HBY12" s="64"/>
      <c r="HBZ12" s="4"/>
      <c r="HCA12" s="65"/>
      <c r="HCB12" s="4"/>
      <c r="HCC12" s="4"/>
      <c r="HCD12" s="4"/>
      <c r="HCG12" s="34"/>
      <c r="HCH12" s="34"/>
      <c r="HCJ12" s="34"/>
      <c r="HCK12" s="72"/>
      <c r="HCL12" s="63"/>
      <c r="HCM12" s="34"/>
      <c r="HCN12" s="64"/>
      <c r="HCO12" s="4"/>
      <c r="HCP12" s="65"/>
      <c r="HCQ12" s="4"/>
      <c r="HCR12" s="4"/>
      <c r="HCS12" s="4"/>
      <c r="HCV12" s="34"/>
      <c r="HCW12" s="34"/>
      <c r="HCY12" s="34"/>
      <c r="HCZ12" s="72"/>
      <c r="HDA12" s="63"/>
      <c r="HDB12" s="34"/>
      <c r="HDC12" s="64"/>
      <c r="HDD12" s="4"/>
      <c r="HDE12" s="65"/>
      <c r="HDF12" s="4"/>
      <c r="HDG12" s="4"/>
      <c r="HDH12" s="4"/>
      <c r="HDK12" s="34"/>
      <c r="HDL12" s="34"/>
      <c r="HDN12" s="34"/>
      <c r="HDO12" s="72"/>
      <c r="HDP12" s="63"/>
      <c r="HDQ12" s="34"/>
      <c r="HDR12" s="64"/>
      <c r="HDS12" s="4"/>
      <c r="HDT12" s="65"/>
      <c r="HDU12" s="4"/>
      <c r="HDV12" s="4"/>
      <c r="HDW12" s="4"/>
      <c r="HDZ12" s="34"/>
      <c r="HEA12" s="34"/>
      <c r="HEC12" s="34"/>
      <c r="HED12" s="72"/>
      <c r="HEE12" s="63"/>
      <c r="HEF12" s="34"/>
      <c r="HEG12" s="64"/>
      <c r="HEH12" s="4"/>
      <c r="HEI12" s="65"/>
      <c r="HEJ12" s="4"/>
      <c r="HEK12" s="4"/>
      <c r="HEL12" s="4"/>
      <c r="HEO12" s="34"/>
      <c r="HEP12" s="34"/>
      <c r="HER12" s="34"/>
      <c r="HES12" s="72"/>
      <c r="HET12" s="63"/>
      <c r="HEU12" s="34"/>
      <c r="HEV12" s="64"/>
      <c r="HEW12" s="4"/>
      <c r="HEX12" s="65"/>
      <c r="HEY12" s="4"/>
      <c r="HEZ12" s="4"/>
      <c r="HFA12" s="4"/>
      <c r="HFD12" s="34"/>
      <c r="HFE12" s="34"/>
      <c r="HFG12" s="34"/>
      <c r="HFH12" s="72"/>
      <c r="HFI12" s="63"/>
      <c r="HFJ12" s="34"/>
      <c r="HFK12" s="64"/>
      <c r="HFL12" s="4"/>
      <c r="HFM12" s="65"/>
      <c r="HFN12" s="4"/>
      <c r="HFO12" s="4"/>
      <c r="HFP12" s="4"/>
      <c r="HFS12" s="34"/>
      <c r="HFT12" s="34"/>
      <c r="HFV12" s="34"/>
      <c r="HFW12" s="72"/>
      <c r="HFX12" s="63"/>
      <c r="HFY12" s="34"/>
      <c r="HFZ12" s="64"/>
      <c r="HGA12" s="4"/>
      <c r="HGB12" s="65"/>
      <c r="HGC12" s="4"/>
      <c r="HGD12" s="4"/>
      <c r="HGE12" s="4"/>
      <c r="HGH12" s="34"/>
      <c r="HGI12" s="34"/>
      <c r="HGK12" s="34"/>
      <c r="HGL12" s="72"/>
      <c r="HGM12" s="63"/>
      <c r="HGN12" s="34"/>
      <c r="HGO12" s="64"/>
      <c r="HGP12" s="4"/>
      <c r="HGQ12" s="65"/>
      <c r="HGR12" s="4"/>
      <c r="HGS12" s="4"/>
      <c r="HGT12" s="4"/>
      <c r="HGW12" s="34"/>
      <c r="HGX12" s="34"/>
      <c r="HGZ12" s="34"/>
      <c r="HHA12" s="72"/>
      <c r="HHB12" s="63"/>
      <c r="HHC12" s="34"/>
      <c r="HHD12" s="64"/>
      <c r="HHE12" s="4"/>
      <c r="HHF12" s="65"/>
      <c r="HHG12" s="4"/>
      <c r="HHH12" s="4"/>
      <c r="HHI12" s="4"/>
      <c r="HHL12" s="34"/>
      <c r="HHM12" s="34"/>
      <c r="HHO12" s="34"/>
      <c r="HHP12" s="72"/>
      <c r="HHQ12" s="63"/>
      <c r="HHR12" s="34"/>
      <c r="HHS12" s="64"/>
      <c r="HHT12" s="4"/>
      <c r="HHU12" s="65"/>
      <c r="HHV12" s="4"/>
      <c r="HHW12" s="4"/>
      <c r="HHX12" s="4"/>
      <c r="HIA12" s="34"/>
      <c r="HIB12" s="34"/>
      <c r="HID12" s="34"/>
      <c r="HIE12" s="72"/>
      <c r="HIF12" s="63"/>
      <c r="HIG12" s="34"/>
      <c r="HIH12" s="64"/>
      <c r="HII12" s="4"/>
      <c r="HIJ12" s="65"/>
      <c r="HIK12" s="4"/>
      <c r="HIL12" s="4"/>
      <c r="HIM12" s="4"/>
      <c r="HIP12" s="34"/>
      <c r="HIQ12" s="34"/>
      <c r="HIS12" s="34"/>
      <c r="HIT12" s="72"/>
      <c r="HIU12" s="63"/>
      <c r="HIV12" s="34"/>
      <c r="HIW12" s="64"/>
      <c r="HIX12" s="4"/>
      <c r="HIY12" s="65"/>
      <c r="HIZ12" s="4"/>
      <c r="HJA12" s="4"/>
      <c r="HJB12" s="4"/>
      <c r="HJE12" s="34"/>
      <c r="HJF12" s="34"/>
      <c r="HJH12" s="34"/>
      <c r="HJI12" s="72"/>
      <c r="HJJ12" s="63"/>
      <c r="HJK12" s="34"/>
      <c r="HJL12" s="64"/>
      <c r="HJM12" s="4"/>
      <c r="HJN12" s="65"/>
      <c r="HJO12" s="4"/>
      <c r="HJP12" s="4"/>
      <c r="HJQ12" s="4"/>
      <c r="HJT12" s="34"/>
      <c r="HJU12" s="34"/>
      <c r="HJW12" s="34"/>
      <c r="HJX12" s="72"/>
      <c r="HJY12" s="63"/>
      <c r="HJZ12" s="34"/>
      <c r="HKA12" s="64"/>
      <c r="HKB12" s="4"/>
      <c r="HKC12" s="65"/>
      <c r="HKD12" s="4"/>
      <c r="HKE12" s="4"/>
      <c r="HKF12" s="4"/>
      <c r="HKI12" s="34"/>
      <c r="HKJ12" s="34"/>
      <c r="HKL12" s="34"/>
      <c r="HKM12" s="72"/>
      <c r="HKN12" s="63"/>
      <c r="HKO12" s="34"/>
      <c r="HKP12" s="64"/>
      <c r="HKQ12" s="4"/>
      <c r="HKR12" s="65"/>
      <c r="HKS12" s="4"/>
      <c r="HKT12" s="4"/>
      <c r="HKU12" s="4"/>
      <c r="HKX12" s="34"/>
      <c r="HKY12" s="34"/>
      <c r="HLA12" s="34"/>
      <c r="HLB12" s="72"/>
      <c r="HLC12" s="63"/>
      <c r="HLD12" s="34"/>
      <c r="HLE12" s="64"/>
      <c r="HLF12" s="4"/>
      <c r="HLG12" s="65"/>
      <c r="HLH12" s="4"/>
      <c r="HLI12" s="4"/>
      <c r="HLJ12" s="4"/>
      <c r="HLM12" s="34"/>
      <c r="HLN12" s="34"/>
      <c r="HLP12" s="34"/>
      <c r="HLQ12" s="72"/>
      <c r="HLR12" s="63"/>
      <c r="HLS12" s="34"/>
      <c r="HLT12" s="64"/>
      <c r="HLU12" s="4"/>
      <c r="HLV12" s="65"/>
      <c r="HLW12" s="4"/>
      <c r="HLX12" s="4"/>
      <c r="HLY12" s="4"/>
      <c r="HMB12" s="34"/>
      <c r="HMC12" s="34"/>
      <c r="HME12" s="34"/>
      <c r="HMF12" s="72"/>
      <c r="HMG12" s="63"/>
      <c r="HMH12" s="34"/>
      <c r="HMI12" s="64"/>
      <c r="HMJ12" s="4"/>
      <c r="HMK12" s="65"/>
      <c r="HML12" s="4"/>
      <c r="HMM12" s="4"/>
      <c r="HMN12" s="4"/>
      <c r="HMQ12" s="34"/>
      <c r="HMR12" s="34"/>
      <c r="HMT12" s="34"/>
      <c r="HMU12" s="72"/>
      <c r="HMV12" s="63"/>
      <c r="HMW12" s="34"/>
      <c r="HMX12" s="64"/>
      <c r="HMY12" s="4"/>
      <c r="HMZ12" s="65"/>
      <c r="HNA12" s="4"/>
      <c r="HNB12" s="4"/>
      <c r="HNC12" s="4"/>
      <c r="HNF12" s="34"/>
      <c r="HNG12" s="34"/>
      <c r="HNI12" s="34"/>
      <c r="HNJ12" s="72"/>
      <c r="HNK12" s="63"/>
      <c r="HNL12" s="34"/>
      <c r="HNM12" s="64"/>
      <c r="HNN12" s="4"/>
      <c r="HNO12" s="65"/>
      <c r="HNP12" s="4"/>
      <c r="HNQ12" s="4"/>
      <c r="HNR12" s="4"/>
      <c r="HNU12" s="34"/>
      <c r="HNV12" s="34"/>
      <c r="HNX12" s="34"/>
      <c r="HNY12" s="72"/>
      <c r="HNZ12" s="63"/>
      <c r="HOA12" s="34"/>
      <c r="HOB12" s="64"/>
      <c r="HOC12" s="4"/>
      <c r="HOD12" s="65"/>
      <c r="HOE12" s="4"/>
      <c r="HOF12" s="4"/>
      <c r="HOG12" s="4"/>
      <c r="HOJ12" s="34"/>
      <c r="HOK12" s="34"/>
      <c r="HOM12" s="34"/>
      <c r="HON12" s="72"/>
      <c r="HOO12" s="63"/>
      <c r="HOP12" s="34"/>
      <c r="HOQ12" s="64"/>
      <c r="HOR12" s="4"/>
      <c r="HOS12" s="65"/>
      <c r="HOT12" s="4"/>
      <c r="HOU12" s="4"/>
      <c r="HOV12" s="4"/>
      <c r="HOY12" s="34"/>
      <c r="HOZ12" s="34"/>
      <c r="HPB12" s="34"/>
      <c r="HPC12" s="72"/>
      <c r="HPD12" s="63"/>
      <c r="HPE12" s="34"/>
      <c r="HPF12" s="64"/>
      <c r="HPG12" s="4"/>
      <c r="HPH12" s="65"/>
      <c r="HPI12" s="4"/>
      <c r="HPJ12" s="4"/>
      <c r="HPK12" s="4"/>
      <c r="HPN12" s="34"/>
      <c r="HPO12" s="34"/>
      <c r="HPQ12" s="34"/>
      <c r="HPR12" s="72"/>
      <c r="HPS12" s="63"/>
      <c r="HPT12" s="34"/>
      <c r="HPU12" s="64"/>
      <c r="HPV12" s="4"/>
      <c r="HPW12" s="65"/>
      <c r="HPX12" s="4"/>
      <c r="HPY12" s="4"/>
      <c r="HPZ12" s="4"/>
      <c r="HQC12" s="34"/>
      <c r="HQD12" s="34"/>
      <c r="HQF12" s="34"/>
      <c r="HQG12" s="72"/>
      <c r="HQH12" s="63"/>
      <c r="HQI12" s="34"/>
      <c r="HQJ12" s="64"/>
      <c r="HQK12" s="4"/>
      <c r="HQL12" s="65"/>
      <c r="HQM12" s="4"/>
      <c r="HQN12" s="4"/>
      <c r="HQO12" s="4"/>
      <c r="HQR12" s="34"/>
      <c r="HQS12" s="34"/>
      <c r="HQU12" s="34"/>
      <c r="HQV12" s="72"/>
      <c r="HQW12" s="63"/>
      <c r="HQX12" s="34"/>
      <c r="HQY12" s="64"/>
      <c r="HQZ12" s="4"/>
      <c r="HRA12" s="65"/>
      <c r="HRB12" s="4"/>
      <c r="HRC12" s="4"/>
      <c r="HRD12" s="4"/>
      <c r="HRG12" s="34"/>
      <c r="HRH12" s="34"/>
      <c r="HRJ12" s="34"/>
      <c r="HRK12" s="72"/>
      <c r="HRL12" s="63"/>
      <c r="HRM12" s="34"/>
      <c r="HRN12" s="64"/>
      <c r="HRO12" s="4"/>
      <c r="HRP12" s="65"/>
      <c r="HRQ12" s="4"/>
      <c r="HRR12" s="4"/>
      <c r="HRS12" s="4"/>
      <c r="HRV12" s="34"/>
      <c r="HRW12" s="34"/>
      <c r="HRY12" s="34"/>
      <c r="HRZ12" s="72"/>
      <c r="HSA12" s="63"/>
      <c r="HSB12" s="34"/>
      <c r="HSC12" s="64"/>
      <c r="HSD12" s="4"/>
      <c r="HSE12" s="65"/>
      <c r="HSF12" s="4"/>
      <c r="HSG12" s="4"/>
      <c r="HSH12" s="4"/>
      <c r="HSK12" s="34"/>
      <c r="HSL12" s="34"/>
      <c r="HSN12" s="34"/>
      <c r="HSO12" s="72"/>
      <c r="HSP12" s="63"/>
      <c r="HSQ12" s="34"/>
      <c r="HSR12" s="64"/>
      <c r="HSS12" s="4"/>
      <c r="HST12" s="65"/>
      <c r="HSU12" s="4"/>
      <c r="HSV12" s="4"/>
      <c r="HSW12" s="4"/>
      <c r="HSZ12" s="34"/>
      <c r="HTA12" s="34"/>
      <c r="HTC12" s="34"/>
      <c r="HTD12" s="72"/>
      <c r="HTE12" s="63"/>
      <c r="HTF12" s="34"/>
      <c r="HTG12" s="64"/>
      <c r="HTH12" s="4"/>
      <c r="HTI12" s="65"/>
      <c r="HTJ12" s="4"/>
      <c r="HTK12" s="4"/>
      <c r="HTL12" s="4"/>
      <c r="HTO12" s="34"/>
      <c r="HTP12" s="34"/>
      <c r="HTR12" s="34"/>
      <c r="HTS12" s="72"/>
      <c r="HTT12" s="63"/>
      <c r="HTU12" s="34"/>
      <c r="HTV12" s="64"/>
      <c r="HTW12" s="4"/>
      <c r="HTX12" s="65"/>
      <c r="HTY12" s="4"/>
      <c r="HTZ12" s="4"/>
      <c r="HUA12" s="4"/>
      <c r="HUD12" s="34"/>
      <c r="HUE12" s="34"/>
      <c r="HUG12" s="34"/>
      <c r="HUH12" s="72"/>
      <c r="HUI12" s="63"/>
      <c r="HUJ12" s="34"/>
      <c r="HUK12" s="64"/>
      <c r="HUL12" s="4"/>
      <c r="HUM12" s="65"/>
      <c r="HUN12" s="4"/>
      <c r="HUO12" s="4"/>
      <c r="HUP12" s="4"/>
      <c r="HUS12" s="34"/>
      <c r="HUT12" s="34"/>
      <c r="HUV12" s="34"/>
      <c r="HUW12" s="72"/>
      <c r="HUX12" s="63"/>
      <c r="HUY12" s="34"/>
      <c r="HUZ12" s="64"/>
      <c r="HVA12" s="4"/>
      <c r="HVB12" s="65"/>
      <c r="HVC12" s="4"/>
      <c r="HVD12" s="4"/>
      <c r="HVE12" s="4"/>
      <c r="HVH12" s="34"/>
      <c r="HVI12" s="34"/>
      <c r="HVK12" s="34"/>
      <c r="HVL12" s="72"/>
      <c r="HVM12" s="63"/>
      <c r="HVN12" s="34"/>
      <c r="HVO12" s="64"/>
      <c r="HVP12" s="4"/>
      <c r="HVQ12" s="65"/>
      <c r="HVR12" s="4"/>
      <c r="HVS12" s="4"/>
      <c r="HVT12" s="4"/>
      <c r="HVW12" s="34"/>
      <c r="HVX12" s="34"/>
      <c r="HVZ12" s="34"/>
      <c r="HWA12" s="72"/>
      <c r="HWB12" s="63"/>
      <c r="HWC12" s="34"/>
      <c r="HWD12" s="64"/>
      <c r="HWE12" s="4"/>
      <c r="HWF12" s="65"/>
      <c r="HWG12" s="4"/>
      <c r="HWH12" s="4"/>
      <c r="HWI12" s="4"/>
      <c r="HWL12" s="34"/>
      <c r="HWM12" s="34"/>
      <c r="HWO12" s="34"/>
      <c r="HWP12" s="72"/>
      <c r="HWQ12" s="63"/>
      <c r="HWR12" s="34"/>
      <c r="HWS12" s="64"/>
      <c r="HWT12" s="4"/>
      <c r="HWU12" s="65"/>
      <c r="HWV12" s="4"/>
      <c r="HWW12" s="4"/>
      <c r="HWX12" s="4"/>
      <c r="HXA12" s="34"/>
      <c r="HXB12" s="34"/>
      <c r="HXD12" s="34"/>
      <c r="HXE12" s="72"/>
      <c r="HXF12" s="63"/>
      <c r="HXG12" s="34"/>
      <c r="HXH12" s="64"/>
      <c r="HXI12" s="4"/>
      <c r="HXJ12" s="65"/>
      <c r="HXK12" s="4"/>
      <c r="HXL12" s="4"/>
      <c r="HXM12" s="4"/>
      <c r="HXP12" s="34"/>
      <c r="HXQ12" s="34"/>
      <c r="HXS12" s="34"/>
      <c r="HXT12" s="72"/>
      <c r="HXU12" s="63"/>
      <c r="HXV12" s="34"/>
      <c r="HXW12" s="64"/>
      <c r="HXX12" s="4"/>
      <c r="HXY12" s="65"/>
      <c r="HXZ12" s="4"/>
      <c r="HYA12" s="4"/>
      <c r="HYB12" s="4"/>
      <c r="HYE12" s="34"/>
      <c r="HYF12" s="34"/>
      <c r="HYH12" s="34"/>
      <c r="HYI12" s="72"/>
      <c r="HYJ12" s="63"/>
      <c r="HYK12" s="34"/>
      <c r="HYL12" s="64"/>
      <c r="HYM12" s="4"/>
      <c r="HYN12" s="65"/>
      <c r="HYO12" s="4"/>
      <c r="HYP12" s="4"/>
      <c r="HYQ12" s="4"/>
      <c r="HYT12" s="34"/>
      <c r="HYU12" s="34"/>
      <c r="HYW12" s="34"/>
      <c r="HYX12" s="72"/>
      <c r="HYY12" s="63"/>
      <c r="HYZ12" s="34"/>
      <c r="HZA12" s="64"/>
      <c r="HZB12" s="4"/>
      <c r="HZC12" s="65"/>
      <c r="HZD12" s="4"/>
      <c r="HZE12" s="4"/>
      <c r="HZF12" s="4"/>
      <c r="HZI12" s="34"/>
      <c r="HZJ12" s="34"/>
      <c r="HZL12" s="34"/>
      <c r="HZM12" s="72"/>
      <c r="HZN12" s="63"/>
      <c r="HZO12" s="34"/>
      <c r="HZP12" s="64"/>
      <c r="HZQ12" s="4"/>
      <c r="HZR12" s="65"/>
      <c r="HZS12" s="4"/>
      <c r="HZT12" s="4"/>
      <c r="HZU12" s="4"/>
      <c r="HZX12" s="34"/>
      <c r="HZY12" s="34"/>
      <c r="IAA12" s="34"/>
      <c r="IAB12" s="72"/>
      <c r="IAC12" s="63"/>
      <c r="IAD12" s="34"/>
      <c r="IAE12" s="64"/>
      <c r="IAF12" s="4"/>
      <c r="IAG12" s="65"/>
      <c r="IAH12" s="4"/>
      <c r="IAI12" s="4"/>
      <c r="IAJ12" s="4"/>
      <c r="IAM12" s="34"/>
      <c r="IAN12" s="34"/>
      <c r="IAP12" s="34"/>
      <c r="IAQ12" s="72"/>
      <c r="IAR12" s="63"/>
      <c r="IAS12" s="34"/>
      <c r="IAT12" s="64"/>
      <c r="IAU12" s="4"/>
      <c r="IAV12" s="65"/>
      <c r="IAW12" s="4"/>
      <c r="IAX12" s="4"/>
      <c r="IAY12" s="4"/>
      <c r="IBB12" s="34"/>
      <c r="IBC12" s="34"/>
      <c r="IBE12" s="34"/>
      <c r="IBF12" s="72"/>
      <c r="IBG12" s="63"/>
      <c r="IBH12" s="34"/>
      <c r="IBI12" s="64"/>
      <c r="IBJ12" s="4"/>
      <c r="IBK12" s="65"/>
      <c r="IBL12" s="4"/>
      <c r="IBM12" s="4"/>
      <c r="IBN12" s="4"/>
      <c r="IBQ12" s="34"/>
      <c r="IBR12" s="34"/>
      <c r="IBT12" s="34"/>
      <c r="IBU12" s="72"/>
      <c r="IBV12" s="63"/>
      <c r="IBW12" s="34"/>
      <c r="IBX12" s="64"/>
      <c r="IBY12" s="4"/>
      <c r="IBZ12" s="65"/>
      <c r="ICA12" s="4"/>
      <c r="ICB12" s="4"/>
      <c r="ICC12" s="4"/>
      <c r="ICF12" s="34"/>
      <c r="ICG12" s="34"/>
      <c r="ICI12" s="34"/>
      <c r="ICJ12" s="72"/>
      <c r="ICK12" s="63"/>
      <c r="ICL12" s="34"/>
      <c r="ICM12" s="64"/>
      <c r="ICN12" s="4"/>
      <c r="ICO12" s="65"/>
      <c r="ICP12" s="4"/>
      <c r="ICQ12" s="4"/>
      <c r="ICR12" s="4"/>
      <c r="ICU12" s="34"/>
      <c r="ICV12" s="34"/>
      <c r="ICX12" s="34"/>
      <c r="ICY12" s="72"/>
      <c r="ICZ12" s="63"/>
      <c r="IDA12" s="34"/>
      <c r="IDB12" s="64"/>
      <c r="IDC12" s="4"/>
      <c r="IDD12" s="65"/>
      <c r="IDE12" s="4"/>
      <c r="IDF12" s="4"/>
      <c r="IDG12" s="4"/>
      <c r="IDJ12" s="34"/>
      <c r="IDK12" s="34"/>
      <c r="IDM12" s="34"/>
      <c r="IDN12" s="72"/>
      <c r="IDO12" s="63"/>
      <c r="IDP12" s="34"/>
      <c r="IDQ12" s="64"/>
      <c r="IDR12" s="4"/>
      <c r="IDS12" s="65"/>
      <c r="IDT12" s="4"/>
      <c r="IDU12" s="4"/>
      <c r="IDV12" s="4"/>
      <c r="IDY12" s="34"/>
      <c r="IDZ12" s="34"/>
      <c r="IEB12" s="34"/>
      <c r="IEC12" s="72"/>
      <c r="IED12" s="63"/>
      <c r="IEE12" s="34"/>
      <c r="IEF12" s="64"/>
      <c r="IEG12" s="4"/>
      <c r="IEH12" s="65"/>
      <c r="IEI12" s="4"/>
      <c r="IEJ12" s="4"/>
      <c r="IEK12" s="4"/>
      <c r="IEN12" s="34"/>
      <c r="IEO12" s="34"/>
      <c r="IEQ12" s="34"/>
      <c r="IER12" s="72"/>
      <c r="IES12" s="63"/>
      <c r="IET12" s="34"/>
      <c r="IEU12" s="64"/>
      <c r="IEV12" s="4"/>
      <c r="IEW12" s="65"/>
      <c r="IEX12" s="4"/>
      <c r="IEY12" s="4"/>
      <c r="IEZ12" s="4"/>
      <c r="IFC12" s="34"/>
      <c r="IFD12" s="34"/>
      <c r="IFF12" s="34"/>
      <c r="IFG12" s="72"/>
      <c r="IFH12" s="63"/>
      <c r="IFI12" s="34"/>
      <c r="IFJ12" s="64"/>
      <c r="IFK12" s="4"/>
      <c r="IFL12" s="65"/>
      <c r="IFM12" s="4"/>
      <c r="IFN12" s="4"/>
      <c r="IFO12" s="4"/>
      <c r="IFR12" s="34"/>
      <c r="IFS12" s="34"/>
      <c r="IFU12" s="34"/>
      <c r="IFV12" s="72"/>
      <c r="IFW12" s="63"/>
      <c r="IFX12" s="34"/>
      <c r="IFY12" s="64"/>
      <c r="IFZ12" s="4"/>
      <c r="IGA12" s="65"/>
      <c r="IGB12" s="4"/>
      <c r="IGC12" s="4"/>
      <c r="IGD12" s="4"/>
      <c r="IGG12" s="34"/>
      <c r="IGH12" s="34"/>
      <c r="IGJ12" s="34"/>
      <c r="IGK12" s="72"/>
      <c r="IGL12" s="63"/>
      <c r="IGM12" s="34"/>
      <c r="IGN12" s="64"/>
      <c r="IGO12" s="4"/>
      <c r="IGP12" s="65"/>
      <c r="IGQ12" s="4"/>
      <c r="IGR12" s="4"/>
      <c r="IGS12" s="4"/>
      <c r="IGV12" s="34"/>
      <c r="IGW12" s="34"/>
      <c r="IGY12" s="34"/>
      <c r="IGZ12" s="72"/>
      <c r="IHA12" s="63"/>
      <c r="IHB12" s="34"/>
      <c r="IHC12" s="64"/>
      <c r="IHD12" s="4"/>
      <c r="IHE12" s="65"/>
      <c r="IHF12" s="4"/>
      <c r="IHG12" s="4"/>
      <c r="IHH12" s="4"/>
      <c r="IHK12" s="34"/>
      <c r="IHL12" s="34"/>
      <c r="IHN12" s="34"/>
      <c r="IHO12" s="72"/>
      <c r="IHP12" s="63"/>
      <c r="IHQ12" s="34"/>
      <c r="IHR12" s="64"/>
      <c r="IHS12" s="4"/>
      <c r="IHT12" s="65"/>
      <c r="IHU12" s="4"/>
      <c r="IHV12" s="4"/>
      <c r="IHW12" s="4"/>
      <c r="IHZ12" s="34"/>
      <c r="IIA12" s="34"/>
      <c r="IIC12" s="34"/>
      <c r="IID12" s="72"/>
      <c r="IIE12" s="63"/>
      <c r="IIF12" s="34"/>
      <c r="IIG12" s="64"/>
      <c r="IIH12" s="4"/>
      <c r="III12" s="65"/>
      <c r="IIJ12" s="4"/>
      <c r="IIK12" s="4"/>
      <c r="IIL12" s="4"/>
      <c r="IIO12" s="34"/>
      <c r="IIP12" s="34"/>
      <c r="IIR12" s="34"/>
      <c r="IIS12" s="72"/>
      <c r="IIT12" s="63"/>
      <c r="IIU12" s="34"/>
      <c r="IIV12" s="64"/>
      <c r="IIW12" s="4"/>
      <c r="IIX12" s="65"/>
      <c r="IIY12" s="4"/>
      <c r="IIZ12" s="4"/>
      <c r="IJA12" s="4"/>
      <c r="IJD12" s="34"/>
      <c r="IJE12" s="34"/>
      <c r="IJG12" s="34"/>
      <c r="IJH12" s="72"/>
      <c r="IJI12" s="63"/>
      <c r="IJJ12" s="34"/>
      <c r="IJK12" s="64"/>
      <c r="IJL12" s="4"/>
      <c r="IJM12" s="65"/>
      <c r="IJN12" s="4"/>
      <c r="IJO12" s="4"/>
      <c r="IJP12" s="4"/>
      <c r="IJS12" s="34"/>
      <c r="IJT12" s="34"/>
      <c r="IJV12" s="34"/>
      <c r="IJW12" s="72"/>
      <c r="IJX12" s="63"/>
      <c r="IJY12" s="34"/>
      <c r="IJZ12" s="64"/>
      <c r="IKA12" s="4"/>
      <c r="IKB12" s="65"/>
      <c r="IKC12" s="4"/>
      <c r="IKD12" s="4"/>
      <c r="IKE12" s="4"/>
      <c r="IKH12" s="34"/>
      <c r="IKI12" s="34"/>
      <c r="IKK12" s="34"/>
      <c r="IKL12" s="72"/>
      <c r="IKM12" s="63"/>
      <c r="IKN12" s="34"/>
      <c r="IKO12" s="64"/>
      <c r="IKP12" s="4"/>
      <c r="IKQ12" s="65"/>
      <c r="IKR12" s="4"/>
      <c r="IKS12" s="4"/>
      <c r="IKT12" s="4"/>
      <c r="IKW12" s="34"/>
      <c r="IKX12" s="34"/>
      <c r="IKZ12" s="34"/>
      <c r="ILA12" s="72"/>
      <c r="ILB12" s="63"/>
      <c r="ILC12" s="34"/>
      <c r="ILD12" s="64"/>
      <c r="ILE12" s="4"/>
      <c r="ILF12" s="65"/>
      <c r="ILG12" s="4"/>
      <c r="ILH12" s="4"/>
      <c r="ILI12" s="4"/>
      <c r="ILL12" s="34"/>
      <c r="ILM12" s="34"/>
      <c r="ILO12" s="34"/>
      <c r="ILP12" s="72"/>
      <c r="ILQ12" s="63"/>
      <c r="ILR12" s="34"/>
      <c r="ILS12" s="64"/>
      <c r="ILT12" s="4"/>
      <c r="ILU12" s="65"/>
      <c r="ILV12" s="4"/>
      <c r="ILW12" s="4"/>
      <c r="ILX12" s="4"/>
      <c r="IMA12" s="34"/>
      <c r="IMB12" s="34"/>
      <c r="IMD12" s="34"/>
      <c r="IME12" s="72"/>
      <c r="IMF12" s="63"/>
      <c r="IMG12" s="34"/>
      <c r="IMH12" s="64"/>
      <c r="IMI12" s="4"/>
      <c r="IMJ12" s="65"/>
      <c r="IMK12" s="4"/>
      <c r="IML12" s="4"/>
      <c r="IMM12" s="4"/>
      <c r="IMP12" s="34"/>
      <c r="IMQ12" s="34"/>
      <c r="IMS12" s="34"/>
      <c r="IMT12" s="72"/>
      <c r="IMU12" s="63"/>
      <c r="IMV12" s="34"/>
      <c r="IMW12" s="64"/>
      <c r="IMX12" s="4"/>
      <c r="IMY12" s="65"/>
      <c r="IMZ12" s="4"/>
      <c r="INA12" s="4"/>
      <c r="INB12" s="4"/>
      <c r="INE12" s="34"/>
      <c r="INF12" s="34"/>
      <c r="INH12" s="34"/>
      <c r="INI12" s="72"/>
      <c r="INJ12" s="63"/>
      <c r="INK12" s="34"/>
      <c r="INL12" s="64"/>
      <c r="INM12" s="4"/>
      <c r="INN12" s="65"/>
      <c r="INO12" s="4"/>
      <c r="INP12" s="4"/>
      <c r="INQ12" s="4"/>
      <c r="INT12" s="34"/>
      <c r="INU12" s="34"/>
      <c r="INW12" s="34"/>
      <c r="INX12" s="72"/>
      <c r="INY12" s="63"/>
      <c r="INZ12" s="34"/>
      <c r="IOA12" s="64"/>
      <c r="IOB12" s="4"/>
      <c r="IOC12" s="65"/>
      <c r="IOD12" s="4"/>
      <c r="IOE12" s="4"/>
      <c r="IOF12" s="4"/>
      <c r="IOI12" s="34"/>
      <c r="IOJ12" s="34"/>
      <c r="IOL12" s="34"/>
      <c r="IOM12" s="72"/>
      <c r="ION12" s="63"/>
      <c r="IOO12" s="34"/>
      <c r="IOP12" s="64"/>
      <c r="IOQ12" s="4"/>
      <c r="IOR12" s="65"/>
      <c r="IOS12" s="4"/>
      <c r="IOT12" s="4"/>
      <c r="IOU12" s="4"/>
      <c r="IOX12" s="34"/>
      <c r="IOY12" s="34"/>
      <c r="IPA12" s="34"/>
      <c r="IPB12" s="72"/>
      <c r="IPC12" s="63"/>
      <c r="IPD12" s="34"/>
      <c r="IPE12" s="64"/>
      <c r="IPF12" s="4"/>
      <c r="IPG12" s="65"/>
      <c r="IPH12" s="4"/>
      <c r="IPI12" s="4"/>
      <c r="IPJ12" s="4"/>
      <c r="IPM12" s="34"/>
      <c r="IPN12" s="34"/>
      <c r="IPP12" s="34"/>
      <c r="IPQ12" s="72"/>
      <c r="IPR12" s="63"/>
      <c r="IPS12" s="34"/>
      <c r="IPT12" s="64"/>
      <c r="IPU12" s="4"/>
      <c r="IPV12" s="65"/>
      <c r="IPW12" s="4"/>
      <c r="IPX12" s="4"/>
      <c r="IPY12" s="4"/>
      <c r="IQB12" s="34"/>
      <c r="IQC12" s="34"/>
      <c r="IQE12" s="34"/>
      <c r="IQF12" s="72"/>
      <c r="IQG12" s="63"/>
      <c r="IQH12" s="34"/>
      <c r="IQI12" s="64"/>
      <c r="IQJ12" s="4"/>
      <c r="IQK12" s="65"/>
      <c r="IQL12" s="4"/>
      <c r="IQM12" s="4"/>
      <c r="IQN12" s="4"/>
      <c r="IQQ12" s="34"/>
      <c r="IQR12" s="34"/>
      <c r="IQT12" s="34"/>
      <c r="IQU12" s="72"/>
      <c r="IQV12" s="63"/>
      <c r="IQW12" s="34"/>
      <c r="IQX12" s="64"/>
      <c r="IQY12" s="4"/>
      <c r="IQZ12" s="65"/>
      <c r="IRA12" s="4"/>
      <c r="IRB12" s="4"/>
      <c r="IRC12" s="4"/>
      <c r="IRF12" s="34"/>
      <c r="IRG12" s="34"/>
      <c r="IRI12" s="34"/>
      <c r="IRJ12" s="72"/>
      <c r="IRK12" s="63"/>
      <c r="IRL12" s="34"/>
      <c r="IRM12" s="64"/>
      <c r="IRN12" s="4"/>
      <c r="IRO12" s="65"/>
      <c r="IRP12" s="4"/>
      <c r="IRQ12" s="4"/>
      <c r="IRR12" s="4"/>
      <c r="IRU12" s="34"/>
      <c r="IRV12" s="34"/>
      <c r="IRX12" s="34"/>
      <c r="IRY12" s="72"/>
      <c r="IRZ12" s="63"/>
      <c r="ISA12" s="34"/>
      <c r="ISB12" s="64"/>
      <c r="ISC12" s="4"/>
      <c r="ISD12" s="65"/>
      <c r="ISE12" s="4"/>
      <c r="ISF12" s="4"/>
      <c r="ISG12" s="4"/>
      <c r="ISJ12" s="34"/>
      <c r="ISK12" s="34"/>
      <c r="ISM12" s="34"/>
      <c r="ISN12" s="72"/>
      <c r="ISO12" s="63"/>
      <c r="ISP12" s="34"/>
      <c r="ISQ12" s="64"/>
      <c r="ISR12" s="4"/>
      <c r="ISS12" s="65"/>
      <c r="IST12" s="4"/>
      <c r="ISU12" s="4"/>
      <c r="ISV12" s="4"/>
      <c r="ISY12" s="34"/>
      <c r="ISZ12" s="34"/>
      <c r="ITB12" s="34"/>
      <c r="ITC12" s="72"/>
      <c r="ITD12" s="63"/>
      <c r="ITE12" s="34"/>
      <c r="ITF12" s="64"/>
      <c r="ITG12" s="4"/>
      <c r="ITH12" s="65"/>
      <c r="ITI12" s="4"/>
      <c r="ITJ12" s="4"/>
      <c r="ITK12" s="4"/>
      <c r="ITN12" s="34"/>
      <c r="ITO12" s="34"/>
      <c r="ITQ12" s="34"/>
      <c r="ITR12" s="72"/>
      <c r="ITS12" s="63"/>
      <c r="ITT12" s="34"/>
      <c r="ITU12" s="64"/>
      <c r="ITV12" s="4"/>
      <c r="ITW12" s="65"/>
      <c r="ITX12" s="4"/>
      <c r="ITY12" s="4"/>
      <c r="ITZ12" s="4"/>
      <c r="IUC12" s="34"/>
      <c r="IUD12" s="34"/>
      <c r="IUF12" s="34"/>
      <c r="IUG12" s="72"/>
      <c r="IUH12" s="63"/>
      <c r="IUI12" s="34"/>
      <c r="IUJ12" s="64"/>
      <c r="IUK12" s="4"/>
      <c r="IUL12" s="65"/>
      <c r="IUM12" s="4"/>
      <c r="IUN12" s="4"/>
      <c r="IUO12" s="4"/>
      <c r="IUR12" s="34"/>
      <c r="IUS12" s="34"/>
      <c r="IUU12" s="34"/>
      <c r="IUV12" s="72"/>
      <c r="IUW12" s="63"/>
      <c r="IUX12" s="34"/>
      <c r="IUY12" s="64"/>
      <c r="IUZ12" s="4"/>
      <c r="IVA12" s="65"/>
      <c r="IVB12" s="4"/>
      <c r="IVC12" s="4"/>
      <c r="IVD12" s="4"/>
      <c r="IVG12" s="34"/>
      <c r="IVH12" s="34"/>
      <c r="IVJ12" s="34"/>
      <c r="IVK12" s="72"/>
      <c r="IVL12" s="63"/>
      <c r="IVM12" s="34"/>
      <c r="IVN12" s="64"/>
      <c r="IVO12" s="4"/>
      <c r="IVP12" s="65"/>
      <c r="IVQ12" s="4"/>
      <c r="IVR12" s="4"/>
      <c r="IVS12" s="4"/>
      <c r="IVV12" s="34"/>
      <c r="IVW12" s="34"/>
      <c r="IVY12" s="34"/>
      <c r="IVZ12" s="72"/>
      <c r="IWA12" s="63"/>
      <c r="IWB12" s="34"/>
      <c r="IWC12" s="64"/>
      <c r="IWD12" s="4"/>
      <c r="IWE12" s="65"/>
      <c r="IWF12" s="4"/>
      <c r="IWG12" s="4"/>
      <c r="IWH12" s="4"/>
      <c r="IWK12" s="34"/>
      <c r="IWL12" s="34"/>
      <c r="IWN12" s="34"/>
      <c r="IWO12" s="72"/>
      <c r="IWP12" s="63"/>
      <c r="IWQ12" s="34"/>
      <c r="IWR12" s="64"/>
      <c r="IWS12" s="4"/>
      <c r="IWT12" s="65"/>
      <c r="IWU12" s="4"/>
      <c r="IWV12" s="4"/>
      <c r="IWW12" s="4"/>
      <c r="IWZ12" s="34"/>
      <c r="IXA12" s="34"/>
      <c r="IXC12" s="34"/>
      <c r="IXD12" s="72"/>
      <c r="IXE12" s="63"/>
      <c r="IXF12" s="34"/>
      <c r="IXG12" s="64"/>
      <c r="IXH12" s="4"/>
      <c r="IXI12" s="65"/>
      <c r="IXJ12" s="4"/>
      <c r="IXK12" s="4"/>
      <c r="IXL12" s="4"/>
      <c r="IXO12" s="34"/>
      <c r="IXP12" s="34"/>
      <c r="IXR12" s="34"/>
      <c r="IXS12" s="72"/>
      <c r="IXT12" s="63"/>
      <c r="IXU12" s="34"/>
      <c r="IXV12" s="64"/>
      <c r="IXW12" s="4"/>
      <c r="IXX12" s="65"/>
      <c r="IXY12" s="4"/>
      <c r="IXZ12" s="4"/>
      <c r="IYA12" s="4"/>
      <c r="IYD12" s="34"/>
      <c r="IYE12" s="34"/>
      <c r="IYG12" s="34"/>
      <c r="IYH12" s="72"/>
      <c r="IYI12" s="63"/>
      <c r="IYJ12" s="34"/>
      <c r="IYK12" s="64"/>
      <c r="IYL12" s="4"/>
      <c r="IYM12" s="65"/>
      <c r="IYN12" s="4"/>
      <c r="IYO12" s="4"/>
      <c r="IYP12" s="4"/>
      <c r="IYS12" s="34"/>
      <c r="IYT12" s="34"/>
      <c r="IYV12" s="34"/>
      <c r="IYW12" s="72"/>
      <c r="IYX12" s="63"/>
      <c r="IYY12" s="34"/>
      <c r="IYZ12" s="64"/>
      <c r="IZA12" s="4"/>
      <c r="IZB12" s="65"/>
      <c r="IZC12" s="4"/>
      <c r="IZD12" s="4"/>
      <c r="IZE12" s="4"/>
      <c r="IZH12" s="34"/>
      <c r="IZI12" s="34"/>
      <c r="IZK12" s="34"/>
      <c r="IZL12" s="72"/>
      <c r="IZM12" s="63"/>
      <c r="IZN12" s="34"/>
      <c r="IZO12" s="64"/>
      <c r="IZP12" s="4"/>
      <c r="IZQ12" s="65"/>
      <c r="IZR12" s="4"/>
      <c r="IZS12" s="4"/>
      <c r="IZT12" s="4"/>
      <c r="IZW12" s="34"/>
      <c r="IZX12" s="34"/>
      <c r="IZZ12" s="34"/>
      <c r="JAA12" s="72"/>
      <c r="JAB12" s="63"/>
      <c r="JAC12" s="34"/>
      <c r="JAD12" s="64"/>
      <c r="JAE12" s="4"/>
      <c r="JAF12" s="65"/>
      <c r="JAG12" s="4"/>
      <c r="JAH12" s="4"/>
      <c r="JAI12" s="4"/>
      <c r="JAL12" s="34"/>
      <c r="JAM12" s="34"/>
      <c r="JAO12" s="34"/>
      <c r="JAP12" s="72"/>
      <c r="JAQ12" s="63"/>
      <c r="JAR12" s="34"/>
      <c r="JAS12" s="64"/>
      <c r="JAT12" s="4"/>
      <c r="JAU12" s="65"/>
      <c r="JAV12" s="4"/>
      <c r="JAW12" s="4"/>
      <c r="JAX12" s="4"/>
      <c r="JBA12" s="34"/>
      <c r="JBB12" s="34"/>
      <c r="JBD12" s="34"/>
      <c r="JBE12" s="72"/>
      <c r="JBF12" s="63"/>
      <c r="JBG12" s="34"/>
      <c r="JBH12" s="64"/>
      <c r="JBI12" s="4"/>
      <c r="JBJ12" s="65"/>
      <c r="JBK12" s="4"/>
      <c r="JBL12" s="4"/>
      <c r="JBM12" s="4"/>
      <c r="JBP12" s="34"/>
      <c r="JBQ12" s="34"/>
      <c r="JBS12" s="34"/>
      <c r="JBT12" s="72"/>
      <c r="JBU12" s="63"/>
      <c r="JBV12" s="34"/>
      <c r="JBW12" s="64"/>
      <c r="JBX12" s="4"/>
      <c r="JBY12" s="65"/>
      <c r="JBZ12" s="4"/>
      <c r="JCA12" s="4"/>
      <c r="JCB12" s="4"/>
      <c r="JCE12" s="34"/>
      <c r="JCF12" s="34"/>
      <c r="JCH12" s="34"/>
      <c r="JCI12" s="72"/>
      <c r="JCJ12" s="63"/>
      <c r="JCK12" s="34"/>
      <c r="JCL12" s="64"/>
      <c r="JCM12" s="4"/>
      <c r="JCN12" s="65"/>
      <c r="JCO12" s="4"/>
      <c r="JCP12" s="4"/>
      <c r="JCQ12" s="4"/>
      <c r="JCT12" s="34"/>
      <c r="JCU12" s="34"/>
      <c r="JCW12" s="34"/>
      <c r="JCX12" s="72"/>
      <c r="JCY12" s="63"/>
      <c r="JCZ12" s="34"/>
      <c r="JDA12" s="64"/>
      <c r="JDB12" s="4"/>
      <c r="JDC12" s="65"/>
      <c r="JDD12" s="4"/>
      <c r="JDE12" s="4"/>
      <c r="JDF12" s="4"/>
      <c r="JDI12" s="34"/>
      <c r="JDJ12" s="34"/>
      <c r="JDL12" s="34"/>
      <c r="JDM12" s="72"/>
      <c r="JDN12" s="63"/>
      <c r="JDO12" s="34"/>
      <c r="JDP12" s="64"/>
      <c r="JDQ12" s="4"/>
      <c r="JDR12" s="65"/>
      <c r="JDS12" s="4"/>
      <c r="JDT12" s="4"/>
      <c r="JDU12" s="4"/>
      <c r="JDX12" s="34"/>
      <c r="JDY12" s="34"/>
      <c r="JEA12" s="34"/>
      <c r="JEB12" s="72"/>
      <c r="JEC12" s="63"/>
      <c r="JED12" s="34"/>
      <c r="JEE12" s="64"/>
      <c r="JEF12" s="4"/>
      <c r="JEG12" s="65"/>
      <c r="JEH12" s="4"/>
      <c r="JEI12" s="4"/>
      <c r="JEJ12" s="4"/>
      <c r="JEM12" s="34"/>
      <c r="JEN12" s="34"/>
      <c r="JEP12" s="34"/>
      <c r="JEQ12" s="72"/>
      <c r="JER12" s="63"/>
      <c r="JES12" s="34"/>
      <c r="JET12" s="64"/>
      <c r="JEU12" s="4"/>
      <c r="JEV12" s="65"/>
      <c r="JEW12" s="4"/>
      <c r="JEX12" s="4"/>
      <c r="JEY12" s="4"/>
      <c r="JFB12" s="34"/>
      <c r="JFC12" s="34"/>
      <c r="JFE12" s="34"/>
      <c r="JFF12" s="72"/>
      <c r="JFG12" s="63"/>
      <c r="JFH12" s="34"/>
      <c r="JFI12" s="64"/>
      <c r="JFJ12" s="4"/>
      <c r="JFK12" s="65"/>
      <c r="JFL12" s="4"/>
      <c r="JFM12" s="4"/>
      <c r="JFN12" s="4"/>
      <c r="JFQ12" s="34"/>
      <c r="JFR12" s="34"/>
      <c r="JFT12" s="34"/>
      <c r="JFU12" s="72"/>
      <c r="JFV12" s="63"/>
      <c r="JFW12" s="34"/>
      <c r="JFX12" s="64"/>
      <c r="JFY12" s="4"/>
      <c r="JFZ12" s="65"/>
      <c r="JGA12" s="4"/>
      <c r="JGB12" s="4"/>
      <c r="JGC12" s="4"/>
      <c r="JGF12" s="34"/>
      <c r="JGG12" s="34"/>
      <c r="JGI12" s="34"/>
      <c r="JGJ12" s="72"/>
      <c r="JGK12" s="63"/>
      <c r="JGL12" s="34"/>
      <c r="JGM12" s="64"/>
      <c r="JGN12" s="4"/>
      <c r="JGO12" s="65"/>
      <c r="JGP12" s="4"/>
      <c r="JGQ12" s="4"/>
      <c r="JGR12" s="4"/>
      <c r="JGU12" s="34"/>
      <c r="JGV12" s="34"/>
      <c r="JGX12" s="34"/>
      <c r="JGY12" s="72"/>
      <c r="JGZ12" s="63"/>
      <c r="JHA12" s="34"/>
      <c r="JHB12" s="64"/>
      <c r="JHC12" s="4"/>
      <c r="JHD12" s="65"/>
      <c r="JHE12" s="4"/>
      <c r="JHF12" s="4"/>
      <c r="JHG12" s="4"/>
      <c r="JHJ12" s="34"/>
      <c r="JHK12" s="34"/>
      <c r="JHM12" s="34"/>
      <c r="JHN12" s="72"/>
      <c r="JHO12" s="63"/>
      <c r="JHP12" s="34"/>
      <c r="JHQ12" s="64"/>
      <c r="JHR12" s="4"/>
      <c r="JHS12" s="65"/>
      <c r="JHT12" s="4"/>
      <c r="JHU12" s="4"/>
      <c r="JHV12" s="4"/>
      <c r="JHY12" s="34"/>
      <c r="JHZ12" s="34"/>
      <c r="JIB12" s="34"/>
      <c r="JIC12" s="72"/>
      <c r="JID12" s="63"/>
      <c r="JIE12" s="34"/>
      <c r="JIF12" s="64"/>
      <c r="JIG12" s="4"/>
      <c r="JIH12" s="65"/>
      <c r="JII12" s="4"/>
      <c r="JIJ12" s="4"/>
      <c r="JIK12" s="4"/>
      <c r="JIN12" s="34"/>
      <c r="JIO12" s="34"/>
      <c r="JIQ12" s="34"/>
      <c r="JIR12" s="72"/>
      <c r="JIS12" s="63"/>
      <c r="JIT12" s="34"/>
      <c r="JIU12" s="64"/>
      <c r="JIV12" s="4"/>
      <c r="JIW12" s="65"/>
      <c r="JIX12" s="4"/>
      <c r="JIY12" s="4"/>
      <c r="JIZ12" s="4"/>
      <c r="JJC12" s="34"/>
      <c r="JJD12" s="34"/>
      <c r="JJF12" s="34"/>
      <c r="JJG12" s="72"/>
      <c r="JJH12" s="63"/>
      <c r="JJI12" s="34"/>
      <c r="JJJ12" s="64"/>
      <c r="JJK12" s="4"/>
      <c r="JJL12" s="65"/>
      <c r="JJM12" s="4"/>
      <c r="JJN12" s="4"/>
      <c r="JJO12" s="4"/>
      <c r="JJR12" s="34"/>
      <c r="JJS12" s="34"/>
      <c r="JJU12" s="34"/>
      <c r="JJV12" s="72"/>
      <c r="JJW12" s="63"/>
      <c r="JJX12" s="34"/>
      <c r="JJY12" s="64"/>
      <c r="JJZ12" s="4"/>
      <c r="JKA12" s="65"/>
      <c r="JKB12" s="4"/>
      <c r="JKC12" s="4"/>
      <c r="JKD12" s="4"/>
      <c r="JKG12" s="34"/>
      <c r="JKH12" s="34"/>
      <c r="JKJ12" s="34"/>
      <c r="JKK12" s="72"/>
      <c r="JKL12" s="63"/>
      <c r="JKM12" s="34"/>
      <c r="JKN12" s="64"/>
      <c r="JKO12" s="4"/>
      <c r="JKP12" s="65"/>
      <c r="JKQ12" s="4"/>
      <c r="JKR12" s="4"/>
      <c r="JKS12" s="4"/>
      <c r="JKV12" s="34"/>
      <c r="JKW12" s="34"/>
      <c r="JKY12" s="34"/>
      <c r="JKZ12" s="72"/>
      <c r="JLA12" s="63"/>
      <c r="JLB12" s="34"/>
      <c r="JLC12" s="64"/>
      <c r="JLD12" s="4"/>
      <c r="JLE12" s="65"/>
      <c r="JLF12" s="4"/>
      <c r="JLG12" s="4"/>
      <c r="JLH12" s="4"/>
      <c r="JLK12" s="34"/>
      <c r="JLL12" s="34"/>
      <c r="JLN12" s="34"/>
      <c r="JLO12" s="72"/>
      <c r="JLP12" s="63"/>
      <c r="JLQ12" s="34"/>
      <c r="JLR12" s="64"/>
      <c r="JLS12" s="4"/>
      <c r="JLT12" s="65"/>
      <c r="JLU12" s="4"/>
      <c r="JLV12" s="4"/>
      <c r="JLW12" s="4"/>
      <c r="JLZ12" s="34"/>
      <c r="JMA12" s="34"/>
      <c r="JMC12" s="34"/>
      <c r="JMD12" s="72"/>
      <c r="JME12" s="63"/>
      <c r="JMF12" s="34"/>
      <c r="JMG12" s="64"/>
      <c r="JMH12" s="4"/>
      <c r="JMI12" s="65"/>
      <c r="JMJ12" s="4"/>
      <c r="JMK12" s="4"/>
      <c r="JML12" s="4"/>
      <c r="JMO12" s="34"/>
      <c r="JMP12" s="34"/>
      <c r="JMR12" s="34"/>
      <c r="JMS12" s="72"/>
      <c r="JMT12" s="63"/>
      <c r="JMU12" s="34"/>
      <c r="JMV12" s="64"/>
      <c r="JMW12" s="4"/>
      <c r="JMX12" s="65"/>
      <c r="JMY12" s="4"/>
      <c r="JMZ12" s="4"/>
      <c r="JNA12" s="4"/>
      <c r="JND12" s="34"/>
      <c r="JNE12" s="34"/>
      <c r="JNG12" s="34"/>
      <c r="JNH12" s="72"/>
      <c r="JNI12" s="63"/>
      <c r="JNJ12" s="34"/>
      <c r="JNK12" s="64"/>
      <c r="JNL12" s="4"/>
      <c r="JNM12" s="65"/>
      <c r="JNN12" s="4"/>
      <c r="JNO12" s="4"/>
      <c r="JNP12" s="4"/>
      <c r="JNS12" s="34"/>
      <c r="JNT12" s="34"/>
      <c r="JNV12" s="34"/>
      <c r="JNW12" s="72"/>
      <c r="JNX12" s="63"/>
      <c r="JNY12" s="34"/>
      <c r="JNZ12" s="64"/>
      <c r="JOA12" s="4"/>
      <c r="JOB12" s="65"/>
      <c r="JOC12" s="4"/>
      <c r="JOD12" s="4"/>
      <c r="JOE12" s="4"/>
      <c r="JOH12" s="34"/>
      <c r="JOI12" s="34"/>
      <c r="JOK12" s="34"/>
      <c r="JOL12" s="72"/>
      <c r="JOM12" s="63"/>
      <c r="JON12" s="34"/>
      <c r="JOO12" s="64"/>
      <c r="JOP12" s="4"/>
      <c r="JOQ12" s="65"/>
      <c r="JOR12" s="4"/>
      <c r="JOS12" s="4"/>
      <c r="JOT12" s="4"/>
      <c r="JOW12" s="34"/>
      <c r="JOX12" s="34"/>
      <c r="JOZ12" s="34"/>
      <c r="JPA12" s="72"/>
      <c r="JPB12" s="63"/>
      <c r="JPC12" s="34"/>
      <c r="JPD12" s="64"/>
      <c r="JPE12" s="4"/>
      <c r="JPF12" s="65"/>
      <c r="JPG12" s="4"/>
      <c r="JPH12" s="4"/>
      <c r="JPI12" s="4"/>
      <c r="JPL12" s="34"/>
      <c r="JPM12" s="34"/>
      <c r="JPO12" s="34"/>
      <c r="JPP12" s="72"/>
      <c r="JPQ12" s="63"/>
      <c r="JPR12" s="34"/>
      <c r="JPS12" s="64"/>
      <c r="JPT12" s="4"/>
      <c r="JPU12" s="65"/>
      <c r="JPV12" s="4"/>
      <c r="JPW12" s="4"/>
      <c r="JPX12" s="4"/>
      <c r="JQA12" s="34"/>
      <c r="JQB12" s="34"/>
      <c r="JQD12" s="34"/>
      <c r="JQE12" s="72"/>
      <c r="JQF12" s="63"/>
      <c r="JQG12" s="34"/>
      <c r="JQH12" s="64"/>
      <c r="JQI12" s="4"/>
      <c r="JQJ12" s="65"/>
      <c r="JQK12" s="4"/>
      <c r="JQL12" s="4"/>
      <c r="JQM12" s="4"/>
      <c r="JQP12" s="34"/>
      <c r="JQQ12" s="34"/>
      <c r="JQS12" s="34"/>
      <c r="JQT12" s="72"/>
      <c r="JQU12" s="63"/>
      <c r="JQV12" s="34"/>
      <c r="JQW12" s="64"/>
      <c r="JQX12" s="4"/>
      <c r="JQY12" s="65"/>
      <c r="JQZ12" s="4"/>
      <c r="JRA12" s="4"/>
      <c r="JRB12" s="4"/>
      <c r="JRE12" s="34"/>
      <c r="JRF12" s="34"/>
      <c r="JRH12" s="34"/>
      <c r="JRI12" s="72"/>
      <c r="JRJ12" s="63"/>
      <c r="JRK12" s="34"/>
      <c r="JRL12" s="64"/>
      <c r="JRM12" s="4"/>
      <c r="JRN12" s="65"/>
      <c r="JRO12" s="4"/>
      <c r="JRP12" s="4"/>
      <c r="JRQ12" s="4"/>
      <c r="JRT12" s="34"/>
      <c r="JRU12" s="34"/>
      <c r="JRW12" s="34"/>
      <c r="JRX12" s="72"/>
      <c r="JRY12" s="63"/>
      <c r="JRZ12" s="34"/>
      <c r="JSA12" s="64"/>
      <c r="JSB12" s="4"/>
      <c r="JSC12" s="65"/>
      <c r="JSD12" s="4"/>
      <c r="JSE12" s="4"/>
      <c r="JSF12" s="4"/>
      <c r="JSI12" s="34"/>
      <c r="JSJ12" s="34"/>
      <c r="JSL12" s="34"/>
      <c r="JSM12" s="72"/>
      <c r="JSN12" s="63"/>
      <c r="JSO12" s="34"/>
      <c r="JSP12" s="64"/>
      <c r="JSQ12" s="4"/>
      <c r="JSR12" s="65"/>
      <c r="JSS12" s="4"/>
      <c r="JST12" s="4"/>
      <c r="JSU12" s="4"/>
      <c r="JSX12" s="34"/>
      <c r="JSY12" s="34"/>
      <c r="JTA12" s="34"/>
      <c r="JTB12" s="72"/>
      <c r="JTC12" s="63"/>
      <c r="JTD12" s="34"/>
      <c r="JTE12" s="64"/>
      <c r="JTF12" s="4"/>
      <c r="JTG12" s="65"/>
      <c r="JTH12" s="4"/>
      <c r="JTI12" s="4"/>
      <c r="JTJ12" s="4"/>
      <c r="JTM12" s="34"/>
      <c r="JTN12" s="34"/>
      <c r="JTP12" s="34"/>
      <c r="JTQ12" s="72"/>
      <c r="JTR12" s="63"/>
      <c r="JTS12" s="34"/>
      <c r="JTT12" s="64"/>
      <c r="JTU12" s="4"/>
      <c r="JTV12" s="65"/>
      <c r="JTW12" s="4"/>
      <c r="JTX12" s="4"/>
      <c r="JTY12" s="4"/>
      <c r="JUB12" s="34"/>
      <c r="JUC12" s="34"/>
      <c r="JUE12" s="34"/>
      <c r="JUF12" s="72"/>
      <c r="JUG12" s="63"/>
      <c r="JUH12" s="34"/>
      <c r="JUI12" s="64"/>
      <c r="JUJ12" s="4"/>
      <c r="JUK12" s="65"/>
      <c r="JUL12" s="4"/>
      <c r="JUM12" s="4"/>
      <c r="JUN12" s="4"/>
      <c r="JUQ12" s="34"/>
      <c r="JUR12" s="34"/>
      <c r="JUT12" s="34"/>
      <c r="JUU12" s="72"/>
      <c r="JUV12" s="63"/>
      <c r="JUW12" s="34"/>
      <c r="JUX12" s="64"/>
      <c r="JUY12" s="4"/>
      <c r="JUZ12" s="65"/>
      <c r="JVA12" s="4"/>
      <c r="JVB12" s="4"/>
      <c r="JVC12" s="4"/>
      <c r="JVF12" s="34"/>
      <c r="JVG12" s="34"/>
      <c r="JVI12" s="34"/>
      <c r="JVJ12" s="72"/>
      <c r="JVK12" s="63"/>
      <c r="JVL12" s="34"/>
      <c r="JVM12" s="64"/>
      <c r="JVN12" s="4"/>
      <c r="JVO12" s="65"/>
      <c r="JVP12" s="4"/>
      <c r="JVQ12" s="4"/>
      <c r="JVR12" s="4"/>
      <c r="JVU12" s="34"/>
      <c r="JVV12" s="34"/>
      <c r="JVX12" s="34"/>
      <c r="JVY12" s="72"/>
      <c r="JVZ12" s="63"/>
      <c r="JWA12" s="34"/>
      <c r="JWB12" s="64"/>
      <c r="JWC12" s="4"/>
      <c r="JWD12" s="65"/>
      <c r="JWE12" s="4"/>
      <c r="JWF12" s="4"/>
      <c r="JWG12" s="4"/>
      <c r="JWJ12" s="34"/>
      <c r="JWK12" s="34"/>
      <c r="JWM12" s="34"/>
      <c r="JWN12" s="72"/>
      <c r="JWO12" s="63"/>
      <c r="JWP12" s="34"/>
      <c r="JWQ12" s="64"/>
      <c r="JWR12" s="4"/>
      <c r="JWS12" s="65"/>
      <c r="JWT12" s="4"/>
      <c r="JWU12" s="4"/>
      <c r="JWV12" s="4"/>
      <c r="JWY12" s="34"/>
      <c r="JWZ12" s="34"/>
      <c r="JXB12" s="34"/>
      <c r="JXC12" s="72"/>
      <c r="JXD12" s="63"/>
      <c r="JXE12" s="34"/>
      <c r="JXF12" s="64"/>
      <c r="JXG12" s="4"/>
      <c r="JXH12" s="65"/>
      <c r="JXI12" s="4"/>
      <c r="JXJ12" s="4"/>
      <c r="JXK12" s="4"/>
      <c r="JXN12" s="34"/>
      <c r="JXO12" s="34"/>
      <c r="JXQ12" s="34"/>
      <c r="JXR12" s="72"/>
      <c r="JXS12" s="63"/>
      <c r="JXT12" s="34"/>
      <c r="JXU12" s="64"/>
      <c r="JXV12" s="4"/>
      <c r="JXW12" s="65"/>
      <c r="JXX12" s="4"/>
      <c r="JXY12" s="4"/>
      <c r="JXZ12" s="4"/>
      <c r="JYC12" s="34"/>
      <c r="JYD12" s="34"/>
      <c r="JYF12" s="34"/>
      <c r="JYG12" s="72"/>
      <c r="JYH12" s="63"/>
      <c r="JYI12" s="34"/>
      <c r="JYJ12" s="64"/>
      <c r="JYK12" s="4"/>
      <c r="JYL12" s="65"/>
      <c r="JYM12" s="4"/>
      <c r="JYN12" s="4"/>
      <c r="JYO12" s="4"/>
      <c r="JYR12" s="34"/>
      <c r="JYS12" s="34"/>
      <c r="JYU12" s="34"/>
      <c r="JYV12" s="72"/>
      <c r="JYW12" s="63"/>
      <c r="JYX12" s="34"/>
      <c r="JYY12" s="64"/>
      <c r="JYZ12" s="4"/>
      <c r="JZA12" s="65"/>
      <c r="JZB12" s="4"/>
      <c r="JZC12" s="4"/>
      <c r="JZD12" s="4"/>
      <c r="JZG12" s="34"/>
      <c r="JZH12" s="34"/>
      <c r="JZJ12" s="34"/>
      <c r="JZK12" s="72"/>
      <c r="JZL12" s="63"/>
      <c r="JZM12" s="34"/>
      <c r="JZN12" s="64"/>
      <c r="JZO12" s="4"/>
      <c r="JZP12" s="65"/>
      <c r="JZQ12" s="4"/>
      <c r="JZR12" s="4"/>
      <c r="JZS12" s="4"/>
      <c r="JZV12" s="34"/>
      <c r="JZW12" s="34"/>
      <c r="JZY12" s="34"/>
      <c r="JZZ12" s="72"/>
      <c r="KAA12" s="63"/>
      <c r="KAB12" s="34"/>
      <c r="KAC12" s="64"/>
      <c r="KAD12" s="4"/>
      <c r="KAE12" s="65"/>
      <c r="KAF12" s="4"/>
      <c r="KAG12" s="4"/>
      <c r="KAH12" s="4"/>
      <c r="KAK12" s="34"/>
      <c r="KAL12" s="34"/>
      <c r="KAN12" s="34"/>
      <c r="KAO12" s="72"/>
      <c r="KAP12" s="63"/>
      <c r="KAQ12" s="34"/>
      <c r="KAR12" s="64"/>
      <c r="KAS12" s="4"/>
      <c r="KAT12" s="65"/>
      <c r="KAU12" s="4"/>
      <c r="KAV12" s="4"/>
      <c r="KAW12" s="4"/>
      <c r="KAZ12" s="34"/>
      <c r="KBA12" s="34"/>
      <c r="KBC12" s="34"/>
      <c r="KBD12" s="72"/>
      <c r="KBE12" s="63"/>
      <c r="KBF12" s="34"/>
      <c r="KBG12" s="64"/>
      <c r="KBH12" s="4"/>
      <c r="KBI12" s="65"/>
      <c r="KBJ12" s="4"/>
      <c r="KBK12" s="4"/>
      <c r="KBL12" s="4"/>
      <c r="KBO12" s="34"/>
      <c r="KBP12" s="34"/>
      <c r="KBR12" s="34"/>
      <c r="KBS12" s="72"/>
      <c r="KBT12" s="63"/>
      <c r="KBU12" s="34"/>
      <c r="KBV12" s="64"/>
      <c r="KBW12" s="4"/>
      <c r="KBX12" s="65"/>
      <c r="KBY12" s="4"/>
      <c r="KBZ12" s="4"/>
      <c r="KCA12" s="4"/>
      <c r="KCD12" s="34"/>
      <c r="KCE12" s="34"/>
      <c r="KCG12" s="34"/>
      <c r="KCH12" s="72"/>
      <c r="KCI12" s="63"/>
      <c r="KCJ12" s="34"/>
      <c r="KCK12" s="64"/>
      <c r="KCL12" s="4"/>
      <c r="KCM12" s="65"/>
      <c r="KCN12" s="4"/>
      <c r="KCO12" s="4"/>
      <c r="KCP12" s="4"/>
      <c r="KCS12" s="34"/>
      <c r="KCT12" s="34"/>
      <c r="KCV12" s="34"/>
      <c r="KCW12" s="72"/>
      <c r="KCX12" s="63"/>
      <c r="KCY12" s="34"/>
      <c r="KCZ12" s="64"/>
      <c r="KDA12" s="4"/>
      <c r="KDB12" s="65"/>
      <c r="KDC12" s="4"/>
      <c r="KDD12" s="4"/>
      <c r="KDE12" s="4"/>
      <c r="KDH12" s="34"/>
      <c r="KDI12" s="34"/>
      <c r="KDK12" s="34"/>
      <c r="KDL12" s="72"/>
      <c r="KDM12" s="63"/>
      <c r="KDN12" s="34"/>
      <c r="KDO12" s="64"/>
      <c r="KDP12" s="4"/>
      <c r="KDQ12" s="65"/>
      <c r="KDR12" s="4"/>
      <c r="KDS12" s="4"/>
      <c r="KDT12" s="4"/>
      <c r="KDW12" s="34"/>
      <c r="KDX12" s="34"/>
      <c r="KDZ12" s="34"/>
      <c r="KEA12" s="72"/>
      <c r="KEB12" s="63"/>
      <c r="KEC12" s="34"/>
      <c r="KED12" s="64"/>
      <c r="KEE12" s="4"/>
      <c r="KEF12" s="65"/>
      <c r="KEG12" s="4"/>
      <c r="KEH12" s="4"/>
      <c r="KEI12" s="4"/>
      <c r="KEL12" s="34"/>
      <c r="KEM12" s="34"/>
      <c r="KEO12" s="34"/>
      <c r="KEP12" s="72"/>
      <c r="KEQ12" s="63"/>
      <c r="KER12" s="34"/>
      <c r="KES12" s="64"/>
      <c r="KET12" s="4"/>
      <c r="KEU12" s="65"/>
      <c r="KEV12" s="4"/>
      <c r="KEW12" s="4"/>
      <c r="KEX12" s="4"/>
      <c r="KFA12" s="34"/>
      <c r="KFB12" s="34"/>
      <c r="KFD12" s="34"/>
      <c r="KFE12" s="72"/>
      <c r="KFF12" s="63"/>
      <c r="KFG12" s="34"/>
      <c r="KFH12" s="64"/>
      <c r="KFI12" s="4"/>
      <c r="KFJ12" s="65"/>
      <c r="KFK12" s="4"/>
      <c r="KFL12" s="4"/>
      <c r="KFM12" s="4"/>
      <c r="KFP12" s="34"/>
      <c r="KFQ12" s="34"/>
      <c r="KFS12" s="34"/>
      <c r="KFT12" s="72"/>
      <c r="KFU12" s="63"/>
      <c r="KFV12" s="34"/>
      <c r="KFW12" s="64"/>
      <c r="KFX12" s="4"/>
      <c r="KFY12" s="65"/>
      <c r="KFZ12" s="4"/>
      <c r="KGA12" s="4"/>
      <c r="KGB12" s="4"/>
      <c r="KGE12" s="34"/>
      <c r="KGF12" s="34"/>
      <c r="KGH12" s="34"/>
      <c r="KGI12" s="72"/>
      <c r="KGJ12" s="63"/>
      <c r="KGK12" s="34"/>
      <c r="KGL12" s="64"/>
      <c r="KGM12" s="4"/>
      <c r="KGN12" s="65"/>
      <c r="KGO12" s="4"/>
      <c r="KGP12" s="4"/>
      <c r="KGQ12" s="4"/>
      <c r="KGT12" s="34"/>
      <c r="KGU12" s="34"/>
      <c r="KGW12" s="34"/>
      <c r="KGX12" s="72"/>
      <c r="KGY12" s="63"/>
      <c r="KGZ12" s="34"/>
      <c r="KHA12" s="64"/>
      <c r="KHB12" s="4"/>
      <c r="KHC12" s="65"/>
      <c r="KHD12" s="4"/>
      <c r="KHE12" s="4"/>
      <c r="KHF12" s="4"/>
      <c r="KHI12" s="34"/>
      <c r="KHJ12" s="34"/>
      <c r="KHL12" s="34"/>
      <c r="KHM12" s="72"/>
      <c r="KHN12" s="63"/>
      <c r="KHO12" s="34"/>
      <c r="KHP12" s="64"/>
      <c r="KHQ12" s="4"/>
      <c r="KHR12" s="65"/>
      <c r="KHS12" s="4"/>
      <c r="KHT12" s="4"/>
      <c r="KHU12" s="4"/>
      <c r="KHX12" s="34"/>
      <c r="KHY12" s="34"/>
      <c r="KIA12" s="34"/>
      <c r="KIB12" s="72"/>
      <c r="KIC12" s="63"/>
      <c r="KID12" s="34"/>
      <c r="KIE12" s="64"/>
      <c r="KIF12" s="4"/>
      <c r="KIG12" s="65"/>
      <c r="KIH12" s="4"/>
      <c r="KII12" s="4"/>
      <c r="KIJ12" s="4"/>
      <c r="KIM12" s="34"/>
      <c r="KIN12" s="34"/>
      <c r="KIP12" s="34"/>
      <c r="KIQ12" s="72"/>
      <c r="KIR12" s="63"/>
      <c r="KIS12" s="34"/>
      <c r="KIT12" s="64"/>
      <c r="KIU12" s="4"/>
      <c r="KIV12" s="65"/>
      <c r="KIW12" s="4"/>
      <c r="KIX12" s="4"/>
      <c r="KIY12" s="4"/>
      <c r="KJB12" s="34"/>
      <c r="KJC12" s="34"/>
      <c r="KJE12" s="34"/>
      <c r="KJF12" s="72"/>
      <c r="KJG12" s="63"/>
      <c r="KJH12" s="34"/>
      <c r="KJI12" s="64"/>
      <c r="KJJ12" s="4"/>
      <c r="KJK12" s="65"/>
      <c r="KJL12" s="4"/>
      <c r="KJM12" s="4"/>
      <c r="KJN12" s="4"/>
      <c r="KJQ12" s="34"/>
      <c r="KJR12" s="34"/>
      <c r="KJT12" s="34"/>
      <c r="KJU12" s="72"/>
      <c r="KJV12" s="63"/>
      <c r="KJW12" s="34"/>
      <c r="KJX12" s="64"/>
      <c r="KJY12" s="4"/>
      <c r="KJZ12" s="65"/>
      <c r="KKA12" s="4"/>
      <c r="KKB12" s="4"/>
      <c r="KKC12" s="4"/>
      <c r="KKF12" s="34"/>
      <c r="KKG12" s="34"/>
      <c r="KKI12" s="34"/>
      <c r="KKJ12" s="72"/>
      <c r="KKK12" s="63"/>
      <c r="KKL12" s="34"/>
      <c r="KKM12" s="64"/>
      <c r="KKN12" s="4"/>
      <c r="KKO12" s="65"/>
      <c r="KKP12" s="4"/>
      <c r="KKQ12" s="4"/>
      <c r="KKR12" s="4"/>
      <c r="KKU12" s="34"/>
      <c r="KKV12" s="34"/>
      <c r="KKX12" s="34"/>
      <c r="KKY12" s="72"/>
      <c r="KKZ12" s="63"/>
      <c r="KLA12" s="34"/>
      <c r="KLB12" s="64"/>
      <c r="KLC12" s="4"/>
      <c r="KLD12" s="65"/>
      <c r="KLE12" s="4"/>
      <c r="KLF12" s="4"/>
      <c r="KLG12" s="4"/>
      <c r="KLJ12" s="34"/>
      <c r="KLK12" s="34"/>
      <c r="KLM12" s="34"/>
      <c r="KLN12" s="72"/>
      <c r="KLO12" s="63"/>
      <c r="KLP12" s="34"/>
      <c r="KLQ12" s="64"/>
      <c r="KLR12" s="4"/>
      <c r="KLS12" s="65"/>
      <c r="KLT12" s="4"/>
      <c r="KLU12" s="4"/>
      <c r="KLV12" s="4"/>
      <c r="KLY12" s="34"/>
      <c r="KLZ12" s="34"/>
      <c r="KMB12" s="34"/>
      <c r="KMC12" s="72"/>
      <c r="KMD12" s="63"/>
      <c r="KME12" s="34"/>
      <c r="KMF12" s="64"/>
      <c r="KMG12" s="4"/>
      <c r="KMH12" s="65"/>
      <c r="KMI12" s="4"/>
      <c r="KMJ12" s="4"/>
      <c r="KMK12" s="4"/>
      <c r="KMN12" s="34"/>
      <c r="KMO12" s="34"/>
      <c r="KMQ12" s="34"/>
      <c r="KMR12" s="72"/>
      <c r="KMS12" s="63"/>
      <c r="KMT12" s="34"/>
      <c r="KMU12" s="64"/>
      <c r="KMV12" s="4"/>
      <c r="KMW12" s="65"/>
      <c r="KMX12" s="4"/>
      <c r="KMY12" s="4"/>
      <c r="KMZ12" s="4"/>
      <c r="KNC12" s="34"/>
      <c r="KND12" s="34"/>
      <c r="KNF12" s="34"/>
      <c r="KNG12" s="72"/>
      <c r="KNH12" s="63"/>
      <c r="KNI12" s="34"/>
      <c r="KNJ12" s="64"/>
      <c r="KNK12" s="4"/>
      <c r="KNL12" s="65"/>
      <c r="KNM12" s="4"/>
      <c r="KNN12" s="4"/>
      <c r="KNO12" s="4"/>
      <c r="KNR12" s="34"/>
      <c r="KNS12" s="34"/>
      <c r="KNU12" s="34"/>
      <c r="KNV12" s="72"/>
      <c r="KNW12" s="63"/>
      <c r="KNX12" s="34"/>
      <c r="KNY12" s="64"/>
      <c r="KNZ12" s="4"/>
      <c r="KOA12" s="65"/>
      <c r="KOB12" s="4"/>
      <c r="KOC12" s="4"/>
      <c r="KOD12" s="4"/>
      <c r="KOG12" s="34"/>
      <c r="KOH12" s="34"/>
      <c r="KOJ12" s="34"/>
      <c r="KOK12" s="72"/>
      <c r="KOL12" s="63"/>
      <c r="KOM12" s="34"/>
      <c r="KON12" s="64"/>
      <c r="KOO12" s="4"/>
      <c r="KOP12" s="65"/>
      <c r="KOQ12" s="4"/>
      <c r="KOR12" s="4"/>
      <c r="KOS12" s="4"/>
      <c r="KOV12" s="34"/>
      <c r="KOW12" s="34"/>
      <c r="KOY12" s="34"/>
      <c r="KOZ12" s="72"/>
      <c r="KPA12" s="63"/>
      <c r="KPB12" s="34"/>
      <c r="KPC12" s="64"/>
      <c r="KPD12" s="4"/>
      <c r="KPE12" s="65"/>
      <c r="KPF12" s="4"/>
      <c r="KPG12" s="4"/>
      <c r="KPH12" s="4"/>
      <c r="KPK12" s="34"/>
      <c r="KPL12" s="34"/>
      <c r="KPN12" s="34"/>
      <c r="KPO12" s="72"/>
      <c r="KPP12" s="63"/>
      <c r="KPQ12" s="34"/>
      <c r="KPR12" s="64"/>
      <c r="KPS12" s="4"/>
      <c r="KPT12" s="65"/>
      <c r="KPU12" s="4"/>
      <c r="KPV12" s="4"/>
      <c r="KPW12" s="4"/>
      <c r="KPZ12" s="34"/>
      <c r="KQA12" s="34"/>
      <c r="KQC12" s="34"/>
      <c r="KQD12" s="72"/>
      <c r="KQE12" s="63"/>
      <c r="KQF12" s="34"/>
      <c r="KQG12" s="64"/>
      <c r="KQH12" s="4"/>
      <c r="KQI12" s="65"/>
      <c r="KQJ12" s="4"/>
      <c r="KQK12" s="4"/>
      <c r="KQL12" s="4"/>
      <c r="KQO12" s="34"/>
      <c r="KQP12" s="34"/>
      <c r="KQR12" s="34"/>
      <c r="KQS12" s="72"/>
      <c r="KQT12" s="63"/>
      <c r="KQU12" s="34"/>
      <c r="KQV12" s="64"/>
      <c r="KQW12" s="4"/>
      <c r="KQX12" s="65"/>
      <c r="KQY12" s="4"/>
      <c r="KQZ12" s="4"/>
      <c r="KRA12" s="4"/>
      <c r="KRD12" s="34"/>
      <c r="KRE12" s="34"/>
      <c r="KRG12" s="34"/>
      <c r="KRH12" s="72"/>
      <c r="KRI12" s="63"/>
      <c r="KRJ12" s="34"/>
      <c r="KRK12" s="64"/>
      <c r="KRL12" s="4"/>
      <c r="KRM12" s="65"/>
      <c r="KRN12" s="4"/>
      <c r="KRO12" s="4"/>
      <c r="KRP12" s="4"/>
      <c r="KRS12" s="34"/>
      <c r="KRT12" s="34"/>
      <c r="KRV12" s="34"/>
      <c r="KRW12" s="72"/>
      <c r="KRX12" s="63"/>
      <c r="KRY12" s="34"/>
      <c r="KRZ12" s="64"/>
      <c r="KSA12" s="4"/>
      <c r="KSB12" s="65"/>
      <c r="KSC12" s="4"/>
      <c r="KSD12" s="4"/>
      <c r="KSE12" s="4"/>
      <c r="KSH12" s="34"/>
      <c r="KSI12" s="34"/>
      <c r="KSK12" s="34"/>
      <c r="KSL12" s="72"/>
      <c r="KSM12" s="63"/>
      <c r="KSN12" s="34"/>
      <c r="KSO12" s="64"/>
      <c r="KSP12" s="4"/>
      <c r="KSQ12" s="65"/>
      <c r="KSR12" s="4"/>
      <c r="KSS12" s="4"/>
      <c r="KST12" s="4"/>
      <c r="KSW12" s="34"/>
      <c r="KSX12" s="34"/>
      <c r="KSZ12" s="34"/>
      <c r="KTA12" s="72"/>
      <c r="KTB12" s="63"/>
      <c r="KTC12" s="34"/>
      <c r="KTD12" s="64"/>
      <c r="KTE12" s="4"/>
      <c r="KTF12" s="65"/>
      <c r="KTG12" s="4"/>
      <c r="KTH12" s="4"/>
      <c r="KTI12" s="4"/>
      <c r="KTL12" s="34"/>
      <c r="KTM12" s="34"/>
      <c r="KTO12" s="34"/>
      <c r="KTP12" s="72"/>
      <c r="KTQ12" s="63"/>
      <c r="KTR12" s="34"/>
      <c r="KTS12" s="64"/>
      <c r="KTT12" s="4"/>
      <c r="KTU12" s="65"/>
      <c r="KTV12" s="4"/>
      <c r="KTW12" s="4"/>
      <c r="KTX12" s="4"/>
      <c r="KUA12" s="34"/>
      <c r="KUB12" s="34"/>
      <c r="KUD12" s="34"/>
      <c r="KUE12" s="72"/>
      <c r="KUF12" s="63"/>
      <c r="KUG12" s="34"/>
      <c r="KUH12" s="64"/>
      <c r="KUI12" s="4"/>
      <c r="KUJ12" s="65"/>
      <c r="KUK12" s="4"/>
      <c r="KUL12" s="4"/>
      <c r="KUM12" s="4"/>
      <c r="KUP12" s="34"/>
      <c r="KUQ12" s="34"/>
      <c r="KUS12" s="34"/>
      <c r="KUT12" s="72"/>
      <c r="KUU12" s="63"/>
      <c r="KUV12" s="34"/>
      <c r="KUW12" s="64"/>
      <c r="KUX12" s="4"/>
      <c r="KUY12" s="65"/>
      <c r="KUZ12" s="4"/>
      <c r="KVA12" s="4"/>
      <c r="KVB12" s="4"/>
      <c r="KVE12" s="34"/>
      <c r="KVF12" s="34"/>
      <c r="KVH12" s="34"/>
      <c r="KVI12" s="72"/>
      <c r="KVJ12" s="63"/>
      <c r="KVK12" s="34"/>
      <c r="KVL12" s="64"/>
      <c r="KVM12" s="4"/>
      <c r="KVN12" s="65"/>
      <c r="KVO12" s="4"/>
      <c r="KVP12" s="4"/>
      <c r="KVQ12" s="4"/>
      <c r="KVT12" s="34"/>
      <c r="KVU12" s="34"/>
      <c r="KVW12" s="34"/>
      <c r="KVX12" s="72"/>
      <c r="KVY12" s="63"/>
      <c r="KVZ12" s="34"/>
      <c r="KWA12" s="64"/>
      <c r="KWB12" s="4"/>
      <c r="KWC12" s="65"/>
      <c r="KWD12" s="4"/>
      <c r="KWE12" s="4"/>
      <c r="KWF12" s="4"/>
      <c r="KWI12" s="34"/>
      <c r="KWJ12" s="34"/>
      <c r="KWL12" s="34"/>
      <c r="KWM12" s="72"/>
      <c r="KWN12" s="63"/>
      <c r="KWO12" s="34"/>
      <c r="KWP12" s="64"/>
      <c r="KWQ12" s="4"/>
      <c r="KWR12" s="65"/>
      <c r="KWS12" s="4"/>
      <c r="KWT12" s="4"/>
      <c r="KWU12" s="4"/>
      <c r="KWX12" s="34"/>
      <c r="KWY12" s="34"/>
      <c r="KXA12" s="34"/>
      <c r="KXB12" s="72"/>
      <c r="KXC12" s="63"/>
      <c r="KXD12" s="34"/>
      <c r="KXE12" s="64"/>
      <c r="KXF12" s="4"/>
      <c r="KXG12" s="65"/>
      <c r="KXH12" s="4"/>
      <c r="KXI12" s="4"/>
      <c r="KXJ12" s="4"/>
      <c r="KXM12" s="34"/>
      <c r="KXN12" s="34"/>
      <c r="KXP12" s="34"/>
      <c r="KXQ12" s="72"/>
      <c r="KXR12" s="63"/>
      <c r="KXS12" s="34"/>
      <c r="KXT12" s="64"/>
      <c r="KXU12" s="4"/>
      <c r="KXV12" s="65"/>
      <c r="KXW12" s="4"/>
      <c r="KXX12" s="4"/>
      <c r="KXY12" s="4"/>
      <c r="KYB12" s="34"/>
      <c r="KYC12" s="34"/>
      <c r="KYE12" s="34"/>
      <c r="KYF12" s="72"/>
      <c r="KYG12" s="63"/>
      <c r="KYH12" s="34"/>
      <c r="KYI12" s="64"/>
      <c r="KYJ12" s="4"/>
      <c r="KYK12" s="65"/>
      <c r="KYL12" s="4"/>
      <c r="KYM12" s="4"/>
      <c r="KYN12" s="4"/>
      <c r="KYQ12" s="34"/>
      <c r="KYR12" s="34"/>
      <c r="KYT12" s="34"/>
      <c r="KYU12" s="72"/>
      <c r="KYV12" s="63"/>
      <c r="KYW12" s="34"/>
      <c r="KYX12" s="64"/>
      <c r="KYY12" s="4"/>
      <c r="KYZ12" s="65"/>
      <c r="KZA12" s="4"/>
      <c r="KZB12" s="4"/>
      <c r="KZC12" s="4"/>
      <c r="KZF12" s="34"/>
      <c r="KZG12" s="34"/>
      <c r="KZI12" s="34"/>
      <c r="KZJ12" s="72"/>
      <c r="KZK12" s="63"/>
      <c r="KZL12" s="34"/>
      <c r="KZM12" s="64"/>
      <c r="KZN12" s="4"/>
      <c r="KZO12" s="65"/>
      <c r="KZP12" s="4"/>
      <c r="KZQ12" s="4"/>
      <c r="KZR12" s="4"/>
      <c r="KZU12" s="34"/>
      <c r="KZV12" s="34"/>
      <c r="KZX12" s="34"/>
      <c r="KZY12" s="72"/>
      <c r="KZZ12" s="63"/>
      <c r="LAA12" s="34"/>
      <c r="LAB12" s="64"/>
      <c r="LAC12" s="4"/>
      <c r="LAD12" s="65"/>
      <c r="LAE12" s="4"/>
      <c r="LAF12" s="4"/>
      <c r="LAG12" s="4"/>
      <c r="LAJ12" s="34"/>
      <c r="LAK12" s="34"/>
      <c r="LAM12" s="34"/>
      <c r="LAN12" s="72"/>
      <c r="LAO12" s="63"/>
      <c r="LAP12" s="34"/>
      <c r="LAQ12" s="64"/>
      <c r="LAR12" s="4"/>
      <c r="LAS12" s="65"/>
      <c r="LAT12" s="4"/>
      <c r="LAU12" s="4"/>
      <c r="LAV12" s="4"/>
      <c r="LAY12" s="34"/>
      <c r="LAZ12" s="34"/>
      <c r="LBB12" s="34"/>
      <c r="LBC12" s="72"/>
      <c r="LBD12" s="63"/>
      <c r="LBE12" s="34"/>
      <c r="LBF12" s="64"/>
      <c r="LBG12" s="4"/>
      <c r="LBH12" s="65"/>
      <c r="LBI12" s="4"/>
      <c r="LBJ12" s="4"/>
      <c r="LBK12" s="4"/>
      <c r="LBN12" s="34"/>
      <c r="LBO12" s="34"/>
      <c r="LBQ12" s="34"/>
      <c r="LBR12" s="72"/>
      <c r="LBS12" s="63"/>
      <c r="LBT12" s="34"/>
      <c r="LBU12" s="64"/>
      <c r="LBV12" s="4"/>
      <c r="LBW12" s="65"/>
      <c r="LBX12" s="4"/>
      <c r="LBY12" s="4"/>
      <c r="LBZ12" s="4"/>
      <c r="LCC12" s="34"/>
      <c r="LCD12" s="34"/>
      <c r="LCF12" s="34"/>
      <c r="LCG12" s="72"/>
      <c r="LCH12" s="63"/>
      <c r="LCI12" s="34"/>
      <c r="LCJ12" s="64"/>
      <c r="LCK12" s="4"/>
      <c r="LCL12" s="65"/>
      <c r="LCM12" s="4"/>
      <c r="LCN12" s="4"/>
      <c r="LCO12" s="4"/>
      <c r="LCR12" s="34"/>
      <c r="LCS12" s="34"/>
      <c r="LCU12" s="34"/>
      <c r="LCV12" s="72"/>
      <c r="LCW12" s="63"/>
      <c r="LCX12" s="34"/>
      <c r="LCY12" s="64"/>
      <c r="LCZ12" s="4"/>
      <c r="LDA12" s="65"/>
      <c r="LDB12" s="4"/>
      <c r="LDC12" s="4"/>
      <c r="LDD12" s="4"/>
      <c r="LDG12" s="34"/>
      <c r="LDH12" s="34"/>
      <c r="LDJ12" s="34"/>
      <c r="LDK12" s="72"/>
      <c r="LDL12" s="63"/>
      <c r="LDM12" s="34"/>
      <c r="LDN12" s="64"/>
      <c r="LDO12" s="4"/>
      <c r="LDP12" s="65"/>
      <c r="LDQ12" s="4"/>
      <c r="LDR12" s="4"/>
      <c r="LDS12" s="4"/>
      <c r="LDV12" s="34"/>
      <c r="LDW12" s="34"/>
      <c r="LDY12" s="34"/>
      <c r="LDZ12" s="72"/>
      <c r="LEA12" s="63"/>
      <c r="LEB12" s="34"/>
      <c r="LEC12" s="64"/>
      <c r="LED12" s="4"/>
      <c r="LEE12" s="65"/>
      <c r="LEF12" s="4"/>
      <c r="LEG12" s="4"/>
      <c r="LEH12" s="4"/>
      <c r="LEK12" s="34"/>
      <c r="LEL12" s="34"/>
      <c r="LEN12" s="34"/>
      <c r="LEO12" s="72"/>
      <c r="LEP12" s="63"/>
      <c r="LEQ12" s="34"/>
      <c r="LER12" s="64"/>
      <c r="LES12" s="4"/>
      <c r="LET12" s="65"/>
      <c r="LEU12" s="4"/>
      <c r="LEV12" s="4"/>
      <c r="LEW12" s="4"/>
      <c r="LEZ12" s="34"/>
      <c r="LFA12" s="34"/>
      <c r="LFC12" s="34"/>
      <c r="LFD12" s="72"/>
      <c r="LFE12" s="63"/>
      <c r="LFF12" s="34"/>
      <c r="LFG12" s="64"/>
      <c r="LFH12" s="4"/>
      <c r="LFI12" s="65"/>
      <c r="LFJ12" s="4"/>
      <c r="LFK12" s="4"/>
      <c r="LFL12" s="4"/>
      <c r="LFO12" s="34"/>
      <c r="LFP12" s="34"/>
      <c r="LFR12" s="34"/>
      <c r="LFS12" s="72"/>
      <c r="LFT12" s="63"/>
      <c r="LFU12" s="34"/>
      <c r="LFV12" s="64"/>
      <c r="LFW12" s="4"/>
      <c r="LFX12" s="65"/>
      <c r="LFY12" s="4"/>
      <c r="LFZ12" s="4"/>
      <c r="LGA12" s="4"/>
      <c r="LGD12" s="34"/>
      <c r="LGE12" s="34"/>
      <c r="LGG12" s="34"/>
      <c r="LGH12" s="72"/>
      <c r="LGI12" s="63"/>
      <c r="LGJ12" s="34"/>
      <c r="LGK12" s="64"/>
      <c r="LGL12" s="4"/>
      <c r="LGM12" s="65"/>
      <c r="LGN12" s="4"/>
      <c r="LGO12" s="4"/>
      <c r="LGP12" s="4"/>
      <c r="LGS12" s="34"/>
      <c r="LGT12" s="34"/>
      <c r="LGV12" s="34"/>
      <c r="LGW12" s="72"/>
      <c r="LGX12" s="63"/>
      <c r="LGY12" s="34"/>
      <c r="LGZ12" s="64"/>
      <c r="LHA12" s="4"/>
      <c r="LHB12" s="65"/>
      <c r="LHC12" s="4"/>
      <c r="LHD12" s="4"/>
      <c r="LHE12" s="4"/>
      <c r="LHH12" s="34"/>
      <c r="LHI12" s="34"/>
      <c r="LHK12" s="34"/>
      <c r="LHL12" s="72"/>
      <c r="LHM12" s="63"/>
      <c r="LHN12" s="34"/>
      <c r="LHO12" s="64"/>
      <c r="LHP12" s="4"/>
      <c r="LHQ12" s="65"/>
      <c r="LHR12" s="4"/>
      <c r="LHS12" s="4"/>
      <c r="LHT12" s="4"/>
      <c r="LHW12" s="34"/>
      <c r="LHX12" s="34"/>
      <c r="LHZ12" s="34"/>
      <c r="LIA12" s="72"/>
      <c r="LIB12" s="63"/>
      <c r="LIC12" s="34"/>
      <c r="LID12" s="64"/>
      <c r="LIE12" s="4"/>
      <c r="LIF12" s="65"/>
      <c r="LIG12" s="4"/>
      <c r="LIH12" s="4"/>
      <c r="LII12" s="4"/>
      <c r="LIL12" s="34"/>
      <c r="LIM12" s="34"/>
      <c r="LIO12" s="34"/>
      <c r="LIP12" s="72"/>
      <c r="LIQ12" s="63"/>
      <c r="LIR12" s="34"/>
      <c r="LIS12" s="64"/>
      <c r="LIT12" s="4"/>
      <c r="LIU12" s="65"/>
      <c r="LIV12" s="4"/>
      <c r="LIW12" s="4"/>
      <c r="LIX12" s="4"/>
      <c r="LJA12" s="34"/>
      <c r="LJB12" s="34"/>
      <c r="LJD12" s="34"/>
      <c r="LJE12" s="72"/>
      <c r="LJF12" s="63"/>
      <c r="LJG12" s="34"/>
      <c r="LJH12" s="64"/>
      <c r="LJI12" s="4"/>
      <c r="LJJ12" s="65"/>
      <c r="LJK12" s="4"/>
      <c r="LJL12" s="4"/>
      <c r="LJM12" s="4"/>
      <c r="LJP12" s="34"/>
      <c r="LJQ12" s="34"/>
      <c r="LJS12" s="34"/>
      <c r="LJT12" s="72"/>
      <c r="LJU12" s="63"/>
      <c r="LJV12" s="34"/>
      <c r="LJW12" s="64"/>
      <c r="LJX12" s="4"/>
      <c r="LJY12" s="65"/>
      <c r="LJZ12" s="4"/>
      <c r="LKA12" s="4"/>
      <c r="LKB12" s="4"/>
      <c r="LKE12" s="34"/>
      <c r="LKF12" s="34"/>
      <c r="LKH12" s="34"/>
      <c r="LKI12" s="72"/>
      <c r="LKJ12" s="63"/>
      <c r="LKK12" s="34"/>
      <c r="LKL12" s="64"/>
      <c r="LKM12" s="4"/>
      <c r="LKN12" s="65"/>
      <c r="LKO12" s="4"/>
      <c r="LKP12" s="4"/>
      <c r="LKQ12" s="4"/>
      <c r="LKT12" s="34"/>
      <c r="LKU12" s="34"/>
      <c r="LKW12" s="34"/>
      <c r="LKX12" s="72"/>
      <c r="LKY12" s="63"/>
      <c r="LKZ12" s="34"/>
      <c r="LLA12" s="64"/>
      <c r="LLB12" s="4"/>
      <c r="LLC12" s="65"/>
      <c r="LLD12" s="4"/>
      <c r="LLE12" s="4"/>
      <c r="LLF12" s="4"/>
      <c r="LLI12" s="34"/>
      <c r="LLJ12" s="34"/>
      <c r="LLL12" s="34"/>
      <c r="LLM12" s="72"/>
      <c r="LLN12" s="63"/>
      <c r="LLO12" s="34"/>
      <c r="LLP12" s="64"/>
      <c r="LLQ12" s="4"/>
      <c r="LLR12" s="65"/>
      <c r="LLS12" s="4"/>
      <c r="LLT12" s="4"/>
      <c r="LLU12" s="4"/>
      <c r="LLX12" s="34"/>
      <c r="LLY12" s="34"/>
      <c r="LMA12" s="34"/>
      <c r="LMB12" s="72"/>
      <c r="LMC12" s="63"/>
      <c r="LMD12" s="34"/>
      <c r="LME12" s="64"/>
      <c r="LMF12" s="4"/>
      <c r="LMG12" s="65"/>
      <c r="LMH12" s="4"/>
      <c r="LMI12" s="4"/>
      <c r="LMJ12" s="4"/>
      <c r="LMM12" s="34"/>
      <c r="LMN12" s="34"/>
      <c r="LMP12" s="34"/>
      <c r="LMQ12" s="72"/>
      <c r="LMR12" s="63"/>
      <c r="LMS12" s="34"/>
      <c r="LMT12" s="64"/>
      <c r="LMU12" s="4"/>
      <c r="LMV12" s="65"/>
      <c r="LMW12" s="4"/>
      <c r="LMX12" s="4"/>
      <c r="LMY12" s="4"/>
      <c r="LNB12" s="34"/>
      <c r="LNC12" s="34"/>
      <c r="LNE12" s="34"/>
      <c r="LNF12" s="72"/>
      <c r="LNG12" s="63"/>
      <c r="LNH12" s="34"/>
      <c r="LNI12" s="64"/>
      <c r="LNJ12" s="4"/>
      <c r="LNK12" s="65"/>
      <c r="LNL12" s="4"/>
      <c r="LNM12" s="4"/>
      <c r="LNN12" s="4"/>
      <c r="LNQ12" s="34"/>
      <c r="LNR12" s="34"/>
      <c r="LNT12" s="34"/>
      <c r="LNU12" s="72"/>
      <c r="LNV12" s="63"/>
      <c r="LNW12" s="34"/>
      <c r="LNX12" s="64"/>
      <c r="LNY12" s="4"/>
      <c r="LNZ12" s="65"/>
      <c r="LOA12" s="4"/>
      <c r="LOB12" s="4"/>
      <c r="LOC12" s="4"/>
      <c r="LOF12" s="34"/>
      <c r="LOG12" s="34"/>
      <c r="LOI12" s="34"/>
      <c r="LOJ12" s="72"/>
      <c r="LOK12" s="63"/>
      <c r="LOL12" s="34"/>
      <c r="LOM12" s="64"/>
      <c r="LON12" s="4"/>
      <c r="LOO12" s="65"/>
      <c r="LOP12" s="4"/>
      <c r="LOQ12" s="4"/>
      <c r="LOR12" s="4"/>
      <c r="LOU12" s="34"/>
      <c r="LOV12" s="34"/>
      <c r="LOX12" s="34"/>
      <c r="LOY12" s="72"/>
      <c r="LOZ12" s="63"/>
      <c r="LPA12" s="34"/>
      <c r="LPB12" s="64"/>
      <c r="LPC12" s="4"/>
      <c r="LPD12" s="65"/>
      <c r="LPE12" s="4"/>
      <c r="LPF12" s="4"/>
      <c r="LPG12" s="4"/>
      <c r="LPJ12" s="34"/>
      <c r="LPK12" s="34"/>
      <c r="LPM12" s="34"/>
      <c r="LPN12" s="72"/>
      <c r="LPO12" s="63"/>
      <c r="LPP12" s="34"/>
      <c r="LPQ12" s="64"/>
      <c r="LPR12" s="4"/>
      <c r="LPS12" s="65"/>
      <c r="LPT12" s="4"/>
      <c r="LPU12" s="4"/>
      <c r="LPV12" s="4"/>
      <c r="LPY12" s="34"/>
      <c r="LPZ12" s="34"/>
      <c r="LQB12" s="34"/>
      <c r="LQC12" s="72"/>
      <c r="LQD12" s="63"/>
      <c r="LQE12" s="34"/>
      <c r="LQF12" s="64"/>
      <c r="LQG12" s="4"/>
      <c r="LQH12" s="65"/>
      <c r="LQI12" s="4"/>
      <c r="LQJ12" s="4"/>
      <c r="LQK12" s="4"/>
      <c r="LQN12" s="34"/>
      <c r="LQO12" s="34"/>
      <c r="LQQ12" s="34"/>
      <c r="LQR12" s="72"/>
      <c r="LQS12" s="63"/>
      <c r="LQT12" s="34"/>
      <c r="LQU12" s="64"/>
      <c r="LQV12" s="4"/>
      <c r="LQW12" s="65"/>
      <c r="LQX12" s="4"/>
      <c r="LQY12" s="4"/>
      <c r="LQZ12" s="4"/>
      <c r="LRC12" s="34"/>
      <c r="LRD12" s="34"/>
      <c r="LRF12" s="34"/>
      <c r="LRG12" s="72"/>
      <c r="LRH12" s="63"/>
      <c r="LRI12" s="34"/>
      <c r="LRJ12" s="64"/>
      <c r="LRK12" s="4"/>
      <c r="LRL12" s="65"/>
      <c r="LRM12" s="4"/>
      <c r="LRN12" s="4"/>
      <c r="LRO12" s="4"/>
      <c r="LRR12" s="34"/>
      <c r="LRS12" s="34"/>
      <c r="LRU12" s="34"/>
      <c r="LRV12" s="72"/>
      <c r="LRW12" s="63"/>
      <c r="LRX12" s="34"/>
      <c r="LRY12" s="64"/>
      <c r="LRZ12" s="4"/>
      <c r="LSA12" s="65"/>
      <c r="LSB12" s="4"/>
      <c r="LSC12" s="4"/>
      <c r="LSD12" s="4"/>
      <c r="LSG12" s="34"/>
      <c r="LSH12" s="34"/>
      <c r="LSJ12" s="34"/>
      <c r="LSK12" s="72"/>
      <c r="LSL12" s="63"/>
      <c r="LSM12" s="34"/>
      <c r="LSN12" s="64"/>
      <c r="LSO12" s="4"/>
      <c r="LSP12" s="65"/>
      <c r="LSQ12" s="4"/>
      <c r="LSR12" s="4"/>
      <c r="LSS12" s="4"/>
      <c r="LSV12" s="34"/>
      <c r="LSW12" s="34"/>
      <c r="LSY12" s="34"/>
      <c r="LSZ12" s="72"/>
      <c r="LTA12" s="63"/>
      <c r="LTB12" s="34"/>
      <c r="LTC12" s="64"/>
      <c r="LTD12" s="4"/>
      <c r="LTE12" s="65"/>
      <c r="LTF12" s="4"/>
      <c r="LTG12" s="4"/>
      <c r="LTH12" s="4"/>
      <c r="LTK12" s="34"/>
      <c r="LTL12" s="34"/>
      <c r="LTN12" s="34"/>
      <c r="LTO12" s="72"/>
      <c r="LTP12" s="63"/>
      <c r="LTQ12" s="34"/>
      <c r="LTR12" s="64"/>
      <c r="LTS12" s="4"/>
      <c r="LTT12" s="65"/>
      <c r="LTU12" s="4"/>
      <c r="LTV12" s="4"/>
      <c r="LTW12" s="4"/>
      <c r="LTZ12" s="34"/>
      <c r="LUA12" s="34"/>
      <c r="LUC12" s="34"/>
      <c r="LUD12" s="72"/>
      <c r="LUE12" s="63"/>
      <c r="LUF12" s="34"/>
      <c r="LUG12" s="64"/>
      <c r="LUH12" s="4"/>
      <c r="LUI12" s="65"/>
      <c r="LUJ12" s="4"/>
      <c r="LUK12" s="4"/>
      <c r="LUL12" s="4"/>
      <c r="LUO12" s="34"/>
      <c r="LUP12" s="34"/>
      <c r="LUR12" s="34"/>
      <c r="LUS12" s="72"/>
      <c r="LUT12" s="63"/>
      <c r="LUU12" s="34"/>
      <c r="LUV12" s="64"/>
      <c r="LUW12" s="4"/>
      <c r="LUX12" s="65"/>
      <c r="LUY12" s="4"/>
      <c r="LUZ12" s="4"/>
      <c r="LVA12" s="4"/>
      <c r="LVD12" s="34"/>
      <c r="LVE12" s="34"/>
      <c r="LVG12" s="34"/>
      <c r="LVH12" s="72"/>
      <c r="LVI12" s="63"/>
      <c r="LVJ12" s="34"/>
      <c r="LVK12" s="64"/>
      <c r="LVL12" s="4"/>
      <c r="LVM12" s="65"/>
      <c r="LVN12" s="4"/>
      <c r="LVO12" s="4"/>
      <c r="LVP12" s="4"/>
      <c r="LVS12" s="34"/>
      <c r="LVT12" s="34"/>
      <c r="LVV12" s="34"/>
      <c r="LVW12" s="72"/>
      <c r="LVX12" s="63"/>
      <c r="LVY12" s="34"/>
      <c r="LVZ12" s="64"/>
      <c r="LWA12" s="4"/>
      <c r="LWB12" s="65"/>
      <c r="LWC12" s="4"/>
      <c r="LWD12" s="4"/>
      <c r="LWE12" s="4"/>
      <c r="LWH12" s="34"/>
      <c r="LWI12" s="34"/>
      <c r="LWK12" s="34"/>
      <c r="LWL12" s="72"/>
      <c r="LWM12" s="63"/>
      <c r="LWN12" s="34"/>
      <c r="LWO12" s="64"/>
      <c r="LWP12" s="4"/>
      <c r="LWQ12" s="65"/>
      <c r="LWR12" s="4"/>
      <c r="LWS12" s="4"/>
      <c r="LWT12" s="4"/>
      <c r="LWW12" s="34"/>
      <c r="LWX12" s="34"/>
      <c r="LWZ12" s="34"/>
      <c r="LXA12" s="72"/>
      <c r="LXB12" s="63"/>
      <c r="LXC12" s="34"/>
      <c r="LXD12" s="64"/>
      <c r="LXE12" s="4"/>
      <c r="LXF12" s="65"/>
      <c r="LXG12" s="4"/>
      <c r="LXH12" s="4"/>
      <c r="LXI12" s="4"/>
      <c r="LXL12" s="34"/>
      <c r="LXM12" s="34"/>
      <c r="LXO12" s="34"/>
      <c r="LXP12" s="72"/>
      <c r="LXQ12" s="63"/>
      <c r="LXR12" s="34"/>
      <c r="LXS12" s="64"/>
      <c r="LXT12" s="4"/>
      <c r="LXU12" s="65"/>
      <c r="LXV12" s="4"/>
      <c r="LXW12" s="4"/>
      <c r="LXX12" s="4"/>
      <c r="LYA12" s="34"/>
      <c r="LYB12" s="34"/>
      <c r="LYD12" s="34"/>
      <c r="LYE12" s="72"/>
      <c r="LYF12" s="63"/>
      <c r="LYG12" s="34"/>
      <c r="LYH12" s="64"/>
      <c r="LYI12" s="4"/>
      <c r="LYJ12" s="65"/>
      <c r="LYK12" s="4"/>
      <c r="LYL12" s="4"/>
      <c r="LYM12" s="4"/>
      <c r="LYP12" s="34"/>
      <c r="LYQ12" s="34"/>
      <c r="LYS12" s="34"/>
      <c r="LYT12" s="72"/>
      <c r="LYU12" s="63"/>
      <c r="LYV12" s="34"/>
      <c r="LYW12" s="64"/>
      <c r="LYX12" s="4"/>
      <c r="LYY12" s="65"/>
      <c r="LYZ12" s="4"/>
      <c r="LZA12" s="4"/>
      <c r="LZB12" s="4"/>
      <c r="LZE12" s="34"/>
      <c r="LZF12" s="34"/>
      <c r="LZH12" s="34"/>
      <c r="LZI12" s="72"/>
      <c r="LZJ12" s="63"/>
      <c r="LZK12" s="34"/>
      <c r="LZL12" s="64"/>
      <c r="LZM12" s="4"/>
      <c r="LZN12" s="65"/>
      <c r="LZO12" s="4"/>
      <c r="LZP12" s="4"/>
      <c r="LZQ12" s="4"/>
      <c r="LZT12" s="34"/>
      <c r="LZU12" s="34"/>
      <c r="LZW12" s="34"/>
      <c r="LZX12" s="72"/>
      <c r="LZY12" s="63"/>
      <c r="LZZ12" s="34"/>
      <c r="MAA12" s="64"/>
      <c r="MAB12" s="4"/>
      <c r="MAC12" s="65"/>
      <c r="MAD12" s="4"/>
      <c r="MAE12" s="4"/>
      <c r="MAF12" s="4"/>
      <c r="MAI12" s="34"/>
      <c r="MAJ12" s="34"/>
      <c r="MAL12" s="34"/>
      <c r="MAM12" s="72"/>
      <c r="MAN12" s="63"/>
      <c r="MAO12" s="34"/>
      <c r="MAP12" s="64"/>
      <c r="MAQ12" s="4"/>
      <c r="MAR12" s="65"/>
      <c r="MAS12" s="4"/>
      <c r="MAT12" s="4"/>
      <c r="MAU12" s="4"/>
      <c r="MAX12" s="34"/>
      <c r="MAY12" s="34"/>
      <c r="MBA12" s="34"/>
      <c r="MBB12" s="72"/>
      <c r="MBC12" s="63"/>
      <c r="MBD12" s="34"/>
      <c r="MBE12" s="64"/>
      <c r="MBF12" s="4"/>
      <c r="MBG12" s="65"/>
      <c r="MBH12" s="4"/>
      <c r="MBI12" s="4"/>
      <c r="MBJ12" s="4"/>
      <c r="MBM12" s="34"/>
      <c r="MBN12" s="34"/>
      <c r="MBP12" s="34"/>
      <c r="MBQ12" s="72"/>
      <c r="MBR12" s="63"/>
      <c r="MBS12" s="34"/>
      <c r="MBT12" s="64"/>
      <c r="MBU12" s="4"/>
      <c r="MBV12" s="65"/>
      <c r="MBW12" s="4"/>
      <c r="MBX12" s="4"/>
      <c r="MBY12" s="4"/>
      <c r="MCB12" s="34"/>
      <c r="MCC12" s="34"/>
      <c r="MCE12" s="34"/>
      <c r="MCF12" s="72"/>
      <c r="MCG12" s="63"/>
      <c r="MCH12" s="34"/>
      <c r="MCI12" s="64"/>
      <c r="MCJ12" s="4"/>
      <c r="MCK12" s="65"/>
      <c r="MCL12" s="4"/>
      <c r="MCM12" s="4"/>
      <c r="MCN12" s="4"/>
      <c r="MCQ12" s="34"/>
      <c r="MCR12" s="34"/>
      <c r="MCT12" s="34"/>
      <c r="MCU12" s="72"/>
      <c r="MCV12" s="63"/>
      <c r="MCW12" s="34"/>
      <c r="MCX12" s="64"/>
      <c r="MCY12" s="4"/>
      <c r="MCZ12" s="65"/>
      <c r="MDA12" s="4"/>
      <c r="MDB12" s="4"/>
      <c r="MDC12" s="4"/>
      <c r="MDF12" s="34"/>
      <c r="MDG12" s="34"/>
      <c r="MDI12" s="34"/>
      <c r="MDJ12" s="72"/>
      <c r="MDK12" s="63"/>
      <c r="MDL12" s="34"/>
      <c r="MDM12" s="64"/>
      <c r="MDN12" s="4"/>
      <c r="MDO12" s="65"/>
      <c r="MDP12" s="4"/>
      <c r="MDQ12" s="4"/>
      <c r="MDR12" s="4"/>
      <c r="MDU12" s="34"/>
      <c r="MDV12" s="34"/>
      <c r="MDX12" s="34"/>
      <c r="MDY12" s="72"/>
      <c r="MDZ12" s="63"/>
      <c r="MEA12" s="34"/>
      <c r="MEB12" s="64"/>
      <c r="MEC12" s="4"/>
      <c r="MED12" s="65"/>
      <c r="MEE12" s="4"/>
      <c r="MEF12" s="4"/>
      <c r="MEG12" s="4"/>
      <c r="MEJ12" s="34"/>
      <c r="MEK12" s="34"/>
      <c r="MEM12" s="34"/>
      <c r="MEN12" s="72"/>
      <c r="MEO12" s="63"/>
      <c r="MEP12" s="34"/>
      <c r="MEQ12" s="64"/>
      <c r="MER12" s="4"/>
      <c r="MES12" s="65"/>
      <c r="MET12" s="4"/>
      <c r="MEU12" s="4"/>
      <c r="MEV12" s="4"/>
      <c r="MEY12" s="34"/>
      <c r="MEZ12" s="34"/>
      <c r="MFB12" s="34"/>
      <c r="MFC12" s="72"/>
      <c r="MFD12" s="63"/>
      <c r="MFE12" s="34"/>
      <c r="MFF12" s="64"/>
      <c r="MFG12" s="4"/>
      <c r="MFH12" s="65"/>
      <c r="MFI12" s="4"/>
      <c r="MFJ12" s="4"/>
      <c r="MFK12" s="4"/>
      <c r="MFN12" s="34"/>
      <c r="MFO12" s="34"/>
      <c r="MFQ12" s="34"/>
      <c r="MFR12" s="72"/>
      <c r="MFS12" s="63"/>
      <c r="MFT12" s="34"/>
      <c r="MFU12" s="64"/>
      <c r="MFV12" s="4"/>
      <c r="MFW12" s="65"/>
      <c r="MFX12" s="4"/>
      <c r="MFY12" s="4"/>
      <c r="MFZ12" s="4"/>
      <c r="MGC12" s="34"/>
      <c r="MGD12" s="34"/>
      <c r="MGF12" s="34"/>
      <c r="MGG12" s="72"/>
      <c r="MGH12" s="63"/>
      <c r="MGI12" s="34"/>
      <c r="MGJ12" s="64"/>
      <c r="MGK12" s="4"/>
      <c r="MGL12" s="65"/>
      <c r="MGM12" s="4"/>
      <c r="MGN12" s="4"/>
      <c r="MGO12" s="4"/>
      <c r="MGR12" s="34"/>
      <c r="MGS12" s="34"/>
      <c r="MGU12" s="34"/>
      <c r="MGV12" s="72"/>
      <c r="MGW12" s="63"/>
      <c r="MGX12" s="34"/>
      <c r="MGY12" s="64"/>
      <c r="MGZ12" s="4"/>
      <c r="MHA12" s="65"/>
      <c r="MHB12" s="4"/>
      <c r="MHC12" s="4"/>
      <c r="MHD12" s="4"/>
      <c r="MHG12" s="34"/>
      <c r="MHH12" s="34"/>
      <c r="MHJ12" s="34"/>
      <c r="MHK12" s="72"/>
      <c r="MHL12" s="63"/>
      <c r="MHM12" s="34"/>
      <c r="MHN12" s="64"/>
      <c r="MHO12" s="4"/>
      <c r="MHP12" s="65"/>
      <c r="MHQ12" s="4"/>
      <c r="MHR12" s="4"/>
      <c r="MHS12" s="4"/>
      <c r="MHV12" s="34"/>
      <c r="MHW12" s="34"/>
      <c r="MHY12" s="34"/>
      <c r="MHZ12" s="72"/>
      <c r="MIA12" s="63"/>
      <c r="MIB12" s="34"/>
      <c r="MIC12" s="64"/>
      <c r="MID12" s="4"/>
      <c r="MIE12" s="65"/>
      <c r="MIF12" s="4"/>
      <c r="MIG12" s="4"/>
      <c r="MIH12" s="4"/>
      <c r="MIK12" s="34"/>
      <c r="MIL12" s="34"/>
      <c r="MIN12" s="34"/>
      <c r="MIO12" s="72"/>
      <c r="MIP12" s="63"/>
      <c r="MIQ12" s="34"/>
      <c r="MIR12" s="64"/>
      <c r="MIS12" s="4"/>
      <c r="MIT12" s="65"/>
      <c r="MIU12" s="4"/>
      <c r="MIV12" s="4"/>
      <c r="MIW12" s="4"/>
      <c r="MIZ12" s="34"/>
      <c r="MJA12" s="34"/>
      <c r="MJC12" s="34"/>
      <c r="MJD12" s="72"/>
      <c r="MJE12" s="63"/>
      <c r="MJF12" s="34"/>
      <c r="MJG12" s="64"/>
      <c r="MJH12" s="4"/>
      <c r="MJI12" s="65"/>
      <c r="MJJ12" s="4"/>
      <c r="MJK12" s="4"/>
      <c r="MJL12" s="4"/>
      <c r="MJO12" s="34"/>
      <c r="MJP12" s="34"/>
      <c r="MJR12" s="34"/>
      <c r="MJS12" s="72"/>
      <c r="MJT12" s="63"/>
      <c r="MJU12" s="34"/>
      <c r="MJV12" s="64"/>
      <c r="MJW12" s="4"/>
      <c r="MJX12" s="65"/>
      <c r="MJY12" s="4"/>
      <c r="MJZ12" s="4"/>
      <c r="MKA12" s="4"/>
      <c r="MKD12" s="34"/>
      <c r="MKE12" s="34"/>
      <c r="MKG12" s="34"/>
      <c r="MKH12" s="72"/>
      <c r="MKI12" s="63"/>
      <c r="MKJ12" s="34"/>
      <c r="MKK12" s="64"/>
      <c r="MKL12" s="4"/>
      <c r="MKM12" s="65"/>
      <c r="MKN12" s="4"/>
      <c r="MKO12" s="4"/>
      <c r="MKP12" s="4"/>
      <c r="MKS12" s="34"/>
      <c r="MKT12" s="34"/>
      <c r="MKV12" s="34"/>
      <c r="MKW12" s="72"/>
      <c r="MKX12" s="63"/>
      <c r="MKY12" s="34"/>
      <c r="MKZ12" s="64"/>
      <c r="MLA12" s="4"/>
      <c r="MLB12" s="65"/>
      <c r="MLC12" s="4"/>
      <c r="MLD12" s="4"/>
      <c r="MLE12" s="4"/>
      <c r="MLH12" s="34"/>
      <c r="MLI12" s="34"/>
      <c r="MLK12" s="34"/>
      <c r="MLL12" s="72"/>
      <c r="MLM12" s="63"/>
      <c r="MLN12" s="34"/>
      <c r="MLO12" s="64"/>
      <c r="MLP12" s="4"/>
      <c r="MLQ12" s="65"/>
      <c r="MLR12" s="4"/>
      <c r="MLS12" s="4"/>
      <c r="MLT12" s="4"/>
      <c r="MLW12" s="34"/>
      <c r="MLX12" s="34"/>
      <c r="MLZ12" s="34"/>
      <c r="MMA12" s="72"/>
      <c r="MMB12" s="63"/>
      <c r="MMC12" s="34"/>
      <c r="MMD12" s="64"/>
      <c r="MME12" s="4"/>
      <c r="MMF12" s="65"/>
      <c r="MMG12" s="4"/>
      <c r="MMH12" s="4"/>
      <c r="MMI12" s="4"/>
      <c r="MML12" s="34"/>
      <c r="MMM12" s="34"/>
      <c r="MMO12" s="34"/>
      <c r="MMP12" s="72"/>
      <c r="MMQ12" s="63"/>
      <c r="MMR12" s="34"/>
      <c r="MMS12" s="64"/>
      <c r="MMT12" s="4"/>
      <c r="MMU12" s="65"/>
      <c r="MMV12" s="4"/>
      <c r="MMW12" s="4"/>
      <c r="MMX12" s="4"/>
      <c r="MNA12" s="34"/>
      <c r="MNB12" s="34"/>
      <c r="MND12" s="34"/>
      <c r="MNE12" s="72"/>
      <c r="MNF12" s="63"/>
      <c r="MNG12" s="34"/>
      <c r="MNH12" s="64"/>
      <c r="MNI12" s="4"/>
      <c r="MNJ12" s="65"/>
      <c r="MNK12" s="4"/>
      <c r="MNL12" s="4"/>
      <c r="MNM12" s="4"/>
      <c r="MNP12" s="34"/>
      <c r="MNQ12" s="34"/>
      <c r="MNS12" s="34"/>
      <c r="MNT12" s="72"/>
      <c r="MNU12" s="63"/>
      <c r="MNV12" s="34"/>
      <c r="MNW12" s="64"/>
      <c r="MNX12" s="4"/>
      <c r="MNY12" s="65"/>
      <c r="MNZ12" s="4"/>
      <c r="MOA12" s="4"/>
      <c r="MOB12" s="4"/>
      <c r="MOE12" s="34"/>
      <c r="MOF12" s="34"/>
      <c r="MOH12" s="34"/>
      <c r="MOI12" s="72"/>
      <c r="MOJ12" s="63"/>
      <c r="MOK12" s="34"/>
      <c r="MOL12" s="64"/>
      <c r="MOM12" s="4"/>
      <c r="MON12" s="65"/>
      <c r="MOO12" s="4"/>
      <c r="MOP12" s="4"/>
      <c r="MOQ12" s="4"/>
      <c r="MOT12" s="34"/>
      <c r="MOU12" s="34"/>
      <c r="MOW12" s="34"/>
      <c r="MOX12" s="72"/>
      <c r="MOY12" s="63"/>
      <c r="MOZ12" s="34"/>
      <c r="MPA12" s="64"/>
      <c r="MPB12" s="4"/>
      <c r="MPC12" s="65"/>
      <c r="MPD12" s="4"/>
      <c r="MPE12" s="4"/>
      <c r="MPF12" s="4"/>
      <c r="MPI12" s="34"/>
      <c r="MPJ12" s="34"/>
      <c r="MPL12" s="34"/>
      <c r="MPM12" s="72"/>
      <c r="MPN12" s="63"/>
      <c r="MPO12" s="34"/>
      <c r="MPP12" s="64"/>
      <c r="MPQ12" s="4"/>
      <c r="MPR12" s="65"/>
      <c r="MPS12" s="4"/>
      <c r="MPT12" s="4"/>
      <c r="MPU12" s="4"/>
      <c r="MPX12" s="34"/>
      <c r="MPY12" s="34"/>
      <c r="MQA12" s="34"/>
      <c r="MQB12" s="72"/>
      <c r="MQC12" s="63"/>
      <c r="MQD12" s="34"/>
      <c r="MQE12" s="64"/>
      <c r="MQF12" s="4"/>
      <c r="MQG12" s="65"/>
      <c r="MQH12" s="4"/>
      <c r="MQI12" s="4"/>
      <c r="MQJ12" s="4"/>
      <c r="MQM12" s="34"/>
      <c r="MQN12" s="34"/>
      <c r="MQP12" s="34"/>
      <c r="MQQ12" s="72"/>
      <c r="MQR12" s="63"/>
      <c r="MQS12" s="34"/>
      <c r="MQT12" s="64"/>
      <c r="MQU12" s="4"/>
      <c r="MQV12" s="65"/>
      <c r="MQW12" s="4"/>
      <c r="MQX12" s="4"/>
      <c r="MQY12" s="4"/>
      <c r="MRB12" s="34"/>
      <c r="MRC12" s="34"/>
      <c r="MRE12" s="34"/>
      <c r="MRF12" s="72"/>
      <c r="MRG12" s="63"/>
      <c r="MRH12" s="34"/>
      <c r="MRI12" s="64"/>
      <c r="MRJ12" s="4"/>
      <c r="MRK12" s="65"/>
      <c r="MRL12" s="4"/>
      <c r="MRM12" s="4"/>
      <c r="MRN12" s="4"/>
      <c r="MRQ12" s="34"/>
      <c r="MRR12" s="34"/>
      <c r="MRT12" s="34"/>
      <c r="MRU12" s="72"/>
      <c r="MRV12" s="63"/>
      <c r="MRW12" s="34"/>
      <c r="MRX12" s="64"/>
      <c r="MRY12" s="4"/>
      <c r="MRZ12" s="65"/>
      <c r="MSA12" s="4"/>
      <c r="MSB12" s="4"/>
      <c r="MSC12" s="4"/>
      <c r="MSF12" s="34"/>
      <c r="MSG12" s="34"/>
      <c r="MSI12" s="34"/>
      <c r="MSJ12" s="72"/>
      <c r="MSK12" s="63"/>
      <c r="MSL12" s="34"/>
      <c r="MSM12" s="64"/>
      <c r="MSN12" s="4"/>
      <c r="MSO12" s="65"/>
      <c r="MSP12" s="4"/>
      <c r="MSQ12" s="4"/>
      <c r="MSR12" s="4"/>
      <c r="MSU12" s="34"/>
      <c r="MSV12" s="34"/>
      <c r="MSX12" s="34"/>
      <c r="MSY12" s="72"/>
      <c r="MSZ12" s="63"/>
      <c r="MTA12" s="34"/>
      <c r="MTB12" s="64"/>
      <c r="MTC12" s="4"/>
      <c r="MTD12" s="65"/>
      <c r="MTE12" s="4"/>
      <c r="MTF12" s="4"/>
      <c r="MTG12" s="4"/>
      <c r="MTJ12" s="34"/>
      <c r="MTK12" s="34"/>
      <c r="MTM12" s="34"/>
      <c r="MTN12" s="72"/>
      <c r="MTO12" s="63"/>
      <c r="MTP12" s="34"/>
      <c r="MTQ12" s="64"/>
      <c r="MTR12" s="4"/>
      <c r="MTS12" s="65"/>
      <c r="MTT12" s="4"/>
      <c r="MTU12" s="4"/>
      <c r="MTV12" s="4"/>
      <c r="MTY12" s="34"/>
      <c r="MTZ12" s="34"/>
      <c r="MUB12" s="34"/>
      <c r="MUC12" s="72"/>
      <c r="MUD12" s="63"/>
      <c r="MUE12" s="34"/>
      <c r="MUF12" s="64"/>
      <c r="MUG12" s="4"/>
      <c r="MUH12" s="65"/>
      <c r="MUI12" s="4"/>
      <c r="MUJ12" s="4"/>
      <c r="MUK12" s="4"/>
      <c r="MUN12" s="34"/>
      <c r="MUO12" s="34"/>
      <c r="MUQ12" s="34"/>
      <c r="MUR12" s="72"/>
      <c r="MUS12" s="63"/>
      <c r="MUT12" s="34"/>
      <c r="MUU12" s="64"/>
      <c r="MUV12" s="4"/>
      <c r="MUW12" s="65"/>
      <c r="MUX12" s="4"/>
      <c r="MUY12" s="4"/>
      <c r="MUZ12" s="4"/>
      <c r="MVC12" s="34"/>
      <c r="MVD12" s="34"/>
      <c r="MVF12" s="34"/>
      <c r="MVG12" s="72"/>
      <c r="MVH12" s="63"/>
      <c r="MVI12" s="34"/>
      <c r="MVJ12" s="64"/>
      <c r="MVK12" s="4"/>
      <c r="MVL12" s="65"/>
      <c r="MVM12" s="4"/>
      <c r="MVN12" s="4"/>
      <c r="MVO12" s="4"/>
      <c r="MVR12" s="34"/>
      <c r="MVS12" s="34"/>
      <c r="MVU12" s="34"/>
      <c r="MVV12" s="72"/>
      <c r="MVW12" s="63"/>
      <c r="MVX12" s="34"/>
      <c r="MVY12" s="64"/>
      <c r="MVZ12" s="4"/>
      <c r="MWA12" s="65"/>
      <c r="MWB12" s="4"/>
      <c r="MWC12" s="4"/>
      <c r="MWD12" s="4"/>
      <c r="MWG12" s="34"/>
      <c r="MWH12" s="34"/>
      <c r="MWJ12" s="34"/>
      <c r="MWK12" s="72"/>
      <c r="MWL12" s="63"/>
      <c r="MWM12" s="34"/>
      <c r="MWN12" s="64"/>
      <c r="MWO12" s="4"/>
      <c r="MWP12" s="65"/>
      <c r="MWQ12" s="4"/>
      <c r="MWR12" s="4"/>
      <c r="MWS12" s="4"/>
      <c r="MWV12" s="34"/>
      <c r="MWW12" s="34"/>
      <c r="MWY12" s="34"/>
      <c r="MWZ12" s="72"/>
      <c r="MXA12" s="63"/>
      <c r="MXB12" s="34"/>
      <c r="MXC12" s="64"/>
      <c r="MXD12" s="4"/>
      <c r="MXE12" s="65"/>
      <c r="MXF12" s="4"/>
      <c r="MXG12" s="4"/>
      <c r="MXH12" s="4"/>
      <c r="MXK12" s="34"/>
      <c r="MXL12" s="34"/>
      <c r="MXN12" s="34"/>
      <c r="MXO12" s="72"/>
      <c r="MXP12" s="63"/>
      <c r="MXQ12" s="34"/>
      <c r="MXR12" s="64"/>
      <c r="MXS12" s="4"/>
      <c r="MXT12" s="65"/>
      <c r="MXU12" s="4"/>
      <c r="MXV12" s="4"/>
      <c r="MXW12" s="4"/>
      <c r="MXZ12" s="34"/>
      <c r="MYA12" s="34"/>
      <c r="MYC12" s="34"/>
      <c r="MYD12" s="72"/>
      <c r="MYE12" s="63"/>
      <c r="MYF12" s="34"/>
      <c r="MYG12" s="64"/>
      <c r="MYH12" s="4"/>
      <c r="MYI12" s="65"/>
      <c r="MYJ12" s="4"/>
      <c r="MYK12" s="4"/>
      <c r="MYL12" s="4"/>
      <c r="MYO12" s="34"/>
      <c r="MYP12" s="34"/>
      <c r="MYR12" s="34"/>
      <c r="MYS12" s="72"/>
      <c r="MYT12" s="63"/>
      <c r="MYU12" s="34"/>
      <c r="MYV12" s="64"/>
      <c r="MYW12" s="4"/>
      <c r="MYX12" s="65"/>
      <c r="MYY12" s="4"/>
      <c r="MYZ12" s="4"/>
      <c r="MZA12" s="4"/>
      <c r="MZD12" s="34"/>
      <c r="MZE12" s="34"/>
      <c r="MZG12" s="34"/>
      <c r="MZH12" s="72"/>
      <c r="MZI12" s="63"/>
      <c r="MZJ12" s="34"/>
      <c r="MZK12" s="64"/>
      <c r="MZL12" s="4"/>
      <c r="MZM12" s="65"/>
      <c r="MZN12" s="4"/>
      <c r="MZO12" s="4"/>
      <c r="MZP12" s="4"/>
      <c r="MZS12" s="34"/>
      <c r="MZT12" s="34"/>
      <c r="MZV12" s="34"/>
      <c r="MZW12" s="72"/>
      <c r="MZX12" s="63"/>
      <c r="MZY12" s="34"/>
      <c r="MZZ12" s="64"/>
      <c r="NAA12" s="4"/>
      <c r="NAB12" s="65"/>
      <c r="NAC12" s="4"/>
      <c r="NAD12" s="4"/>
      <c r="NAE12" s="4"/>
      <c r="NAH12" s="34"/>
      <c r="NAI12" s="34"/>
      <c r="NAK12" s="34"/>
      <c r="NAL12" s="72"/>
      <c r="NAM12" s="63"/>
      <c r="NAN12" s="34"/>
      <c r="NAO12" s="64"/>
      <c r="NAP12" s="4"/>
      <c r="NAQ12" s="65"/>
      <c r="NAR12" s="4"/>
      <c r="NAS12" s="4"/>
      <c r="NAT12" s="4"/>
      <c r="NAW12" s="34"/>
      <c r="NAX12" s="34"/>
      <c r="NAZ12" s="34"/>
      <c r="NBA12" s="72"/>
      <c r="NBB12" s="63"/>
      <c r="NBC12" s="34"/>
      <c r="NBD12" s="64"/>
      <c r="NBE12" s="4"/>
      <c r="NBF12" s="65"/>
      <c r="NBG12" s="4"/>
      <c r="NBH12" s="4"/>
      <c r="NBI12" s="4"/>
      <c r="NBL12" s="34"/>
      <c r="NBM12" s="34"/>
      <c r="NBO12" s="34"/>
      <c r="NBP12" s="72"/>
      <c r="NBQ12" s="63"/>
      <c r="NBR12" s="34"/>
      <c r="NBS12" s="64"/>
      <c r="NBT12" s="4"/>
      <c r="NBU12" s="65"/>
      <c r="NBV12" s="4"/>
      <c r="NBW12" s="4"/>
      <c r="NBX12" s="4"/>
      <c r="NCA12" s="34"/>
      <c r="NCB12" s="34"/>
      <c r="NCD12" s="34"/>
      <c r="NCE12" s="72"/>
      <c r="NCF12" s="63"/>
      <c r="NCG12" s="34"/>
      <c r="NCH12" s="64"/>
      <c r="NCI12" s="4"/>
      <c r="NCJ12" s="65"/>
      <c r="NCK12" s="4"/>
      <c r="NCL12" s="4"/>
      <c r="NCM12" s="4"/>
      <c r="NCP12" s="34"/>
      <c r="NCQ12" s="34"/>
      <c r="NCS12" s="34"/>
      <c r="NCT12" s="72"/>
      <c r="NCU12" s="63"/>
      <c r="NCV12" s="34"/>
      <c r="NCW12" s="64"/>
      <c r="NCX12" s="4"/>
      <c r="NCY12" s="65"/>
      <c r="NCZ12" s="4"/>
      <c r="NDA12" s="4"/>
      <c r="NDB12" s="4"/>
      <c r="NDE12" s="34"/>
      <c r="NDF12" s="34"/>
      <c r="NDH12" s="34"/>
      <c r="NDI12" s="72"/>
      <c r="NDJ12" s="63"/>
      <c r="NDK12" s="34"/>
      <c r="NDL12" s="64"/>
      <c r="NDM12" s="4"/>
      <c r="NDN12" s="65"/>
      <c r="NDO12" s="4"/>
      <c r="NDP12" s="4"/>
      <c r="NDQ12" s="4"/>
      <c r="NDT12" s="34"/>
      <c r="NDU12" s="34"/>
      <c r="NDW12" s="34"/>
      <c r="NDX12" s="72"/>
      <c r="NDY12" s="63"/>
      <c r="NDZ12" s="34"/>
      <c r="NEA12" s="64"/>
      <c r="NEB12" s="4"/>
      <c r="NEC12" s="65"/>
      <c r="NED12" s="4"/>
      <c r="NEE12" s="4"/>
      <c r="NEF12" s="4"/>
      <c r="NEI12" s="34"/>
      <c r="NEJ12" s="34"/>
      <c r="NEL12" s="34"/>
      <c r="NEM12" s="72"/>
      <c r="NEN12" s="63"/>
      <c r="NEO12" s="34"/>
      <c r="NEP12" s="64"/>
      <c r="NEQ12" s="4"/>
      <c r="NER12" s="65"/>
      <c r="NES12" s="4"/>
      <c r="NET12" s="4"/>
      <c r="NEU12" s="4"/>
      <c r="NEX12" s="34"/>
      <c r="NEY12" s="34"/>
      <c r="NFA12" s="34"/>
      <c r="NFB12" s="72"/>
      <c r="NFC12" s="63"/>
      <c r="NFD12" s="34"/>
      <c r="NFE12" s="64"/>
      <c r="NFF12" s="4"/>
      <c r="NFG12" s="65"/>
      <c r="NFH12" s="4"/>
      <c r="NFI12" s="4"/>
      <c r="NFJ12" s="4"/>
      <c r="NFM12" s="34"/>
      <c r="NFN12" s="34"/>
      <c r="NFP12" s="34"/>
      <c r="NFQ12" s="72"/>
      <c r="NFR12" s="63"/>
      <c r="NFS12" s="34"/>
      <c r="NFT12" s="64"/>
      <c r="NFU12" s="4"/>
      <c r="NFV12" s="65"/>
      <c r="NFW12" s="4"/>
      <c r="NFX12" s="4"/>
      <c r="NFY12" s="4"/>
      <c r="NGB12" s="34"/>
      <c r="NGC12" s="34"/>
      <c r="NGE12" s="34"/>
      <c r="NGF12" s="72"/>
      <c r="NGG12" s="63"/>
      <c r="NGH12" s="34"/>
      <c r="NGI12" s="64"/>
      <c r="NGJ12" s="4"/>
      <c r="NGK12" s="65"/>
      <c r="NGL12" s="4"/>
      <c r="NGM12" s="4"/>
      <c r="NGN12" s="4"/>
      <c r="NGQ12" s="34"/>
      <c r="NGR12" s="34"/>
      <c r="NGT12" s="34"/>
      <c r="NGU12" s="72"/>
      <c r="NGV12" s="63"/>
      <c r="NGW12" s="34"/>
      <c r="NGX12" s="64"/>
      <c r="NGY12" s="4"/>
      <c r="NGZ12" s="65"/>
      <c r="NHA12" s="4"/>
      <c r="NHB12" s="4"/>
      <c r="NHC12" s="4"/>
      <c r="NHF12" s="34"/>
      <c r="NHG12" s="34"/>
      <c r="NHI12" s="34"/>
      <c r="NHJ12" s="72"/>
      <c r="NHK12" s="63"/>
      <c r="NHL12" s="34"/>
      <c r="NHM12" s="64"/>
      <c r="NHN12" s="4"/>
      <c r="NHO12" s="65"/>
      <c r="NHP12" s="4"/>
      <c r="NHQ12" s="4"/>
      <c r="NHR12" s="4"/>
      <c r="NHU12" s="34"/>
      <c r="NHV12" s="34"/>
      <c r="NHX12" s="34"/>
      <c r="NHY12" s="72"/>
      <c r="NHZ12" s="63"/>
      <c r="NIA12" s="34"/>
      <c r="NIB12" s="64"/>
      <c r="NIC12" s="4"/>
      <c r="NID12" s="65"/>
      <c r="NIE12" s="4"/>
      <c r="NIF12" s="4"/>
      <c r="NIG12" s="4"/>
      <c r="NIJ12" s="34"/>
      <c r="NIK12" s="34"/>
      <c r="NIM12" s="34"/>
      <c r="NIN12" s="72"/>
      <c r="NIO12" s="63"/>
      <c r="NIP12" s="34"/>
      <c r="NIQ12" s="64"/>
      <c r="NIR12" s="4"/>
      <c r="NIS12" s="65"/>
      <c r="NIT12" s="4"/>
      <c r="NIU12" s="4"/>
      <c r="NIV12" s="4"/>
      <c r="NIY12" s="34"/>
      <c r="NIZ12" s="34"/>
      <c r="NJB12" s="34"/>
      <c r="NJC12" s="72"/>
      <c r="NJD12" s="63"/>
      <c r="NJE12" s="34"/>
      <c r="NJF12" s="64"/>
      <c r="NJG12" s="4"/>
      <c r="NJH12" s="65"/>
      <c r="NJI12" s="4"/>
      <c r="NJJ12" s="4"/>
      <c r="NJK12" s="4"/>
      <c r="NJN12" s="34"/>
      <c r="NJO12" s="34"/>
      <c r="NJQ12" s="34"/>
      <c r="NJR12" s="72"/>
      <c r="NJS12" s="63"/>
      <c r="NJT12" s="34"/>
      <c r="NJU12" s="64"/>
      <c r="NJV12" s="4"/>
      <c r="NJW12" s="65"/>
      <c r="NJX12" s="4"/>
      <c r="NJY12" s="4"/>
      <c r="NJZ12" s="4"/>
      <c r="NKC12" s="34"/>
      <c r="NKD12" s="34"/>
      <c r="NKF12" s="34"/>
      <c r="NKG12" s="72"/>
      <c r="NKH12" s="63"/>
      <c r="NKI12" s="34"/>
      <c r="NKJ12" s="64"/>
      <c r="NKK12" s="4"/>
      <c r="NKL12" s="65"/>
      <c r="NKM12" s="4"/>
      <c r="NKN12" s="4"/>
      <c r="NKO12" s="4"/>
      <c r="NKR12" s="34"/>
      <c r="NKS12" s="34"/>
      <c r="NKU12" s="34"/>
      <c r="NKV12" s="72"/>
      <c r="NKW12" s="63"/>
      <c r="NKX12" s="34"/>
      <c r="NKY12" s="64"/>
      <c r="NKZ12" s="4"/>
      <c r="NLA12" s="65"/>
      <c r="NLB12" s="4"/>
      <c r="NLC12" s="4"/>
      <c r="NLD12" s="4"/>
      <c r="NLG12" s="34"/>
      <c r="NLH12" s="34"/>
      <c r="NLJ12" s="34"/>
      <c r="NLK12" s="72"/>
      <c r="NLL12" s="63"/>
      <c r="NLM12" s="34"/>
      <c r="NLN12" s="64"/>
      <c r="NLO12" s="4"/>
      <c r="NLP12" s="65"/>
      <c r="NLQ12" s="4"/>
      <c r="NLR12" s="4"/>
      <c r="NLS12" s="4"/>
      <c r="NLV12" s="34"/>
      <c r="NLW12" s="34"/>
      <c r="NLY12" s="34"/>
      <c r="NLZ12" s="72"/>
      <c r="NMA12" s="63"/>
      <c r="NMB12" s="34"/>
      <c r="NMC12" s="64"/>
      <c r="NMD12" s="4"/>
      <c r="NME12" s="65"/>
      <c r="NMF12" s="4"/>
      <c r="NMG12" s="4"/>
      <c r="NMH12" s="4"/>
      <c r="NMK12" s="34"/>
      <c r="NML12" s="34"/>
      <c r="NMN12" s="34"/>
      <c r="NMO12" s="72"/>
      <c r="NMP12" s="63"/>
      <c r="NMQ12" s="34"/>
      <c r="NMR12" s="64"/>
      <c r="NMS12" s="4"/>
      <c r="NMT12" s="65"/>
      <c r="NMU12" s="4"/>
      <c r="NMV12" s="4"/>
      <c r="NMW12" s="4"/>
      <c r="NMZ12" s="34"/>
      <c r="NNA12" s="34"/>
      <c r="NNC12" s="34"/>
      <c r="NND12" s="72"/>
      <c r="NNE12" s="63"/>
      <c r="NNF12" s="34"/>
      <c r="NNG12" s="64"/>
      <c r="NNH12" s="4"/>
      <c r="NNI12" s="65"/>
      <c r="NNJ12" s="4"/>
      <c r="NNK12" s="4"/>
      <c r="NNL12" s="4"/>
      <c r="NNO12" s="34"/>
      <c r="NNP12" s="34"/>
      <c r="NNR12" s="34"/>
      <c r="NNS12" s="72"/>
      <c r="NNT12" s="63"/>
      <c r="NNU12" s="34"/>
      <c r="NNV12" s="64"/>
      <c r="NNW12" s="4"/>
      <c r="NNX12" s="65"/>
      <c r="NNY12" s="4"/>
      <c r="NNZ12" s="4"/>
      <c r="NOA12" s="4"/>
      <c r="NOD12" s="34"/>
      <c r="NOE12" s="34"/>
      <c r="NOG12" s="34"/>
      <c r="NOH12" s="72"/>
      <c r="NOI12" s="63"/>
      <c r="NOJ12" s="34"/>
      <c r="NOK12" s="64"/>
      <c r="NOL12" s="4"/>
      <c r="NOM12" s="65"/>
      <c r="NON12" s="4"/>
      <c r="NOO12" s="4"/>
      <c r="NOP12" s="4"/>
      <c r="NOS12" s="34"/>
      <c r="NOT12" s="34"/>
      <c r="NOV12" s="34"/>
      <c r="NOW12" s="72"/>
      <c r="NOX12" s="63"/>
      <c r="NOY12" s="34"/>
      <c r="NOZ12" s="64"/>
      <c r="NPA12" s="4"/>
      <c r="NPB12" s="65"/>
      <c r="NPC12" s="4"/>
      <c r="NPD12" s="4"/>
      <c r="NPE12" s="4"/>
      <c r="NPH12" s="34"/>
      <c r="NPI12" s="34"/>
      <c r="NPK12" s="34"/>
      <c r="NPL12" s="72"/>
      <c r="NPM12" s="63"/>
      <c r="NPN12" s="34"/>
      <c r="NPO12" s="64"/>
      <c r="NPP12" s="4"/>
      <c r="NPQ12" s="65"/>
      <c r="NPR12" s="4"/>
      <c r="NPS12" s="4"/>
      <c r="NPT12" s="4"/>
      <c r="NPW12" s="34"/>
      <c r="NPX12" s="34"/>
      <c r="NPZ12" s="34"/>
      <c r="NQA12" s="72"/>
      <c r="NQB12" s="63"/>
      <c r="NQC12" s="34"/>
      <c r="NQD12" s="64"/>
      <c r="NQE12" s="4"/>
      <c r="NQF12" s="65"/>
      <c r="NQG12" s="4"/>
      <c r="NQH12" s="4"/>
      <c r="NQI12" s="4"/>
      <c r="NQL12" s="34"/>
      <c r="NQM12" s="34"/>
      <c r="NQO12" s="34"/>
      <c r="NQP12" s="72"/>
      <c r="NQQ12" s="63"/>
      <c r="NQR12" s="34"/>
      <c r="NQS12" s="64"/>
      <c r="NQT12" s="4"/>
      <c r="NQU12" s="65"/>
      <c r="NQV12" s="4"/>
      <c r="NQW12" s="4"/>
      <c r="NQX12" s="4"/>
      <c r="NRA12" s="34"/>
      <c r="NRB12" s="34"/>
      <c r="NRD12" s="34"/>
      <c r="NRE12" s="72"/>
      <c r="NRF12" s="63"/>
      <c r="NRG12" s="34"/>
      <c r="NRH12" s="64"/>
      <c r="NRI12" s="4"/>
      <c r="NRJ12" s="65"/>
      <c r="NRK12" s="4"/>
      <c r="NRL12" s="4"/>
      <c r="NRM12" s="4"/>
      <c r="NRP12" s="34"/>
      <c r="NRQ12" s="34"/>
      <c r="NRS12" s="34"/>
      <c r="NRT12" s="72"/>
      <c r="NRU12" s="63"/>
      <c r="NRV12" s="34"/>
      <c r="NRW12" s="64"/>
      <c r="NRX12" s="4"/>
      <c r="NRY12" s="65"/>
      <c r="NRZ12" s="4"/>
      <c r="NSA12" s="4"/>
      <c r="NSB12" s="4"/>
      <c r="NSE12" s="34"/>
      <c r="NSF12" s="34"/>
      <c r="NSH12" s="34"/>
      <c r="NSI12" s="72"/>
      <c r="NSJ12" s="63"/>
      <c r="NSK12" s="34"/>
      <c r="NSL12" s="64"/>
      <c r="NSM12" s="4"/>
      <c r="NSN12" s="65"/>
      <c r="NSO12" s="4"/>
      <c r="NSP12" s="4"/>
      <c r="NSQ12" s="4"/>
      <c r="NST12" s="34"/>
      <c r="NSU12" s="34"/>
      <c r="NSW12" s="34"/>
      <c r="NSX12" s="72"/>
      <c r="NSY12" s="63"/>
      <c r="NSZ12" s="34"/>
      <c r="NTA12" s="64"/>
      <c r="NTB12" s="4"/>
      <c r="NTC12" s="65"/>
      <c r="NTD12" s="4"/>
      <c r="NTE12" s="4"/>
      <c r="NTF12" s="4"/>
      <c r="NTI12" s="34"/>
      <c r="NTJ12" s="34"/>
      <c r="NTL12" s="34"/>
      <c r="NTM12" s="72"/>
      <c r="NTN12" s="63"/>
      <c r="NTO12" s="34"/>
      <c r="NTP12" s="64"/>
      <c r="NTQ12" s="4"/>
      <c r="NTR12" s="65"/>
      <c r="NTS12" s="4"/>
      <c r="NTT12" s="4"/>
      <c r="NTU12" s="4"/>
      <c r="NTX12" s="34"/>
      <c r="NTY12" s="34"/>
      <c r="NUA12" s="34"/>
      <c r="NUB12" s="72"/>
      <c r="NUC12" s="63"/>
      <c r="NUD12" s="34"/>
      <c r="NUE12" s="64"/>
      <c r="NUF12" s="4"/>
      <c r="NUG12" s="65"/>
      <c r="NUH12" s="4"/>
      <c r="NUI12" s="4"/>
      <c r="NUJ12" s="4"/>
      <c r="NUM12" s="34"/>
      <c r="NUN12" s="34"/>
      <c r="NUP12" s="34"/>
      <c r="NUQ12" s="72"/>
      <c r="NUR12" s="63"/>
      <c r="NUS12" s="34"/>
      <c r="NUT12" s="64"/>
      <c r="NUU12" s="4"/>
      <c r="NUV12" s="65"/>
      <c r="NUW12" s="4"/>
      <c r="NUX12" s="4"/>
      <c r="NUY12" s="4"/>
      <c r="NVB12" s="34"/>
      <c r="NVC12" s="34"/>
      <c r="NVE12" s="34"/>
      <c r="NVF12" s="72"/>
      <c r="NVG12" s="63"/>
      <c r="NVH12" s="34"/>
      <c r="NVI12" s="64"/>
      <c r="NVJ12" s="4"/>
      <c r="NVK12" s="65"/>
      <c r="NVL12" s="4"/>
      <c r="NVM12" s="4"/>
      <c r="NVN12" s="4"/>
      <c r="NVQ12" s="34"/>
      <c r="NVR12" s="34"/>
      <c r="NVT12" s="34"/>
      <c r="NVU12" s="72"/>
      <c r="NVV12" s="63"/>
      <c r="NVW12" s="34"/>
      <c r="NVX12" s="64"/>
      <c r="NVY12" s="4"/>
      <c r="NVZ12" s="65"/>
      <c r="NWA12" s="4"/>
      <c r="NWB12" s="4"/>
      <c r="NWC12" s="4"/>
      <c r="NWF12" s="34"/>
      <c r="NWG12" s="34"/>
      <c r="NWI12" s="34"/>
      <c r="NWJ12" s="72"/>
      <c r="NWK12" s="63"/>
      <c r="NWL12" s="34"/>
      <c r="NWM12" s="64"/>
      <c r="NWN12" s="4"/>
      <c r="NWO12" s="65"/>
      <c r="NWP12" s="4"/>
      <c r="NWQ12" s="4"/>
      <c r="NWR12" s="4"/>
      <c r="NWU12" s="34"/>
      <c r="NWV12" s="34"/>
      <c r="NWX12" s="34"/>
      <c r="NWY12" s="72"/>
      <c r="NWZ12" s="63"/>
      <c r="NXA12" s="34"/>
      <c r="NXB12" s="64"/>
      <c r="NXC12" s="4"/>
      <c r="NXD12" s="65"/>
      <c r="NXE12" s="4"/>
      <c r="NXF12" s="4"/>
      <c r="NXG12" s="4"/>
      <c r="NXJ12" s="34"/>
      <c r="NXK12" s="34"/>
      <c r="NXM12" s="34"/>
      <c r="NXN12" s="72"/>
      <c r="NXO12" s="63"/>
      <c r="NXP12" s="34"/>
      <c r="NXQ12" s="64"/>
      <c r="NXR12" s="4"/>
      <c r="NXS12" s="65"/>
      <c r="NXT12" s="4"/>
      <c r="NXU12" s="4"/>
      <c r="NXV12" s="4"/>
      <c r="NXY12" s="34"/>
      <c r="NXZ12" s="34"/>
      <c r="NYB12" s="34"/>
      <c r="NYC12" s="72"/>
      <c r="NYD12" s="63"/>
      <c r="NYE12" s="34"/>
      <c r="NYF12" s="64"/>
      <c r="NYG12" s="4"/>
      <c r="NYH12" s="65"/>
      <c r="NYI12" s="4"/>
      <c r="NYJ12" s="4"/>
      <c r="NYK12" s="4"/>
      <c r="NYN12" s="34"/>
      <c r="NYO12" s="34"/>
      <c r="NYQ12" s="34"/>
      <c r="NYR12" s="72"/>
      <c r="NYS12" s="63"/>
      <c r="NYT12" s="34"/>
      <c r="NYU12" s="64"/>
      <c r="NYV12" s="4"/>
      <c r="NYW12" s="65"/>
      <c r="NYX12" s="4"/>
      <c r="NYY12" s="4"/>
      <c r="NYZ12" s="4"/>
      <c r="NZC12" s="34"/>
      <c r="NZD12" s="34"/>
      <c r="NZF12" s="34"/>
      <c r="NZG12" s="72"/>
      <c r="NZH12" s="63"/>
      <c r="NZI12" s="34"/>
      <c r="NZJ12" s="64"/>
      <c r="NZK12" s="4"/>
      <c r="NZL12" s="65"/>
      <c r="NZM12" s="4"/>
      <c r="NZN12" s="4"/>
      <c r="NZO12" s="4"/>
      <c r="NZR12" s="34"/>
      <c r="NZS12" s="34"/>
      <c r="NZU12" s="34"/>
      <c r="NZV12" s="72"/>
      <c r="NZW12" s="63"/>
      <c r="NZX12" s="34"/>
      <c r="NZY12" s="64"/>
      <c r="NZZ12" s="4"/>
      <c r="OAA12" s="65"/>
      <c r="OAB12" s="4"/>
      <c r="OAC12" s="4"/>
      <c r="OAD12" s="4"/>
      <c r="OAG12" s="34"/>
      <c r="OAH12" s="34"/>
      <c r="OAJ12" s="34"/>
      <c r="OAK12" s="72"/>
      <c r="OAL12" s="63"/>
      <c r="OAM12" s="34"/>
      <c r="OAN12" s="64"/>
      <c r="OAO12" s="4"/>
      <c r="OAP12" s="65"/>
      <c r="OAQ12" s="4"/>
      <c r="OAR12" s="4"/>
      <c r="OAS12" s="4"/>
      <c r="OAV12" s="34"/>
      <c r="OAW12" s="34"/>
      <c r="OAY12" s="34"/>
      <c r="OAZ12" s="72"/>
      <c r="OBA12" s="63"/>
      <c r="OBB12" s="34"/>
      <c r="OBC12" s="64"/>
      <c r="OBD12" s="4"/>
      <c r="OBE12" s="65"/>
      <c r="OBF12" s="4"/>
      <c r="OBG12" s="4"/>
      <c r="OBH12" s="4"/>
      <c r="OBK12" s="34"/>
      <c r="OBL12" s="34"/>
      <c r="OBN12" s="34"/>
      <c r="OBO12" s="72"/>
      <c r="OBP12" s="63"/>
      <c r="OBQ12" s="34"/>
      <c r="OBR12" s="64"/>
      <c r="OBS12" s="4"/>
      <c r="OBT12" s="65"/>
      <c r="OBU12" s="4"/>
      <c r="OBV12" s="4"/>
      <c r="OBW12" s="4"/>
      <c r="OBZ12" s="34"/>
      <c r="OCA12" s="34"/>
      <c r="OCC12" s="34"/>
      <c r="OCD12" s="72"/>
      <c r="OCE12" s="63"/>
      <c r="OCF12" s="34"/>
      <c r="OCG12" s="64"/>
      <c r="OCH12" s="4"/>
      <c r="OCI12" s="65"/>
      <c r="OCJ12" s="4"/>
      <c r="OCK12" s="4"/>
      <c r="OCL12" s="4"/>
      <c r="OCO12" s="34"/>
      <c r="OCP12" s="34"/>
      <c r="OCR12" s="34"/>
      <c r="OCS12" s="72"/>
      <c r="OCT12" s="63"/>
      <c r="OCU12" s="34"/>
      <c r="OCV12" s="64"/>
      <c r="OCW12" s="4"/>
      <c r="OCX12" s="65"/>
      <c r="OCY12" s="4"/>
      <c r="OCZ12" s="4"/>
      <c r="ODA12" s="4"/>
      <c r="ODD12" s="34"/>
      <c r="ODE12" s="34"/>
      <c r="ODG12" s="34"/>
      <c r="ODH12" s="72"/>
      <c r="ODI12" s="63"/>
      <c r="ODJ12" s="34"/>
      <c r="ODK12" s="64"/>
      <c r="ODL12" s="4"/>
      <c r="ODM12" s="65"/>
      <c r="ODN12" s="4"/>
      <c r="ODO12" s="4"/>
      <c r="ODP12" s="4"/>
      <c r="ODS12" s="34"/>
      <c r="ODT12" s="34"/>
      <c r="ODV12" s="34"/>
      <c r="ODW12" s="72"/>
      <c r="ODX12" s="63"/>
      <c r="ODY12" s="34"/>
      <c r="ODZ12" s="64"/>
      <c r="OEA12" s="4"/>
      <c r="OEB12" s="65"/>
      <c r="OEC12" s="4"/>
      <c r="OED12" s="4"/>
      <c r="OEE12" s="4"/>
      <c r="OEH12" s="34"/>
      <c r="OEI12" s="34"/>
      <c r="OEK12" s="34"/>
      <c r="OEL12" s="72"/>
      <c r="OEM12" s="63"/>
      <c r="OEN12" s="34"/>
      <c r="OEO12" s="64"/>
      <c r="OEP12" s="4"/>
      <c r="OEQ12" s="65"/>
      <c r="OER12" s="4"/>
      <c r="OES12" s="4"/>
      <c r="OET12" s="4"/>
      <c r="OEW12" s="34"/>
      <c r="OEX12" s="34"/>
      <c r="OEZ12" s="34"/>
      <c r="OFA12" s="72"/>
      <c r="OFB12" s="63"/>
      <c r="OFC12" s="34"/>
      <c r="OFD12" s="64"/>
      <c r="OFE12" s="4"/>
      <c r="OFF12" s="65"/>
      <c r="OFG12" s="4"/>
      <c r="OFH12" s="4"/>
      <c r="OFI12" s="4"/>
      <c r="OFL12" s="34"/>
      <c r="OFM12" s="34"/>
      <c r="OFO12" s="34"/>
      <c r="OFP12" s="72"/>
      <c r="OFQ12" s="63"/>
      <c r="OFR12" s="34"/>
      <c r="OFS12" s="64"/>
      <c r="OFT12" s="4"/>
      <c r="OFU12" s="65"/>
      <c r="OFV12" s="4"/>
      <c r="OFW12" s="4"/>
      <c r="OFX12" s="4"/>
      <c r="OGA12" s="34"/>
      <c r="OGB12" s="34"/>
      <c r="OGD12" s="34"/>
      <c r="OGE12" s="72"/>
      <c r="OGF12" s="63"/>
      <c r="OGG12" s="34"/>
      <c r="OGH12" s="64"/>
      <c r="OGI12" s="4"/>
      <c r="OGJ12" s="65"/>
      <c r="OGK12" s="4"/>
      <c r="OGL12" s="4"/>
      <c r="OGM12" s="4"/>
      <c r="OGP12" s="34"/>
      <c r="OGQ12" s="34"/>
      <c r="OGS12" s="34"/>
      <c r="OGT12" s="72"/>
      <c r="OGU12" s="63"/>
      <c r="OGV12" s="34"/>
      <c r="OGW12" s="64"/>
      <c r="OGX12" s="4"/>
      <c r="OGY12" s="65"/>
      <c r="OGZ12" s="4"/>
      <c r="OHA12" s="4"/>
      <c r="OHB12" s="4"/>
      <c r="OHE12" s="34"/>
      <c r="OHF12" s="34"/>
      <c r="OHH12" s="34"/>
      <c r="OHI12" s="72"/>
      <c r="OHJ12" s="63"/>
      <c r="OHK12" s="34"/>
      <c r="OHL12" s="64"/>
      <c r="OHM12" s="4"/>
      <c r="OHN12" s="65"/>
      <c r="OHO12" s="4"/>
      <c r="OHP12" s="4"/>
      <c r="OHQ12" s="4"/>
      <c r="OHT12" s="34"/>
      <c r="OHU12" s="34"/>
      <c r="OHW12" s="34"/>
      <c r="OHX12" s="72"/>
      <c r="OHY12" s="63"/>
      <c r="OHZ12" s="34"/>
      <c r="OIA12" s="64"/>
      <c r="OIB12" s="4"/>
      <c r="OIC12" s="65"/>
      <c r="OID12" s="4"/>
      <c r="OIE12" s="4"/>
      <c r="OIF12" s="4"/>
      <c r="OII12" s="34"/>
      <c r="OIJ12" s="34"/>
      <c r="OIL12" s="34"/>
      <c r="OIM12" s="72"/>
      <c r="OIN12" s="63"/>
      <c r="OIO12" s="34"/>
      <c r="OIP12" s="64"/>
      <c r="OIQ12" s="4"/>
      <c r="OIR12" s="65"/>
      <c r="OIS12" s="4"/>
      <c r="OIT12" s="4"/>
      <c r="OIU12" s="4"/>
      <c r="OIX12" s="34"/>
      <c r="OIY12" s="34"/>
      <c r="OJA12" s="34"/>
      <c r="OJB12" s="72"/>
      <c r="OJC12" s="63"/>
      <c r="OJD12" s="34"/>
      <c r="OJE12" s="64"/>
      <c r="OJF12" s="4"/>
      <c r="OJG12" s="65"/>
      <c r="OJH12" s="4"/>
      <c r="OJI12" s="4"/>
      <c r="OJJ12" s="4"/>
      <c r="OJM12" s="34"/>
      <c r="OJN12" s="34"/>
      <c r="OJP12" s="34"/>
      <c r="OJQ12" s="72"/>
      <c r="OJR12" s="63"/>
      <c r="OJS12" s="34"/>
      <c r="OJT12" s="64"/>
      <c r="OJU12" s="4"/>
      <c r="OJV12" s="65"/>
      <c r="OJW12" s="4"/>
      <c r="OJX12" s="4"/>
      <c r="OJY12" s="4"/>
      <c r="OKB12" s="34"/>
      <c r="OKC12" s="34"/>
      <c r="OKE12" s="34"/>
      <c r="OKF12" s="72"/>
      <c r="OKG12" s="63"/>
      <c r="OKH12" s="34"/>
      <c r="OKI12" s="64"/>
      <c r="OKJ12" s="4"/>
      <c r="OKK12" s="65"/>
      <c r="OKL12" s="4"/>
      <c r="OKM12" s="4"/>
      <c r="OKN12" s="4"/>
      <c r="OKQ12" s="34"/>
      <c r="OKR12" s="34"/>
      <c r="OKT12" s="34"/>
      <c r="OKU12" s="72"/>
      <c r="OKV12" s="63"/>
      <c r="OKW12" s="34"/>
      <c r="OKX12" s="64"/>
      <c r="OKY12" s="4"/>
      <c r="OKZ12" s="65"/>
      <c r="OLA12" s="4"/>
      <c r="OLB12" s="4"/>
      <c r="OLC12" s="4"/>
      <c r="OLF12" s="34"/>
      <c r="OLG12" s="34"/>
      <c r="OLI12" s="34"/>
      <c r="OLJ12" s="72"/>
      <c r="OLK12" s="63"/>
      <c r="OLL12" s="34"/>
      <c r="OLM12" s="64"/>
      <c r="OLN12" s="4"/>
      <c r="OLO12" s="65"/>
      <c r="OLP12" s="4"/>
      <c r="OLQ12" s="4"/>
      <c r="OLR12" s="4"/>
      <c r="OLU12" s="34"/>
      <c r="OLV12" s="34"/>
      <c r="OLX12" s="34"/>
      <c r="OLY12" s="72"/>
      <c r="OLZ12" s="63"/>
      <c r="OMA12" s="34"/>
      <c r="OMB12" s="64"/>
      <c r="OMC12" s="4"/>
      <c r="OMD12" s="65"/>
      <c r="OME12" s="4"/>
      <c r="OMF12" s="4"/>
      <c r="OMG12" s="4"/>
      <c r="OMJ12" s="34"/>
      <c r="OMK12" s="34"/>
      <c r="OMM12" s="34"/>
      <c r="OMN12" s="72"/>
      <c r="OMO12" s="63"/>
      <c r="OMP12" s="34"/>
      <c r="OMQ12" s="64"/>
      <c r="OMR12" s="4"/>
      <c r="OMS12" s="65"/>
      <c r="OMT12" s="4"/>
      <c r="OMU12" s="4"/>
      <c r="OMV12" s="4"/>
      <c r="OMY12" s="34"/>
      <c r="OMZ12" s="34"/>
      <c r="ONB12" s="34"/>
      <c r="ONC12" s="72"/>
      <c r="OND12" s="63"/>
      <c r="ONE12" s="34"/>
      <c r="ONF12" s="64"/>
      <c r="ONG12" s="4"/>
      <c r="ONH12" s="65"/>
      <c r="ONI12" s="4"/>
      <c r="ONJ12" s="4"/>
      <c r="ONK12" s="4"/>
      <c r="ONN12" s="34"/>
      <c r="ONO12" s="34"/>
      <c r="ONQ12" s="34"/>
      <c r="ONR12" s="72"/>
      <c r="ONS12" s="63"/>
      <c r="ONT12" s="34"/>
      <c r="ONU12" s="64"/>
      <c r="ONV12" s="4"/>
      <c r="ONW12" s="65"/>
      <c r="ONX12" s="4"/>
      <c r="ONY12" s="4"/>
      <c r="ONZ12" s="4"/>
      <c r="OOC12" s="34"/>
      <c r="OOD12" s="34"/>
      <c r="OOF12" s="34"/>
      <c r="OOG12" s="72"/>
      <c r="OOH12" s="63"/>
      <c r="OOI12" s="34"/>
      <c r="OOJ12" s="64"/>
      <c r="OOK12" s="4"/>
      <c r="OOL12" s="65"/>
      <c r="OOM12" s="4"/>
      <c r="OON12" s="4"/>
      <c r="OOO12" s="4"/>
      <c r="OOR12" s="34"/>
      <c r="OOS12" s="34"/>
      <c r="OOU12" s="34"/>
      <c r="OOV12" s="72"/>
      <c r="OOW12" s="63"/>
      <c r="OOX12" s="34"/>
      <c r="OOY12" s="64"/>
      <c r="OOZ12" s="4"/>
      <c r="OPA12" s="65"/>
      <c r="OPB12" s="4"/>
      <c r="OPC12" s="4"/>
      <c r="OPD12" s="4"/>
      <c r="OPG12" s="34"/>
      <c r="OPH12" s="34"/>
      <c r="OPJ12" s="34"/>
      <c r="OPK12" s="72"/>
      <c r="OPL12" s="63"/>
      <c r="OPM12" s="34"/>
      <c r="OPN12" s="64"/>
      <c r="OPO12" s="4"/>
      <c r="OPP12" s="65"/>
      <c r="OPQ12" s="4"/>
      <c r="OPR12" s="4"/>
      <c r="OPS12" s="4"/>
      <c r="OPV12" s="34"/>
      <c r="OPW12" s="34"/>
      <c r="OPY12" s="34"/>
      <c r="OPZ12" s="72"/>
      <c r="OQA12" s="63"/>
      <c r="OQB12" s="34"/>
      <c r="OQC12" s="64"/>
      <c r="OQD12" s="4"/>
      <c r="OQE12" s="65"/>
      <c r="OQF12" s="4"/>
      <c r="OQG12" s="4"/>
      <c r="OQH12" s="4"/>
      <c r="OQK12" s="34"/>
      <c r="OQL12" s="34"/>
      <c r="OQN12" s="34"/>
      <c r="OQO12" s="72"/>
      <c r="OQP12" s="63"/>
      <c r="OQQ12" s="34"/>
      <c r="OQR12" s="64"/>
      <c r="OQS12" s="4"/>
      <c r="OQT12" s="65"/>
      <c r="OQU12" s="4"/>
      <c r="OQV12" s="4"/>
      <c r="OQW12" s="4"/>
      <c r="OQZ12" s="34"/>
      <c r="ORA12" s="34"/>
      <c r="ORC12" s="34"/>
      <c r="ORD12" s="72"/>
      <c r="ORE12" s="63"/>
      <c r="ORF12" s="34"/>
      <c r="ORG12" s="64"/>
      <c r="ORH12" s="4"/>
      <c r="ORI12" s="65"/>
      <c r="ORJ12" s="4"/>
      <c r="ORK12" s="4"/>
      <c r="ORL12" s="4"/>
      <c r="ORO12" s="34"/>
      <c r="ORP12" s="34"/>
      <c r="ORR12" s="34"/>
      <c r="ORS12" s="72"/>
      <c r="ORT12" s="63"/>
      <c r="ORU12" s="34"/>
      <c r="ORV12" s="64"/>
      <c r="ORW12" s="4"/>
      <c r="ORX12" s="65"/>
      <c r="ORY12" s="4"/>
      <c r="ORZ12" s="4"/>
      <c r="OSA12" s="4"/>
      <c r="OSD12" s="34"/>
      <c r="OSE12" s="34"/>
      <c r="OSG12" s="34"/>
      <c r="OSH12" s="72"/>
      <c r="OSI12" s="63"/>
      <c r="OSJ12" s="34"/>
      <c r="OSK12" s="64"/>
      <c r="OSL12" s="4"/>
      <c r="OSM12" s="65"/>
      <c r="OSN12" s="4"/>
      <c r="OSO12" s="4"/>
      <c r="OSP12" s="4"/>
      <c r="OSS12" s="34"/>
      <c r="OST12" s="34"/>
      <c r="OSV12" s="34"/>
      <c r="OSW12" s="72"/>
      <c r="OSX12" s="63"/>
      <c r="OSY12" s="34"/>
      <c r="OSZ12" s="64"/>
      <c r="OTA12" s="4"/>
      <c r="OTB12" s="65"/>
      <c r="OTC12" s="4"/>
      <c r="OTD12" s="4"/>
      <c r="OTE12" s="4"/>
      <c r="OTH12" s="34"/>
      <c r="OTI12" s="34"/>
      <c r="OTK12" s="34"/>
      <c r="OTL12" s="72"/>
      <c r="OTM12" s="63"/>
      <c r="OTN12" s="34"/>
      <c r="OTO12" s="64"/>
      <c r="OTP12" s="4"/>
      <c r="OTQ12" s="65"/>
      <c r="OTR12" s="4"/>
      <c r="OTS12" s="4"/>
      <c r="OTT12" s="4"/>
      <c r="OTW12" s="34"/>
      <c r="OTX12" s="34"/>
      <c r="OTZ12" s="34"/>
      <c r="OUA12" s="72"/>
      <c r="OUB12" s="63"/>
      <c r="OUC12" s="34"/>
      <c r="OUD12" s="64"/>
      <c r="OUE12" s="4"/>
      <c r="OUF12" s="65"/>
      <c r="OUG12" s="4"/>
      <c r="OUH12" s="4"/>
      <c r="OUI12" s="4"/>
      <c r="OUL12" s="34"/>
      <c r="OUM12" s="34"/>
      <c r="OUO12" s="34"/>
      <c r="OUP12" s="72"/>
      <c r="OUQ12" s="63"/>
      <c r="OUR12" s="34"/>
      <c r="OUS12" s="64"/>
      <c r="OUT12" s="4"/>
      <c r="OUU12" s="65"/>
      <c r="OUV12" s="4"/>
      <c r="OUW12" s="4"/>
      <c r="OUX12" s="4"/>
      <c r="OVA12" s="34"/>
      <c r="OVB12" s="34"/>
      <c r="OVD12" s="34"/>
      <c r="OVE12" s="72"/>
      <c r="OVF12" s="63"/>
      <c r="OVG12" s="34"/>
      <c r="OVH12" s="64"/>
      <c r="OVI12" s="4"/>
      <c r="OVJ12" s="65"/>
      <c r="OVK12" s="4"/>
      <c r="OVL12" s="4"/>
      <c r="OVM12" s="4"/>
      <c r="OVP12" s="34"/>
      <c r="OVQ12" s="34"/>
      <c r="OVS12" s="34"/>
      <c r="OVT12" s="72"/>
      <c r="OVU12" s="63"/>
      <c r="OVV12" s="34"/>
      <c r="OVW12" s="64"/>
      <c r="OVX12" s="4"/>
      <c r="OVY12" s="65"/>
      <c r="OVZ12" s="4"/>
      <c r="OWA12" s="4"/>
      <c r="OWB12" s="4"/>
      <c r="OWE12" s="34"/>
      <c r="OWF12" s="34"/>
      <c r="OWH12" s="34"/>
      <c r="OWI12" s="72"/>
      <c r="OWJ12" s="63"/>
      <c r="OWK12" s="34"/>
      <c r="OWL12" s="64"/>
      <c r="OWM12" s="4"/>
      <c r="OWN12" s="65"/>
      <c r="OWO12" s="4"/>
      <c r="OWP12" s="4"/>
      <c r="OWQ12" s="4"/>
      <c r="OWT12" s="34"/>
      <c r="OWU12" s="34"/>
      <c r="OWW12" s="34"/>
      <c r="OWX12" s="72"/>
      <c r="OWY12" s="63"/>
      <c r="OWZ12" s="34"/>
      <c r="OXA12" s="64"/>
      <c r="OXB12" s="4"/>
      <c r="OXC12" s="65"/>
      <c r="OXD12" s="4"/>
      <c r="OXE12" s="4"/>
      <c r="OXF12" s="4"/>
      <c r="OXI12" s="34"/>
      <c r="OXJ12" s="34"/>
      <c r="OXL12" s="34"/>
      <c r="OXM12" s="72"/>
      <c r="OXN12" s="63"/>
      <c r="OXO12" s="34"/>
      <c r="OXP12" s="64"/>
      <c r="OXQ12" s="4"/>
      <c r="OXR12" s="65"/>
      <c r="OXS12" s="4"/>
      <c r="OXT12" s="4"/>
      <c r="OXU12" s="4"/>
      <c r="OXX12" s="34"/>
      <c r="OXY12" s="34"/>
      <c r="OYA12" s="34"/>
      <c r="OYB12" s="72"/>
      <c r="OYC12" s="63"/>
      <c r="OYD12" s="34"/>
      <c r="OYE12" s="64"/>
      <c r="OYF12" s="4"/>
      <c r="OYG12" s="65"/>
      <c r="OYH12" s="4"/>
      <c r="OYI12" s="4"/>
      <c r="OYJ12" s="4"/>
      <c r="OYM12" s="34"/>
      <c r="OYN12" s="34"/>
      <c r="OYP12" s="34"/>
      <c r="OYQ12" s="72"/>
      <c r="OYR12" s="63"/>
      <c r="OYS12" s="34"/>
      <c r="OYT12" s="64"/>
      <c r="OYU12" s="4"/>
      <c r="OYV12" s="65"/>
      <c r="OYW12" s="4"/>
      <c r="OYX12" s="4"/>
      <c r="OYY12" s="4"/>
      <c r="OZB12" s="34"/>
      <c r="OZC12" s="34"/>
      <c r="OZE12" s="34"/>
      <c r="OZF12" s="72"/>
      <c r="OZG12" s="63"/>
      <c r="OZH12" s="34"/>
      <c r="OZI12" s="64"/>
      <c r="OZJ12" s="4"/>
      <c r="OZK12" s="65"/>
      <c r="OZL12" s="4"/>
      <c r="OZM12" s="4"/>
      <c r="OZN12" s="4"/>
      <c r="OZQ12" s="34"/>
      <c r="OZR12" s="34"/>
      <c r="OZT12" s="34"/>
      <c r="OZU12" s="72"/>
      <c r="OZV12" s="63"/>
      <c r="OZW12" s="34"/>
      <c r="OZX12" s="64"/>
      <c r="OZY12" s="4"/>
      <c r="OZZ12" s="65"/>
      <c r="PAA12" s="4"/>
      <c r="PAB12" s="4"/>
      <c r="PAC12" s="4"/>
      <c r="PAF12" s="34"/>
      <c r="PAG12" s="34"/>
      <c r="PAI12" s="34"/>
      <c r="PAJ12" s="72"/>
      <c r="PAK12" s="63"/>
      <c r="PAL12" s="34"/>
      <c r="PAM12" s="64"/>
      <c r="PAN12" s="4"/>
      <c r="PAO12" s="65"/>
      <c r="PAP12" s="4"/>
      <c r="PAQ12" s="4"/>
      <c r="PAR12" s="4"/>
      <c r="PAU12" s="34"/>
      <c r="PAV12" s="34"/>
      <c r="PAX12" s="34"/>
      <c r="PAY12" s="72"/>
      <c r="PAZ12" s="63"/>
      <c r="PBA12" s="34"/>
      <c r="PBB12" s="64"/>
      <c r="PBC12" s="4"/>
      <c r="PBD12" s="65"/>
      <c r="PBE12" s="4"/>
      <c r="PBF12" s="4"/>
      <c r="PBG12" s="4"/>
      <c r="PBJ12" s="34"/>
      <c r="PBK12" s="34"/>
      <c r="PBM12" s="34"/>
      <c r="PBN12" s="72"/>
      <c r="PBO12" s="63"/>
      <c r="PBP12" s="34"/>
      <c r="PBQ12" s="64"/>
      <c r="PBR12" s="4"/>
      <c r="PBS12" s="65"/>
      <c r="PBT12" s="4"/>
      <c r="PBU12" s="4"/>
      <c r="PBV12" s="4"/>
      <c r="PBY12" s="34"/>
      <c r="PBZ12" s="34"/>
      <c r="PCB12" s="34"/>
      <c r="PCC12" s="72"/>
      <c r="PCD12" s="63"/>
      <c r="PCE12" s="34"/>
      <c r="PCF12" s="64"/>
      <c r="PCG12" s="4"/>
      <c r="PCH12" s="65"/>
      <c r="PCI12" s="4"/>
      <c r="PCJ12" s="4"/>
      <c r="PCK12" s="4"/>
      <c r="PCN12" s="34"/>
      <c r="PCO12" s="34"/>
      <c r="PCQ12" s="34"/>
      <c r="PCR12" s="72"/>
      <c r="PCS12" s="63"/>
      <c r="PCT12" s="34"/>
      <c r="PCU12" s="64"/>
      <c r="PCV12" s="4"/>
      <c r="PCW12" s="65"/>
      <c r="PCX12" s="4"/>
      <c r="PCY12" s="4"/>
      <c r="PCZ12" s="4"/>
      <c r="PDC12" s="34"/>
      <c r="PDD12" s="34"/>
      <c r="PDF12" s="34"/>
      <c r="PDG12" s="72"/>
      <c r="PDH12" s="63"/>
      <c r="PDI12" s="34"/>
      <c r="PDJ12" s="64"/>
      <c r="PDK12" s="4"/>
      <c r="PDL12" s="65"/>
      <c r="PDM12" s="4"/>
      <c r="PDN12" s="4"/>
      <c r="PDO12" s="4"/>
      <c r="PDR12" s="34"/>
      <c r="PDS12" s="34"/>
      <c r="PDU12" s="34"/>
      <c r="PDV12" s="72"/>
      <c r="PDW12" s="63"/>
      <c r="PDX12" s="34"/>
      <c r="PDY12" s="64"/>
      <c r="PDZ12" s="4"/>
      <c r="PEA12" s="65"/>
      <c r="PEB12" s="4"/>
      <c r="PEC12" s="4"/>
      <c r="PED12" s="4"/>
      <c r="PEG12" s="34"/>
      <c r="PEH12" s="34"/>
      <c r="PEJ12" s="34"/>
      <c r="PEK12" s="72"/>
      <c r="PEL12" s="63"/>
      <c r="PEM12" s="34"/>
      <c r="PEN12" s="64"/>
      <c r="PEO12" s="4"/>
      <c r="PEP12" s="65"/>
      <c r="PEQ12" s="4"/>
      <c r="PER12" s="4"/>
      <c r="PES12" s="4"/>
      <c r="PEV12" s="34"/>
      <c r="PEW12" s="34"/>
      <c r="PEY12" s="34"/>
      <c r="PEZ12" s="72"/>
      <c r="PFA12" s="63"/>
      <c r="PFB12" s="34"/>
      <c r="PFC12" s="64"/>
      <c r="PFD12" s="4"/>
      <c r="PFE12" s="65"/>
      <c r="PFF12" s="4"/>
      <c r="PFG12" s="4"/>
      <c r="PFH12" s="4"/>
      <c r="PFK12" s="34"/>
      <c r="PFL12" s="34"/>
      <c r="PFN12" s="34"/>
      <c r="PFO12" s="72"/>
      <c r="PFP12" s="63"/>
      <c r="PFQ12" s="34"/>
      <c r="PFR12" s="64"/>
      <c r="PFS12" s="4"/>
      <c r="PFT12" s="65"/>
      <c r="PFU12" s="4"/>
      <c r="PFV12" s="4"/>
      <c r="PFW12" s="4"/>
      <c r="PFZ12" s="34"/>
      <c r="PGA12" s="34"/>
      <c r="PGC12" s="34"/>
      <c r="PGD12" s="72"/>
      <c r="PGE12" s="63"/>
      <c r="PGF12" s="34"/>
      <c r="PGG12" s="64"/>
      <c r="PGH12" s="4"/>
      <c r="PGI12" s="65"/>
      <c r="PGJ12" s="4"/>
      <c r="PGK12" s="4"/>
      <c r="PGL12" s="4"/>
      <c r="PGO12" s="34"/>
      <c r="PGP12" s="34"/>
      <c r="PGR12" s="34"/>
      <c r="PGS12" s="72"/>
      <c r="PGT12" s="63"/>
      <c r="PGU12" s="34"/>
      <c r="PGV12" s="64"/>
      <c r="PGW12" s="4"/>
      <c r="PGX12" s="65"/>
      <c r="PGY12" s="4"/>
      <c r="PGZ12" s="4"/>
      <c r="PHA12" s="4"/>
      <c r="PHD12" s="34"/>
      <c r="PHE12" s="34"/>
      <c r="PHG12" s="34"/>
      <c r="PHH12" s="72"/>
      <c r="PHI12" s="63"/>
      <c r="PHJ12" s="34"/>
      <c r="PHK12" s="64"/>
      <c r="PHL12" s="4"/>
      <c r="PHM12" s="65"/>
      <c r="PHN12" s="4"/>
      <c r="PHO12" s="4"/>
      <c r="PHP12" s="4"/>
      <c r="PHS12" s="34"/>
      <c r="PHT12" s="34"/>
      <c r="PHV12" s="34"/>
      <c r="PHW12" s="72"/>
      <c r="PHX12" s="63"/>
      <c r="PHY12" s="34"/>
      <c r="PHZ12" s="64"/>
      <c r="PIA12" s="4"/>
      <c r="PIB12" s="65"/>
      <c r="PIC12" s="4"/>
      <c r="PID12" s="4"/>
      <c r="PIE12" s="4"/>
      <c r="PIH12" s="34"/>
      <c r="PII12" s="34"/>
      <c r="PIK12" s="34"/>
      <c r="PIL12" s="72"/>
      <c r="PIM12" s="63"/>
      <c r="PIN12" s="34"/>
      <c r="PIO12" s="64"/>
      <c r="PIP12" s="4"/>
      <c r="PIQ12" s="65"/>
      <c r="PIR12" s="4"/>
      <c r="PIS12" s="4"/>
      <c r="PIT12" s="4"/>
      <c r="PIW12" s="34"/>
      <c r="PIX12" s="34"/>
      <c r="PIZ12" s="34"/>
      <c r="PJA12" s="72"/>
      <c r="PJB12" s="63"/>
      <c r="PJC12" s="34"/>
      <c r="PJD12" s="64"/>
      <c r="PJE12" s="4"/>
      <c r="PJF12" s="65"/>
      <c r="PJG12" s="4"/>
      <c r="PJH12" s="4"/>
      <c r="PJI12" s="4"/>
      <c r="PJL12" s="34"/>
      <c r="PJM12" s="34"/>
      <c r="PJO12" s="34"/>
      <c r="PJP12" s="72"/>
      <c r="PJQ12" s="63"/>
      <c r="PJR12" s="34"/>
      <c r="PJS12" s="64"/>
      <c r="PJT12" s="4"/>
      <c r="PJU12" s="65"/>
      <c r="PJV12" s="4"/>
      <c r="PJW12" s="4"/>
      <c r="PJX12" s="4"/>
      <c r="PKA12" s="34"/>
      <c r="PKB12" s="34"/>
      <c r="PKD12" s="34"/>
      <c r="PKE12" s="72"/>
      <c r="PKF12" s="63"/>
      <c r="PKG12" s="34"/>
      <c r="PKH12" s="64"/>
      <c r="PKI12" s="4"/>
      <c r="PKJ12" s="65"/>
      <c r="PKK12" s="4"/>
      <c r="PKL12" s="4"/>
      <c r="PKM12" s="4"/>
      <c r="PKP12" s="34"/>
      <c r="PKQ12" s="34"/>
      <c r="PKS12" s="34"/>
      <c r="PKT12" s="72"/>
      <c r="PKU12" s="63"/>
      <c r="PKV12" s="34"/>
      <c r="PKW12" s="64"/>
      <c r="PKX12" s="4"/>
      <c r="PKY12" s="65"/>
      <c r="PKZ12" s="4"/>
      <c r="PLA12" s="4"/>
      <c r="PLB12" s="4"/>
      <c r="PLE12" s="34"/>
      <c r="PLF12" s="34"/>
      <c r="PLH12" s="34"/>
      <c r="PLI12" s="72"/>
      <c r="PLJ12" s="63"/>
      <c r="PLK12" s="34"/>
      <c r="PLL12" s="64"/>
      <c r="PLM12" s="4"/>
      <c r="PLN12" s="65"/>
      <c r="PLO12" s="4"/>
      <c r="PLP12" s="4"/>
      <c r="PLQ12" s="4"/>
      <c r="PLT12" s="34"/>
      <c r="PLU12" s="34"/>
      <c r="PLW12" s="34"/>
      <c r="PLX12" s="72"/>
      <c r="PLY12" s="63"/>
      <c r="PLZ12" s="34"/>
      <c r="PMA12" s="64"/>
      <c r="PMB12" s="4"/>
      <c r="PMC12" s="65"/>
      <c r="PMD12" s="4"/>
      <c r="PME12" s="4"/>
      <c r="PMF12" s="4"/>
      <c r="PMI12" s="34"/>
      <c r="PMJ12" s="34"/>
      <c r="PML12" s="34"/>
      <c r="PMM12" s="72"/>
      <c r="PMN12" s="63"/>
      <c r="PMO12" s="34"/>
      <c r="PMP12" s="64"/>
      <c r="PMQ12" s="4"/>
      <c r="PMR12" s="65"/>
      <c r="PMS12" s="4"/>
      <c r="PMT12" s="4"/>
      <c r="PMU12" s="4"/>
      <c r="PMX12" s="34"/>
      <c r="PMY12" s="34"/>
      <c r="PNA12" s="34"/>
      <c r="PNB12" s="72"/>
      <c r="PNC12" s="63"/>
      <c r="PND12" s="34"/>
      <c r="PNE12" s="64"/>
      <c r="PNF12" s="4"/>
      <c r="PNG12" s="65"/>
      <c r="PNH12" s="4"/>
      <c r="PNI12" s="4"/>
      <c r="PNJ12" s="4"/>
      <c r="PNM12" s="34"/>
      <c r="PNN12" s="34"/>
      <c r="PNP12" s="34"/>
      <c r="PNQ12" s="72"/>
      <c r="PNR12" s="63"/>
      <c r="PNS12" s="34"/>
      <c r="PNT12" s="64"/>
      <c r="PNU12" s="4"/>
      <c r="PNV12" s="65"/>
      <c r="PNW12" s="4"/>
      <c r="PNX12" s="4"/>
      <c r="PNY12" s="4"/>
      <c r="POB12" s="34"/>
      <c r="POC12" s="34"/>
      <c r="POE12" s="34"/>
      <c r="POF12" s="72"/>
      <c r="POG12" s="63"/>
      <c r="POH12" s="34"/>
      <c r="POI12" s="64"/>
      <c r="POJ12" s="4"/>
      <c r="POK12" s="65"/>
      <c r="POL12" s="4"/>
      <c r="POM12" s="4"/>
      <c r="PON12" s="4"/>
      <c r="POQ12" s="34"/>
      <c r="POR12" s="34"/>
      <c r="POT12" s="34"/>
      <c r="POU12" s="72"/>
      <c r="POV12" s="63"/>
      <c r="POW12" s="34"/>
      <c r="POX12" s="64"/>
      <c r="POY12" s="4"/>
      <c r="POZ12" s="65"/>
      <c r="PPA12" s="4"/>
      <c r="PPB12" s="4"/>
      <c r="PPC12" s="4"/>
      <c r="PPF12" s="34"/>
      <c r="PPG12" s="34"/>
      <c r="PPI12" s="34"/>
      <c r="PPJ12" s="72"/>
      <c r="PPK12" s="63"/>
      <c r="PPL12" s="34"/>
      <c r="PPM12" s="64"/>
      <c r="PPN12" s="4"/>
      <c r="PPO12" s="65"/>
      <c r="PPP12" s="4"/>
      <c r="PPQ12" s="4"/>
      <c r="PPR12" s="4"/>
      <c r="PPU12" s="34"/>
      <c r="PPV12" s="34"/>
      <c r="PPX12" s="34"/>
      <c r="PPY12" s="72"/>
      <c r="PPZ12" s="63"/>
      <c r="PQA12" s="34"/>
      <c r="PQB12" s="64"/>
      <c r="PQC12" s="4"/>
      <c r="PQD12" s="65"/>
      <c r="PQE12" s="4"/>
      <c r="PQF12" s="4"/>
      <c r="PQG12" s="4"/>
      <c r="PQJ12" s="34"/>
      <c r="PQK12" s="34"/>
      <c r="PQM12" s="34"/>
      <c r="PQN12" s="72"/>
      <c r="PQO12" s="63"/>
      <c r="PQP12" s="34"/>
      <c r="PQQ12" s="64"/>
      <c r="PQR12" s="4"/>
      <c r="PQS12" s="65"/>
      <c r="PQT12" s="4"/>
      <c r="PQU12" s="4"/>
      <c r="PQV12" s="4"/>
      <c r="PQY12" s="34"/>
      <c r="PQZ12" s="34"/>
      <c r="PRB12" s="34"/>
      <c r="PRC12" s="72"/>
      <c r="PRD12" s="63"/>
      <c r="PRE12" s="34"/>
      <c r="PRF12" s="64"/>
      <c r="PRG12" s="4"/>
      <c r="PRH12" s="65"/>
      <c r="PRI12" s="4"/>
      <c r="PRJ12" s="4"/>
      <c r="PRK12" s="4"/>
      <c r="PRN12" s="34"/>
      <c r="PRO12" s="34"/>
      <c r="PRQ12" s="34"/>
      <c r="PRR12" s="72"/>
      <c r="PRS12" s="63"/>
      <c r="PRT12" s="34"/>
      <c r="PRU12" s="64"/>
      <c r="PRV12" s="4"/>
      <c r="PRW12" s="65"/>
      <c r="PRX12" s="4"/>
      <c r="PRY12" s="4"/>
      <c r="PRZ12" s="4"/>
      <c r="PSC12" s="34"/>
      <c r="PSD12" s="34"/>
      <c r="PSF12" s="34"/>
      <c r="PSG12" s="72"/>
      <c r="PSH12" s="63"/>
      <c r="PSI12" s="34"/>
      <c r="PSJ12" s="64"/>
      <c r="PSK12" s="4"/>
      <c r="PSL12" s="65"/>
      <c r="PSM12" s="4"/>
      <c r="PSN12" s="4"/>
      <c r="PSO12" s="4"/>
      <c r="PSR12" s="34"/>
      <c r="PSS12" s="34"/>
      <c r="PSU12" s="34"/>
      <c r="PSV12" s="72"/>
      <c r="PSW12" s="63"/>
      <c r="PSX12" s="34"/>
      <c r="PSY12" s="64"/>
      <c r="PSZ12" s="4"/>
      <c r="PTA12" s="65"/>
      <c r="PTB12" s="4"/>
      <c r="PTC12" s="4"/>
      <c r="PTD12" s="4"/>
      <c r="PTG12" s="34"/>
      <c r="PTH12" s="34"/>
      <c r="PTJ12" s="34"/>
      <c r="PTK12" s="72"/>
      <c r="PTL12" s="63"/>
      <c r="PTM12" s="34"/>
      <c r="PTN12" s="64"/>
      <c r="PTO12" s="4"/>
      <c r="PTP12" s="65"/>
      <c r="PTQ12" s="4"/>
      <c r="PTR12" s="4"/>
      <c r="PTS12" s="4"/>
      <c r="PTV12" s="34"/>
      <c r="PTW12" s="34"/>
      <c r="PTY12" s="34"/>
      <c r="PTZ12" s="72"/>
      <c r="PUA12" s="63"/>
      <c r="PUB12" s="34"/>
      <c r="PUC12" s="64"/>
      <c r="PUD12" s="4"/>
      <c r="PUE12" s="65"/>
      <c r="PUF12" s="4"/>
      <c r="PUG12" s="4"/>
      <c r="PUH12" s="4"/>
      <c r="PUK12" s="34"/>
      <c r="PUL12" s="34"/>
      <c r="PUN12" s="34"/>
      <c r="PUO12" s="72"/>
      <c r="PUP12" s="63"/>
      <c r="PUQ12" s="34"/>
      <c r="PUR12" s="64"/>
      <c r="PUS12" s="4"/>
      <c r="PUT12" s="65"/>
      <c r="PUU12" s="4"/>
      <c r="PUV12" s="4"/>
      <c r="PUW12" s="4"/>
      <c r="PUZ12" s="34"/>
      <c r="PVA12" s="34"/>
      <c r="PVC12" s="34"/>
      <c r="PVD12" s="72"/>
      <c r="PVE12" s="63"/>
      <c r="PVF12" s="34"/>
      <c r="PVG12" s="64"/>
      <c r="PVH12" s="4"/>
      <c r="PVI12" s="65"/>
      <c r="PVJ12" s="4"/>
      <c r="PVK12" s="4"/>
      <c r="PVL12" s="4"/>
      <c r="PVO12" s="34"/>
      <c r="PVP12" s="34"/>
      <c r="PVR12" s="34"/>
      <c r="PVS12" s="72"/>
      <c r="PVT12" s="63"/>
      <c r="PVU12" s="34"/>
      <c r="PVV12" s="64"/>
      <c r="PVW12" s="4"/>
      <c r="PVX12" s="65"/>
      <c r="PVY12" s="4"/>
      <c r="PVZ12" s="4"/>
      <c r="PWA12" s="4"/>
      <c r="PWD12" s="34"/>
      <c r="PWE12" s="34"/>
      <c r="PWG12" s="34"/>
      <c r="PWH12" s="72"/>
      <c r="PWI12" s="63"/>
      <c r="PWJ12" s="34"/>
      <c r="PWK12" s="64"/>
      <c r="PWL12" s="4"/>
      <c r="PWM12" s="65"/>
      <c r="PWN12" s="4"/>
      <c r="PWO12" s="4"/>
      <c r="PWP12" s="4"/>
      <c r="PWS12" s="34"/>
      <c r="PWT12" s="34"/>
      <c r="PWV12" s="34"/>
      <c r="PWW12" s="72"/>
      <c r="PWX12" s="63"/>
      <c r="PWY12" s="34"/>
      <c r="PWZ12" s="64"/>
      <c r="PXA12" s="4"/>
      <c r="PXB12" s="65"/>
      <c r="PXC12" s="4"/>
      <c r="PXD12" s="4"/>
      <c r="PXE12" s="4"/>
      <c r="PXH12" s="34"/>
      <c r="PXI12" s="34"/>
      <c r="PXK12" s="34"/>
      <c r="PXL12" s="72"/>
      <c r="PXM12" s="63"/>
      <c r="PXN12" s="34"/>
      <c r="PXO12" s="64"/>
      <c r="PXP12" s="4"/>
      <c r="PXQ12" s="65"/>
      <c r="PXR12" s="4"/>
      <c r="PXS12" s="4"/>
      <c r="PXT12" s="4"/>
      <c r="PXW12" s="34"/>
      <c r="PXX12" s="34"/>
      <c r="PXZ12" s="34"/>
      <c r="PYA12" s="72"/>
      <c r="PYB12" s="63"/>
      <c r="PYC12" s="34"/>
      <c r="PYD12" s="64"/>
      <c r="PYE12" s="4"/>
      <c r="PYF12" s="65"/>
      <c r="PYG12" s="4"/>
      <c r="PYH12" s="4"/>
      <c r="PYI12" s="4"/>
      <c r="PYL12" s="34"/>
      <c r="PYM12" s="34"/>
      <c r="PYO12" s="34"/>
      <c r="PYP12" s="72"/>
      <c r="PYQ12" s="63"/>
      <c r="PYR12" s="34"/>
      <c r="PYS12" s="64"/>
      <c r="PYT12" s="4"/>
      <c r="PYU12" s="65"/>
      <c r="PYV12" s="4"/>
      <c r="PYW12" s="4"/>
      <c r="PYX12" s="4"/>
      <c r="PZA12" s="34"/>
      <c r="PZB12" s="34"/>
      <c r="PZD12" s="34"/>
      <c r="PZE12" s="72"/>
      <c r="PZF12" s="63"/>
      <c r="PZG12" s="34"/>
      <c r="PZH12" s="64"/>
      <c r="PZI12" s="4"/>
      <c r="PZJ12" s="65"/>
      <c r="PZK12" s="4"/>
      <c r="PZL12" s="4"/>
      <c r="PZM12" s="4"/>
      <c r="PZP12" s="34"/>
      <c r="PZQ12" s="34"/>
      <c r="PZS12" s="34"/>
      <c r="PZT12" s="72"/>
      <c r="PZU12" s="63"/>
      <c r="PZV12" s="34"/>
      <c r="PZW12" s="64"/>
      <c r="PZX12" s="4"/>
      <c r="PZY12" s="65"/>
      <c r="PZZ12" s="4"/>
      <c r="QAA12" s="4"/>
      <c r="QAB12" s="4"/>
      <c r="QAE12" s="34"/>
      <c r="QAF12" s="34"/>
      <c r="QAH12" s="34"/>
      <c r="QAI12" s="72"/>
      <c r="QAJ12" s="63"/>
      <c r="QAK12" s="34"/>
      <c r="QAL12" s="64"/>
      <c r="QAM12" s="4"/>
      <c r="QAN12" s="65"/>
      <c r="QAO12" s="4"/>
      <c r="QAP12" s="4"/>
      <c r="QAQ12" s="4"/>
      <c r="QAT12" s="34"/>
      <c r="QAU12" s="34"/>
      <c r="QAW12" s="34"/>
      <c r="QAX12" s="72"/>
      <c r="QAY12" s="63"/>
      <c r="QAZ12" s="34"/>
      <c r="QBA12" s="64"/>
      <c r="QBB12" s="4"/>
      <c r="QBC12" s="65"/>
      <c r="QBD12" s="4"/>
      <c r="QBE12" s="4"/>
      <c r="QBF12" s="4"/>
      <c r="QBI12" s="34"/>
      <c r="QBJ12" s="34"/>
      <c r="QBL12" s="34"/>
      <c r="QBM12" s="72"/>
      <c r="QBN12" s="63"/>
      <c r="QBO12" s="34"/>
      <c r="QBP12" s="64"/>
      <c r="QBQ12" s="4"/>
      <c r="QBR12" s="65"/>
      <c r="QBS12" s="4"/>
      <c r="QBT12" s="4"/>
      <c r="QBU12" s="4"/>
      <c r="QBX12" s="34"/>
      <c r="QBY12" s="34"/>
      <c r="QCA12" s="34"/>
      <c r="QCB12" s="72"/>
      <c r="QCC12" s="63"/>
      <c r="QCD12" s="34"/>
      <c r="QCE12" s="64"/>
      <c r="QCF12" s="4"/>
      <c r="QCG12" s="65"/>
      <c r="QCH12" s="4"/>
      <c r="QCI12" s="4"/>
      <c r="QCJ12" s="4"/>
      <c r="QCM12" s="34"/>
      <c r="QCN12" s="34"/>
      <c r="QCP12" s="34"/>
      <c r="QCQ12" s="72"/>
      <c r="QCR12" s="63"/>
      <c r="QCS12" s="34"/>
      <c r="QCT12" s="64"/>
      <c r="QCU12" s="4"/>
      <c r="QCV12" s="65"/>
      <c r="QCW12" s="4"/>
      <c r="QCX12" s="4"/>
      <c r="QCY12" s="4"/>
      <c r="QDB12" s="34"/>
      <c r="QDC12" s="34"/>
      <c r="QDE12" s="34"/>
      <c r="QDF12" s="72"/>
      <c r="QDG12" s="63"/>
      <c r="QDH12" s="34"/>
      <c r="QDI12" s="64"/>
      <c r="QDJ12" s="4"/>
      <c r="QDK12" s="65"/>
      <c r="QDL12" s="4"/>
      <c r="QDM12" s="4"/>
      <c r="QDN12" s="4"/>
      <c r="QDQ12" s="34"/>
      <c r="QDR12" s="34"/>
      <c r="QDT12" s="34"/>
      <c r="QDU12" s="72"/>
      <c r="QDV12" s="63"/>
      <c r="QDW12" s="34"/>
      <c r="QDX12" s="64"/>
      <c r="QDY12" s="4"/>
      <c r="QDZ12" s="65"/>
      <c r="QEA12" s="4"/>
      <c r="QEB12" s="4"/>
      <c r="QEC12" s="4"/>
      <c r="QEF12" s="34"/>
      <c r="QEG12" s="34"/>
      <c r="QEI12" s="34"/>
      <c r="QEJ12" s="72"/>
      <c r="QEK12" s="63"/>
      <c r="QEL12" s="34"/>
      <c r="QEM12" s="64"/>
      <c r="QEN12" s="4"/>
      <c r="QEO12" s="65"/>
      <c r="QEP12" s="4"/>
      <c r="QEQ12" s="4"/>
      <c r="QER12" s="4"/>
      <c r="QEU12" s="34"/>
      <c r="QEV12" s="34"/>
      <c r="QEX12" s="34"/>
      <c r="QEY12" s="72"/>
      <c r="QEZ12" s="63"/>
      <c r="QFA12" s="34"/>
      <c r="QFB12" s="64"/>
      <c r="QFC12" s="4"/>
      <c r="QFD12" s="65"/>
      <c r="QFE12" s="4"/>
      <c r="QFF12" s="4"/>
      <c r="QFG12" s="4"/>
      <c r="QFJ12" s="34"/>
      <c r="QFK12" s="34"/>
      <c r="QFM12" s="34"/>
      <c r="QFN12" s="72"/>
      <c r="QFO12" s="63"/>
      <c r="QFP12" s="34"/>
      <c r="QFQ12" s="64"/>
      <c r="QFR12" s="4"/>
      <c r="QFS12" s="65"/>
      <c r="QFT12" s="4"/>
      <c r="QFU12" s="4"/>
      <c r="QFV12" s="4"/>
      <c r="QFY12" s="34"/>
      <c r="QFZ12" s="34"/>
      <c r="QGB12" s="34"/>
      <c r="QGC12" s="72"/>
      <c r="QGD12" s="63"/>
      <c r="QGE12" s="34"/>
      <c r="QGF12" s="64"/>
      <c r="QGG12" s="4"/>
      <c r="QGH12" s="65"/>
      <c r="QGI12" s="4"/>
      <c r="QGJ12" s="4"/>
      <c r="QGK12" s="4"/>
      <c r="QGN12" s="34"/>
      <c r="QGO12" s="34"/>
      <c r="QGQ12" s="34"/>
      <c r="QGR12" s="72"/>
      <c r="QGS12" s="63"/>
      <c r="QGT12" s="34"/>
      <c r="QGU12" s="64"/>
      <c r="QGV12" s="4"/>
      <c r="QGW12" s="65"/>
      <c r="QGX12" s="4"/>
      <c r="QGY12" s="4"/>
      <c r="QGZ12" s="4"/>
      <c r="QHC12" s="34"/>
      <c r="QHD12" s="34"/>
      <c r="QHF12" s="34"/>
      <c r="QHG12" s="72"/>
      <c r="QHH12" s="63"/>
      <c r="QHI12" s="34"/>
      <c r="QHJ12" s="64"/>
      <c r="QHK12" s="4"/>
      <c r="QHL12" s="65"/>
      <c r="QHM12" s="4"/>
      <c r="QHN12" s="4"/>
      <c r="QHO12" s="4"/>
      <c r="QHR12" s="34"/>
      <c r="QHS12" s="34"/>
      <c r="QHU12" s="34"/>
      <c r="QHV12" s="72"/>
      <c r="QHW12" s="63"/>
      <c r="QHX12" s="34"/>
      <c r="QHY12" s="64"/>
      <c r="QHZ12" s="4"/>
      <c r="QIA12" s="65"/>
      <c r="QIB12" s="4"/>
      <c r="QIC12" s="4"/>
      <c r="QID12" s="4"/>
      <c r="QIG12" s="34"/>
      <c r="QIH12" s="34"/>
      <c r="QIJ12" s="34"/>
      <c r="QIK12" s="72"/>
      <c r="QIL12" s="63"/>
      <c r="QIM12" s="34"/>
      <c r="QIN12" s="64"/>
      <c r="QIO12" s="4"/>
      <c r="QIP12" s="65"/>
      <c r="QIQ12" s="4"/>
      <c r="QIR12" s="4"/>
      <c r="QIS12" s="4"/>
      <c r="QIV12" s="34"/>
      <c r="QIW12" s="34"/>
      <c r="QIY12" s="34"/>
      <c r="QIZ12" s="72"/>
      <c r="QJA12" s="63"/>
      <c r="QJB12" s="34"/>
      <c r="QJC12" s="64"/>
      <c r="QJD12" s="4"/>
      <c r="QJE12" s="65"/>
      <c r="QJF12" s="4"/>
      <c r="QJG12" s="4"/>
      <c r="QJH12" s="4"/>
      <c r="QJK12" s="34"/>
      <c r="QJL12" s="34"/>
      <c r="QJN12" s="34"/>
      <c r="QJO12" s="72"/>
      <c r="QJP12" s="63"/>
      <c r="QJQ12" s="34"/>
      <c r="QJR12" s="64"/>
      <c r="QJS12" s="4"/>
      <c r="QJT12" s="65"/>
      <c r="QJU12" s="4"/>
      <c r="QJV12" s="4"/>
      <c r="QJW12" s="4"/>
      <c r="QJZ12" s="34"/>
      <c r="QKA12" s="34"/>
      <c r="QKC12" s="34"/>
      <c r="QKD12" s="72"/>
      <c r="QKE12" s="63"/>
      <c r="QKF12" s="34"/>
      <c r="QKG12" s="64"/>
      <c r="QKH12" s="4"/>
      <c r="QKI12" s="65"/>
      <c r="QKJ12" s="4"/>
      <c r="QKK12" s="4"/>
      <c r="QKL12" s="4"/>
      <c r="QKO12" s="34"/>
      <c r="QKP12" s="34"/>
      <c r="QKR12" s="34"/>
      <c r="QKS12" s="72"/>
      <c r="QKT12" s="63"/>
      <c r="QKU12" s="34"/>
      <c r="QKV12" s="64"/>
      <c r="QKW12" s="4"/>
      <c r="QKX12" s="65"/>
      <c r="QKY12" s="4"/>
      <c r="QKZ12" s="4"/>
      <c r="QLA12" s="4"/>
      <c r="QLD12" s="34"/>
      <c r="QLE12" s="34"/>
      <c r="QLG12" s="34"/>
      <c r="QLH12" s="72"/>
      <c r="QLI12" s="63"/>
      <c r="QLJ12" s="34"/>
      <c r="QLK12" s="64"/>
      <c r="QLL12" s="4"/>
      <c r="QLM12" s="65"/>
      <c r="QLN12" s="4"/>
      <c r="QLO12" s="4"/>
      <c r="QLP12" s="4"/>
      <c r="QLS12" s="34"/>
      <c r="QLT12" s="34"/>
      <c r="QLV12" s="34"/>
      <c r="QLW12" s="72"/>
      <c r="QLX12" s="63"/>
      <c r="QLY12" s="34"/>
      <c r="QLZ12" s="64"/>
      <c r="QMA12" s="4"/>
      <c r="QMB12" s="65"/>
      <c r="QMC12" s="4"/>
      <c r="QMD12" s="4"/>
      <c r="QME12" s="4"/>
      <c r="QMH12" s="34"/>
      <c r="QMI12" s="34"/>
      <c r="QMK12" s="34"/>
      <c r="QML12" s="72"/>
      <c r="QMM12" s="63"/>
      <c r="QMN12" s="34"/>
      <c r="QMO12" s="64"/>
      <c r="QMP12" s="4"/>
      <c r="QMQ12" s="65"/>
      <c r="QMR12" s="4"/>
      <c r="QMS12" s="4"/>
      <c r="QMT12" s="4"/>
      <c r="QMW12" s="34"/>
      <c r="QMX12" s="34"/>
      <c r="QMZ12" s="34"/>
      <c r="QNA12" s="72"/>
      <c r="QNB12" s="63"/>
      <c r="QNC12" s="34"/>
      <c r="QND12" s="64"/>
      <c r="QNE12" s="4"/>
      <c r="QNF12" s="65"/>
      <c r="QNG12" s="4"/>
      <c r="QNH12" s="4"/>
      <c r="QNI12" s="4"/>
      <c r="QNL12" s="34"/>
      <c r="QNM12" s="34"/>
      <c r="QNO12" s="34"/>
      <c r="QNP12" s="72"/>
      <c r="QNQ12" s="63"/>
      <c r="QNR12" s="34"/>
      <c r="QNS12" s="64"/>
      <c r="QNT12" s="4"/>
      <c r="QNU12" s="65"/>
      <c r="QNV12" s="4"/>
      <c r="QNW12" s="4"/>
      <c r="QNX12" s="4"/>
      <c r="QOA12" s="34"/>
      <c r="QOB12" s="34"/>
      <c r="QOD12" s="34"/>
      <c r="QOE12" s="72"/>
      <c r="QOF12" s="63"/>
      <c r="QOG12" s="34"/>
      <c r="QOH12" s="64"/>
      <c r="QOI12" s="4"/>
      <c r="QOJ12" s="65"/>
      <c r="QOK12" s="4"/>
      <c r="QOL12" s="4"/>
      <c r="QOM12" s="4"/>
      <c r="QOP12" s="34"/>
      <c r="QOQ12" s="34"/>
      <c r="QOS12" s="34"/>
      <c r="QOT12" s="72"/>
      <c r="QOU12" s="63"/>
      <c r="QOV12" s="34"/>
      <c r="QOW12" s="64"/>
      <c r="QOX12" s="4"/>
      <c r="QOY12" s="65"/>
      <c r="QOZ12" s="4"/>
      <c r="QPA12" s="4"/>
      <c r="QPB12" s="4"/>
      <c r="QPE12" s="34"/>
      <c r="QPF12" s="34"/>
      <c r="QPH12" s="34"/>
      <c r="QPI12" s="72"/>
      <c r="QPJ12" s="63"/>
      <c r="QPK12" s="34"/>
      <c r="QPL12" s="64"/>
      <c r="QPM12" s="4"/>
      <c r="QPN12" s="65"/>
      <c r="QPO12" s="4"/>
      <c r="QPP12" s="4"/>
      <c r="QPQ12" s="4"/>
      <c r="QPT12" s="34"/>
      <c r="QPU12" s="34"/>
      <c r="QPW12" s="34"/>
      <c r="QPX12" s="72"/>
      <c r="QPY12" s="63"/>
      <c r="QPZ12" s="34"/>
      <c r="QQA12" s="64"/>
      <c r="QQB12" s="4"/>
      <c r="QQC12" s="65"/>
      <c r="QQD12" s="4"/>
      <c r="QQE12" s="4"/>
      <c r="QQF12" s="4"/>
      <c r="QQI12" s="34"/>
      <c r="QQJ12" s="34"/>
      <c r="QQL12" s="34"/>
      <c r="QQM12" s="72"/>
      <c r="QQN12" s="63"/>
      <c r="QQO12" s="34"/>
      <c r="QQP12" s="64"/>
      <c r="QQQ12" s="4"/>
      <c r="QQR12" s="65"/>
      <c r="QQS12" s="4"/>
      <c r="QQT12" s="4"/>
      <c r="QQU12" s="4"/>
      <c r="QQX12" s="34"/>
      <c r="QQY12" s="34"/>
      <c r="QRA12" s="34"/>
      <c r="QRB12" s="72"/>
      <c r="QRC12" s="63"/>
      <c r="QRD12" s="34"/>
      <c r="QRE12" s="64"/>
      <c r="QRF12" s="4"/>
      <c r="QRG12" s="65"/>
      <c r="QRH12" s="4"/>
      <c r="QRI12" s="4"/>
      <c r="QRJ12" s="4"/>
      <c r="QRM12" s="34"/>
      <c r="QRN12" s="34"/>
      <c r="QRP12" s="34"/>
      <c r="QRQ12" s="72"/>
      <c r="QRR12" s="63"/>
      <c r="QRS12" s="34"/>
      <c r="QRT12" s="64"/>
      <c r="QRU12" s="4"/>
      <c r="QRV12" s="65"/>
      <c r="QRW12" s="4"/>
      <c r="QRX12" s="4"/>
      <c r="QRY12" s="4"/>
      <c r="QSB12" s="34"/>
      <c r="QSC12" s="34"/>
      <c r="QSE12" s="34"/>
      <c r="QSF12" s="72"/>
      <c r="QSG12" s="63"/>
      <c r="QSH12" s="34"/>
      <c r="QSI12" s="64"/>
      <c r="QSJ12" s="4"/>
      <c r="QSK12" s="65"/>
      <c r="QSL12" s="4"/>
      <c r="QSM12" s="4"/>
      <c r="QSN12" s="4"/>
      <c r="QSQ12" s="34"/>
      <c r="QSR12" s="34"/>
      <c r="QST12" s="34"/>
      <c r="QSU12" s="72"/>
      <c r="QSV12" s="63"/>
      <c r="QSW12" s="34"/>
      <c r="QSX12" s="64"/>
      <c r="QSY12" s="4"/>
      <c r="QSZ12" s="65"/>
      <c r="QTA12" s="4"/>
      <c r="QTB12" s="4"/>
      <c r="QTC12" s="4"/>
      <c r="QTF12" s="34"/>
      <c r="QTG12" s="34"/>
      <c r="QTI12" s="34"/>
      <c r="QTJ12" s="72"/>
      <c r="QTK12" s="63"/>
      <c r="QTL12" s="34"/>
      <c r="QTM12" s="64"/>
      <c r="QTN12" s="4"/>
      <c r="QTO12" s="65"/>
      <c r="QTP12" s="4"/>
      <c r="QTQ12" s="4"/>
      <c r="QTR12" s="4"/>
      <c r="QTU12" s="34"/>
      <c r="QTV12" s="34"/>
      <c r="QTX12" s="34"/>
      <c r="QTY12" s="72"/>
      <c r="QTZ12" s="63"/>
      <c r="QUA12" s="34"/>
      <c r="QUB12" s="64"/>
      <c r="QUC12" s="4"/>
      <c r="QUD12" s="65"/>
      <c r="QUE12" s="4"/>
      <c r="QUF12" s="4"/>
      <c r="QUG12" s="4"/>
      <c r="QUJ12" s="34"/>
      <c r="QUK12" s="34"/>
      <c r="QUM12" s="34"/>
      <c r="QUN12" s="72"/>
      <c r="QUO12" s="63"/>
      <c r="QUP12" s="34"/>
      <c r="QUQ12" s="64"/>
      <c r="QUR12" s="4"/>
      <c r="QUS12" s="65"/>
      <c r="QUT12" s="4"/>
      <c r="QUU12" s="4"/>
      <c r="QUV12" s="4"/>
      <c r="QUY12" s="34"/>
      <c r="QUZ12" s="34"/>
      <c r="QVB12" s="34"/>
      <c r="QVC12" s="72"/>
      <c r="QVD12" s="63"/>
      <c r="QVE12" s="34"/>
      <c r="QVF12" s="64"/>
      <c r="QVG12" s="4"/>
      <c r="QVH12" s="65"/>
      <c r="QVI12" s="4"/>
      <c r="QVJ12" s="4"/>
      <c r="QVK12" s="4"/>
      <c r="QVN12" s="34"/>
      <c r="QVO12" s="34"/>
      <c r="QVQ12" s="34"/>
      <c r="QVR12" s="72"/>
      <c r="QVS12" s="63"/>
      <c r="QVT12" s="34"/>
      <c r="QVU12" s="64"/>
      <c r="QVV12" s="4"/>
      <c r="QVW12" s="65"/>
      <c r="QVX12" s="4"/>
      <c r="QVY12" s="4"/>
      <c r="QVZ12" s="4"/>
      <c r="QWC12" s="34"/>
      <c r="QWD12" s="34"/>
      <c r="QWF12" s="34"/>
      <c r="QWG12" s="72"/>
      <c r="QWH12" s="63"/>
      <c r="QWI12" s="34"/>
      <c r="QWJ12" s="64"/>
      <c r="QWK12" s="4"/>
      <c r="QWL12" s="65"/>
      <c r="QWM12" s="4"/>
      <c r="QWN12" s="4"/>
      <c r="QWO12" s="4"/>
      <c r="QWR12" s="34"/>
      <c r="QWS12" s="34"/>
      <c r="QWU12" s="34"/>
      <c r="QWV12" s="72"/>
      <c r="QWW12" s="63"/>
      <c r="QWX12" s="34"/>
      <c r="QWY12" s="64"/>
      <c r="QWZ12" s="4"/>
      <c r="QXA12" s="65"/>
      <c r="QXB12" s="4"/>
      <c r="QXC12" s="4"/>
      <c r="QXD12" s="4"/>
      <c r="QXG12" s="34"/>
      <c r="QXH12" s="34"/>
      <c r="QXJ12" s="34"/>
      <c r="QXK12" s="72"/>
      <c r="QXL12" s="63"/>
      <c r="QXM12" s="34"/>
      <c r="QXN12" s="64"/>
      <c r="QXO12" s="4"/>
      <c r="QXP12" s="65"/>
      <c r="QXQ12" s="4"/>
      <c r="QXR12" s="4"/>
      <c r="QXS12" s="4"/>
      <c r="QXV12" s="34"/>
      <c r="QXW12" s="34"/>
      <c r="QXY12" s="34"/>
      <c r="QXZ12" s="72"/>
      <c r="QYA12" s="63"/>
      <c r="QYB12" s="34"/>
      <c r="QYC12" s="64"/>
      <c r="QYD12" s="4"/>
      <c r="QYE12" s="65"/>
      <c r="QYF12" s="4"/>
      <c r="QYG12" s="4"/>
      <c r="QYH12" s="4"/>
      <c r="QYK12" s="34"/>
      <c r="QYL12" s="34"/>
      <c r="QYN12" s="34"/>
      <c r="QYO12" s="72"/>
      <c r="QYP12" s="63"/>
      <c r="QYQ12" s="34"/>
      <c r="QYR12" s="64"/>
      <c r="QYS12" s="4"/>
      <c r="QYT12" s="65"/>
      <c r="QYU12" s="4"/>
      <c r="QYV12" s="4"/>
      <c r="QYW12" s="4"/>
      <c r="QYZ12" s="34"/>
      <c r="QZA12" s="34"/>
      <c r="QZC12" s="34"/>
      <c r="QZD12" s="72"/>
      <c r="QZE12" s="63"/>
      <c r="QZF12" s="34"/>
      <c r="QZG12" s="64"/>
      <c r="QZH12" s="4"/>
      <c r="QZI12" s="65"/>
      <c r="QZJ12" s="4"/>
      <c r="QZK12" s="4"/>
      <c r="QZL12" s="4"/>
      <c r="QZO12" s="34"/>
      <c r="QZP12" s="34"/>
      <c r="QZR12" s="34"/>
      <c r="QZS12" s="72"/>
      <c r="QZT12" s="63"/>
      <c r="QZU12" s="34"/>
      <c r="QZV12" s="64"/>
      <c r="QZW12" s="4"/>
      <c r="QZX12" s="65"/>
      <c r="QZY12" s="4"/>
      <c r="QZZ12" s="4"/>
      <c r="RAA12" s="4"/>
      <c r="RAD12" s="34"/>
      <c r="RAE12" s="34"/>
      <c r="RAG12" s="34"/>
      <c r="RAH12" s="72"/>
      <c r="RAI12" s="63"/>
      <c r="RAJ12" s="34"/>
      <c r="RAK12" s="64"/>
      <c r="RAL12" s="4"/>
      <c r="RAM12" s="65"/>
      <c r="RAN12" s="4"/>
      <c r="RAO12" s="4"/>
      <c r="RAP12" s="4"/>
      <c r="RAS12" s="34"/>
      <c r="RAT12" s="34"/>
      <c r="RAV12" s="34"/>
      <c r="RAW12" s="72"/>
      <c r="RAX12" s="63"/>
      <c r="RAY12" s="34"/>
      <c r="RAZ12" s="64"/>
      <c r="RBA12" s="4"/>
      <c r="RBB12" s="65"/>
      <c r="RBC12" s="4"/>
      <c r="RBD12" s="4"/>
      <c r="RBE12" s="4"/>
      <c r="RBH12" s="34"/>
      <c r="RBI12" s="34"/>
      <c r="RBK12" s="34"/>
      <c r="RBL12" s="72"/>
      <c r="RBM12" s="63"/>
      <c r="RBN12" s="34"/>
      <c r="RBO12" s="64"/>
      <c r="RBP12" s="4"/>
      <c r="RBQ12" s="65"/>
      <c r="RBR12" s="4"/>
      <c r="RBS12" s="4"/>
      <c r="RBT12" s="4"/>
      <c r="RBW12" s="34"/>
      <c r="RBX12" s="34"/>
      <c r="RBZ12" s="34"/>
      <c r="RCA12" s="72"/>
      <c r="RCB12" s="63"/>
      <c r="RCC12" s="34"/>
      <c r="RCD12" s="64"/>
      <c r="RCE12" s="4"/>
      <c r="RCF12" s="65"/>
      <c r="RCG12" s="4"/>
      <c r="RCH12" s="4"/>
      <c r="RCI12" s="4"/>
      <c r="RCL12" s="34"/>
      <c r="RCM12" s="34"/>
      <c r="RCO12" s="34"/>
      <c r="RCP12" s="72"/>
      <c r="RCQ12" s="63"/>
      <c r="RCR12" s="34"/>
      <c r="RCS12" s="64"/>
      <c r="RCT12" s="4"/>
      <c r="RCU12" s="65"/>
      <c r="RCV12" s="4"/>
      <c r="RCW12" s="4"/>
      <c r="RCX12" s="4"/>
      <c r="RDA12" s="34"/>
      <c r="RDB12" s="34"/>
      <c r="RDD12" s="34"/>
      <c r="RDE12" s="72"/>
      <c r="RDF12" s="63"/>
      <c r="RDG12" s="34"/>
      <c r="RDH12" s="64"/>
      <c r="RDI12" s="4"/>
      <c r="RDJ12" s="65"/>
      <c r="RDK12" s="4"/>
      <c r="RDL12" s="4"/>
      <c r="RDM12" s="4"/>
      <c r="RDP12" s="34"/>
      <c r="RDQ12" s="34"/>
      <c r="RDS12" s="34"/>
      <c r="RDT12" s="72"/>
      <c r="RDU12" s="63"/>
      <c r="RDV12" s="34"/>
      <c r="RDW12" s="64"/>
      <c r="RDX12" s="4"/>
      <c r="RDY12" s="65"/>
      <c r="RDZ12" s="4"/>
      <c r="REA12" s="4"/>
      <c r="REB12" s="4"/>
      <c r="REE12" s="34"/>
      <c r="REF12" s="34"/>
      <c r="REH12" s="34"/>
      <c r="REI12" s="72"/>
      <c r="REJ12" s="63"/>
      <c r="REK12" s="34"/>
      <c r="REL12" s="64"/>
      <c r="REM12" s="4"/>
      <c r="REN12" s="65"/>
      <c r="REO12" s="4"/>
      <c r="REP12" s="4"/>
      <c r="REQ12" s="4"/>
      <c r="RET12" s="34"/>
      <c r="REU12" s="34"/>
      <c r="REW12" s="34"/>
      <c r="REX12" s="72"/>
      <c r="REY12" s="63"/>
      <c r="REZ12" s="34"/>
      <c r="RFA12" s="64"/>
      <c r="RFB12" s="4"/>
      <c r="RFC12" s="65"/>
      <c r="RFD12" s="4"/>
      <c r="RFE12" s="4"/>
      <c r="RFF12" s="4"/>
      <c r="RFI12" s="34"/>
      <c r="RFJ12" s="34"/>
      <c r="RFL12" s="34"/>
      <c r="RFM12" s="72"/>
      <c r="RFN12" s="63"/>
      <c r="RFO12" s="34"/>
      <c r="RFP12" s="64"/>
      <c r="RFQ12" s="4"/>
      <c r="RFR12" s="65"/>
      <c r="RFS12" s="4"/>
      <c r="RFT12" s="4"/>
      <c r="RFU12" s="4"/>
      <c r="RFX12" s="34"/>
      <c r="RFY12" s="34"/>
      <c r="RGA12" s="34"/>
      <c r="RGB12" s="72"/>
      <c r="RGC12" s="63"/>
      <c r="RGD12" s="34"/>
      <c r="RGE12" s="64"/>
      <c r="RGF12" s="4"/>
      <c r="RGG12" s="65"/>
      <c r="RGH12" s="4"/>
      <c r="RGI12" s="4"/>
      <c r="RGJ12" s="4"/>
      <c r="RGM12" s="34"/>
      <c r="RGN12" s="34"/>
      <c r="RGP12" s="34"/>
      <c r="RGQ12" s="72"/>
      <c r="RGR12" s="63"/>
      <c r="RGS12" s="34"/>
      <c r="RGT12" s="64"/>
      <c r="RGU12" s="4"/>
      <c r="RGV12" s="65"/>
      <c r="RGW12" s="4"/>
      <c r="RGX12" s="4"/>
      <c r="RGY12" s="4"/>
      <c r="RHB12" s="34"/>
      <c r="RHC12" s="34"/>
      <c r="RHE12" s="34"/>
      <c r="RHF12" s="72"/>
      <c r="RHG12" s="63"/>
      <c r="RHH12" s="34"/>
      <c r="RHI12" s="64"/>
      <c r="RHJ12" s="4"/>
      <c r="RHK12" s="65"/>
      <c r="RHL12" s="4"/>
      <c r="RHM12" s="4"/>
      <c r="RHN12" s="4"/>
      <c r="RHQ12" s="34"/>
      <c r="RHR12" s="34"/>
      <c r="RHT12" s="34"/>
      <c r="RHU12" s="72"/>
      <c r="RHV12" s="63"/>
      <c r="RHW12" s="34"/>
      <c r="RHX12" s="64"/>
      <c r="RHY12" s="4"/>
      <c r="RHZ12" s="65"/>
      <c r="RIA12" s="4"/>
      <c r="RIB12" s="4"/>
      <c r="RIC12" s="4"/>
      <c r="RIF12" s="34"/>
      <c r="RIG12" s="34"/>
      <c r="RII12" s="34"/>
      <c r="RIJ12" s="72"/>
      <c r="RIK12" s="63"/>
      <c r="RIL12" s="34"/>
      <c r="RIM12" s="64"/>
      <c r="RIN12" s="4"/>
      <c r="RIO12" s="65"/>
      <c r="RIP12" s="4"/>
      <c r="RIQ12" s="4"/>
      <c r="RIR12" s="4"/>
      <c r="RIU12" s="34"/>
      <c r="RIV12" s="34"/>
      <c r="RIX12" s="34"/>
      <c r="RIY12" s="72"/>
      <c r="RIZ12" s="63"/>
      <c r="RJA12" s="34"/>
      <c r="RJB12" s="64"/>
      <c r="RJC12" s="4"/>
      <c r="RJD12" s="65"/>
      <c r="RJE12" s="4"/>
      <c r="RJF12" s="4"/>
      <c r="RJG12" s="4"/>
      <c r="RJJ12" s="34"/>
      <c r="RJK12" s="34"/>
      <c r="RJM12" s="34"/>
      <c r="RJN12" s="72"/>
      <c r="RJO12" s="63"/>
      <c r="RJP12" s="34"/>
      <c r="RJQ12" s="64"/>
      <c r="RJR12" s="4"/>
      <c r="RJS12" s="65"/>
      <c r="RJT12" s="4"/>
      <c r="RJU12" s="4"/>
      <c r="RJV12" s="4"/>
      <c r="RJY12" s="34"/>
      <c r="RJZ12" s="34"/>
      <c r="RKB12" s="34"/>
      <c r="RKC12" s="72"/>
      <c r="RKD12" s="63"/>
      <c r="RKE12" s="34"/>
      <c r="RKF12" s="64"/>
      <c r="RKG12" s="4"/>
      <c r="RKH12" s="65"/>
      <c r="RKI12" s="4"/>
      <c r="RKJ12" s="4"/>
      <c r="RKK12" s="4"/>
      <c r="RKN12" s="34"/>
      <c r="RKO12" s="34"/>
      <c r="RKQ12" s="34"/>
      <c r="RKR12" s="72"/>
      <c r="RKS12" s="63"/>
      <c r="RKT12" s="34"/>
      <c r="RKU12" s="64"/>
      <c r="RKV12" s="4"/>
      <c r="RKW12" s="65"/>
      <c r="RKX12" s="4"/>
      <c r="RKY12" s="4"/>
      <c r="RKZ12" s="4"/>
      <c r="RLC12" s="34"/>
      <c r="RLD12" s="34"/>
      <c r="RLF12" s="34"/>
      <c r="RLG12" s="72"/>
      <c r="RLH12" s="63"/>
      <c r="RLI12" s="34"/>
      <c r="RLJ12" s="64"/>
      <c r="RLK12" s="4"/>
      <c r="RLL12" s="65"/>
      <c r="RLM12" s="4"/>
      <c r="RLN12" s="4"/>
      <c r="RLO12" s="4"/>
      <c r="RLR12" s="34"/>
      <c r="RLS12" s="34"/>
      <c r="RLU12" s="34"/>
      <c r="RLV12" s="72"/>
      <c r="RLW12" s="63"/>
      <c r="RLX12" s="34"/>
      <c r="RLY12" s="64"/>
      <c r="RLZ12" s="4"/>
      <c r="RMA12" s="65"/>
      <c r="RMB12" s="4"/>
      <c r="RMC12" s="4"/>
      <c r="RMD12" s="4"/>
      <c r="RMG12" s="34"/>
      <c r="RMH12" s="34"/>
      <c r="RMJ12" s="34"/>
      <c r="RMK12" s="72"/>
      <c r="RML12" s="63"/>
      <c r="RMM12" s="34"/>
      <c r="RMN12" s="64"/>
      <c r="RMO12" s="4"/>
      <c r="RMP12" s="65"/>
      <c r="RMQ12" s="4"/>
      <c r="RMR12" s="4"/>
      <c r="RMS12" s="4"/>
      <c r="RMV12" s="34"/>
      <c r="RMW12" s="34"/>
      <c r="RMY12" s="34"/>
      <c r="RMZ12" s="72"/>
      <c r="RNA12" s="63"/>
      <c r="RNB12" s="34"/>
      <c r="RNC12" s="64"/>
      <c r="RND12" s="4"/>
      <c r="RNE12" s="65"/>
      <c r="RNF12" s="4"/>
      <c r="RNG12" s="4"/>
      <c r="RNH12" s="4"/>
      <c r="RNK12" s="34"/>
      <c r="RNL12" s="34"/>
      <c r="RNN12" s="34"/>
      <c r="RNO12" s="72"/>
      <c r="RNP12" s="63"/>
      <c r="RNQ12" s="34"/>
      <c r="RNR12" s="64"/>
      <c r="RNS12" s="4"/>
      <c r="RNT12" s="65"/>
      <c r="RNU12" s="4"/>
      <c r="RNV12" s="4"/>
      <c r="RNW12" s="4"/>
      <c r="RNZ12" s="34"/>
      <c r="ROA12" s="34"/>
      <c r="ROC12" s="34"/>
      <c r="ROD12" s="72"/>
      <c r="ROE12" s="63"/>
      <c r="ROF12" s="34"/>
      <c r="ROG12" s="64"/>
      <c r="ROH12" s="4"/>
      <c r="ROI12" s="65"/>
      <c r="ROJ12" s="4"/>
      <c r="ROK12" s="4"/>
      <c r="ROL12" s="4"/>
      <c r="ROO12" s="34"/>
      <c r="ROP12" s="34"/>
      <c r="ROR12" s="34"/>
      <c r="ROS12" s="72"/>
      <c r="ROT12" s="63"/>
      <c r="ROU12" s="34"/>
      <c r="ROV12" s="64"/>
      <c r="ROW12" s="4"/>
      <c r="ROX12" s="65"/>
      <c r="ROY12" s="4"/>
      <c r="ROZ12" s="4"/>
      <c r="RPA12" s="4"/>
      <c r="RPD12" s="34"/>
      <c r="RPE12" s="34"/>
      <c r="RPG12" s="34"/>
      <c r="RPH12" s="72"/>
      <c r="RPI12" s="63"/>
      <c r="RPJ12" s="34"/>
      <c r="RPK12" s="64"/>
      <c r="RPL12" s="4"/>
      <c r="RPM12" s="65"/>
      <c r="RPN12" s="4"/>
      <c r="RPO12" s="4"/>
      <c r="RPP12" s="4"/>
      <c r="RPS12" s="34"/>
      <c r="RPT12" s="34"/>
      <c r="RPV12" s="34"/>
      <c r="RPW12" s="72"/>
      <c r="RPX12" s="63"/>
      <c r="RPY12" s="34"/>
      <c r="RPZ12" s="64"/>
      <c r="RQA12" s="4"/>
      <c r="RQB12" s="65"/>
      <c r="RQC12" s="4"/>
      <c r="RQD12" s="4"/>
      <c r="RQE12" s="4"/>
      <c r="RQH12" s="34"/>
      <c r="RQI12" s="34"/>
      <c r="RQK12" s="34"/>
      <c r="RQL12" s="72"/>
      <c r="RQM12" s="63"/>
      <c r="RQN12" s="34"/>
      <c r="RQO12" s="64"/>
      <c r="RQP12" s="4"/>
      <c r="RQQ12" s="65"/>
      <c r="RQR12" s="4"/>
      <c r="RQS12" s="4"/>
      <c r="RQT12" s="4"/>
      <c r="RQW12" s="34"/>
      <c r="RQX12" s="34"/>
      <c r="RQZ12" s="34"/>
      <c r="RRA12" s="72"/>
      <c r="RRB12" s="63"/>
      <c r="RRC12" s="34"/>
      <c r="RRD12" s="64"/>
      <c r="RRE12" s="4"/>
      <c r="RRF12" s="65"/>
      <c r="RRG12" s="4"/>
      <c r="RRH12" s="4"/>
      <c r="RRI12" s="4"/>
      <c r="RRL12" s="34"/>
      <c r="RRM12" s="34"/>
      <c r="RRO12" s="34"/>
      <c r="RRP12" s="72"/>
      <c r="RRQ12" s="63"/>
      <c r="RRR12" s="34"/>
      <c r="RRS12" s="64"/>
      <c r="RRT12" s="4"/>
      <c r="RRU12" s="65"/>
      <c r="RRV12" s="4"/>
      <c r="RRW12" s="4"/>
      <c r="RRX12" s="4"/>
      <c r="RSA12" s="34"/>
      <c r="RSB12" s="34"/>
      <c r="RSD12" s="34"/>
      <c r="RSE12" s="72"/>
      <c r="RSF12" s="63"/>
      <c r="RSG12" s="34"/>
      <c r="RSH12" s="64"/>
      <c r="RSI12" s="4"/>
      <c r="RSJ12" s="65"/>
      <c r="RSK12" s="4"/>
      <c r="RSL12" s="4"/>
      <c r="RSM12" s="4"/>
      <c r="RSP12" s="34"/>
      <c r="RSQ12" s="34"/>
      <c r="RSS12" s="34"/>
      <c r="RST12" s="72"/>
      <c r="RSU12" s="63"/>
      <c r="RSV12" s="34"/>
      <c r="RSW12" s="64"/>
      <c r="RSX12" s="4"/>
      <c r="RSY12" s="65"/>
      <c r="RSZ12" s="4"/>
      <c r="RTA12" s="4"/>
      <c r="RTB12" s="4"/>
      <c r="RTE12" s="34"/>
      <c r="RTF12" s="34"/>
      <c r="RTH12" s="34"/>
      <c r="RTI12" s="72"/>
      <c r="RTJ12" s="63"/>
      <c r="RTK12" s="34"/>
      <c r="RTL12" s="64"/>
      <c r="RTM12" s="4"/>
      <c r="RTN12" s="65"/>
      <c r="RTO12" s="4"/>
      <c r="RTP12" s="4"/>
      <c r="RTQ12" s="4"/>
      <c r="RTT12" s="34"/>
      <c r="RTU12" s="34"/>
      <c r="RTW12" s="34"/>
      <c r="RTX12" s="72"/>
      <c r="RTY12" s="63"/>
      <c r="RTZ12" s="34"/>
      <c r="RUA12" s="64"/>
      <c r="RUB12" s="4"/>
      <c r="RUC12" s="65"/>
      <c r="RUD12" s="4"/>
      <c r="RUE12" s="4"/>
      <c r="RUF12" s="4"/>
      <c r="RUI12" s="34"/>
      <c r="RUJ12" s="34"/>
      <c r="RUL12" s="34"/>
      <c r="RUM12" s="72"/>
      <c r="RUN12" s="63"/>
      <c r="RUO12" s="34"/>
      <c r="RUP12" s="64"/>
      <c r="RUQ12" s="4"/>
      <c r="RUR12" s="65"/>
      <c r="RUS12" s="4"/>
      <c r="RUT12" s="4"/>
      <c r="RUU12" s="4"/>
      <c r="RUX12" s="34"/>
      <c r="RUY12" s="34"/>
      <c r="RVA12" s="34"/>
      <c r="RVB12" s="72"/>
      <c r="RVC12" s="63"/>
      <c r="RVD12" s="34"/>
      <c r="RVE12" s="64"/>
      <c r="RVF12" s="4"/>
      <c r="RVG12" s="65"/>
      <c r="RVH12" s="4"/>
      <c r="RVI12" s="4"/>
      <c r="RVJ12" s="4"/>
      <c r="RVM12" s="34"/>
      <c r="RVN12" s="34"/>
      <c r="RVP12" s="34"/>
      <c r="RVQ12" s="72"/>
      <c r="RVR12" s="63"/>
      <c r="RVS12" s="34"/>
      <c r="RVT12" s="64"/>
      <c r="RVU12" s="4"/>
      <c r="RVV12" s="65"/>
      <c r="RVW12" s="4"/>
      <c r="RVX12" s="4"/>
      <c r="RVY12" s="4"/>
      <c r="RWB12" s="34"/>
      <c r="RWC12" s="34"/>
      <c r="RWE12" s="34"/>
      <c r="RWF12" s="72"/>
      <c r="RWG12" s="63"/>
      <c r="RWH12" s="34"/>
      <c r="RWI12" s="64"/>
      <c r="RWJ12" s="4"/>
      <c r="RWK12" s="65"/>
      <c r="RWL12" s="4"/>
      <c r="RWM12" s="4"/>
      <c r="RWN12" s="4"/>
      <c r="RWQ12" s="34"/>
      <c r="RWR12" s="34"/>
      <c r="RWT12" s="34"/>
      <c r="RWU12" s="72"/>
      <c r="RWV12" s="63"/>
      <c r="RWW12" s="34"/>
      <c r="RWX12" s="64"/>
      <c r="RWY12" s="4"/>
      <c r="RWZ12" s="65"/>
      <c r="RXA12" s="4"/>
      <c r="RXB12" s="4"/>
      <c r="RXC12" s="4"/>
      <c r="RXF12" s="34"/>
      <c r="RXG12" s="34"/>
      <c r="RXI12" s="34"/>
      <c r="RXJ12" s="72"/>
      <c r="RXK12" s="63"/>
      <c r="RXL12" s="34"/>
      <c r="RXM12" s="64"/>
      <c r="RXN12" s="4"/>
      <c r="RXO12" s="65"/>
      <c r="RXP12" s="4"/>
      <c r="RXQ12" s="4"/>
      <c r="RXR12" s="4"/>
      <c r="RXU12" s="34"/>
      <c r="RXV12" s="34"/>
      <c r="RXX12" s="34"/>
      <c r="RXY12" s="72"/>
      <c r="RXZ12" s="63"/>
      <c r="RYA12" s="34"/>
      <c r="RYB12" s="64"/>
      <c r="RYC12" s="4"/>
      <c r="RYD12" s="65"/>
      <c r="RYE12" s="4"/>
      <c r="RYF12" s="4"/>
      <c r="RYG12" s="4"/>
      <c r="RYJ12" s="34"/>
      <c r="RYK12" s="34"/>
      <c r="RYM12" s="34"/>
      <c r="RYN12" s="72"/>
      <c r="RYO12" s="63"/>
      <c r="RYP12" s="34"/>
      <c r="RYQ12" s="64"/>
      <c r="RYR12" s="4"/>
      <c r="RYS12" s="65"/>
      <c r="RYT12" s="4"/>
      <c r="RYU12" s="4"/>
      <c r="RYV12" s="4"/>
      <c r="RYY12" s="34"/>
      <c r="RYZ12" s="34"/>
      <c r="RZB12" s="34"/>
      <c r="RZC12" s="72"/>
      <c r="RZD12" s="63"/>
      <c r="RZE12" s="34"/>
      <c r="RZF12" s="64"/>
      <c r="RZG12" s="4"/>
      <c r="RZH12" s="65"/>
      <c r="RZI12" s="4"/>
      <c r="RZJ12" s="4"/>
      <c r="RZK12" s="4"/>
      <c r="RZN12" s="34"/>
      <c r="RZO12" s="34"/>
      <c r="RZQ12" s="34"/>
      <c r="RZR12" s="72"/>
      <c r="RZS12" s="63"/>
      <c r="RZT12" s="34"/>
      <c r="RZU12" s="64"/>
      <c r="RZV12" s="4"/>
      <c r="RZW12" s="65"/>
      <c r="RZX12" s="4"/>
      <c r="RZY12" s="4"/>
      <c r="RZZ12" s="4"/>
      <c r="SAC12" s="34"/>
      <c r="SAD12" s="34"/>
      <c r="SAF12" s="34"/>
      <c r="SAG12" s="72"/>
      <c r="SAH12" s="63"/>
      <c r="SAI12" s="34"/>
      <c r="SAJ12" s="64"/>
      <c r="SAK12" s="4"/>
      <c r="SAL12" s="65"/>
      <c r="SAM12" s="4"/>
      <c r="SAN12" s="4"/>
      <c r="SAO12" s="4"/>
      <c r="SAR12" s="34"/>
      <c r="SAS12" s="34"/>
      <c r="SAU12" s="34"/>
      <c r="SAV12" s="72"/>
      <c r="SAW12" s="63"/>
      <c r="SAX12" s="34"/>
      <c r="SAY12" s="64"/>
      <c r="SAZ12" s="4"/>
      <c r="SBA12" s="65"/>
      <c r="SBB12" s="4"/>
      <c r="SBC12" s="4"/>
      <c r="SBD12" s="4"/>
      <c r="SBG12" s="34"/>
      <c r="SBH12" s="34"/>
      <c r="SBJ12" s="34"/>
      <c r="SBK12" s="72"/>
      <c r="SBL12" s="63"/>
      <c r="SBM12" s="34"/>
      <c r="SBN12" s="64"/>
      <c r="SBO12" s="4"/>
      <c r="SBP12" s="65"/>
      <c r="SBQ12" s="4"/>
      <c r="SBR12" s="4"/>
      <c r="SBS12" s="4"/>
      <c r="SBV12" s="34"/>
      <c r="SBW12" s="34"/>
      <c r="SBY12" s="34"/>
      <c r="SBZ12" s="72"/>
      <c r="SCA12" s="63"/>
      <c r="SCB12" s="34"/>
      <c r="SCC12" s="64"/>
      <c r="SCD12" s="4"/>
      <c r="SCE12" s="65"/>
      <c r="SCF12" s="4"/>
      <c r="SCG12" s="4"/>
      <c r="SCH12" s="4"/>
      <c r="SCK12" s="34"/>
      <c r="SCL12" s="34"/>
      <c r="SCN12" s="34"/>
      <c r="SCO12" s="72"/>
      <c r="SCP12" s="63"/>
      <c r="SCQ12" s="34"/>
      <c r="SCR12" s="64"/>
      <c r="SCS12" s="4"/>
      <c r="SCT12" s="65"/>
      <c r="SCU12" s="4"/>
      <c r="SCV12" s="4"/>
      <c r="SCW12" s="4"/>
      <c r="SCZ12" s="34"/>
      <c r="SDA12" s="34"/>
      <c r="SDC12" s="34"/>
      <c r="SDD12" s="72"/>
      <c r="SDE12" s="63"/>
      <c r="SDF12" s="34"/>
      <c r="SDG12" s="64"/>
      <c r="SDH12" s="4"/>
      <c r="SDI12" s="65"/>
      <c r="SDJ12" s="4"/>
      <c r="SDK12" s="4"/>
      <c r="SDL12" s="4"/>
      <c r="SDO12" s="34"/>
      <c r="SDP12" s="34"/>
      <c r="SDR12" s="34"/>
      <c r="SDS12" s="72"/>
      <c r="SDT12" s="63"/>
      <c r="SDU12" s="34"/>
      <c r="SDV12" s="64"/>
      <c r="SDW12" s="4"/>
      <c r="SDX12" s="65"/>
      <c r="SDY12" s="4"/>
      <c r="SDZ12" s="4"/>
      <c r="SEA12" s="4"/>
      <c r="SED12" s="34"/>
      <c r="SEE12" s="34"/>
      <c r="SEG12" s="34"/>
      <c r="SEH12" s="72"/>
      <c r="SEI12" s="63"/>
      <c r="SEJ12" s="34"/>
      <c r="SEK12" s="64"/>
      <c r="SEL12" s="4"/>
      <c r="SEM12" s="65"/>
      <c r="SEN12" s="4"/>
      <c r="SEO12" s="4"/>
      <c r="SEP12" s="4"/>
      <c r="SES12" s="34"/>
      <c r="SET12" s="34"/>
      <c r="SEV12" s="34"/>
      <c r="SEW12" s="72"/>
      <c r="SEX12" s="63"/>
      <c r="SEY12" s="34"/>
      <c r="SEZ12" s="64"/>
      <c r="SFA12" s="4"/>
      <c r="SFB12" s="65"/>
      <c r="SFC12" s="4"/>
      <c r="SFD12" s="4"/>
      <c r="SFE12" s="4"/>
      <c r="SFH12" s="34"/>
      <c r="SFI12" s="34"/>
      <c r="SFK12" s="34"/>
      <c r="SFL12" s="72"/>
      <c r="SFM12" s="63"/>
      <c r="SFN12" s="34"/>
      <c r="SFO12" s="64"/>
      <c r="SFP12" s="4"/>
      <c r="SFQ12" s="65"/>
      <c r="SFR12" s="4"/>
      <c r="SFS12" s="4"/>
      <c r="SFT12" s="4"/>
      <c r="SFW12" s="34"/>
      <c r="SFX12" s="34"/>
      <c r="SFZ12" s="34"/>
      <c r="SGA12" s="72"/>
      <c r="SGB12" s="63"/>
      <c r="SGC12" s="34"/>
      <c r="SGD12" s="64"/>
      <c r="SGE12" s="4"/>
      <c r="SGF12" s="65"/>
      <c r="SGG12" s="4"/>
      <c r="SGH12" s="4"/>
      <c r="SGI12" s="4"/>
      <c r="SGL12" s="34"/>
      <c r="SGM12" s="34"/>
      <c r="SGO12" s="34"/>
      <c r="SGP12" s="72"/>
      <c r="SGQ12" s="63"/>
      <c r="SGR12" s="34"/>
      <c r="SGS12" s="64"/>
      <c r="SGT12" s="4"/>
      <c r="SGU12" s="65"/>
      <c r="SGV12" s="4"/>
      <c r="SGW12" s="4"/>
      <c r="SGX12" s="4"/>
      <c r="SHA12" s="34"/>
      <c r="SHB12" s="34"/>
      <c r="SHD12" s="34"/>
      <c r="SHE12" s="72"/>
      <c r="SHF12" s="63"/>
      <c r="SHG12" s="34"/>
      <c r="SHH12" s="64"/>
      <c r="SHI12" s="4"/>
      <c r="SHJ12" s="65"/>
      <c r="SHK12" s="4"/>
      <c r="SHL12" s="4"/>
      <c r="SHM12" s="4"/>
      <c r="SHP12" s="34"/>
      <c r="SHQ12" s="34"/>
      <c r="SHS12" s="34"/>
      <c r="SHT12" s="72"/>
      <c r="SHU12" s="63"/>
      <c r="SHV12" s="34"/>
      <c r="SHW12" s="64"/>
      <c r="SHX12" s="4"/>
      <c r="SHY12" s="65"/>
      <c r="SHZ12" s="4"/>
      <c r="SIA12" s="4"/>
      <c r="SIB12" s="4"/>
      <c r="SIE12" s="34"/>
      <c r="SIF12" s="34"/>
      <c r="SIH12" s="34"/>
      <c r="SII12" s="72"/>
      <c r="SIJ12" s="63"/>
      <c r="SIK12" s="34"/>
      <c r="SIL12" s="64"/>
      <c r="SIM12" s="4"/>
      <c r="SIN12" s="65"/>
      <c r="SIO12" s="4"/>
      <c r="SIP12" s="4"/>
      <c r="SIQ12" s="4"/>
      <c r="SIT12" s="34"/>
      <c r="SIU12" s="34"/>
      <c r="SIW12" s="34"/>
      <c r="SIX12" s="72"/>
      <c r="SIY12" s="63"/>
      <c r="SIZ12" s="34"/>
      <c r="SJA12" s="64"/>
      <c r="SJB12" s="4"/>
      <c r="SJC12" s="65"/>
      <c r="SJD12" s="4"/>
      <c r="SJE12" s="4"/>
      <c r="SJF12" s="4"/>
      <c r="SJI12" s="34"/>
      <c r="SJJ12" s="34"/>
      <c r="SJL12" s="34"/>
      <c r="SJM12" s="72"/>
      <c r="SJN12" s="63"/>
      <c r="SJO12" s="34"/>
      <c r="SJP12" s="64"/>
      <c r="SJQ12" s="4"/>
      <c r="SJR12" s="65"/>
      <c r="SJS12" s="4"/>
      <c r="SJT12" s="4"/>
      <c r="SJU12" s="4"/>
      <c r="SJX12" s="34"/>
      <c r="SJY12" s="34"/>
      <c r="SKA12" s="34"/>
      <c r="SKB12" s="72"/>
      <c r="SKC12" s="63"/>
      <c r="SKD12" s="34"/>
      <c r="SKE12" s="64"/>
      <c r="SKF12" s="4"/>
      <c r="SKG12" s="65"/>
      <c r="SKH12" s="4"/>
      <c r="SKI12" s="4"/>
      <c r="SKJ12" s="4"/>
      <c r="SKM12" s="34"/>
      <c r="SKN12" s="34"/>
      <c r="SKP12" s="34"/>
      <c r="SKQ12" s="72"/>
      <c r="SKR12" s="63"/>
      <c r="SKS12" s="34"/>
      <c r="SKT12" s="64"/>
      <c r="SKU12" s="4"/>
      <c r="SKV12" s="65"/>
      <c r="SKW12" s="4"/>
      <c r="SKX12" s="4"/>
      <c r="SKY12" s="4"/>
      <c r="SLB12" s="34"/>
      <c r="SLC12" s="34"/>
      <c r="SLE12" s="34"/>
      <c r="SLF12" s="72"/>
      <c r="SLG12" s="63"/>
      <c r="SLH12" s="34"/>
      <c r="SLI12" s="64"/>
      <c r="SLJ12" s="4"/>
      <c r="SLK12" s="65"/>
      <c r="SLL12" s="4"/>
      <c r="SLM12" s="4"/>
      <c r="SLN12" s="4"/>
      <c r="SLQ12" s="34"/>
      <c r="SLR12" s="34"/>
      <c r="SLT12" s="34"/>
      <c r="SLU12" s="72"/>
      <c r="SLV12" s="63"/>
      <c r="SLW12" s="34"/>
      <c r="SLX12" s="64"/>
      <c r="SLY12" s="4"/>
      <c r="SLZ12" s="65"/>
      <c r="SMA12" s="4"/>
      <c r="SMB12" s="4"/>
      <c r="SMC12" s="4"/>
      <c r="SMF12" s="34"/>
      <c r="SMG12" s="34"/>
      <c r="SMI12" s="34"/>
      <c r="SMJ12" s="72"/>
      <c r="SMK12" s="63"/>
      <c r="SML12" s="34"/>
      <c r="SMM12" s="64"/>
      <c r="SMN12" s="4"/>
      <c r="SMO12" s="65"/>
      <c r="SMP12" s="4"/>
      <c r="SMQ12" s="4"/>
      <c r="SMR12" s="4"/>
      <c r="SMU12" s="34"/>
      <c r="SMV12" s="34"/>
      <c r="SMX12" s="34"/>
      <c r="SMY12" s="72"/>
      <c r="SMZ12" s="63"/>
      <c r="SNA12" s="34"/>
      <c r="SNB12" s="64"/>
      <c r="SNC12" s="4"/>
      <c r="SND12" s="65"/>
      <c r="SNE12" s="4"/>
      <c r="SNF12" s="4"/>
      <c r="SNG12" s="4"/>
      <c r="SNJ12" s="34"/>
      <c r="SNK12" s="34"/>
      <c r="SNM12" s="34"/>
      <c r="SNN12" s="72"/>
      <c r="SNO12" s="63"/>
      <c r="SNP12" s="34"/>
      <c r="SNQ12" s="64"/>
      <c r="SNR12" s="4"/>
      <c r="SNS12" s="65"/>
      <c r="SNT12" s="4"/>
      <c r="SNU12" s="4"/>
      <c r="SNV12" s="4"/>
      <c r="SNY12" s="34"/>
      <c r="SNZ12" s="34"/>
      <c r="SOB12" s="34"/>
      <c r="SOC12" s="72"/>
      <c r="SOD12" s="63"/>
      <c r="SOE12" s="34"/>
      <c r="SOF12" s="64"/>
      <c r="SOG12" s="4"/>
      <c r="SOH12" s="65"/>
      <c r="SOI12" s="4"/>
      <c r="SOJ12" s="4"/>
      <c r="SOK12" s="4"/>
      <c r="SON12" s="34"/>
      <c r="SOO12" s="34"/>
      <c r="SOQ12" s="34"/>
      <c r="SOR12" s="72"/>
      <c r="SOS12" s="63"/>
      <c r="SOT12" s="34"/>
      <c r="SOU12" s="64"/>
      <c r="SOV12" s="4"/>
      <c r="SOW12" s="65"/>
      <c r="SOX12" s="4"/>
      <c r="SOY12" s="4"/>
      <c r="SOZ12" s="4"/>
      <c r="SPC12" s="34"/>
      <c r="SPD12" s="34"/>
      <c r="SPF12" s="34"/>
      <c r="SPG12" s="72"/>
      <c r="SPH12" s="63"/>
      <c r="SPI12" s="34"/>
      <c r="SPJ12" s="64"/>
      <c r="SPK12" s="4"/>
      <c r="SPL12" s="65"/>
      <c r="SPM12" s="4"/>
      <c r="SPN12" s="4"/>
      <c r="SPO12" s="4"/>
      <c r="SPR12" s="34"/>
      <c r="SPS12" s="34"/>
      <c r="SPU12" s="34"/>
      <c r="SPV12" s="72"/>
      <c r="SPW12" s="63"/>
      <c r="SPX12" s="34"/>
      <c r="SPY12" s="64"/>
      <c r="SPZ12" s="4"/>
      <c r="SQA12" s="65"/>
      <c r="SQB12" s="4"/>
      <c r="SQC12" s="4"/>
      <c r="SQD12" s="4"/>
      <c r="SQG12" s="34"/>
      <c r="SQH12" s="34"/>
      <c r="SQJ12" s="34"/>
      <c r="SQK12" s="72"/>
      <c r="SQL12" s="63"/>
      <c r="SQM12" s="34"/>
      <c r="SQN12" s="64"/>
      <c r="SQO12" s="4"/>
      <c r="SQP12" s="65"/>
      <c r="SQQ12" s="4"/>
      <c r="SQR12" s="4"/>
      <c r="SQS12" s="4"/>
      <c r="SQV12" s="34"/>
      <c r="SQW12" s="34"/>
      <c r="SQY12" s="34"/>
      <c r="SQZ12" s="72"/>
      <c r="SRA12" s="63"/>
      <c r="SRB12" s="34"/>
      <c r="SRC12" s="64"/>
      <c r="SRD12" s="4"/>
      <c r="SRE12" s="65"/>
      <c r="SRF12" s="4"/>
      <c r="SRG12" s="4"/>
      <c r="SRH12" s="4"/>
      <c r="SRK12" s="34"/>
      <c r="SRL12" s="34"/>
      <c r="SRN12" s="34"/>
      <c r="SRO12" s="72"/>
      <c r="SRP12" s="63"/>
      <c r="SRQ12" s="34"/>
      <c r="SRR12" s="64"/>
      <c r="SRS12" s="4"/>
      <c r="SRT12" s="65"/>
      <c r="SRU12" s="4"/>
      <c r="SRV12" s="4"/>
      <c r="SRW12" s="4"/>
      <c r="SRZ12" s="34"/>
      <c r="SSA12" s="34"/>
      <c r="SSC12" s="34"/>
      <c r="SSD12" s="72"/>
      <c r="SSE12" s="63"/>
      <c r="SSF12" s="34"/>
      <c r="SSG12" s="64"/>
      <c r="SSH12" s="4"/>
      <c r="SSI12" s="65"/>
      <c r="SSJ12" s="4"/>
      <c r="SSK12" s="4"/>
      <c r="SSL12" s="4"/>
      <c r="SSO12" s="34"/>
      <c r="SSP12" s="34"/>
      <c r="SSR12" s="34"/>
      <c r="SSS12" s="72"/>
      <c r="SST12" s="63"/>
      <c r="SSU12" s="34"/>
      <c r="SSV12" s="64"/>
      <c r="SSW12" s="4"/>
      <c r="SSX12" s="65"/>
      <c r="SSY12" s="4"/>
      <c r="SSZ12" s="4"/>
      <c r="STA12" s="4"/>
      <c r="STD12" s="34"/>
      <c r="STE12" s="34"/>
      <c r="STG12" s="34"/>
      <c r="STH12" s="72"/>
      <c r="STI12" s="63"/>
      <c r="STJ12" s="34"/>
      <c r="STK12" s="64"/>
      <c r="STL12" s="4"/>
      <c r="STM12" s="65"/>
      <c r="STN12" s="4"/>
      <c r="STO12" s="4"/>
      <c r="STP12" s="4"/>
      <c r="STS12" s="34"/>
      <c r="STT12" s="34"/>
      <c r="STV12" s="34"/>
      <c r="STW12" s="72"/>
      <c r="STX12" s="63"/>
      <c r="STY12" s="34"/>
      <c r="STZ12" s="64"/>
      <c r="SUA12" s="4"/>
      <c r="SUB12" s="65"/>
      <c r="SUC12" s="4"/>
      <c r="SUD12" s="4"/>
      <c r="SUE12" s="4"/>
      <c r="SUH12" s="34"/>
      <c r="SUI12" s="34"/>
      <c r="SUK12" s="34"/>
      <c r="SUL12" s="72"/>
      <c r="SUM12" s="63"/>
      <c r="SUN12" s="34"/>
      <c r="SUO12" s="64"/>
      <c r="SUP12" s="4"/>
      <c r="SUQ12" s="65"/>
      <c r="SUR12" s="4"/>
      <c r="SUS12" s="4"/>
      <c r="SUT12" s="4"/>
      <c r="SUW12" s="34"/>
      <c r="SUX12" s="34"/>
      <c r="SUZ12" s="34"/>
      <c r="SVA12" s="72"/>
      <c r="SVB12" s="63"/>
      <c r="SVC12" s="34"/>
      <c r="SVD12" s="64"/>
      <c r="SVE12" s="4"/>
      <c r="SVF12" s="65"/>
      <c r="SVG12" s="4"/>
      <c r="SVH12" s="4"/>
      <c r="SVI12" s="4"/>
      <c r="SVL12" s="34"/>
      <c r="SVM12" s="34"/>
      <c r="SVO12" s="34"/>
      <c r="SVP12" s="72"/>
      <c r="SVQ12" s="63"/>
      <c r="SVR12" s="34"/>
      <c r="SVS12" s="64"/>
      <c r="SVT12" s="4"/>
      <c r="SVU12" s="65"/>
      <c r="SVV12" s="4"/>
      <c r="SVW12" s="4"/>
      <c r="SVX12" s="4"/>
      <c r="SWA12" s="34"/>
      <c r="SWB12" s="34"/>
      <c r="SWD12" s="34"/>
      <c r="SWE12" s="72"/>
      <c r="SWF12" s="63"/>
      <c r="SWG12" s="34"/>
      <c r="SWH12" s="64"/>
      <c r="SWI12" s="4"/>
      <c r="SWJ12" s="65"/>
      <c r="SWK12" s="4"/>
      <c r="SWL12" s="4"/>
      <c r="SWM12" s="4"/>
      <c r="SWP12" s="34"/>
      <c r="SWQ12" s="34"/>
      <c r="SWS12" s="34"/>
      <c r="SWT12" s="72"/>
      <c r="SWU12" s="63"/>
      <c r="SWV12" s="34"/>
      <c r="SWW12" s="64"/>
      <c r="SWX12" s="4"/>
      <c r="SWY12" s="65"/>
      <c r="SWZ12" s="4"/>
      <c r="SXA12" s="4"/>
      <c r="SXB12" s="4"/>
      <c r="SXE12" s="34"/>
      <c r="SXF12" s="34"/>
      <c r="SXH12" s="34"/>
      <c r="SXI12" s="72"/>
      <c r="SXJ12" s="63"/>
      <c r="SXK12" s="34"/>
      <c r="SXL12" s="64"/>
      <c r="SXM12" s="4"/>
      <c r="SXN12" s="65"/>
      <c r="SXO12" s="4"/>
      <c r="SXP12" s="4"/>
      <c r="SXQ12" s="4"/>
      <c r="SXT12" s="34"/>
      <c r="SXU12" s="34"/>
      <c r="SXW12" s="34"/>
      <c r="SXX12" s="72"/>
      <c r="SXY12" s="63"/>
      <c r="SXZ12" s="34"/>
      <c r="SYA12" s="64"/>
      <c r="SYB12" s="4"/>
      <c r="SYC12" s="65"/>
      <c r="SYD12" s="4"/>
      <c r="SYE12" s="4"/>
      <c r="SYF12" s="4"/>
      <c r="SYI12" s="34"/>
      <c r="SYJ12" s="34"/>
      <c r="SYL12" s="34"/>
      <c r="SYM12" s="72"/>
      <c r="SYN12" s="63"/>
      <c r="SYO12" s="34"/>
      <c r="SYP12" s="64"/>
      <c r="SYQ12" s="4"/>
      <c r="SYR12" s="65"/>
      <c r="SYS12" s="4"/>
      <c r="SYT12" s="4"/>
      <c r="SYU12" s="4"/>
      <c r="SYX12" s="34"/>
      <c r="SYY12" s="34"/>
      <c r="SZA12" s="34"/>
      <c r="SZB12" s="72"/>
      <c r="SZC12" s="63"/>
      <c r="SZD12" s="34"/>
      <c r="SZE12" s="64"/>
      <c r="SZF12" s="4"/>
      <c r="SZG12" s="65"/>
      <c r="SZH12" s="4"/>
      <c r="SZI12" s="4"/>
      <c r="SZJ12" s="4"/>
      <c r="SZM12" s="34"/>
      <c r="SZN12" s="34"/>
      <c r="SZP12" s="34"/>
      <c r="SZQ12" s="72"/>
      <c r="SZR12" s="63"/>
      <c r="SZS12" s="34"/>
      <c r="SZT12" s="64"/>
      <c r="SZU12" s="4"/>
      <c r="SZV12" s="65"/>
      <c r="SZW12" s="4"/>
      <c r="SZX12" s="4"/>
      <c r="SZY12" s="4"/>
      <c r="TAB12" s="34"/>
      <c r="TAC12" s="34"/>
      <c r="TAE12" s="34"/>
      <c r="TAF12" s="72"/>
      <c r="TAG12" s="63"/>
      <c r="TAH12" s="34"/>
      <c r="TAI12" s="64"/>
      <c r="TAJ12" s="4"/>
      <c r="TAK12" s="65"/>
      <c r="TAL12" s="4"/>
      <c r="TAM12" s="4"/>
      <c r="TAN12" s="4"/>
      <c r="TAQ12" s="34"/>
      <c r="TAR12" s="34"/>
      <c r="TAT12" s="34"/>
      <c r="TAU12" s="72"/>
      <c r="TAV12" s="63"/>
      <c r="TAW12" s="34"/>
      <c r="TAX12" s="64"/>
      <c r="TAY12" s="4"/>
      <c r="TAZ12" s="65"/>
      <c r="TBA12" s="4"/>
      <c r="TBB12" s="4"/>
      <c r="TBC12" s="4"/>
      <c r="TBF12" s="34"/>
      <c r="TBG12" s="34"/>
      <c r="TBI12" s="34"/>
      <c r="TBJ12" s="72"/>
      <c r="TBK12" s="63"/>
      <c r="TBL12" s="34"/>
      <c r="TBM12" s="64"/>
      <c r="TBN12" s="4"/>
      <c r="TBO12" s="65"/>
      <c r="TBP12" s="4"/>
      <c r="TBQ12" s="4"/>
      <c r="TBR12" s="4"/>
      <c r="TBU12" s="34"/>
      <c r="TBV12" s="34"/>
      <c r="TBX12" s="34"/>
      <c r="TBY12" s="72"/>
      <c r="TBZ12" s="63"/>
      <c r="TCA12" s="34"/>
      <c r="TCB12" s="64"/>
      <c r="TCC12" s="4"/>
      <c r="TCD12" s="65"/>
      <c r="TCE12" s="4"/>
      <c r="TCF12" s="4"/>
      <c r="TCG12" s="4"/>
      <c r="TCJ12" s="34"/>
      <c r="TCK12" s="34"/>
      <c r="TCM12" s="34"/>
      <c r="TCN12" s="72"/>
      <c r="TCO12" s="63"/>
      <c r="TCP12" s="34"/>
      <c r="TCQ12" s="64"/>
      <c r="TCR12" s="4"/>
      <c r="TCS12" s="65"/>
      <c r="TCT12" s="4"/>
      <c r="TCU12" s="4"/>
      <c r="TCV12" s="4"/>
      <c r="TCY12" s="34"/>
      <c r="TCZ12" s="34"/>
      <c r="TDB12" s="34"/>
      <c r="TDC12" s="72"/>
      <c r="TDD12" s="63"/>
      <c r="TDE12" s="34"/>
      <c r="TDF12" s="64"/>
      <c r="TDG12" s="4"/>
      <c r="TDH12" s="65"/>
      <c r="TDI12" s="4"/>
      <c r="TDJ12" s="4"/>
      <c r="TDK12" s="4"/>
      <c r="TDN12" s="34"/>
      <c r="TDO12" s="34"/>
      <c r="TDQ12" s="34"/>
      <c r="TDR12" s="72"/>
      <c r="TDS12" s="63"/>
      <c r="TDT12" s="34"/>
      <c r="TDU12" s="64"/>
      <c r="TDV12" s="4"/>
      <c r="TDW12" s="65"/>
      <c r="TDX12" s="4"/>
      <c r="TDY12" s="4"/>
      <c r="TDZ12" s="4"/>
      <c r="TEC12" s="34"/>
      <c r="TED12" s="34"/>
      <c r="TEF12" s="34"/>
      <c r="TEG12" s="72"/>
      <c r="TEH12" s="63"/>
      <c r="TEI12" s="34"/>
      <c r="TEJ12" s="64"/>
      <c r="TEK12" s="4"/>
      <c r="TEL12" s="65"/>
      <c r="TEM12" s="4"/>
      <c r="TEN12" s="4"/>
      <c r="TEO12" s="4"/>
      <c r="TER12" s="34"/>
      <c r="TES12" s="34"/>
      <c r="TEU12" s="34"/>
      <c r="TEV12" s="72"/>
      <c r="TEW12" s="63"/>
      <c r="TEX12" s="34"/>
      <c r="TEY12" s="64"/>
      <c r="TEZ12" s="4"/>
      <c r="TFA12" s="65"/>
      <c r="TFB12" s="4"/>
      <c r="TFC12" s="4"/>
      <c r="TFD12" s="4"/>
      <c r="TFG12" s="34"/>
      <c r="TFH12" s="34"/>
      <c r="TFJ12" s="34"/>
      <c r="TFK12" s="72"/>
      <c r="TFL12" s="63"/>
      <c r="TFM12" s="34"/>
      <c r="TFN12" s="64"/>
      <c r="TFO12" s="4"/>
      <c r="TFP12" s="65"/>
      <c r="TFQ12" s="4"/>
      <c r="TFR12" s="4"/>
      <c r="TFS12" s="4"/>
      <c r="TFV12" s="34"/>
      <c r="TFW12" s="34"/>
      <c r="TFY12" s="34"/>
      <c r="TFZ12" s="72"/>
      <c r="TGA12" s="63"/>
      <c r="TGB12" s="34"/>
      <c r="TGC12" s="64"/>
      <c r="TGD12" s="4"/>
      <c r="TGE12" s="65"/>
      <c r="TGF12" s="4"/>
      <c r="TGG12" s="4"/>
      <c r="TGH12" s="4"/>
      <c r="TGK12" s="34"/>
      <c r="TGL12" s="34"/>
      <c r="TGN12" s="34"/>
      <c r="TGO12" s="72"/>
      <c r="TGP12" s="63"/>
      <c r="TGQ12" s="34"/>
      <c r="TGR12" s="64"/>
      <c r="TGS12" s="4"/>
      <c r="TGT12" s="65"/>
      <c r="TGU12" s="4"/>
      <c r="TGV12" s="4"/>
      <c r="TGW12" s="4"/>
      <c r="TGZ12" s="34"/>
      <c r="THA12" s="34"/>
      <c r="THC12" s="34"/>
      <c r="THD12" s="72"/>
      <c r="THE12" s="63"/>
      <c r="THF12" s="34"/>
      <c r="THG12" s="64"/>
      <c r="THH12" s="4"/>
      <c r="THI12" s="65"/>
      <c r="THJ12" s="4"/>
      <c r="THK12" s="4"/>
      <c r="THL12" s="4"/>
      <c r="THO12" s="34"/>
      <c r="THP12" s="34"/>
      <c r="THR12" s="34"/>
      <c r="THS12" s="72"/>
      <c r="THT12" s="63"/>
      <c r="THU12" s="34"/>
      <c r="THV12" s="64"/>
      <c r="THW12" s="4"/>
      <c r="THX12" s="65"/>
      <c r="THY12" s="4"/>
      <c r="THZ12" s="4"/>
      <c r="TIA12" s="4"/>
      <c r="TID12" s="34"/>
      <c r="TIE12" s="34"/>
      <c r="TIG12" s="34"/>
      <c r="TIH12" s="72"/>
      <c r="TII12" s="63"/>
      <c r="TIJ12" s="34"/>
      <c r="TIK12" s="64"/>
      <c r="TIL12" s="4"/>
      <c r="TIM12" s="65"/>
      <c r="TIN12" s="4"/>
      <c r="TIO12" s="4"/>
      <c r="TIP12" s="4"/>
      <c r="TIS12" s="34"/>
      <c r="TIT12" s="34"/>
      <c r="TIV12" s="34"/>
      <c r="TIW12" s="72"/>
      <c r="TIX12" s="63"/>
      <c r="TIY12" s="34"/>
      <c r="TIZ12" s="64"/>
      <c r="TJA12" s="4"/>
      <c r="TJB12" s="65"/>
      <c r="TJC12" s="4"/>
      <c r="TJD12" s="4"/>
      <c r="TJE12" s="4"/>
      <c r="TJH12" s="34"/>
      <c r="TJI12" s="34"/>
      <c r="TJK12" s="34"/>
      <c r="TJL12" s="72"/>
      <c r="TJM12" s="63"/>
      <c r="TJN12" s="34"/>
      <c r="TJO12" s="64"/>
      <c r="TJP12" s="4"/>
      <c r="TJQ12" s="65"/>
      <c r="TJR12" s="4"/>
      <c r="TJS12" s="4"/>
      <c r="TJT12" s="4"/>
      <c r="TJW12" s="34"/>
      <c r="TJX12" s="34"/>
      <c r="TJZ12" s="34"/>
      <c r="TKA12" s="72"/>
      <c r="TKB12" s="63"/>
      <c r="TKC12" s="34"/>
      <c r="TKD12" s="64"/>
      <c r="TKE12" s="4"/>
      <c r="TKF12" s="65"/>
      <c r="TKG12" s="4"/>
      <c r="TKH12" s="4"/>
      <c r="TKI12" s="4"/>
      <c r="TKL12" s="34"/>
      <c r="TKM12" s="34"/>
      <c r="TKO12" s="34"/>
      <c r="TKP12" s="72"/>
      <c r="TKQ12" s="63"/>
      <c r="TKR12" s="34"/>
      <c r="TKS12" s="64"/>
      <c r="TKT12" s="4"/>
      <c r="TKU12" s="65"/>
      <c r="TKV12" s="4"/>
      <c r="TKW12" s="4"/>
      <c r="TKX12" s="4"/>
      <c r="TLA12" s="34"/>
      <c r="TLB12" s="34"/>
      <c r="TLD12" s="34"/>
      <c r="TLE12" s="72"/>
      <c r="TLF12" s="63"/>
      <c r="TLG12" s="34"/>
      <c r="TLH12" s="64"/>
      <c r="TLI12" s="4"/>
      <c r="TLJ12" s="65"/>
      <c r="TLK12" s="4"/>
      <c r="TLL12" s="4"/>
      <c r="TLM12" s="4"/>
      <c r="TLP12" s="34"/>
      <c r="TLQ12" s="34"/>
      <c r="TLS12" s="34"/>
      <c r="TLT12" s="72"/>
      <c r="TLU12" s="63"/>
      <c r="TLV12" s="34"/>
      <c r="TLW12" s="64"/>
      <c r="TLX12" s="4"/>
      <c r="TLY12" s="65"/>
      <c r="TLZ12" s="4"/>
      <c r="TMA12" s="4"/>
      <c r="TMB12" s="4"/>
      <c r="TME12" s="34"/>
      <c r="TMF12" s="34"/>
      <c r="TMH12" s="34"/>
      <c r="TMI12" s="72"/>
      <c r="TMJ12" s="63"/>
      <c r="TMK12" s="34"/>
      <c r="TML12" s="64"/>
      <c r="TMM12" s="4"/>
      <c r="TMN12" s="65"/>
      <c r="TMO12" s="4"/>
      <c r="TMP12" s="4"/>
      <c r="TMQ12" s="4"/>
      <c r="TMT12" s="34"/>
      <c r="TMU12" s="34"/>
      <c r="TMW12" s="34"/>
      <c r="TMX12" s="72"/>
      <c r="TMY12" s="63"/>
      <c r="TMZ12" s="34"/>
      <c r="TNA12" s="64"/>
      <c r="TNB12" s="4"/>
      <c r="TNC12" s="65"/>
      <c r="TND12" s="4"/>
      <c r="TNE12" s="4"/>
      <c r="TNF12" s="4"/>
      <c r="TNI12" s="34"/>
      <c r="TNJ12" s="34"/>
      <c r="TNL12" s="34"/>
      <c r="TNM12" s="72"/>
      <c r="TNN12" s="63"/>
      <c r="TNO12" s="34"/>
      <c r="TNP12" s="64"/>
      <c r="TNQ12" s="4"/>
      <c r="TNR12" s="65"/>
      <c r="TNS12" s="4"/>
      <c r="TNT12" s="4"/>
      <c r="TNU12" s="4"/>
      <c r="TNX12" s="34"/>
      <c r="TNY12" s="34"/>
      <c r="TOA12" s="34"/>
      <c r="TOB12" s="72"/>
      <c r="TOC12" s="63"/>
      <c r="TOD12" s="34"/>
      <c r="TOE12" s="64"/>
      <c r="TOF12" s="4"/>
      <c r="TOG12" s="65"/>
      <c r="TOH12" s="4"/>
      <c r="TOI12" s="4"/>
      <c r="TOJ12" s="4"/>
      <c r="TOM12" s="34"/>
      <c r="TON12" s="34"/>
      <c r="TOP12" s="34"/>
      <c r="TOQ12" s="72"/>
      <c r="TOR12" s="63"/>
      <c r="TOS12" s="34"/>
      <c r="TOT12" s="64"/>
      <c r="TOU12" s="4"/>
      <c r="TOV12" s="65"/>
      <c r="TOW12" s="4"/>
      <c r="TOX12" s="4"/>
      <c r="TOY12" s="4"/>
      <c r="TPB12" s="34"/>
      <c r="TPC12" s="34"/>
      <c r="TPE12" s="34"/>
      <c r="TPF12" s="72"/>
      <c r="TPG12" s="63"/>
      <c r="TPH12" s="34"/>
      <c r="TPI12" s="64"/>
      <c r="TPJ12" s="4"/>
      <c r="TPK12" s="65"/>
      <c r="TPL12" s="4"/>
      <c r="TPM12" s="4"/>
      <c r="TPN12" s="4"/>
      <c r="TPQ12" s="34"/>
      <c r="TPR12" s="34"/>
      <c r="TPT12" s="34"/>
      <c r="TPU12" s="72"/>
      <c r="TPV12" s="63"/>
      <c r="TPW12" s="34"/>
      <c r="TPX12" s="64"/>
      <c r="TPY12" s="4"/>
      <c r="TPZ12" s="65"/>
      <c r="TQA12" s="4"/>
      <c r="TQB12" s="4"/>
      <c r="TQC12" s="4"/>
      <c r="TQF12" s="34"/>
      <c r="TQG12" s="34"/>
      <c r="TQI12" s="34"/>
      <c r="TQJ12" s="72"/>
      <c r="TQK12" s="63"/>
      <c r="TQL12" s="34"/>
      <c r="TQM12" s="64"/>
      <c r="TQN12" s="4"/>
      <c r="TQO12" s="65"/>
      <c r="TQP12" s="4"/>
      <c r="TQQ12" s="4"/>
      <c r="TQR12" s="4"/>
      <c r="TQU12" s="34"/>
      <c r="TQV12" s="34"/>
      <c r="TQX12" s="34"/>
      <c r="TQY12" s="72"/>
      <c r="TQZ12" s="63"/>
      <c r="TRA12" s="34"/>
      <c r="TRB12" s="64"/>
      <c r="TRC12" s="4"/>
      <c r="TRD12" s="65"/>
      <c r="TRE12" s="4"/>
      <c r="TRF12" s="4"/>
      <c r="TRG12" s="4"/>
      <c r="TRJ12" s="34"/>
      <c r="TRK12" s="34"/>
      <c r="TRM12" s="34"/>
      <c r="TRN12" s="72"/>
      <c r="TRO12" s="63"/>
      <c r="TRP12" s="34"/>
      <c r="TRQ12" s="64"/>
      <c r="TRR12" s="4"/>
      <c r="TRS12" s="65"/>
      <c r="TRT12" s="4"/>
      <c r="TRU12" s="4"/>
      <c r="TRV12" s="4"/>
      <c r="TRY12" s="34"/>
      <c r="TRZ12" s="34"/>
      <c r="TSB12" s="34"/>
      <c r="TSC12" s="72"/>
      <c r="TSD12" s="63"/>
      <c r="TSE12" s="34"/>
      <c r="TSF12" s="64"/>
      <c r="TSG12" s="4"/>
      <c r="TSH12" s="65"/>
      <c r="TSI12" s="4"/>
      <c r="TSJ12" s="4"/>
      <c r="TSK12" s="4"/>
      <c r="TSN12" s="34"/>
      <c r="TSO12" s="34"/>
      <c r="TSQ12" s="34"/>
      <c r="TSR12" s="72"/>
      <c r="TSS12" s="63"/>
      <c r="TST12" s="34"/>
      <c r="TSU12" s="64"/>
      <c r="TSV12" s="4"/>
      <c r="TSW12" s="65"/>
      <c r="TSX12" s="4"/>
      <c r="TSY12" s="4"/>
      <c r="TSZ12" s="4"/>
      <c r="TTC12" s="34"/>
      <c r="TTD12" s="34"/>
      <c r="TTF12" s="34"/>
      <c r="TTG12" s="72"/>
      <c r="TTH12" s="63"/>
      <c r="TTI12" s="34"/>
      <c r="TTJ12" s="64"/>
      <c r="TTK12" s="4"/>
      <c r="TTL12" s="65"/>
      <c r="TTM12" s="4"/>
      <c r="TTN12" s="4"/>
      <c r="TTO12" s="4"/>
      <c r="TTR12" s="34"/>
      <c r="TTS12" s="34"/>
      <c r="TTU12" s="34"/>
      <c r="TTV12" s="72"/>
      <c r="TTW12" s="63"/>
      <c r="TTX12" s="34"/>
      <c r="TTY12" s="64"/>
      <c r="TTZ12" s="4"/>
      <c r="TUA12" s="65"/>
      <c r="TUB12" s="4"/>
      <c r="TUC12" s="4"/>
      <c r="TUD12" s="4"/>
      <c r="TUG12" s="34"/>
      <c r="TUH12" s="34"/>
      <c r="TUJ12" s="34"/>
      <c r="TUK12" s="72"/>
      <c r="TUL12" s="63"/>
      <c r="TUM12" s="34"/>
      <c r="TUN12" s="64"/>
      <c r="TUO12" s="4"/>
      <c r="TUP12" s="65"/>
      <c r="TUQ12" s="4"/>
      <c r="TUR12" s="4"/>
      <c r="TUS12" s="4"/>
      <c r="TUV12" s="34"/>
      <c r="TUW12" s="34"/>
      <c r="TUY12" s="34"/>
      <c r="TUZ12" s="72"/>
      <c r="TVA12" s="63"/>
      <c r="TVB12" s="34"/>
      <c r="TVC12" s="64"/>
      <c r="TVD12" s="4"/>
      <c r="TVE12" s="65"/>
      <c r="TVF12" s="4"/>
      <c r="TVG12" s="4"/>
      <c r="TVH12" s="4"/>
      <c r="TVK12" s="34"/>
      <c r="TVL12" s="34"/>
      <c r="TVN12" s="34"/>
      <c r="TVO12" s="72"/>
      <c r="TVP12" s="63"/>
      <c r="TVQ12" s="34"/>
      <c r="TVR12" s="64"/>
      <c r="TVS12" s="4"/>
      <c r="TVT12" s="65"/>
      <c r="TVU12" s="4"/>
      <c r="TVV12" s="4"/>
      <c r="TVW12" s="4"/>
      <c r="TVZ12" s="34"/>
      <c r="TWA12" s="34"/>
      <c r="TWC12" s="34"/>
      <c r="TWD12" s="72"/>
      <c r="TWE12" s="63"/>
      <c r="TWF12" s="34"/>
      <c r="TWG12" s="64"/>
      <c r="TWH12" s="4"/>
      <c r="TWI12" s="65"/>
      <c r="TWJ12" s="4"/>
      <c r="TWK12" s="4"/>
      <c r="TWL12" s="4"/>
      <c r="TWO12" s="34"/>
      <c r="TWP12" s="34"/>
      <c r="TWR12" s="34"/>
      <c r="TWS12" s="72"/>
      <c r="TWT12" s="63"/>
      <c r="TWU12" s="34"/>
      <c r="TWV12" s="64"/>
      <c r="TWW12" s="4"/>
      <c r="TWX12" s="65"/>
      <c r="TWY12" s="4"/>
      <c r="TWZ12" s="4"/>
      <c r="TXA12" s="4"/>
      <c r="TXD12" s="34"/>
      <c r="TXE12" s="34"/>
      <c r="TXG12" s="34"/>
      <c r="TXH12" s="72"/>
      <c r="TXI12" s="63"/>
      <c r="TXJ12" s="34"/>
      <c r="TXK12" s="64"/>
      <c r="TXL12" s="4"/>
      <c r="TXM12" s="65"/>
      <c r="TXN12" s="4"/>
      <c r="TXO12" s="4"/>
      <c r="TXP12" s="4"/>
      <c r="TXS12" s="34"/>
      <c r="TXT12" s="34"/>
      <c r="TXV12" s="34"/>
      <c r="TXW12" s="72"/>
      <c r="TXX12" s="63"/>
      <c r="TXY12" s="34"/>
      <c r="TXZ12" s="64"/>
      <c r="TYA12" s="4"/>
      <c r="TYB12" s="65"/>
      <c r="TYC12" s="4"/>
      <c r="TYD12" s="4"/>
      <c r="TYE12" s="4"/>
      <c r="TYH12" s="34"/>
      <c r="TYI12" s="34"/>
      <c r="TYK12" s="34"/>
      <c r="TYL12" s="72"/>
      <c r="TYM12" s="63"/>
      <c r="TYN12" s="34"/>
      <c r="TYO12" s="64"/>
      <c r="TYP12" s="4"/>
      <c r="TYQ12" s="65"/>
      <c r="TYR12" s="4"/>
      <c r="TYS12" s="4"/>
      <c r="TYT12" s="4"/>
      <c r="TYW12" s="34"/>
      <c r="TYX12" s="34"/>
      <c r="TYZ12" s="34"/>
      <c r="TZA12" s="72"/>
      <c r="TZB12" s="63"/>
      <c r="TZC12" s="34"/>
      <c r="TZD12" s="64"/>
      <c r="TZE12" s="4"/>
      <c r="TZF12" s="65"/>
      <c r="TZG12" s="4"/>
      <c r="TZH12" s="4"/>
      <c r="TZI12" s="4"/>
      <c r="TZL12" s="34"/>
      <c r="TZM12" s="34"/>
      <c r="TZO12" s="34"/>
      <c r="TZP12" s="72"/>
      <c r="TZQ12" s="63"/>
      <c r="TZR12" s="34"/>
      <c r="TZS12" s="64"/>
      <c r="TZT12" s="4"/>
      <c r="TZU12" s="65"/>
      <c r="TZV12" s="4"/>
      <c r="TZW12" s="4"/>
      <c r="TZX12" s="4"/>
      <c r="UAA12" s="34"/>
      <c r="UAB12" s="34"/>
      <c r="UAD12" s="34"/>
      <c r="UAE12" s="72"/>
      <c r="UAF12" s="63"/>
      <c r="UAG12" s="34"/>
      <c r="UAH12" s="64"/>
      <c r="UAI12" s="4"/>
      <c r="UAJ12" s="65"/>
      <c r="UAK12" s="4"/>
      <c r="UAL12" s="4"/>
      <c r="UAM12" s="4"/>
      <c r="UAP12" s="34"/>
      <c r="UAQ12" s="34"/>
      <c r="UAS12" s="34"/>
      <c r="UAT12" s="72"/>
      <c r="UAU12" s="63"/>
      <c r="UAV12" s="34"/>
      <c r="UAW12" s="64"/>
      <c r="UAX12" s="4"/>
      <c r="UAY12" s="65"/>
      <c r="UAZ12" s="4"/>
      <c r="UBA12" s="4"/>
      <c r="UBB12" s="4"/>
      <c r="UBE12" s="34"/>
      <c r="UBF12" s="34"/>
      <c r="UBH12" s="34"/>
      <c r="UBI12" s="72"/>
      <c r="UBJ12" s="63"/>
      <c r="UBK12" s="34"/>
      <c r="UBL12" s="64"/>
      <c r="UBM12" s="4"/>
      <c r="UBN12" s="65"/>
      <c r="UBO12" s="4"/>
      <c r="UBP12" s="4"/>
      <c r="UBQ12" s="4"/>
      <c r="UBT12" s="34"/>
      <c r="UBU12" s="34"/>
      <c r="UBW12" s="34"/>
      <c r="UBX12" s="72"/>
      <c r="UBY12" s="63"/>
      <c r="UBZ12" s="34"/>
      <c r="UCA12" s="64"/>
      <c r="UCB12" s="4"/>
      <c r="UCC12" s="65"/>
      <c r="UCD12" s="4"/>
      <c r="UCE12" s="4"/>
      <c r="UCF12" s="4"/>
      <c r="UCI12" s="34"/>
      <c r="UCJ12" s="34"/>
      <c r="UCL12" s="34"/>
      <c r="UCM12" s="72"/>
      <c r="UCN12" s="63"/>
      <c r="UCO12" s="34"/>
      <c r="UCP12" s="64"/>
      <c r="UCQ12" s="4"/>
      <c r="UCR12" s="65"/>
      <c r="UCS12" s="4"/>
      <c r="UCT12" s="4"/>
      <c r="UCU12" s="4"/>
      <c r="UCX12" s="34"/>
      <c r="UCY12" s="34"/>
      <c r="UDA12" s="34"/>
      <c r="UDB12" s="72"/>
      <c r="UDC12" s="63"/>
      <c r="UDD12" s="34"/>
      <c r="UDE12" s="64"/>
      <c r="UDF12" s="4"/>
      <c r="UDG12" s="65"/>
      <c r="UDH12" s="4"/>
      <c r="UDI12" s="4"/>
      <c r="UDJ12" s="4"/>
      <c r="UDM12" s="34"/>
      <c r="UDN12" s="34"/>
      <c r="UDP12" s="34"/>
      <c r="UDQ12" s="72"/>
      <c r="UDR12" s="63"/>
      <c r="UDS12" s="34"/>
      <c r="UDT12" s="64"/>
      <c r="UDU12" s="4"/>
      <c r="UDV12" s="65"/>
      <c r="UDW12" s="4"/>
      <c r="UDX12" s="4"/>
      <c r="UDY12" s="4"/>
      <c r="UEB12" s="34"/>
      <c r="UEC12" s="34"/>
      <c r="UEE12" s="34"/>
      <c r="UEF12" s="72"/>
      <c r="UEG12" s="63"/>
      <c r="UEH12" s="34"/>
      <c r="UEI12" s="64"/>
      <c r="UEJ12" s="4"/>
      <c r="UEK12" s="65"/>
      <c r="UEL12" s="4"/>
      <c r="UEM12" s="4"/>
      <c r="UEN12" s="4"/>
      <c r="UEQ12" s="34"/>
      <c r="UER12" s="34"/>
      <c r="UET12" s="34"/>
      <c r="UEU12" s="72"/>
      <c r="UEV12" s="63"/>
      <c r="UEW12" s="34"/>
      <c r="UEX12" s="64"/>
      <c r="UEY12" s="4"/>
      <c r="UEZ12" s="65"/>
      <c r="UFA12" s="4"/>
      <c r="UFB12" s="4"/>
      <c r="UFC12" s="4"/>
      <c r="UFF12" s="34"/>
      <c r="UFG12" s="34"/>
      <c r="UFI12" s="34"/>
      <c r="UFJ12" s="72"/>
      <c r="UFK12" s="63"/>
      <c r="UFL12" s="34"/>
      <c r="UFM12" s="64"/>
      <c r="UFN12" s="4"/>
      <c r="UFO12" s="65"/>
      <c r="UFP12" s="4"/>
      <c r="UFQ12" s="4"/>
      <c r="UFR12" s="4"/>
      <c r="UFU12" s="34"/>
      <c r="UFV12" s="34"/>
      <c r="UFX12" s="34"/>
      <c r="UFY12" s="72"/>
      <c r="UFZ12" s="63"/>
      <c r="UGA12" s="34"/>
      <c r="UGB12" s="64"/>
      <c r="UGC12" s="4"/>
      <c r="UGD12" s="65"/>
      <c r="UGE12" s="4"/>
      <c r="UGF12" s="4"/>
      <c r="UGG12" s="4"/>
      <c r="UGJ12" s="34"/>
      <c r="UGK12" s="34"/>
      <c r="UGM12" s="34"/>
      <c r="UGN12" s="72"/>
      <c r="UGO12" s="63"/>
      <c r="UGP12" s="34"/>
      <c r="UGQ12" s="64"/>
      <c r="UGR12" s="4"/>
      <c r="UGS12" s="65"/>
      <c r="UGT12" s="4"/>
      <c r="UGU12" s="4"/>
      <c r="UGV12" s="4"/>
      <c r="UGY12" s="34"/>
      <c r="UGZ12" s="34"/>
      <c r="UHB12" s="34"/>
      <c r="UHC12" s="72"/>
      <c r="UHD12" s="63"/>
      <c r="UHE12" s="34"/>
      <c r="UHF12" s="64"/>
      <c r="UHG12" s="4"/>
      <c r="UHH12" s="65"/>
      <c r="UHI12" s="4"/>
      <c r="UHJ12" s="4"/>
      <c r="UHK12" s="4"/>
      <c r="UHN12" s="34"/>
      <c r="UHO12" s="34"/>
      <c r="UHQ12" s="34"/>
      <c r="UHR12" s="72"/>
      <c r="UHS12" s="63"/>
      <c r="UHT12" s="34"/>
      <c r="UHU12" s="64"/>
      <c r="UHV12" s="4"/>
      <c r="UHW12" s="65"/>
      <c r="UHX12" s="4"/>
      <c r="UHY12" s="4"/>
      <c r="UHZ12" s="4"/>
      <c r="UIC12" s="34"/>
      <c r="UID12" s="34"/>
      <c r="UIF12" s="34"/>
      <c r="UIG12" s="72"/>
      <c r="UIH12" s="63"/>
      <c r="UII12" s="34"/>
      <c r="UIJ12" s="64"/>
      <c r="UIK12" s="4"/>
      <c r="UIL12" s="65"/>
      <c r="UIM12" s="4"/>
      <c r="UIN12" s="4"/>
      <c r="UIO12" s="4"/>
      <c r="UIR12" s="34"/>
      <c r="UIS12" s="34"/>
      <c r="UIU12" s="34"/>
      <c r="UIV12" s="72"/>
      <c r="UIW12" s="63"/>
      <c r="UIX12" s="34"/>
      <c r="UIY12" s="64"/>
      <c r="UIZ12" s="4"/>
      <c r="UJA12" s="65"/>
      <c r="UJB12" s="4"/>
      <c r="UJC12" s="4"/>
      <c r="UJD12" s="4"/>
      <c r="UJG12" s="34"/>
      <c r="UJH12" s="34"/>
      <c r="UJJ12" s="34"/>
      <c r="UJK12" s="72"/>
      <c r="UJL12" s="63"/>
      <c r="UJM12" s="34"/>
      <c r="UJN12" s="64"/>
      <c r="UJO12" s="4"/>
      <c r="UJP12" s="65"/>
      <c r="UJQ12" s="4"/>
      <c r="UJR12" s="4"/>
      <c r="UJS12" s="4"/>
      <c r="UJV12" s="34"/>
      <c r="UJW12" s="34"/>
      <c r="UJY12" s="34"/>
      <c r="UJZ12" s="72"/>
      <c r="UKA12" s="63"/>
      <c r="UKB12" s="34"/>
      <c r="UKC12" s="64"/>
      <c r="UKD12" s="4"/>
      <c r="UKE12" s="65"/>
      <c r="UKF12" s="4"/>
      <c r="UKG12" s="4"/>
      <c r="UKH12" s="4"/>
      <c r="UKK12" s="34"/>
      <c r="UKL12" s="34"/>
      <c r="UKN12" s="34"/>
      <c r="UKO12" s="72"/>
      <c r="UKP12" s="63"/>
      <c r="UKQ12" s="34"/>
      <c r="UKR12" s="64"/>
      <c r="UKS12" s="4"/>
      <c r="UKT12" s="65"/>
      <c r="UKU12" s="4"/>
      <c r="UKV12" s="4"/>
      <c r="UKW12" s="4"/>
      <c r="UKZ12" s="34"/>
      <c r="ULA12" s="34"/>
      <c r="ULC12" s="34"/>
      <c r="ULD12" s="72"/>
      <c r="ULE12" s="63"/>
      <c r="ULF12" s="34"/>
      <c r="ULG12" s="64"/>
      <c r="ULH12" s="4"/>
      <c r="ULI12" s="65"/>
      <c r="ULJ12" s="4"/>
      <c r="ULK12" s="4"/>
      <c r="ULL12" s="4"/>
      <c r="ULO12" s="34"/>
      <c r="ULP12" s="34"/>
      <c r="ULR12" s="34"/>
      <c r="ULS12" s="72"/>
      <c r="ULT12" s="63"/>
      <c r="ULU12" s="34"/>
      <c r="ULV12" s="64"/>
      <c r="ULW12" s="4"/>
      <c r="ULX12" s="65"/>
      <c r="ULY12" s="4"/>
      <c r="ULZ12" s="4"/>
      <c r="UMA12" s="4"/>
      <c r="UMD12" s="34"/>
      <c r="UME12" s="34"/>
      <c r="UMG12" s="34"/>
      <c r="UMH12" s="72"/>
      <c r="UMI12" s="63"/>
      <c r="UMJ12" s="34"/>
      <c r="UMK12" s="64"/>
      <c r="UML12" s="4"/>
      <c r="UMM12" s="65"/>
      <c r="UMN12" s="4"/>
      <c r="UMO12" s="4"/>
      <c r="UMP12" s="4"/>
      <c r="UMS12" s="34"/>
      <c r="UMT12" s="34"/>
      <c r="UMV12" s="34"/>
      <c r="UMW12" s="72"/>
      <c r="UMX12" s="63"/>
      <c r="UMY12" s="34"/>
      <c r="UMZ12" s="64"/>
      <c r="UNA12" s="4"/>
      <c r="UNB12" s="65"/>
      <c r="UNC12" s="4"/>
      <c r="UND12" s="4"/>
      <c r="UNE12" s="4"/>
      <c r="UNH12" s="34"/>
      <c r="UNI12" s="34"/>
      <c r="UNK12" s="34"/>
      <c r="UNL12" s="72"/>
      <c r="UNM12" s="63"/>
      <c r="UNN12" s="34"/>
      <c r="UNO12" s="64"/>
      <c r="UNP12" s="4"/>
      <c r="UNQ12" s="65"/>
      <c r="UNR12" s="4"/>
      <c r="UNS12" s="4"/>
      <c r="UNT12" s="4"/>
      <c r="UNW12" s="34"/>
      <c r="UNX12" s="34"/>
      <c r="UNZ12" s="34"/>
      <c r="UOA12" s="72"/>
      <c r="UOB12" s="63"/>
      <c r="UOC12" s="34"/>
      <c r="UOD12" s="64"/>
      <c r="UOE12" s="4"/>
      <c r="UOF12" s="65"/>
      <c r="UOG12" s="4"/>
      <c r="UOH12" s="4"/>
      <c r="UOI12" s="4"/>
      <c r="UOL12" s="34"/>
      <c r="UOM12" s="34"/>
      <c r="UOO12" s="34"/>
      <c r="UOP12" s="72"/>
      <c r="UOQ12" s="63"/>
      <c r="UOR12" s="34"/>
      <c r="UOS12" s="64"/>
      <c r="UOT12" s="4"/>
      <c r="UOU12" s="65"/>
      <c r="UOV12" s="4"/>
      <c r="UOW12" s="4"/>
      <c r="UOX12" s="4"/>
      <c r="UPA12" s="34"/>
      <c r="UPB12" s="34"/>
      <c r="UPD12" s="34"/>
      <c r="UPE12" s="72"/>
      <c r="UPF12" s="63"/>
      <c r="UPG12" s="34"/>
      <c r="UPH12" s="64"/>
      <c r="UPI12" s="4"/>
      <c r="UPJ12" s="65"/>
      <c r="UPK12" s="4"/>
      <c r="UPL12" s="4"/>
      <c r="UPM12" s="4"/>
      <c r="UPP12" s="34"/>
      <c r="UPQ12" s="34"/>
      <c r="UPS12" s="34"/>
      <c r="UPT12" s="72"/>
      <c r="UPU12" s="63"/>
      <c r="UPV12" s="34"/>
      <c r="UPW12" s="64"/>
      <c r="UPX12" s="4"/>
      <c r="UPY12" s="65"/>
      <c r="UPZ12" s="4"/>
      <c r="UQA12" s="4"/>
      <c r="UQB12" s="4"/>
      <c r="UQE12" s="34"/>
      <c r="UQF12" s="34"/>
      <c r="UQH12" s="34"/>
      <c r="UQI12" s="72"/>
      <c r="UQJ12" s="63"/>
      <c r="UQK12" s="34"/>
      <c r="UQL12" s="64"/>
      <c r="UQM12" s="4"/>
      <c r="UQN12" s="65"/>
      <c r="UQO12" s="4"/>
      <c r="UQP12" s="4"/>
      <c r="UQQ12" s="4"/>
      <c r="UQT12" s="34"/>
      <c r="UQU12" s="34"/>
      <c r="UQW12" s="34"/>
      <c r="UQX12" s="72"/>
      <c r="UQY12" s="63"/>
      <c r="UQZ12" s="34"/>
      <c r="URA12" s="64"/>
      <c r="URB12" s="4"/>
      <c r="URC12" s="65"/>
      <c r="URD12" s="4"/>
      <c r="URE12" s="4"/>
      <c r="URF12" s="4"/>
      <c r="URI12" s="34"/>
      <c r="URJ12" s="34"/>
      <c r="URL12" s="34"/>
      <c r="URM12" s="72"/>
      <c r="URN12" s="63"/>
      <c r="URO12" s="34"/>
      <c r="URP12" s="64"/>
      <c r="URQ12" s="4"/>
      <c r="URR12" s="65"/>
      <c r="URS12" s="4"/>
      <c r="URT12" s="4"/>
      <c r="URU12" s="4"/>
      <c r="URX12" s="34"/>
      <c r="URY12" s="34"/>
      <c r="USA12" s="34"/>
      <c r="USB12" s="72"/>
      <c r="USC12" s="63"/>
      <c r="USD12" s="34"/>
      <c r="USE12" s="64"/>
      <c r="USF12" s="4"/>
      <c r="USG12" s="65"/>
      <c r="USH12" s="4"/>
      <c r="USI12" s="4"/>
      <c r="USJ12" s="4"/>
      <c r="USM12" s="34"/>
      <c r="USN12" s="34"/>
      <c r="USP12" s="34"/>
      <c r="USQ12" s="72"/>
      <c r="USR12" s="63"/>
      <c r="USS12" s="34"/>
      <c r="UST12" s="64"/>
      <c r="USU12" s="4"/>
      <c r="USV12" s="65"/>
      <c r="USW12" s="4"/>
      <c r="USX12" s="4"/>
      <c r="USY12" s="4"/>
      <c r="UTB12" s="34"/>
      <c r="UTC12" s="34"/>
      <c r="UTE12" s="34"/>
      <c r="UTF12" s="72"/>
      <c r="UTG12" s="63"/>
      <c r="UTH12" s="34"/>
      <c r="UTI12" s="64"/>
      <c r="UTJ12" s="4"/>
      <c r="UTK12" s="65"/>
      <c r="UTL12" s="4"/>
      <c r="UTM12" s="4"/>
      <c r="UTN12" s="4"/>
      <c r="UTQ12" s="34"/>
      <c r="UTR12" s="34"/>
      <c r="UTT12" s="34"/>
      <c r="UTU12" s="72"/>
      <c r="UTV12" s="63"/>
      <c r="UTW12" s="34"/>
      <c r="UTX12" s="64"/>
      <c r="UTY12" s="4"/>
      <c r="UTZ12" s="65"/>
      <c r="UUA12" s="4"/>
      <c r="UUB12" s="4"/>
      <c r="UUC12" s="4"/>
      <c r="UUF12" s="34"/>
      <c r="UUG12" s="34"/>
      <c r="UUI12" s="34"/>
      <c r="UUJ12" s="72"/>
      <c r="UUK12" s="63"/>
      <c r="UUL12" s="34"/>
      <c r="UUM12" s="64"/>
      <c r="UUN12" s="4"/>
      <c r="UUO12" s="65"/>
      <c r="UUP12" s="4"/>
      <c r="UUQ12" s="4"/>
      <c r="UUR12" s="4"/>
      <c r="UUU12" s="34"/>
      <c r="UUV12" s="34"/>
      <c r="UUX12" s="34"/>
      <c r="UUY12" s="72"/>
      <c r="UUZ12" s="63"/>
      <c r="UVA12" s="34"/>
      <c r="UVB12" s="64"/>
      <c r="UVC12" s="4"/>
      <c r="UVD12" s="65"/>
      <c r="UVE12" s="4"/>
      <c r="UVF12" s="4"/>
      <c r="UVG12" s="4"/>
      <c r="UVJ12" s="34"/>
      <c r="UVK12" s="34"/>
      <c r="UVM12" s="34"/>
      <c r="UVN12" s="72"/>
      <c r="UVO12" s="63"/>
      <c r="UVP12" s="34"/>
      <c r="UVQ12" s="64"/>
      <c r="UVR12" s="4"/>
      <c r="UVS12" s="65"/>
      <c r="UVT12" s="4"/>
      <c r="UVU12" s="4"/>
      <c r="UVV12" s="4"/>
      <c r="UVY12" s="34"/>
      <c r="UVZ12" s="34"/>
      <c r="UWB12" s="34"/>
      <c r="UWC12" s="72"/>
      <c r="UWD12" s="63"/>
      <c r="UWE12" s="34"/>
      <c r="UWF12" s="64"/>
      <c r="UWG12" s="4"/>
      <c r="UWH12" s="65"/>
      <c r="UWI12" s="4"/>
      <c r="UWJ12" s="4"/>
      <c r="UWK12" s="4"/>
      <c r="UWN12" s="34"/>
      <c r="UWO12" s="34"/>
      <c r="UWQ12" s="34"/>
      <c r="UWR12" s="72"/>
      <c r="UWS12" s="63"/>
      <c r="UWT12" s="34"/>
      <c r="UWU12" s="64"/>
      <c r="UWV12" s="4"/>
      <c r="UWW12" s="65"/>
      <c r="UWX12" s="4"/>
      <c r="UWY12" s="4"/>
      <c r="UWZ12" s="4"/>
      <c r="UXC12" s="34"/>
      <c r="UXD12" s="34"/>
      <c r="UXF12" s="34"/>
      <c r="UXG12" s="72"/>
      <c r="UXH12" s="63"/>
      <c r="UXI12" s="34"/>
      <c r="UXJ12" s="64"/>
      <c r="UXK12" s="4"/>
      <c r="UXL12" s="65"/>
      <c r="UXM12" s="4"/>
      <c r="UXN12" s="4"/>
      <c r="UXO12" s="4"/>
      <c r="UXR12" s="34"/>
      <c r="UXS12" s="34"/>
      <c r="UXU12" s="34"/>
      <c r="UXV12" s="72"/>
      <c r="UXW12" s="63"/>
      <c r="UXX12" s="34"/>
      <c r="UXY12" s="64"/>
      <c r="UXZ12" s="4"/>
      <c r="UYA12" s="65"/>
      <c r="UYB12" s="4"/>
      <c r="UYC12" s="4"/>
      <c r="UYD12" s="4"/>
      <c r="UYG12" s="34"/>
      <c r="UYH12" s="34"/>
      <c r="UYJ12" s="34"/>
      <c r="UYK12" s="72"/>
      <c r="UYL12" s="63"/>
      <c r="UYM12" s="34"/>
      <c r="UYN12" s="64"/>
      <c r="UYO12" s="4"/>
      <c r="UYP12" s="65"/>
      <c r="UYQ12" s="4"/>
      <c r="UYR12" s="4"/>
      <c r="UYS12" s="4"/>
      <c r="UYV12" s="34"/>
      <c r="UYW12" s="34"/>
      <c r="UYY12" s="34"/>
      <c r="UYZ12" s="72"/>
      <c r="UZA12" s="63"/>
      <c r="UZB12" s="34"/>
      <c r="UZC12" s="64"/>
      <c r="UZD12" s="4"/>
      <c r="UZE12" s="65"/>
      <c r="UZF12" s="4"/>
      <c r="UZG12" s="4"/>
      <c r="UZH12" s="4"/>
      <c r="UZK12" s="34"/>
      <c r="UZL12" s="34"/>
      <c r="UZN12" s="34"/>
      <c r="UZO12" s="72"/>
      <c r="UZP12" s="63"/>
      <c r="UZQ12" s="34"/>
      <c r="UZR12" s="64"/>
      <c r="UZS12" s="4"/>
      <c r="UZT12" s="65"/>
      <c r="UZU12" s="4"/>
      <c r="UZV12" s="4"/>
      <c r="UZW12" s="4"/>
      <c r="UZZ12" s="34"/>
      <c r="VAA12" s="34"/>
      <c r="VAC12" s="34"/>
      <c r="VAD12" s="72"/>
      <c r="VAE12" s="63"/>
      <c r="VAF12" s="34"/>
      <c r="VAG12" s="64"/>
      <c r="VAH12" s="4"/>
      <c r="VAI12" s="65"/>
      <c r="VAJ12" s="4"/>
      <c r="VAK12" s="4"/>
      <c r="VAL12" s="4"/>
      <c r="VAO12" s="34"/>
      <c r="VAP12" s="34"/>
      <c r="VAR12" s="34"/>
      <c r="VAS12" s="72"/>
      <c r="VAT12" s="63"/>
      <c r="VAU12" s="34"/>
      <c r="VAV12" s="64"/>
      <c r="VAW12" s="4"/>
      <c r="VAX12" s="65"/>
      <c r="VAY12" s="4"/>
      <c r="VAZ12" s="4"/>
      <c r="VBA12" s="4"/>
      <c r="VBD12" s="34"/>
      <c r="VBE12" s="34"/>
      <c r="VBG12" s="34"/>
      <c r="VBH12" s="72"/>
      <c r="VBI12" s="63"/>
      <c r="VBJ12" s="34"/>
      <c r="VBK12" s="64"/>
      <c r="VBL12" s="4"/>
      <c r="VBM12" s="65"/>
      <c r="VBN12" s="4"/>
      <c r="VBO12" s="4"/>
      <c r="VBP12" s="4"/>
      <c r="VBS12" s="34"/>
      <c r="VBT12" s="34"/>
      <c r="VBV12" s="34"/>
      <c r="VBW12" s="72"/>
      <c r="VBX12" s="63"/>
      <c r="VBY12" s="34"/>
      <c r="VBZ12" s="64"/>
      <c r="VCA12" s="4"/>
      <c r="VCB12" s="65"/>
      <c r="VCC12" s="4"/>
      <c r="VCD12" s="4"/>
      <c r="VCE12" s="4"/>
      <c r="VCH12" s="34"/>
      <c r="VCI12" s="34"/>
      <c r="VCK12" s="34"/>
      <c r="VCL12" s="72"/>
      <c r="VCM12" s="63"/>
      <c r="VCN12" s="34"/>
      <c r="VCO12" s="64"/>
      <c r="VCP12" s="4"/>
      <c r="VCQ12" s="65"/>
      <c r="VCR12" s="4"/>
      <c r="VCS12" s="4"/>
      <c r="VCT12" s="4"/>
      <c r="VCW12" s="34"/>
      <c r="VCX12" s="34"/>
      <c r="VCZ12" s="34"/>
      <c r="VDA12" s="72"/>
      <c r="VDB12" s="63"/>
      <c r="VDC12" s="34"/>
      <c r="VDD12" s="64"/>
      <c r="VDE12" s="4"/>
      <c r="VDF12" s="65"/>
      <c r="VDG12" s="4"/>
      <c r="VDH12" s="4"/>
      <c r="VDI12" s="4"/>
      <c r="VDL12" s="34"/>
      <c r="VDM12" s="34"/>
      <c r="VDO12" s="34"/>
      <c r="VDP12" s="72"/>
      <c r="VDQ12" s="63"/>
      <c r="VDR12" s="34"/>
      <c r="VDS12" s="64"/>
      <c r="VDT12" s="4"/>
      <c r="VDU12" s="65"/>
      <c r="VDV12" s="4"/>
      <c r="VDW12" s="4"/>
      <c r="VDX12" s="4"/>
      <c r="VEA12" s="34"/>
      <c r="VEB12" s="34"/>
      <c r="VED12" s="34"/>
      <c r="VEE12" s="72"/>
      <c r="VEF12" s="63"/>
      <c r="VEG12" s="34"/>
      <c r="VEH12" s="64"/>
      <c r="VEI12" s="4"/>
      <c r="VEJ12" s="65"/>
      <c r="VEK12" s="4"/>
      <c r="VEL12" s="4"/>
      <c r="VEM12" s="4"/>
      <c r="VEP12" s="34"/>
      <c r="VEQ12" s="34"/>
      <c r="VES12" s="34"/>
      <c r="VET12" s="72"/>
      <c r="VEU12" s="63"/>
      <c r="VEV12" s="34"/>
      <c r="VEW12" s="64"/>
      <c r="VEX12" s="4"/>
      <c r="VEY12" s="65"/>
      <c r="VEZ12" s="4"/>
      <c r="VFA12" s="4"/>
      <c r="VFB12" s="4"/>
      <c r="VFE12" s="34"/>
      <c r="VFF12" s="34"/>
      <c r="VFH12" s="34"/>
      <c r="VFI12" s="72"/>
      <c r="VFJ12" s="63"/>
      <c r="VFK12" s="34"/>
      <c r="VFL12" s="64"/>
      <c r="VFM12" s="4"/>
      <c r="VFN12" s="65"/>
      <c r="VFO12" s="4"/>
      <c r="VFP12" s="4"/>
      <c r="VFQ12" s="4"/>
      <c r="VFT12" s="34"/>
      <c r="VFU12" s="34"/>
      <c r="VFW12" s="34"/>
      <c r="VFX12" s="72"/>
      <c r="VFY12" s="63"/>
      <c r="VFZ12" s="34"/>
      <c r="VGA12" s="64"/>
      <c r="VGB12" s="4"/>
      <c r="VGC12" s="65"/>
      <c r="VGD12" s="4"/>
      <c r="VGE12" s="4"/>
      <c r="VGF12" s="4"/>
      <c r="VGI12" s="34"/>
      <c r="VGJ12" s="34"/>
      <c r="VGL12" s="34"/>
      <c r="VGM12" s="72"/>
      <c r="VGN12" s="63"/>
      <c r="VGO12" s="34"/>
      <c r="VGP12" s="64"/>
      <c r="VGQ12" s="4"/>
      <c r="VGR12" s="65"/>
      <c r="VGS12" s="4"/>
      <c r="VGT12" s="4"/>
      <c r="VGU12" s="4"/>
      <c r="VGX12" s="34"/>
      <c r="VGY12" s="34"/>
      <c r="VHA12" s="34"/>
      <c r="VHB12" s="72"/>
      <c r="VHC12" s="63"/>
      <c r="VHD12" s="34"/>
      <c r="VHE12" s="64"/>
      <c r="VHF12" s="4"/>
      <c r="VHG12" s="65"/>
      <c r="VHH12" s="4"/>
      <c r="VHI12" s="4"/>
      <c r="VHJ12" s="4"/>
      <c r="VHM12" s="34"/>
      <c r="VHN12" s="34"/>
      <c r="VHP12" s="34"/>
      <c r="VHQ12" s="72"/>
      <c r="VHR12" s="63"/>
      <c r="VHS12" s="34"/>
      <c r="VHT12" s="64"/>
      <c r="VHU12" s="4"/>
      <c r="VHV12" s="65"/>
      <c r="VHW12" s="4"/>
      <c r="VHX12" s="4"/>
      <c r="VHY12" s="4"/>
      <c r="VIB12" s="34"/>
      <c r="VIC12" s="34"/>
      <c r="VIE12" s="34"/>
      <c r="VIF12" s="72"/>
      <c r="VIG12" s="63"/>
      <c r="VIH12" s="34"/>
      <c r="VII12" s="64"/>
      <c r="VIJ12" s="4"/>
      <c r="VIK12" s="65"/>
      <c r="VIL12" s="4"/>
      <c r="VIM12" s="4"/>
      <c r="VIN12" s="4"/>
      <c r="VIQ12" s="34"/>
      <c r="VIR12" s="34"/>
      <c r="VIT12" s="34"/>
      <c r="VIU12" s="72"/>
      <c r="VIV12" s="63"/>
      <c r="VIW12" s="34"/>
      <c r="VIX12" s="64"/>
      <c r="VIY12" s="4"/>
      <c r="VIZ12" s="65"/>
      <c r="VJA12" s="4"/>
      <c r="VJB12" s="4"/>
      <c r="VJC12" s="4"/>
      <c r="VJF12" s="34"/>
      <c r="VJG12" s="34"/>
      <c r="VJI12" s="34"/>
      <c r="VJJ12" s="72"/>
      <c r="VJK12" s="63"/>
      <c r="VJL12" s="34"/>
      <c r="VJM12" s="64"/>
      <c r="VJN12" s="4"/>
      <c r="VJO12" s="65"/>
      <c r="VJP12" s="4"/>
      <c r="VJQ12" s="4"/>
      <c r="VJR12" s="4"/>
      <c r="VJU12" s="34"/>
      <c r="VJV12" s="34"/>
      <c r="VJX12" s="34"/>
      <c r="VJY12" s="72"/>
      <c r="VJZ12" s="63"/>
      <c r="VKA12" s="34"/>
      <c r="VKB12" s="64"/>
      <c r="VKC12" s="4"/>
      <c r="VKD12" s="65"/>
      <c r="VKE12" s="4"/>
      <c r="VKF12" s="4"/>
      <c r="VKG12" s="4"/>
      <c r="VKJ12" s="34"/>
      <c r="VKK12" s="34"/>
      <c r="VKM12" s="34"/>
      <c r="VKN12" s="72"/>
      <c r="VKO12" s="63"/>
      <c r="VKP12" s="34"/>
      <c r="VKQ12" s="64"/>
      <c r="VKR12" s="4"/>
      <c r="VKS12" s="65"/>
      <c r="VKT12" s="4"/>
      <c r="VKU12" s="4"/>
      <c r="VKV12" s="4"/>
      <c r="VKY12" s="34"/>
      <c r="VKZ12" s="34"/>
      <c r="VLB12" s="34"/>
      <c r="VLC12" s="72"/>
      <c r="VLD12" s="63"/>
      <c r="VLE12" s="34"/>
      <c r="VLF12" s="64"/>
      <c r="VLG12" s="4"/>
      <c r="VLH12" s="65"/>
      <c r="VLI12" s="4"/>
      <c r="VLJ12" s="4"/>
      <c r="VLK12" s="4"/>
      <c r="VLN12" s="34"/>
      <c r="VLO12" s="34"/>
      <c r="VLQ12" s="34"/>
      <c r="VLR12" s="72"/>
      <c r="VLS12" s="63"/>
      <c r="VLT12" s="34"/>
      <c r="VLU12" s="64"/>
      <c r="VLV12" s="4"/>
      <c r="VLW12" s="65"/>
      <c r="VLX12" s="4"/>
      <c r="VLY12" s="4"/>
      <c r="VLZ12" s="4"/>
      <c r="VMC12" s="34"/>
      <c r="VMD12" s="34"/>
      <c r="VMF12" s="34"/>
      <c r="VMG12" s="72"/>
      <c r="VMH12" s="63"/>
      <c r="VMI12" s="34"/>
      <c r="VMJ12" s="64"/>
      <c r="VMK12" s="4"/>
      <c r="VML12" s="65"/>
      <c r="VMM12" s="4"/>
      <c r="VMN12" s="4"/>
      <c r="VMO12" s="4"/>
      <c r="VMR12" s="34"/>
      <c r="VMS12" s="34"/>
      <c r="VMU12" s="34"/>
      <c r="VMV12" s="72"/>
      <c r="VMW12" s="63"/>
      <c r="VMX12" s="34"/>
      <c r="VMY12" s="64"/>
      <c r="VMZ12" s="4"/>
      <c r="VNA12" s="65"/>
      <c r="VNB12" s="4"/>
      <c r="VNC12" s="4"/>
      <c r="VND12" s="4"/>
      <c r="VNG12" s="34"/>
      <c r="VNH12" s="34"/>
      <c r="VNJ12" s="34"/>
      <c r="VNK12" s="72"/>
      <c r="VNL12" s="63"/>
      <c r="VNM12" s="34"/>
      <c r="VNN12" s="64"/>
      <c r="VNO12" s="4"/>
      <c r="VNP12" s="65"/>
      <c r="VNQ12" s="4"/>
      <c r="VNR12" s="4"/>
      <c r="VNS12" s="4"/>
      <c r="VNV12" s="34"/>
      <c r="VNW12" s="34"/>
      <c r="VNY12" s="34"/>
      <c r="VNZ12" s="72"/>
      <c r="VOA12" s="63"/>
      <c r="VOB12" s="34"/>
      <c r="VOC12" s="64"/>
      <c r="VOD12" s="4"/>
      <c r="VOE12" s="65"/>
      <c r="VOF12" s="4"/>
      <c r="VOG12" s="4"/>
      <c r="VOH12" s="4"/>
      <c r="VOK12" s="34"/>
      <c r="VOL12" s="34"/>
      <c r="VON12" s="34"/>
      <c r="VOO12" s="72"/>
      <c r="VOP12" s="63"/>
      <c r="VOQ12" s="34"/>
      <c r="VOR12" s="64"/>
      <c r="VOS12" s="4"/>
      <c r="VOT12" s="65"/>
      <c r="VOU12" s="4"/>
      <c r="VOV12" s="4"/>
      <c r="VOW12" s="4"/>
      <c r="VOZ12" s="34"/>
      <c r="VPA12" s="34"/>
      <c r="VPC12" s="34"/>
      <c r="VPD12" s="72"/>
      <c r="VPE12" s="63"/>
      <c r="VPF12" s="34"/>
      <c r="VPG12" s="64"/>
      <c r="VPH12" s="4"/>
      <c r="VPI12" s="65"/>
      <c r="VPJ12" s="4"/>
      <c r="VPK12" s="4"/>
      <c r="VPL12" s="4"/>
      <c r="VPO12" s="34"/>
      <c r="VPP12" s="34"/>
      <c r="VPR12" s="34"/>
      <c r="VPS12" s="72"/>
      <c r="VPT12" s="63"/>
      <c r="VPU12" s="34"/>
      <c r="VPV12" s="64"/>
      <c r="VPW12" s="4"/>
      <c r="VPX12" s="65"/>
      <c r="VPY12" s="4"/>
      <c r="VPZ12" s="4"/>
      <c r="VQA12" s="4"/>
      <c r="VQD12" s="34"/>
      <c r="VQE12" s="34"/>
      <c r="VQG12" s="34"/>
      <c r="VQH12" s="72"/>
      <c r="VQI12" s="63"/>
      <c r="VQJ12" s="34"/>
      <c r="VQK12" s="64"/>
      <c r="VQL12" s="4"/>
      <c r="VQM12" s="65"/>
      <c r="VQN12" s="4"/>
      <c r="VQO12" s="4"/>
      <c r="VQP12" s="4"/>
      <c r="VQS12" s="34"/>
      <c r="VQT12" s="34"/>
      <c r="VQV12" s="34"/>
      <c r="VQW12" s="72"/>
      <c r="VQX12" s="63"/>
      <c r="VQY12" s="34"/>
      <c r="VQZ12" s="64"/>
      <c r="VRA12" s="4"/>
      <c r="VRB12" s="65"/>
      <c r="VRC12" s="4"/>
      <c r="VRD12" s="4"/>
      <c r="VRE12" s="4"/>
      <c r="VRH12" s="34"/>
      <c r="VRI12" s="34"/>
      <c r="VRK12" s="34"/>
      <c r="VRL12" s="72"/>
      <c r="VRM12" s="63"/>
      <c r="VRN12" s="34"/>
      <c r="VRO12" s="64"/>
      <c r="VRP12" s="4"/>
      <c r="VRQ12" s="65"/>
      <c r="VRR12" s="4"/>
      <c r="VRS12" s="4"/>
      <c r="VRT12" s="4"/>
      <c r="VRW12" s="34"/>
      <c r="VRX12" s="34"/>
      <c r="VRZ12" s="34"/>
      <c r="VSA12" s="72"/>
      <c r="VSB12" s="63"/>
      <c r="VSC12" s="34"/>
      <c r="VSD12" s="64"/>
      <c r="VSE12" s="4"/>
      <c r="VSF12" s="65"/>
      <c r="VSG12" s="4"/>
      <c r="VSH12" s="4"/>
      <c r="VSI12" s="4"/>
      <c r="VSL12" s="34"/>
      <c r="VSM12" s="34"/>
      <c r="VSO12" s="34"/>
      <c r="VSP12" s="72"/>
      <c r="VSQ12" s="63"/>
      <c r="VSR12" s="34"/>
      <c r="VSS12" s="64"/>
      <c r="VST12" s="4"/>
      <c r="VSU12" s="65"/>
      <c r="VSV12" s="4"/>
      <c r="VSW12" s="4"/>
      <c r="VSX12" s="4"/>
      <c r="VTA12" s="34"/>
      <c r="VTB12" s="34"/>
      <c r="VTD12" s="34"/>
      <c r="VTE12" s="72"/>
      <c r="VTF12" s="63"/>
      <c r="VTG12" s="34"/>
      <c r="VTH12" s="64"/>
      <c r="VTI12" s="4"/>
      <c r="VTJ12" s="65"/>
      <c r="VTK12" s="4"/>
      <c r="VTL12" s="4"/>
      <c r="VTM12" s="4"/>
      <c r="VTP12" s="34"/>
      <c r="VTQ12" s="34"/>
      <c r="VTS12" s="34"/>
      <c r="VTT12" s="72"/>
      <c r="VTU12" s="63"/>
      <c r="VTV12" s="34"/>
      <c r="VTW12" s="64"/>
      <c r="VTX12" s="4"/>
      <c r="VTY12" s="65"/>
      <c r="VTZ12" s="4"/>
      <c r="VUA12" s="4"/>
      <c r="VUB12" s="4"/>
      <c r="VUE12" s="34"/>
      <c r="VUF12" s="34"/>
      <c r="VUH12" s="34"/>
      <c r="VUI12" s="72"/>
      <c r="VUJ12" s="63"/>
      <c r="VUK12" s="34"/>
      <c r="VUL12" s="64"/>
      <c r="VUM12" s="4"/>
      <c r="VUN12" s="65"/>
      <c r="VUO12" s="4"/>
      <c r="VUP12" s="4"/>
      <c r="VUQ12" s="4"/>
      <c r="VUT12" s="34"/>
      <c r="VUU12" s="34"/>
      <c r="VUW12" s="34"/>
      <c r="VUX12" s="72"/>
      <c r="VUY12" s="63"/>
      <c r="VUZ12" s="34"/>
      <c r="VVA12" s="64"/>
      <c r="VVB12" s="4"/>
      <c r="VVC12" s="65"/>
      <c r="VVD12" s="4"/>
      <c r="VVE12" s="4"/>
      <c r="VVF12" s="4"/>
      <c r="VVI12" s="34"/>
      <c r="VVJ12" s="34"/>
      <c r="VVL12" s="34"/>
      <c r="VVM12" s="72"/>
      <c r="VVN12" s="63"/>
      <c r="VVO12" s="34"/>
      <c r="VVP12" s="64"/>
      <c r="VVQ12" s="4"/>
      <c r="VVR12" s="65"/>
      <c r="VVS12" s="4"/>
      <c r="VVT12" s="4"/>
      <c r="VVU12" s="4"/>
      <c r="VVX12" s="34"/>
      <c r="VVY12" s="34"/>
      <c r="VWA12" s="34"/>
      <c r="VWB12" s="72"/>
      <c r="VWC12" s="63"/>
      <c r="VWD12" s="34"/>
      <c r="VWE12" s="64"/>
      <c r="VWF12" s="4"/>
      <c r="VWG12" s="65"/>
      <c r="VWH12" s="4"/>
      <c r="VWI12" s="4"/>
      <c r="VWJ12" s="4"/>
      <c r="VWM12" s="34"/>
      <c r="VWN12" s="34"/>
      <c r="VWP12" s="34"/>
      <c r="VWQ12" s="72"/>
      <c r="VWR12" s="63"/>
      <c r="VWS12" s="34"/>
      <c r="VWT12" s="64"/>
      <c r="VWU12" s="4"/>
      <c r="VWV12" s="65"/>
      <c r="VWW12" s="4"/>
      <c r="VWX12" s="4"/>
      <c r="VWY12" s="4"/>
      <c r="VXB12" s="34"/>
      <c r="VXC12" s="34"/>
      <c r="VXE12" s="34"/>
      <c r="VXF12" s="72"/>
      <c r="VXG12" s="63"/>
      <c r="VXH12" s="34"/>
      <c r="VXI12" s="64"/>
      <c r="VXJ12" s="4"/>
      <c r="VXK12" s="65"/>
      <c r="VXL12" s="4"/>
      <c r="VXM12" s="4"/>
      <c r="VXN12" s="4"/>
      <c r="VXQ12" s="34"/>
      <c r="VXR12" s="34"/>
      <c r="VXT12" s="34"/>
      <c r="VXU12" s="72"/>
      <c r="VXV12" s="63"/>
      <c r="VXW12" s="34"/>
      <c r="VXX12" s="64"/>
      <c r="VXY12" s="4"/>
      <c r="VXZ12" s="65"/>
      <c r="VYA12" s="4"/>
      <c r="VYB12" s="4"/>
      <c r="VYC12" s="4"/>
      <c r="VYF12" s="34"/>
      <c r="VYG12" s="34"/>
      <c r="VYI12" s="34"/>
      <c r="VYJ12" s="72"/>
      <c r="VYK12" s="63"/>
      <c r="VYL12" s="34"/>
      <c r="VYM12" s="64"/>
      <c r="VYN12" s="4"/>
      <c r="VYO12" s="65"/>
      <c r="VYP12" s="4"/>
      <c r="VYQ12" s="4"/>
      <c r="VYR12" s="4"/>
      <c r="VYU12" s="34"/>
      <c r="VYV12" s="34"/>
      <c r="VYX12" s="34"/>
      <c r="VYY12" s="72"/>
      <c r="VYZ12" s="63"/>
      <c r="VZA12" s="34"/>
      <c r="VZB12" s="64"/>
      <c r="VZC12" s="4"/>
      <c r="VZD12" s="65"/>
      <c r="VZE12" s="4"/>
      <c r="VZF12" s="4"/>
      <c r="VZG12" s="4"/>
      <c r="VZJ12" s="34"/>
      <c r="VZK12" s="34"/>
      <c r="VZM12" s="34"/>
      <c r="VZN12" s="72"/>
      <c r="VZO12" s="63"/>
      <c r="VZP12" s="34"/>
      <c r="VZQ12" s="64"/>
      <c r="VZR12" s="4"/>
      <c r="VZS12" s="65"/>
      <c r="VZT12" s="4"/>
      <c r="VZU12" s="4"/>
      <c r="VZV12" s="4"/>
      <c r="VZY12" s="34"/>
      <c r="VZZ12" s="34"/>
      <c r="WAB12" s="34"/>
      <c r="WAC12" s="72"/>
      <c r="WAD12" s="63"/>
      <c r="WAE12" s="34"/>
      <c r="WAF12" s="64"/>
      <c r="WAG12" s="4"/>
      <c r="WAH12" s="65"/>
      <c r="WAI12" s="4"/>
      <c r="WAJ12" s="4"/>
      <c r="WAK12" s="4"/>
      <c r="WAN12" s="34"/>
      <c r="WAO12" s="34"/>
      <c r="WAQ12" s="34"/>
      <c r="WAR12" s="72"/>
      <c r="WAS12" s="63"/>
      <c r="WAT12" s="34"/>
      <c r="WAU12" s="64"/>
      <c r="WAV12" s="4"/>
      <c r="WAW12" s="65"/>
      <c r="WAX12" s="4"/>
      <c r="WAY12" s="4"/>
      <c r="WAZ12" s="4"/>
      <c r="WBC12" s="34"/>
      <c r="WBD12" s="34"/>
      <c r="WBF12" s="34"/>
      <c r="WBG12" s="72"/>
      <c r="WBH12" s="63"/>
      <c r="WBI12" s="34"/>
      <c r="WBJ12" s="64"/>
      <c r="WBK12" s="4"/>
      <c r="WBL12" s="65"/>
      <c r="WBM12" s="4"/>
      <c r="WBN12" s="4"/>
      <c r="WBO12" s="4"/>
      <c r="WBR12" s="34"/>
      <c r="WBS12" s="34"/>
      <c r="WBU12" s="34"/>
      <c r="WBV12" s="72"/>
      <c r="WBW12" s="63"/>
      <c r="WBX12" s="34"/>
      <c r="WBY12" s="64"/>
      <c r="WBZ12" s="4"/>
      <c r="WCA12" s="65"/>
      <c r="WCB12" s="4"/>
      <c r="WCC12" s="4"/>
      <c r="WCD12" s="4"/>
      <c r="WCG12" s="34"/>
      <c r="WCH12" s="34"/>
      <c r="WCJ12" s="34"/>
      <c r="WCK12" s="72"/>
      <c r="WCL12" s="63"/>
      <c r="WCM12" s="34"/>
      <c r="WCN12" s="64"/>
      <c r="WCO12" s="4"/>
      <c r="WCP12" s="65"/>
      <c r="WCQ12" s="4"/>
      <c r="WCR12" s="4"/>
      <c r="WCS12" s="4"/>
      <c r="WCV12" s="34"/>
      <c r="WCW12" s="34"/>
      <c r="WCY12" s="34"/>
      <c r="WCZ12" s="72"/>
      <c r="WDA12" s="63"/>
      <c r="WDB12" s="34"/>
      <c r="WDC12" s="64"/>
      <c r="WDD12" s="4"/>
      <c r="WDE12" s="65"/>
      <c r="WDF12" s="4"/>
      <c r="WDG12" s="4"/>
      <c r="WDH12" s="4"/>
      <c r="WDK12" s="34"/>
      <c r="WDL12" s="34"/>
      <c r="WDN12" s="34"/>
      <c r="WDO12" s="72"/>
      <c r="WDP12" s="63"/>
      <c r="WDQ12" s="34"/>
      <c r="WDR12" s="64"/>
      <c r="WDS12" s="4"/>
      <c r="WDT12" s="65"/>
      <c r="WDU12" s="4"/>
      <c r="WDV12" s="4"/>
      <c r="WDW12" s="4"/>
      <c r="WDZ12" s="34"/>
      <c r="WEA12" s="34"/>
      <c r="WEC12" s="34"/>
      <c r="WED12" s="72"/>
      <c r="WEE12" s="63"/>
      <c r="WEF12" s="34"/>
      <c r="WEG12" s="64"/>
      <c r="WEH12" s="4"/>
      <c r="WEI12" s="65"/>
      <c r="WEJ12" s="4"/>
      <c r="WEK12" s="4"/>
      <c r="WEL12" s="4"/>
      <c r="WEO12" s="34"/>
      <c r="WEP12" s="34"/>
      <c r="WER12" s="34"/>
      <c r="WES12" s="72"/>
      <c r="WET12" s="63"/>
      <c r="WEU12" s="34"/>
      <c r="WEV12" s="64"/>
      <c r="WEW12" s="4"/>
      <c r="WEX12" s="65"/>
      <c r="WEY12" s="4"/>
      <c r="WEZ12" s="4"/>
      <c r="WFA12" s="4"/>
      <c r="WFD12" s="34"/>
      <c r="WFE12" s="34"/>
      <c r="WFG12" s="34"/>
      <c r="WFH12" s="72"/>
      <c r="WFI12" s="63"/>
      <c r="WFJ12" s="34"/>
      <c r="WFK12" s="64"/>
      <c r="WFL12" s="4"/>
      <c r="WFM12" s="65"/>
      <c r="WFN12" s="4"/>
      <c r="WFO12" s="4"/>
      <c r="WFP12" s="4"/>
      <c r="WFS12" s="34"/>
      <c r="WFT12" s="34"/>
      <c r="WFV12" s="34"/>
      <c r="WFW12" s="72"/>
      <c r="WFX12" s="63"/>
      <c r="WFY12" s="34"/>
      <c r="WFZ12" s="64"/>
      <c r="WGA12" s="4"/>
      <c r="WGB12" s="65"/>
      <c r="WGC12" s="4"/>
      <c r="WGD12" s="4"/>
      <c r="WGE12" s="4"/>
      <c r="WGH12" s="34"/>
      <c r="WGI12" s="34"/>
      <c r="WGK12" s="34"/>
      <c r="WGL12" s="72"/>
      <c r="WGM12" s="63"/>
      <c r="WGN12" s="34"/>
      <c r="WGO12" s="64"/>
      <c r="WGP12" s="4"/>
      <c r="WGQ12" s="65"/>
      <c r="WGR12" s="4"/>
      <c r="WGS12" s="4"/>
      <c r="WGT12" s="4"/>
      <c r="WGW12" s="34"/>
      <c r="WGX12" s="34"/>
      <c r="WGZ12" s="34"/>
      <c r="WHA12" s="72"/>
      <c r="WHB12" s="63"/>
      <c r="WHC12" s="34"/>
      <c r="WHD12" s="64"/>
      <c r="WHE12" s="4"/>
      <c r="WHF12" s="65"/>
      <c r="WHG12" s="4"/>
      <c r="WHH12" s="4"/>
      <c r="WHI12" s="4"/>
      <c r="WHL12" s="34"/>
      <c r="WHM12" s="34"/>
      <c r="WHO12" s="34"/>
      <c r="WHP12" s="72"/>
      <c r="WHQ12" s="63"/>
      <c r="WHR12" s="34"/>
      <c r="WHS12" s="64"/>
      <c r="WHT12" s="4"/>
      <c r="WHU12" s="65"/>
      <c r="WHV12" s="4"/>
      <c r="WHW12" s="4"/>
      <c r="WHX12" s="4"/>
      <c r="WIA12" s="34"/>
      <c r="WIB12" s="34"/>
      <c r="WID12" s="34"/>
      <c r="WIE12" s="72"/>
      <c r="WIF12" s="63"/>
      <c r="WIG12" s="34"/>
      <c r="WIH12" s="64"/>
      <c r="WII12" s="4"/>
      <c r="WIJ12" s="65"/>
      <c r="WIK12" s="4"/>
      <c r="WIL12" s="4"/>
      <c r="WIM12" s="4"/>
      <c r="WIP12" s="34"/>
      <c r="WIQ12" s="34"/>
      <c r="WIS12" s="34"/>
      <c r="WIT12" s="72"/>
      <c r="WIU12" s="63"/>
      <c r="WIV12" s="34"/>
      <c r="WIW12" s="64"/>
      <c r="WIX12" s="4"/>
      <c r="WIY12" s="65"/>
      <c r="WIZ12" s="4"/>
      <c r="WJA12" s="4"/>
      <c r="WJB12" s="4"/>
      <c r="WJE12" s="34"/>
      <c r="WJF12" s="34"/>
      <c r="WJH12" s="34"/>
      <c r="WJI12" s="72"/>
      <c r="WJJ12" s="63"/>
      <c r="WJK12" s="34"/>
      <c r="WJL12" s="64"/>
      <c r="WJM12" s="4"/>
      <c r="WJN12" s="65"/>
      <c r="WJO12" s="4"/>
      <c r="WJP12" s="4"/>
      <c r="WJQ12" s="4"/>
      <c r="WJT12" s="34"/>
      <c r="WJU12" s="34"/>
      <c r="WJW12" s="34"/>
      <c r="WJX12" s="72"/>
      <c r="WJY12" s="63"/>
      <c r="WJZ12" s="34"/>
      <c r="WKA12" s="64"/>
      <c r="WKB12" s="4"/>
      <c r="WKC12" s="65"/>
      <c r="WKD12" s="4"/>
      <c r="WKE12" s="4"/>
      <c r="WKF12" s="4"/>
      <c r="WKI12" s="34"/>
      <c r="WKJ12" s="34"/>
      <c r="WKL12" s="34"/>
      <c r="WKM12" s="72"/>
      <c r="WKN12" s="63"/>
      <c r="WKO12" s="34"/>
      <c r="WKP12" s="64"/>
      <c r="WKQ12" s="4"/>
      <c r="WKR12" s="65"/>
      <c r="WKS12" s="4"/>
      <c r="WKT12" s="4"/>
      <c r="WKU12" s="4"/>
      <c r="WKX12" s="34"/>
      <c r="WKY12" s="34"/>
      <c r="WLA12" s="34"/>
      <c r="WLB12" s="72"/>
      <c r="WLC12" s="63"/>
      <c r="WLD12" s="34"/>
      <c r="WLE12" s="64"/>
      <c r="WLF12" s="4"/>
      <c r="WLG12" s="65"/>
      <c r="WLH12" s="4"/>
      <c r="WLI12" s="4"/>
      <c r="WLJ12" s="4"/>
      <c r="WLM12" s="34"/>
      <c r="WLN12" s="34"/>
      <c r="WLP12" s="34"/>
      <c r="WLQ12" s="72"/>
      <c r="WLR12" s="63"/>
      <c r="WLS12" s="34"/>
      <c r="WLT12" s="64"/>
      <c r="WLU12" s="4"/>
      <c r="WLV12" s="65"/>
      <c r="WLW12" s="4"/>
      <c r="WLX12" s="4"/>
      <c r="WLY12" s="4"/>
      <c r="WMB12" s="34"/>
      <c r="WMC12" s="34"/>
      <c r="WME12" s="34"/>
      <c r="WMF12" s="72"/>
      <c r="WMG12" s="63"/>
      <c r="WMH12" s="34"/>
      <c r="WMI12" s="64"/>
      <c r="WMJ12" s="4"/>
      <c r="WMK12" s="65"/>
      <c r="WML12" s="4"/>
      <c r="WMM12" s="4"/>
      <c r="WMN12" s="4"/>
      <c r="WMQ12" s="34"/>
      <c r="WMR12" s="34"/>
      <c r="WMT12" s="34"/>
      <c r="WMU12" s="72"/>
      <c r="WMV12" s="63"/>
      <c r="WMW12" s="34"/>
      <c r="WMX12" s="64"/>
      <c r="WMY12" s="4"/>
      <c r="WMZ12" s="65"/>
      <c r="WNA12" s="4"/>
      <c r="WNB12" s="4"/>
      <c r="WNC12" s="4"/>
      <c r="WNF12" s="34"/>
      <c r="WNG12" s="34"/>
      <c r="WNI12" s="34"/>
      <c r="WNJ12" s="72"/>
      <c r="WNK12" s="63"/>
      <c r="WNL12" s="34"/>
      <c r="WNM12" s="64"/>
      <c r="WNN12" s="4"/>
      <c r="WNO12" s="65"/>
      <c r="WNP12" s="4"/>
      <c r="WNQ12" s="4"/>
      <c r="WNR12" s="4"/>
      <c r="WNU12" s="34"/>
      <c r="WNV12" s="34"/>
      <c r="WNX12" s="34"/>
      <c r="WNY12" s="72"/>
      <c r="WNZ12" s="63"/>
      <c r="WOA12" s="34"/>
      <c r="WOB12" s="64"/>
      <c r="WOC12" s="4"/>
      <c r="WOD12" s="65"/>
      <c r="WOE12" s="4"/>
      <c r="WOF12" s="4"/>
      <c r="WOG12" s="4"/>
      <c r="WOJ12" s="34"/>
      <c r="WOK12" s="34"/>
      <c r="WOM12" s="34"/>
      <c r="WON12" s="72"/>
      <c r="WOO12" s="63"/>
      <c r="WOP12" s="34"/>
      <c r="WOQ12" s="64"/>
      <c r="WOR12" s="4"/>
      <c r="WOS12" s="65"/>
      <c r="WOT12" s="4"/>
      <c r="WOU12" s="4"/>
      <c r="WOV12" s="4"/>
      <c r="WOY12" s="34"/>
      <c r="WOZ12" s="34"/>
      <c r="WPB12" s="34"/>
      <c r="WPC12" s="72"/>
      <c r="WPD12" s="63"/>
      <c r="WPE12" s="34"/>
      <c r="WPF12" s="64"/>
      <c r="WPG12" s="4"/>
      <c r="WPH12" s="65"/>
      <c r="WPI12" s="4"/>
      <c r="WPJ12" s="4"/>
      <c r="WPK12" s="4"/>
      <c r="WPN12" s="34"/>
      <c r="WPO12" s="34"/>
      <c r="WPQ12" s="34"/>
      <c r="WPR12" s="72"/>
      <c r="WPS12" s="63"/>
      <c r="WPT12" s="34"/>
      <c r="WPU12" s="64"/>
      <c r="WPV12" s="4"/>
      <c r="WPW12" s="65"/>
      <c r="WPX12" s="4"/>
      <c r="WPY12" s="4"/>
      <c r="WPZ12" s="4"/>
      <c r="WQC12" s="34"/>
      <c r="WQD12" s="34"/>
      <c r="WQF12" s="34"/>
      <c r="WQG12" s="72"/>
      <c r="WQH12" s="63"/>
      <c r="WQI12" s="34"/>
      <c r="WQJ12" s="64"/>
      <c r="WQK12" s="4"/>
      <c r="WQL12" s="65"/>
      <c r="WQM12" s="4"/>
      <c r="WQN12" s="4"/>
      <c r="WQO12" s="4"/>
      <c r="WQR12" s="34"/>
      <c r="WQS12" s="34"/>
      <c r="WQU12" s="34"/>
      <c r="WQV12" s="72"/>
      <c r="WQW12" s="63"/>
      <c r="WQX12" s="34"/>
      <c r="WQY12" s="64"/>
      <c r="WQZ12" s="4"/>
      <c r="WRA12" s="65"/>
      <c r="WRB12" s="4"/>
      <c r="WRC12" s="4"/>
      <c r="WRD12" s="4"/>
      <c r="WRG12" s="34"/>
      <c r="WRH12" s="34"/>
      <c r="WRJ12" s="34"/>
      <c r="WRK12" s="72"/>
      <c r="WRL12" s="63"/>
      <c r="WRM12" s="34"/>
      <c r="WRN12" s="64"/>
      <c r="WRO12" s="4"/>
      <c r="WRP12" s="65"/>
      <c r="WRQ12" s="4"/>
      <c r="WRR12" s="4"/>
      <c r="WRS12" s="4"/>
      <c r="WRV12" s="34"/>
      <c r="WRW12" s="34"/>
      <c r="WRY12" s="34"/>
      <c r="WRZ12" s="72"/>
      <c r="WSA12" s="63"/>
      <c r="WSB12" s="34"/>
      <c r="WSC12" s="64"/>
      <c r="WSD12" s="4"/>
      <c r="WSE12" s="65"/>
      <c r="WSF12" s="4"/>
      <c r="WSG12" s="4"/>
      <c r="WSH12" s="4"/>
      <c r="WSK12" s="34"/>
      <c r="WSL12" s="34"/>
      <c r="WSN12" s="34"/>
      <c r="WSO12" s="72"/>
      <c r="WSP12" s="63"/>
      <c r="WSQ12" s="34"/>
      <c r="WSR12" s="64"/>
      <c r="WSS12" s="4"/>
      <c r="WST12" s="65"/>
      <c r="WSU12" s="4"/>
      <c r="WSV12" s="4"/>
      <c r="WSW12" s="4"/>
      <c r="WSZ12" s="34"/>
      <c r="WTA12" s="34"/>
      <c r="WTC12" s="34"/>
      <c r="WTD12" s="72"/>
      <c r="WTE12" s="63"/>
      <c r="WTF12" s="34"/>
      <c r="WTG12" s="64"/>
      <c r="WTH12" s="4"/>
      <c r="WTI12" s="65"/>
      <c r="WTJ12" s="4"/>
      <c r="WTK12" s="4"/>
      <c r="WTL12" s="4"/>
      <c r="WTO12" s="34"/>
      <c r="WTP12" s="34"/>
      <c r="WTR12" s="34"/>
      <c r="WTS12" s="72"/>
      <c r="WTT12" s="63"/>
      <c r="WTU12" s="34"/>
      <c r="WTV12" s="64"/>
      <c r="WTW12" s="4"/>
      <c r="WTX12" s="65"/>
      <c r="WTY12" s="4"/>
      <c r="WTZ12" s="4"/>
      <c r="WUA12" s="4"/>
      <c r="WUD12" s="34"/>
      <c r="WUE12" s="34"/>
      <c r="WUG12" s="34"/>
      <c r="WUH12" s="72"/>
      <c r="WUI12" s="63"/>
      <c r="WUJ12" s="34"/>
      <c r="WUK12" s="64"/>
      <c r="WUL12" s="4"/>
      <c r="WUM12" s="65"/>
      <c r="WUN12" s="4"/>
      <c r="WUO12" s="4"/>
      <c r="WUP12" s="4"/>
      <c r="WUS12" s="34"/>
      <c r="WUT12" s="34"/>
      <c r="WUV12" s="34"/>
      <c r="WUW12" s="72"/>
      <c r="WUX12" s="63"/>
      <c r="WUY12" s="34"/>
      <c r="WUZ12" s="64"/>
      <c r="WVA12" s="4"/>
      <c r="WVB12" s="65"/>
      <c r="WVC12" s="4"/>
      <c r="WVD12" s="4"/>
      <c r="WVE12" s="4"/>
      <c r="WVH12" s="34"/>
      <c r="WVI12" s="34"/>
      <c r="WVK12" s="34"/>
      <c r="WVL12" s="72"/>
      <c r="WVM12" s="63"/>
      <c r="WVN12" s="34"/>
      <c r="WVO12" s="64"/>
      <c r="WVP12" s="4"/>
      <c r="WVQ12" s="65"/>
      <c r="WVR12" s="4"/>
      <c r="WVS12" s="4"/>
      <c r="WVT12" s="4"/>
      <c r="WVW12" s="34"/>
      <c r="WVX12" s="34"/>
      <c r="WVZ12" s="34"/>
      <c r="WWA12" s="72"/>
      <c r="WWB12" s="63"/>
      <c r="WWC12" s="34"/>
      <c r="WWD12" s="64"/>
      <c r="WWE12" s="4"/>
      <c r="WWF12" s="65"/>
      <c r="WWG12" s="4"/>
      <c r="WWH12" s="4"/>
      <c r="WWI12" s="4"/>
      <c r="WWL12" s="34"/>
      <c r="WWM12" s="34"/>
      <c r="WWO12" s="34"/>
      <c r="WWP12" s="72"/>
      <c r="WWQ12" s="63"/>
      <c r="WWR12" s="34"/>
      <c r="WWS12" s="64"/>
      <c r="WWT12" s="4"/>
      <c r="WWU12" s="65"/>
      <c r="WWV12" s="4"/>
      <c r="WWW12" s="4"/>
      <c r="WWX12" s="4"/>
      <c r="WXA12" s="34"/>
      <c r="WXB12" s="34"/>
      <c r="WXD12" s="34"/>
      <c r="WXE12" s="72"/>
      <c r="WXF12" s="63"/>
      <c r="WXG12" s="34"/>
      <c r="WXH12" s="64"/>
      <c r="WXI12" s="4"/>
      <c r="WXJ12" s="65"/>
      <c r="WXK12" s="4"/>
      <c r="WXL12" s="4"/>
      <c r="WXM12" s="4"/>
      <c r="WXP12" s="34"/>
      <c r="WXQ12" s="34"/>
      <c r="WXS12" s="34"/>
      <c r="WXT12" s="72"/>
      <c r="WXU12" s="63"/>
      <c r="WXV12" s="34"/>
      <c r="WXW12" s="64"/>
      <c r="WXX12" s="4"/>
      <c r="WXY12" s="65"/>
      <c r="WXZ12" s="4"/>
      <c r="WYA12" s="4"/>
      <c r="WYB12" s="4"/>
      <c r="WYE12" s="34"/>
      <c r="WYF12" s="34"/>
      <c r="WYH12" s="34"/>
      <c r="WYI12" s="72"/>
      <c r="WYJ12" s="63"/>
      <c r="WYK12" s="34"/>
      <c r="WYL12" s="64"/>
      <c r="WYM12" s="4"/>
      <c r="WYN12" s="65"/>
      <c r="WYO12" s="4"/>
      <c r="WYP12" s="4"/>
      <c r="WYQ12" s="4"/>
      <c r="WYT12" s="34"/>
      <c r="WYU12" s="34"/>
      <c r="WYW12" s="34"/>
      <c r="WYX12" s="72"/>
      <c r="WYY12" s="63"/>
      <c r="WYZ12" s="34"/>
      <c r="WZA12" s="64"/>
      <c r="WZB12" s="4"/>
      <c r="WZC12" s="65"/>
      <c r="WZD12" s="4"/>
      <c r="WZE12" s="4"/>
      <c r="WZF12" s="4"/>
      <c r="WZI12" s="34"/>
      <c r="WZJ12" s="34"/>
      <c r="WZL12" s="34"/>
      <c r="WZM12" s="72"/>
      <c r="WZN12" s="63"/>
      <c r="WZO12" s="34"/>
      <c r="WZP12" s="64"/>
      <c r="WZQ12" s="4"/>
      <c r="WZR12" s="65"/>
      <c r="WZS12" s="4"/>
      <c r="WZT12" s="4"/>
      <c r="WZU12" s="4"/>
      <c r="WZX12" s="34"/>
      <c r="WZY12" s="34"/>
      <c r="XAA12" s="34"/>
      <c r="XAB12" s="72"/>
      <c r="XAC12" s="63"/>
      <c r="XAD12" s="34"/>
      <c r="XAE12" s="64"/>
      <c r="XAF12" s="4"/>
      <c r="XAG12" s="65"/>
      <c r="XAH12" s="4"/>
      <c r="XAI12" s="4"/>
      <c r="XAJ12" s="4"/>
      <c r="XAM12" s="34"/>
      <c r="XAN12" s="34"/>
      <c r="XAP12" s="34"/>
      <c r="XAQ12" s="72"/>
      <c r="XAR12" s="63"/>
      <c r="XAS12" s="34"/>
      <c r="XAT12" s="64"/>
      <c r="XAU12" s="4"/>
      <c r="XAV12" s="65"/>
      <c r="XAW12" s="4"/>
      <c r="XAX12" s="4"/>
      <c r="XAY12" s="4"/>
      <c r="XBB12" s="34"/>
      <c r="XBC12" s="34"/>
      <c r="XBE12" s="34"/>
      <c r="XBF12" s="72"/>
      <c r="XBG12" s="63"/>
      <c r="XBH12" s="34"/>
      <c r="XBI12" s="64"/>
      <c r="XBJ12" s="4"/>
      <c r="XBK12" s="65"/>
      <c r="XBL12" s="4"/>
      <c r="XBM12" s="4"/>
      <c r="XBN12" s="4"/>
      <c r="XBQ12" s="34"/>
      <c r="XBR12" s="34"/>
      <c r="XBT12" s="34"/>
      <c r="XBU12" s="72"/>
      <c r="XBV12" s="63"/>
      <c r="XBW12" s="34"/>
      <c r="XBX12" s="64"/>
      <c r="XBY12" s="4"/>
      <c r="XBZ12" s="65"/>
      <c r="XCA12" s="4"/>
      <c r="XCB12" s="4"/>
      <c r="XCC12" s="4"/>
      <c r="XCF12" s="34"/>
      <c r="XCG12" s="34"/>
      <c r="XCI12" s="34"/>
      <c r="XCJ12" s="72"/>
      <c r="XCK12" s="63"/>
      <c r="XCL12" s="34"/>
      <c r="XCM12" s="64"/>
      <c r="XCN12" s="4"/>
      <c r="XCO12" s="65"/>
      <c r="XCP12" s="4"/>
      <c r="XCQ12" s="4"/>
      <c r="XCR12" s="4"/>
      <c r="XCU12" s="34"/>
      <c r="XCV12" s="34"/>
      <c r="XCX12" s="34"/>
      <c r="XCY12" s="72"/>
      <c r="XCZ12" s="63"/>
      <c r="XDA12" s="34"/>
      <c r="XDB12" s="64"/>
      <c r="XDC12" s="4"/>
      <c r="XDD12" s="65"/>
      <c r="XDE12" s="4"/>
      <c r="XDF12" s="4"/>
      <c r="XDG12" s="4"/>
      <c r="XDJ12" s="34"/>
      <c r="XDK12" s="34"/>
      <c r="XDM12" s="34"/>
      <c r="XDN12" s="72"/>
      <c r="XDO12" s="63"/>
      <c r="XDP12" s="34"/>
      <c r="XDQ12" s="64"/>
      <c r="XDR12" s="4"/>
      <c r="XDS12" s="65"/>
      <c r="XDT12" s="4"/>
      <c r="XDU12" s="4"/>
      <c r="XDV12" s="4"/>
      <c r="XDY12" s="34"/>
      <c r="XDZ12" s="34"/>
      <c r="XEB12" s="34"/>
      <c r="XEC12" s="72"/>
      <c r="XED12" s="63"/>
      <c r="XEE12" s="34"/>
      <c r="XEF12" s="64"/>
      <c r="XEG12" s="4"/>
      <c r="XEH12" s="65"/>
      <c r="XEI12" s="4"/>
      <c r="XEJ12" s="4"/>
      <c r="XEK12" s="4"/>
      <c r="XEN12" s="34"/>
      <c r="XEO12" s="34"/>
      <c r="XEQ12" s="34"/>
      <c r="XER12" s="72"/>
      <c r="XES12" s="63"/>
      <c r="XET12" s="34"/>
      <c r="XEU12" s="64"/>
      <c r="XEV12" s="4"/>
      <c r="XEW12" s="65"/>
      <c r="XEX12" s="4"/>
      <c r="XEY12" s="4"/>
      <c r="XEZ12" s="4"/>
      <c r="XFC12" s="34"/>
      <c r="XFD12" s="34"/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C308-12E3-41C6-A506-E0B0153C62DE}">
  <sheetPr codeName="Hoja4"/>
  <dimension ref="A1:H9"/>
  <sheetViews>
    <sheetView workbookViewId="0">
      <selection activeCell="G7" sqref="G7"/>
    </sheetView>
  </sheetViews>
  <sheetFormatPr baseColWidth="10" defaultRowHeight="14.4" x14ac:dyDescent="0.3"/>
  <sheetData>
    <row r="1" spans="1:8" x14ac:dyDescent="0.3">
      <c r="A1" s="1" t="s">
        <v>239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</row>
    <row r="2" spans="1:8" x14ac:dyDescent="0.3">
      <c r="A2" t="s">
        <v>247</v>
      </c>
      <c r="B2" s="22">
        <v>72.5832085106383</v>
      </c>
      <c r="C2" s="22">
        <v>101.1170258964144</v>
      </c>
      <c r="D2" s="22">
        <v>130.25394466403159</v>
      </c>
      <c r="E2" s="22">
        <v>192.7763543307087</v>
      </c>
      <c r="F2" s="22">
        <v>275.47819169960468</v>
      </c>
      <c r="G2" s="22">
        <v>269.37160912698408</v>
      </c>
      <c r="H2" s="22">
        <v>296.43784431137738</v>
      </c>
    </row>
    <row r="3" spans="1:8" x14ac:dyDescent="0.3">
      <c r="A3" t="s">
        <v>248</v>
      </c>
      <c r="B3" s="22">
        <v>72.180000000000007</v>
      </c>
      <c r="C3" s="22">
        <v>101.33499999999999</v>
      </c>
      <c r="D3" s="22">
        <v>135.06</v>
      </c>
      <c r="E3" s="22">
        <v>200.48</v>
      </c>
      <c r="F3" s="22">
        <v>272.80500000000001</v>
      </c>
      <c r="G3" s="22">
        <v>265.71749999999997</v>
      </c>
      <c r="H3" s="22">
        <v>306.68</v>
      </c>
    </row>
    <row r="4" spans="1:8" x14ac:dyDescent="0.3">
      <c r="A4" t="s">
        <v>249</v>
      </c>
      <c r="B4" s="22">
        <v>65.879750000000001</v>
      </c>
      <c r="C4" s="22">
        <v>94.022500000000008</v>
      </c>
      <c r="D4" s="22">
        <v>119.125</v>
      </c>
      <c r="E4" s="22">
        <v>174.24625</v>
      </c>
      <c r="F4" s="22">
        <v>243.91</v>
      </c>
      <c r="G4" s="22">
        <v>246.04624999999999</v>
      </c>
      <c r="H4" s="22">
        <v>260.11</v>
      </c>
    </row>
    <row r="5" spans="1:8" x14ac:dyDescent="0.3">
      <c r="A5" t="s">
        <v>250</v>
      </c>
      <c r="B5" s="22">
        <v>72.180000000000007</v>
      </c>
      <c r="C5" s="22">
        <v>101.33499999999999</v>
      </c>
      <c r="D5" s="22">
        <v>135.06</v>
      </c>
      <c r="E5" s="22">
        <v>200.48</v>
      </c>
      <c r="F5" s="22">
        <v>272.80500000000001</v>
      </c>
      <c r="G5" s="22">
        <v>265.71749999999997</v>
      </c>
      <c r="H5" s="22">
        <v>306.68</v>
      </c>
    </row>
    <row r="6" spans="1:8" x14ac:dyDescent="0.3">
      <c r="A6" t="s">
        <v>251</v>
      </c>
      <c r="B6" s="22">
        <v>75.5</v>
      </c>
      <c r="C6" s="22">
        <v>108.23</v>
      </c>
      <c r="D6" s="22">
        <v>139.67949999999999</v>
      </c>
      <c r="E6" s="22">
        <v>212.87</v>
      </c>
      <c r="F6" s="22">
        <v>301.11</v>
      </c>
      <c r="G6" s="22">
        <v>290.41874999999999</v>
      </c>
      <c r="H6" s="22">
        <v>331.34500000000003</v>
      </c>
    </row>
    <row r="7" spans="1:8" x14ac:dyDescent="0.3">
      <c r="A7" t="s">
        <v>252</v>
      </c>
      <c r="B7" s="22">
        <v>24.150000000000009</v>
      </c>
      <c r="C7" s="22">
        <v>29.405000000000001</v>
      </c>
      <c r="D7" s="22">
        <v>59.97999999999999</v>
      </c>
      <c r="E7" s="22">
        <v>92.08499999999998</v>
      </c>
      <c r="F7" s="22">
        <v>131.905</v>
      </c>
      <c r="G7" s="22">
        <v>120.23</v>
      </c>
      <c r="H7" s="22">
        <v>138.41999999999999</v>
      </c>
    </row>
    <row r="8" spans="1:8" x14ac:dyDescent="0.3">
      <c r="A8" t="s">
        <v>253</v>
      </c>
      <c r="B8" s="22">
        <v>46.332351892693538</v>
      </c>
      <c r="C8" s="22">
        <v>62.890852894747667</v>
      </c>
      <c r="D8" s="22">
        <v>226.62940978745169</v>
      </c>
      <c r="E8" s="22">
        <v>535.24068628192981</v>
      </c>
      <c r="F8" s="22">
        <v>1364.0034865096941</v>
      </c>
      <c r="G8" s="22">
        <v>693.53517196725738</v>
      </c>
      <c r="H8" s="22">
        <v>1362.0533034368391</v>
      </c>
    </row>
    <row r="9" spans="1:8" x14ac:dyDescent="0.3">
      <c r="A9" t="s">
        <v>254</v>
      </c>
      <c r="B9" s="22">
        <v>6.8067871931399138</v>
      </c>
      <c r="C9" s="22">
        <v>7.930375331265707</v>
      </c>
      <c r="D9" s="22">
        <v>15.05421568157743</v>
      </c>
      <c r="E9" s="22">
        <v>23.135269315094</v>
      </c>
      <c r="F9" s="22">
        <v>36.932417826479949</v>
      </c>
      <c r="G9" s="22">
        <v>26.33505595147383</v>
      </c>
      <c r="H9" s="22">
        <v>36.906006332802242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29FD-B4D9-4111-8783-9B08E337C4F9}">
  <sheetPr codeName="Hoja5"/>
  <dimension ref="A1:L31"/>
  <sheetViews>
    <sheetView workbookViewId="0">
      <selection activeCell="E25" sqref="E25"/>
    </sheetView>
  </sheetViews>
  <sheetFormatPr baseColWidth="10" defaultRowHeight="14.4" x14ac:dyDescent="0.3"/>
  <cols>
    <col min="3" max="3" width="11.6640625" bestFit="1" customWidth="1"/>
    <col min="4" max="4" width="26.77734375" bestFit="1" customWidth="1"/>
    <col min="5" max="12" width="11.6640625" bestFit="1" customWidth="1"/>
  </cols>
  <sheetData>
    <row r="1" spans="1:12" x14ac:dyDescent="0.3">
      <c r="B1" s="1" t="s">
        <v>287</v>
      </c>
      <c r="C1" s="1" t="s">
        <v>288</v>
      </c>
      <c r="D1" s="1" t="s">
        <v>289</v>
      </c>
      <c r="E1" s="1" t="s">
        <v>290</v>
      </c>
      <c r="F1" s="1" t="s">
        <v>291</v>
      </c>
      <c r="G1" s="1" t="s">
        <v>292</v>
      </c>
      <c r="H1" s="1" t="s">
        <v>293</v>
      </c>
      <c r="I1" s="1" t="s">
        <v>294</v>
      </c>
      <c r="J1" s="1" t="s">
        <v>295</v>
      </c>
      <c r="K1" s="1" t="s">
        <v>296</v>
      </c>
      <c r="L1" s="1" t="s">
        <v>297</v>
      </c>
    </row>
    <row r="2" spans="1:12" x14ac:dyDescent="0.3">
      <c r="A2" t="s">
        <v>255</v>
      </c>
      <c r="B2" t="s">
        <v>298</v>
      </c>
      <c r="C2" s="22">
        <v>2.6766211530369191</v>
      </c>
      <c r="D2" s="22">
        <v>85375.903397397982</v>
      </c>
      <c r="E2" s="22">
        <v>1096.5910735832049</v>
      </c>
      <c r="F2" s="22">
        <v>324.12425894776158</v>
      </c>
      <c r="G2" s="22">
        <v>342.83050565481159</v>
      </c>
      <c r="H2" s="22">
        <v>2.6766211530366122</v>
      </c>
      <c r="I2" s="22">
        <v>371.76752057549191</v>
      </c>
      <c r="J2" s="22">
        <v>764.93976035082642</v>
      </c>
      <c r="K2" s="22">
        <v>324.12425894776158</v>
      </c>
      <c r="L2" s="22">
        <v>324.12425894776158</v>
      </c>
    </row>
    <row r="3" spans="1:12" x14ac:dyDescent="0.3">
      <c r="A3" t="s">
        <v>255</v>
      </c>
      <c r="B3" t="s">
        <v>299</v>
      </c>
      <c r="C3" s="22">
        <v>1.184706634241248</v>
      </c>
      <c r="D3" s="22">
        <v>102.461799583285</v>
      </c>
      <c r="E3" s="22">
        <v>32.260631352141019</v>
      </c>
      <c r="F3" s="22">
        <v>16.659651741293541</v>
      </c>
      <c r="G3" s="22">
        <v>17.213946194029951</v>
      </c>
      <c r="H3" s="22">
        <v>7.7923966680472763</v>
      </c>
      <c r="I3" s="22">
        <v>17.4178647794866</v>
      </c>
      <c r="J3" s="22">
        <v>26.437150142529092</v>
      </c>
      <c r="K3" s="22">
        <v>16.659651741293541</v>
      </c>
      <c r="L3" s="22">
        <v>16.659651741293541</v>
      </c>
    </row>
    <row r="4" spans="1:12" x14ac:dyDescent="0.3">
      <c r="A4" t="s">
        <v>255</v>
      </c>
      <c r="B4" t="s">
        <v>300</v>
      </c>
      <c r="C4" s="22">
        <v>1.156171920257542E-2</v>
      </c>
      <c r="D4" s="22">
        <v>0.97435132566815341</v>
      </c>
      <c r="E4" s="22">
        <v>0.30852003132043299</v>
      </c>
      <c r="F4" s="22">
        <v>0.1572872435531622</v>
      </c>
      <c r="G4" s="22">
        <v>0.16267399977085231</v>
      </c>
      <c r="H4" s="22">
        <v>7.6366761825602911E-2</v>
      </c>
      <c r="I4" s="22">
        <v>0.16676233769722679</v>
      </c>
      <c r="J4" s="22">
        <v>0.25140836137566602</v>
      </c>
      <c r="K4" s="22">
        <v>0.1572872435531622</v>
      </c>
      <c r="L4" s="22">
        <v>0.1572872435531622</v>
      </c>
    </row>
    <row r="5" spans="1:12" x14ac:dyDescent="0.3">
      <c r="A5" t="s">
        <v>255</v>
      </c>
      <c r="B5" t="s">
        <v>301</v>
      </c>
      <c r="C5" s="22">
        <v>0.94349306543984635</v>
      </c>
      <c r="D5" s="22">
        <v>-1801.3957483923491</v>
      </c>
      <c r="E5" s="22">
        <v>-22.15045592608756</v>
      </c>
      <c r="F5" s="22">
        <v>-5.842682338118264</v>
      </c>
      <c r="G5" s="22">
        <v>-6.2375954013069217</v>
      </c>
      <c r="H5" s="22">
        <v>0.94349306543985278</v>
      </c>
      <c r="I5" s="22">
        <v>-6.8484932142580837</v>
      </c>
      <c r="J5" s="22">
        <v>-15.148867736310381</v>
      </c>
      <c r="K5" s="22">
        <v>-5.842682338118264</v>
      </c>
      <c r="L5" s="22">
        <v>-5.842682338118264</v>
      </c>
    </row>
    <row r="6" spans="1:12" x14ac:dyDescent="0.3">
      <c r="A6" t="s">
        <v>255</v>
      </c>
      <c r="B6" s="31" t="s">
        <v>302</v>
      </c>
      <c r="C6" s="69">
        <v>0.93956477587149345</v>
      </c>
      <c r="D6" s="69">
        <v>-1926.6959875854</v>
      </c>
      <c r="E6" s="69">
        <v>-23.759845910254072</v>
      </c>
      <c r="F6" s="69">
        <v>-6.3183768322120466</v>
      </c>
      <c r="G6" s="69">
        <v>-6.7407437447132859</v>
      </c>
      <c r="H6" s="69">
        <v>0.93956477587150034</v>
      </c>
      <c r="I6" s="69">
        <v>-7.3941103895808382</v>
      </c>
      <c r="J6" s="69">
        <v>-16.27151629551912</v>
      </c>
      <c r="K6" s="69">
        <v>-6.3183768322120466</v>
      </c>
      <c r="L6" s="69">
        <v>-6.3183768322120466</v>
      </c>
    </row>
    <row r="7" spans="1:12" x14ac:dyDescent="0.3">
      <c r="A7" t="s">
        <v>256</v>
      </c>
      <c r="B7" t="s">
        <v>298</v>
      </c>
      <c r="C7" s="22">
        <v>1.7361953105558761</v>
      </c>
      <c r="D7" s="22">
        <v>558.33953741439745</v>
      </c>
      <c r="E7" s="22">
        <v>1265.4049482864129</v>
      </c>
      <c r="F7" s="22">
        <v>642.94640637438408</v>
      </c>
      <c r="G7" s="22">
        <v>588.7042021451814</v>
      </c>
      <c r="H7" s="22">
        <v>1.736195310555851</v>
      </c>
      <c r="I7" s="22">
        <v>211.45212731456999</v>
      </c>
      <c r="J7" s="22">
        <v>1196.2777301529879</v>
      </c>
      <c r="K7" s="22">
        <v>643.3988001908865</v>
      </c>
      <c r="L7" s="22">
        <v>642.76610770197033</v>
      </c>
    </row>
    <row r="8" spans="1:12" x14ac:dyDescent="0.3">
      <c r="A8" t="s">
        <v>256</v>
      </c>
      <c r="B8" t="s">
        <v>299</v>
      </c>
      <c r="C8" s="22">
        <v>1.0451052202316009</v>
      </c>
      <c r="D8" s="22">
        <v>19.283995669704051</v>
      </c>
      <c r="E8" s="22">
        <v>33.569810228343897</v>
      </c>
      <c r="F8" s="22">
        <v>23.115517241379312</v>
      </c>
      <c r="G8" s="22">
        <v>21.938539630541889</v>
      </c>
      <c r="H8" s="22">
        <v>11.77198996007607</v>
      </c>
      <c r="I8" s="22">
        <v>13.53318185782806</v>
      </c>
      <c r="J8" s="22">
        <v>31.81418082440446</v>
      </c>
      <c r="K8" s="22">
        <v>23.133578817733991</v>
      </c>
      <c r="L8" s="22">
        <v>23.06066009852216</v>
      </c>
    </row>
    <row r="9" spans="1:12" x14ac:dyDescent="0.3">
      <c r="A9" t="s">
        <v>256</v>
      </c>
      <c r="B9" t="s">
        <v>300</v>
      </c>
      <c r="C9" s="22">
        <v>7.78027448201183E-3</v>
      </c>
      <c r="D9" s="22">
        <v>0.1361741620342192</v>
      </c>
      <c r="E9" s="22">
        <v>0.24173052684382521</v>
      </c>
      <c r="F9" s="22">
        <v>0.1650430814529639</v>
      </c>
      <c r="G9" s="22">
        <v>0.15636516147996421</v>
      </c>
      <c r="H9" s="22">
        <v>8.7136566034676455E-2</v>
      </c>
      <c r="I9" s="22">
        <v>9.975493012743053E-2</v>
      </c>
      <c r="J9" s="22">
        <v>0.22758386074711509</v>
      </c>
      <c r="K9" s="22">
        <v>0.1651877448605332</v>
      </c>
      <c r="L9" s="22">
        <v>0.16457024429950221</v>
      </c>
    </row>
    <row r="10" spans="1:12" x14ac:dyDescent="0.3">
      <c r="A10" t="s">
        <v>256</v>
      </c>
      <c r="B10" t="s">
        <v>301</v>
      </c>
      <c r="C10" s="22">
        <v>0.98400950269392662</v>
      </c>
      <c r="D10" s="22">
        <v>-4.1423516781880263</v>
      </c>
      <c r="E10" s="22">
        <v>-10.65448051474543</v>
      </c>
      <c r="F10" s="22">
        <v>-4.9215876903776987</v>
      </c>
      <c r="G10" s="22">
        <v>-4.42201266254005</v>
      </c>
      <c r="H10" s="22">
        <v>0.98400950269392684</v>
      </c>
      <c r="I10" s="22">
        <v>-0.9474909600490502</v>
      </c>
      <c r="J10" s="22">
        <v>-10.01781332147616</v>
      </c>
      <c r="K10" s="22">
        <v>-4.9257542735150261</v>
      </c>
      <c r="L10" s="22">
        <v>-4.9199271252223902</v>
      </c>
    </row>
    <row r="11" spans="1:12" x14ac:dyDescent="0.3">
      <c r="A11" t="s">
        <v>256</v>
      </c>
      <c r="B11" s="31" t="s">
        <v>302</v>
      </c>
      <c r="C11" s="69">
        <v>0.98290962721784747</v>
      </c>
      <c r="D11" s="69">
        <v>-4.4960584073755632</v>
      </c>
      <c r="E11" s="69">
        <v>-11.456111449622099</v>
      </c>
      <c r="F11" s="69">
        <v>-5.3288926637899214</v>
      </c>
      <c r="G11" s="69">
        <v>-4.7949553324502121</v>
      </c>
      <c r="H11" s="69">
        <v>0.98290962721784769</v>
      </c>
      <c r="I11" s="69">
        <v>-1.0814453647085089</v>
      </c>
      <c r="J11" s="69">
        <v>-10.77565233300626</v>
      </c>
      <c r="K11" s="69">
        <v>-5.3333458373017741</v>
      </c>
      <c r="L11" s="69">
        <v>-5.3271178798673171</v>
      </c>
    </row>
    <row r="12" spans="1:12" x14ac:dyDescent="0.3">
      <c r="A12" t="s">
        <v>257</v>
      </c>
      <c r="B12" t="s">
        <v>298</v>
      </c>
      <c r="C12" s="22">
        <v>3018333.617662658</v>
      </c>
      <c r="D12" s="22">
        <v>4.9095203907958886E+22</v>
      </c>
      <c r="E12" s="22">
        <v>4555.0613461766143</v>
      </c>
      <c r="F12" s="22">
        <v>2230.46969927696</v>
      </c>
      <c r="G12" s="22">
        <v>2133.0386426987861</v>
      </c>
      <c r="H12" s="22">
        <v>3018333.6176727102</v>
      </c>
      <c r="I12" s="22">
        <v>11503.82979092714</v>
      </c>
      <c r="J12" s="22">
        <v>4296.9866359163298</v>
      </c>
      <c r="K12" s="22">
        <v>2139.8954076593132</v>
      </c>
      <c r="L12" s="22">
        <v>2145.462623310048</v>
      </c>
    </row>
    <row r="13" spans="1:12" x14ac:dyDescent="0.3">
      <c r="A13" t="s">
        <v>257</v>
      </c>
      <c r="B13" t="s">
        <v>299</v>
      </c>
      <c r="C13" s="22">
        <v>1128.330596712753</v>
      </c>
      <c r="D13" s="22">
        <v>115656355809.313</v>
      </c>
      <c r="E13" s="22">
        <v>64.523472960204828</v>
      </c>
      <c r="F13" s="22">
        <v>43.216808823529398</v>
      </c>
      <c r="G13" s="22">
        <v>42.319237499999893</v>
      </c>
      <c r="H13" s="22">
        <v>1134.3752637257701</v>
      </c>
      <c r="I13" s="22">
        <v>83.69213727551552</v>
      </c>
      <c r="J13" s="22">
        <v>61.184901330574483</v>
      </c>
      <c r="K13" s="22">
        <v>42.54851470588234</v>
      </c>
      <c r="L13" s="22">
        <v>42.592904411764692</v>
      </c>
    </row>
    <row r="14" spans="1:12" x14ac:dyDescent="0.3">
      <c r="A14" t="s">
        <v>257</v>
      </c>
      <c r="B14" t="s">
        <v>300</v>
      </c>
      <c r="C14" s="22">
        <v>5.2930295137151084</v>
      </c>
      <c r="D14" s="22">
        <v>544581075.79446256</v>
      </c>
      <c r="E14" s="22">
        <v>0.31658691775056202</v>
      </c>
      <c r="F14" s="22">
        <v>0.2090074309965011</v>
      </c>
      <c r="G14" s="22">
        <v>0.20485030999362649</v>
      </c>
      <c r="H14" s="22">
        <v>5.775997248908908</v>
      </c>
      <c r="I14" s="22">
        <v>0.40106709044633271</v>
      </c>
      <c r="J14" s="22">
        <v>0.29740253457262189</v>
      </c>
      <c r="K14" s="22">
        <v>0.20640212707339359</v>
      </c>
      <c r="L14" s="22">
        <v>0.20659087962113781</v>
      </c>
    </row>
    <row r="15" spans="1:12" x14ac:dyDescent="0.3">
      <c r="A15" t="s">
        <v>257</v>
      </c>
      <c r="B15" t="s">
        <v>301</v>
      </c>
      <c r="C15" s="22">
        <v>-6678.9950557167158</v>
      </c>
      <c r="D15" s="22">
        <v>-1.086545627181306E+20</v>
      </c>
      <c r="E15" s="22">
        <v>-9.0809887591249208</v>
      </c>
      <c r="F15" s="22">
        <v>-3.936341852970501</v>
      </c>
      <c r="G15" s="22">
        <v>-3.7207132781811261</v>
      </c>
      <c r="H15" s="22">
        <v>-6678.9950557389629</v>
      </c>
      <c r="I15" s="22">
        <v>-24.45958659954486</v>
      </c>
      <c r="J15" s="22">
        <v>-8.509833278347017</v>
      </c>
      <c r="K15" s="22">
        <v>-3.7358882594245841</v>
      </c>
      <c r="L15" s="22">
        <v>-3.74820928742606</v>
      </c>
    </row>
    <row r="16" spans="1:12" x14ac:dyDescent="0.3">
      <c r="A16" t="s">
        <v>257</v>
      </c>
      <c r="B16" s="31" t="s">
        <v>302</v>
      </c>
      <c r="C16" s="69">
        <v>-7136.0473490025961</v>
      </c>
      <c r="D16" s="69">
        <v>-1.1608882227252901E+20</v>
      </c>
      <c r="E16" s="69">
        <v>-9.7707406215913633</v>
      </c>
      <c r="F16" s="69">
        <v>-4.2740915587000616</v>
      </c>
      <c r="G16" s="69">
        <v>-4.0437094498461503</v>
      </c>
      <c r="H16" s="69">
        <v>-7136.0473490263657</v>
      </c>
      <c r="I16" s="69">
        <v>-26.201558314250558</v>
      </c>
      <c r="J16" s="69">
        <v>-9.1605060816023389</v>
      </c>
      <c r="K16" s="69">
        <v>-4.0599227192799514</v>
      </c>
      <c r="L16" s="69">
        <v>-4.0730867649867903</v>
      </c>
    </row>
    <row r="17" spans="1:12" x14ac:dyDescent="0.3">
      <c r="A17" t="s">
        <v>303</v>
      </c>
      <c r="B17" t="s">
        <v>298</v>
      </c>
      <c r="C17" s="22">
        <v>9.4746636042774401</v>
      </c>
      <c r="D17" s="22">
        <v>10952.381073940571</v>
      </c>
      <c r="E17" s="22">
        <v>9716.4156984406454</v>
      </c>
      <c r="F17" s="22">
        <v>5250.821896921183</v>
      </c>
      <c r="G17" s="22">
        <v>4914.1237966767103</v>
      </c>
      <c r="H17" s="22">
        <v>9.4746636042778185</v>
      </c>
      <c r="I17" s="22">
        <v>3687.03910234671</v>
      </c>
      <c r="J17" s="22">
        <v>10491.29692659811</v>
      </c>
      <c r="K17" s="22">
        <v>5242.1951629310361</v>
      </c>
      <c r="L17" s="22">
        <v>5276.0205677339909</v>
      </c>
    </row>
    <row r="18" spans="1:12" x14ac:dyDescent="0.3">
      <c r="A18" t="s">
        <v>303</v>
      </c>
      <c r="B18" t="s">
        <v>299</v>
      </c>
      <c r="C18" s="22">
        <v>2.3768681574470811</v>
      </c>
      <c r="D18" s="22">
        <v>99.414769339255017</v>
      </c>
      <c r="E18" s="22">
        <v>92.988631110124516</v>
      </c>
      <c r="F18" s="22">
        <v>64.683522167487695</v>
      </c>
      <c r="G18" s="22">
        <v>62.150231034482651</v>
      </c>
      <c r="H18" s="22">
        <v>37.432420101187347</v>
      </c>
      <c r="I18" s="22">
        <v>56.300293321312509</v>
      </c>
      <c r="J18" s="22">
        <v>94.901149966406166</v>
      </c>
      <c r="K18" s="22">
        <v>64.584605911330058</v>
      </c>
      <c r="L18" s="22">
        <v>64.92940886699509</v>
      </c>
    </row>
    <row r="19" spans="1:12" x14ac:dyDescent="0.3">
      <c r="A19" t="s">
        <v>303</v>
      </c>
      <c r="B19" t="s">
        <v>300</v>
      </c>
      <c r="C19" s="22">
        <v>8.3300588565232599E-3</v>
      </c>
      <c r="D19" s="22">
        <v>0.33813166653198512</v>
      </c>
      <c r="E19" s="22">
        <v>0.31542432485576072</v>
      </c>
      <c r="F19" s="22">
        <v>0.21544069191917309</v>
      </c>
      <c r="G19" s="22">
        <v>0.20659906069700101</v>
      </c>
      <c r="H19" s="22">
        <v>0.13198631498540231</v>
      </c>
      <c r="I19" s="22">
        <v>0.19258785761692551</v>
      </c>
      <c r="J19" s="22">
        <v>0.31982152327210089</v>
      </c>
      <c r="K19" s="22">
        <v>0.21506771400530919</v>
      </c>
      <c r="L19" s="22">
        <v>0.2163567933569378</v>
      </c>
    </row>
    <row r="20" spans="1:12" x14ac:dyDescent="0.3">
      <c r="A20" t="s">
        <v>303</v>
      </c>
      <c r="B20" t="s">
        <v>301</v>
      </c>
      <c r="C20" s="22">
        <v>0.99113854331085716</v>
      </c>
      <c r="D20" s="22">
        <v>-9.2435352412823999</v>
      </c>
      <c r="E20" s="22">
        <v>-8.0875624171572174</v>
      </c>
      <c r="F20" s="22">
        <v>-3.9109849980281379</v>
      </c>
      <c r="G20" s="22">
        <v>-3.596078236453399</v>
      </c>
      <c r="H20" s="22">
        <v>0.99113854331085682</v>
      </c>
      <c r="I20" s="22">
        <v>-2.448411329545352</v>
      </c>
      <c r="J20" s="22">
        <v>-8.8122927853622812</v>
      </c>
      <c r="K20" s="22">
        <v>-3.9029165923500799</v>
      </c>
      <c r="L20" s="22">
        <v>-3.9345527930821871</v>
      </c>
    </row>
    <row r="21" spans="1:12" x14ac:dyDescent="0.3">
      <c r="A21" t="s">
        <v>303</v>
      </c>
      <c r="B21" s="31" t="s">
        <v>302</v>
      </c>
      <c r="C21" s="69">
        <v>0.99052902512588969</v>
      </c>
      <c r="D21" s="69">
        <v>-9.9481170303653172</v>
      </c>
      <c r="E21" s="69">
        <v>-8.7126328479669741</v>
      </c>
      <c r="F21" s="69">
        <v>-4.248777616940127</v>
      </c>
      <c r="G21" s="69">
        <v>-3.9122106019237379</v>
      </c>
      <c r="H21" s="69">
        <v>0.99052902512588925</v>
      </c>
      <c r="I21" s="69">
        <v>-2.6856036432177839</v>
      </c>
      <c r="J21" s="69">
        <v>-9.4872123949374654</v>
      </c>
      <c r="K21" s="69">
        <v>-4.2401542415593454</v>
      </c>
      <c r="L21" s="69">
        <v>-4.2739664772624426</v>
      </c>
    </row>
    <row r="22" spans="1:12" x14ac:dyDescent="0.3">
      <c r="A22" t="s">
        <v>258</v>
      </c>
      <c r="B22" t="s">
        <v>298</v>
      </c>
      <c r="C22" s="22">
        <v>70.205605192052019</v>
      </c>
      <c r="D22" s="22">
        <v>5290.0421818312898</v>
      </c>
      <c r="E22" s="22">
        <v>1116.0908273295149</v>
      </c>
      <c r="F22" s="22">
        <v>266.1971381844059</v>
      </c>
      <c r="G22" s="22">
        <v>142.1359401182919</v>
      </c>
      <c r="H22" s="22">
        <v>70.205605192051934</v>
      </c>
      <c r="I22" s="22">
        <v>336.97571265412421</v>
      </c>
      <c r="J22" s="22">
        <v>207.0740381584645</v>
      </c>
      <c r="K22" s="22">
        <v>111.6247660556931</v>
      </c>
      <c r="L22" s="22">
        <v>123.3942048675744</v>
      </c>
    </row>
    <row r="23" spans="1:12" x14ac:dyDescent="0.3">
      <c r="A23" t="s">
        <v>258</v>
      </c>
      <c r="B23" t="s">
        <v>299</v>
      </c>
      <c r="C23" s="22">
        <v>7.0529837331105272</v>
      </c>
      <c r="D23" s="22">
        <v>59.253551944108843</v>
      </c>
      <c r="E23" s="22">
        <v>28.494658346269421</v>
      </c>
      <c r="F23" s="22">
        <v>12.09699257425742</v>
      </c>
      <c r="G23" s="22">
        <v>9.6878673267326683</v>
      </c>
      <c r="H23" s="22">
        <v>24.711432146522409</v>
      </c>
      <c r="I23" s="22">
        <v>15.44635966150364</v>
      </c>
      <c r="J23" s="22">
        <v>11.509615436726721</v>
      </c>
      <c r="K23" s="22">
        <v>7.5230915841584194</v>
      </c>
      <c r="L23" s="22">
        <v>8.188264851485151</v>
      </c>
    </row>
    <row r="24" spans="1:12" x14ac:dyDescent="0.3">
      <c r="A24" t="s">
        <v>258</v>
      </c>
      <c r="B24" t="s">
        <v>300</v>
      </c>
      <c r="C24" s="22">
        <v>2.778623682386289E-2</v>
      </c>
      <c r="D24" s="22">
        <v>0.22393622112478981</v>
      </c>
      <c r="E24" s="22">
        <v>0.1147232655650374</v>
      </c>
      <c r="F24" s="22">
        <v>4.5933530231785598E-2</v>
      </c>
      <c r="G24" s="22">
        <v>3.8117637387275402E-2</v>
      </c>
      <c r="H24" s="22">
        <v>9.5677866100835535E-2</v>
      </c>
      <c r="I24" s="22">
        <v>6.2018962314028432E-2</v>
      </c>
      <c r="J24" s="22">
        <v>4.6407644477403233E-2</v>
      </c>
      <c r="K24" s="22">
        <v>2.8756629353341001E-2</v>
      </c>
      <c r="L24" s="22">
        <v>3.1608566976779488E-2</v>
      </c>
    </row>
    <row r="25" spans="1:12" x14ac:dyDescent="0.3">
      <c r="A25" t="s">
        <v>258</v>
      </c>
      <c r="B25" t="s">
        <v>301</v>
      </c>
      <c r="C25" s="22">
        <v>0.85534531417238679</v>
      </c>
      <c r="D25" s="22">
        <v>-9.8998332502695696</v>
      </c>
      <c r="E25" s="22">
        <v>-1.2996421374159639</v>
      </c>
      <c r="F25" s="22">
        <v>0.45151582573873589</v>
      </c>
      <c r="G25" s="22">
        <v>0.70713692010233364</v>
      </c>
      <c r="H25" s="22">
        <v>0.85534531417238702</v>
      </c>
      <c r="I25" s="22">
        <v>0.30568056906321178</v>
      </c>
      <c r="J25" s="22">
        <v>0.57333563536805776</v>
      </c>
      <c r="K25" s="22">
        <v>0.77000347165734395</v>
      </c>
      <c r="L25" s="22">
        <v>0.74575320746486695</v>
      </c>
    </row>
    <row r="26" spans="1:12" x14ac:dyDescent="0.3">
      <c r="A26" t="s">
        <v>258</v>
      </c>
      <c r="B26" s="31" t="s">
        <v>302</v>
      </c>
      <c r="C26" s="69">
        <v>0.84534259653537103</v>
      </c>
      <c r="D26" s="69">
        <v>-10.65354512395842</v>
      </c>
      <c r="E26" s="69">
        <v>-1.458659944790472</v>
      </c>
      <c r="F26" s="69">
        <v>0.41358872858237189</v>
      </c>
      <c r="G26" s="69">
        <v>0.68688574968387806</v>
      </c>
      <c r="H26" s="69">
        <v>0.84534259653537125</v>
      </c>
      <c r="I26" s="69">
        <v>0.25766911905162548</v>
      </c>
      <c r="J26" s="69">
        <v>0.54383224845201927</v>
      </c>
      <c r="K26" s="69">
        <v>0.75409945639960707</v>
      </c>
      <c r="L26" s="69">
        <v>0.72817231223637369</v>
      </c>
    </row>
    <row r="27" spans="1:12" x14ac:dyDescent="0.3">
      <c r="A27" t="s">
        <v>259</v>
      </c>
      <c r="B27" t="s">
        <v>298</v>
      </c>
      <c r="C27" s="22">
        <v>16.586973868578351</v>
      </c>
      <c r="D27" s="22">
        <v>3512.7517449746601</v>
      </c>
      <c r="E27" s="22">
        <v>4877.0515507194204</v>
      </c>
      <c r="F27" s="22">
        <v>63.240592948717847</v>
      </c>
      <c r="G27" s="22">
        <v>25.082486171093478</v>
      </c>
      <c r="H27" s="22">
        <v>16.586973868578319</v>
      </c>
      <c r="I27" s="22">
        <v>257.85748443979787</v>
      </c>
      <c r="J27" s="22">
        <v>48.300183660430683</v>
      </c>
      <c r="K27" s="22">
        <v>62.63494850427336</v>
      </c>
      <c r="L27" s="22">
        <v>61.212020726495631</v>
      </c>
    </row>
    <row r="28" spans="1:12" x14ac:dyDescent="0.3">
      <c r="A28" t="s">
        <v>259</v>
      </c>
      <c r="B28" t="s">
        <v>299</v>
      </c>
      <c r="C28" s="22">
        <v>3.0097733562927931</v>
      </c>
      <c r="D28" s="22">
        <v>54.870941217418711</v>
      </c>
      <c r="E28" s="22">
        <v>66.125242343929187</v>
      </c>
      <c r="F28" s="22">
        <v>6.3355982905982859</v>
      </c>
      <c r="G28" s="22">
        <v>3.664253632478649</v>
      </c>
      <c r="H28" s="22">
        <v>25.226092874411439</v>
      </c>
      <c r="I28" s="22">
        <v>11.927180438031771</v>
      </c>
      <c r="J28" s="22">
        <v>5.4094418002096853</v>
      </c>
      <c r="K28" s="22">
        <v>6.5287606837606784</v>
      </c>
      <c r="L28" s="22">
        <v>6.3342307692307651</v>
      </c>
    </row>
    <row r="29" spans="1:12" x14ac:dyDescent="0.3">
      <c r="A29" t="s">
        <v>259</v>
      </c>
      <c r="B29" t="s">
        <v>300</v>
      </c>
      <c r="C29" s="22">
        <v>9.4382234644920029E-3</v>
      </c>
      <c r="D29" s="22">
        <v>0.16886955584907809</v>
      </c>
      <c r="E29" s="22">
        <v>0.20456518015172459</v>
      </c>
      <c r="F29" s="22">
        <v>1.9939184544314231E-2</v>
      </c>
      <c r="G29" s="22">
        <v>1.1446359152499421E-2</v>
      </c>
      <c r="H29" s="22">
        <v>8.1078759062253175E-2</v>
      </c>
      <c r="I29" s="22">
        <v>3.6590827176261109E-2</v>
      </c>
      <c r="J29" s="22">
        <v>1.687647378753258E-2</v>
      </c>
      <c r="K29" s="22">
        <v>2.0610424383991119E-2</v>
      </c>
      <c r="L29" s="22">
        <v>1.9930430194601799E-2</v>
      </c>
    </row>
    <row r="30" spans="1:12" x14ac:dyDescent="0.3">
      <c r="A30" t="s">
        <v>259</v>
      </c>
      <c r="B30" t="s">
        <v>301</v>
      </c>
      <c r="C30" s="22">
        <v>0.96695344753037005</v>
      </c>
      <c r="D30" s="22">
        <v>-5.9985240088304739</v>
      </c>
      <c r="E30" s="22">
        <v>-8.7166451967017586</v>
      </c>
      <c r="F30" s="22">
        <v>0.87400452972019815</v>
      </c>
      <c r="G30" s="22">
        <v>0.95002767220294349</v>
      </c>
      <c r="H30" s="22">
        <v>0.96695344753037016</v>
      </c>
      <c r="I30" s="22">
        <v>0.48626549021283771</v>
      </c>
      <c r="J30" s="22">
        <v>0.90377059937069826</v>
      </c>
      <c r="K30" s="22">
        <v>0.87521116699290702</v>
      </c>
      <c r="L30" s="22">
        <v>0.87804609383618748</v>
      </c>
    </row>
    <row r="31" spans="1:12" x14ac:dyDescent="0.3">
      <c r="A31" t="s">
        <v>259</v>
      </c>
      <c r="B31" s="31" t="s">
        <v>302</v>
      </c>
      <c r="C31" s="69">
        <v>0.96278252343226145</v>
      </c>
      <c r="D31" s="69">
        <v>-6.8818328643139317</v>
      </c>
      <c r="E31" s="69">
        <v>-9.943017891431106</v>
      </c>
      <c r="F31" s="69">
        <v>0.8581021888110969</v>
      </c>
      <c r="G31" s="69">
        <v>0.94372048519943152</v>
      </c>
      <c r="H31" s="69">
        <v>0.96278252343226156</v>
      </c>
      <c r="I31" s="69">
        <v>0.42142521227853569</v>
      </c>
      <c r="J31" s="69">
        <v>0.8916251410388446</v>
      </c>
      <c r="K31" s="69">
        <v>0.85946112010851672</v>
      </c>
      <c r="L31" s="69">
        <v>0.86265385325240529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4BE9-896C-44C6-B07C-B9D1BEE59619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1532.7400146179964</v>
      </c>
      <c r="C4">
        <v>101401.05998518885</v>
      </c>
      <c r="D4">
        <v>1554.2146216397869</v>
      </c>
      <c r="E4">
        <v>1.3397400146179964E-2</v>
      </c>
      <c r="F4">
        <v>101202.05998518885</v>
      </c>
      <c r="G4">
        <v>1339.7400146179964</v>
      </c>
      <c r="H4">
        <v>101202.05998518885</v>
      </c>
      <c r="I4">
        <v>1355.8444932392827</v>
      </c>
    </row>
    <row r="5" spans="1:9" x14ac:dyDescent="0.3">
      <c r="A5">
        <v>102927.79999980686</v>
      </c>
      <c r="B5">
        <v>-2113.327169462415</v>
      </c>
      <c r="C5">
        <v>102949.27460682864</v>
      </c>
      <c r="D5">
        <v>-2175.6549910305803</v>
      </c>
      <c r="E5">
        <v>-2.306327169462415E-2</v>
      </c>
      <c r="F5">
        <v>102529.79999980686</v>
      </c>
      <c r="G5">
        <v>-2306.327169462415</v>
      </c>
      <c r="H5">
        <v>102545.90447842814</v>
      </c>
      <c r="I5">
        <v>-2365.0440561569635</v>
      </c>
    </row>
    <row r="6" spans="1:9" x14ac:dyDescent="0.3">
      <c r="A6">
        <v>100808.47283034444</v>
      </c>
      <c r="B6">
        <v>739.24731182795949</v>
      </c>
      <c r="C6">
        <v>100767.61961579806</v>
      </c>
      <c r="D6">
        <v>744.92191920281084</v>
      </c>
      <c r="E6">
        <v>5.4624731182795951E-3</v>
      </c>
      <c r="F6">
        <v>100211.47283034444</v>
      </c>
      <c r="G6">
        <v>546.24731182795949</v>
      </c>
      <c r="H6">
        <v>100168.86042227117</v>
      </c>
      <c r="I6">
        <v>547.1697073453571</v>
      </c>
    </row>
    <row r="7" spans="1:9" x14ac:dyDescent="0.3">
      <c r="A7">
        <v>101541.7201421724</v>
      </c>
      <c r="B7">
        <v>99.162626707798282</v>
      </c>
      <c r="C7">
        <v>101506.54153500087</v>
      </c>
      <c r="D7">
        <v>100.65655286634913</v>
      </c>
      <c r="E7">
        <v>-9.3837373292201729E-4</v>
      </c>
      <c r="F7">
        <v>100745.7201421724</v>
      </c>
      <c r="G7">
        <v>-93.837373292201733</v>
      </c>
      <c r="H7">
        <v>100704.03012961653</v>
      </c>
      <c r="I7">
        <v>-94.498016673019563</v>
      </c>
    </row>
    <row r="8" spans="1:9" x14ac:dyDescent="0.3">
      <c r="A8">
        <v>101634.8827688802</v>
      </c>
      <c r="B8">
        <v>454.25618293137728</v>
      </c>
      <c r="C8">
        <v>101601.19808786722</v>
      </c>
      <c r="D8">
        <v>461.52972424649312</v>
      </c>
      <c r="E8">
        <v>2.6125618293137724E-3</v>
      </c>
      <c r="F8">
        <v>100639.8827688802</v>
      </c>
      <c r="G8">
        <v>261.25618293137723</v>
      </c>
      <c r="H8">
        <v>100597.5321129435</v>
      </c>
      <c r="I8">
        <v>262.81727252144265</v>
      </c>
    </row>
    <row r="9" spans="1:9" x14ac:dyDescent="0.3">
      <c r="A9">
        <v>102083.13895181158</v>
      </c>
      <c r="B9">
        <v>1748.70466321244</v>
      </c>
      <c r="C9">
        <v>102056.72781211371</v>
      </c>
      <c r="D9">
        <v>1784.6707583724597</v>
      </c>
      <c r="E9">
        <v>1.5557046632124401E-2</v>
      </c>
      <c r="F9">
        <v>100889.13895181158</v>
      </c>
      <c r="G9">
        <v>1555.7046632124402</v>
      </c>
      <c r="H9">
        <v>100848.34938546494</v>
      </c>
      <c r="I9">
        <v>1568.9024741624523</v>
      </c>
    </row>
    <row r="10" spans="1:9" x14ac:dyDescent="0.3">
      <c r="A10">
        <v>103825.84361502402</v>
      </c>
      <c r="B10">
        <v>-1254.3509635792445</v>
      </c>
      <c r="C10">
        <v>103835.39857048617</v>
      </c>
      <c r="D10">
        <v>-1302.4603225052422</v>
      </c>
      <c r="E10">
        <v>-1.4473509635792444E-2</v>
      </c>
      <c r="F10">
        <v>102432.84361502402</v>
      </c>
      <c r="G10">
        <v>-1447.3509635792443</v>
      </c>
      <c r="H10">
        <v>102405.25185962739</v>
      </c>
      <c r="I10">
        <v>-1482.1633995460691</v>
      </c>
    </row>
    <row r="11" spans="1:9" x14ac:dyDescent="0.3">
      <c r="A11">
        <v>102565.49265144477</v>
      </c>
      <c r="B11">
        <v>-898.48775652247082</v>
      </c>
      <c r="C11">
        <v>102526.93824798093</v>
      </c>
      <c r="D11">
        <v>-921.19198729546281</v>
      </c>
      <c r="E11">
        <v>-1.0914877565224707E-2</v>
      </c>
      <c r="F11">
        <v>100973.49265144477</v>
      </c>
      <c r="G11">
        <v>-1091.4877565224708</v>
      </c>
      <c r="H11">
        <v>100911.08846008132</v>
      </c>
      <c r="I11">
        <v>-1101.4321755153474</v>
      </c>
    </row>
    <row r="12" spans="1:9" x14ac:dyDescent="0.3">
      <c r="A12">
        <v>101661.0048949223</v>
      </c>
      <c r="B12">
        <v>1018.8861578538313</v>
      </c>
      <c r="C12">
        <v>101599.74626068547</v>
      </c>
      <c r="D12">
        <v>1035.1857510647399</v>
      </c>
      <c r="E12">
        <v>8.2588615785383138E-3</v>
      </c>
      <c r="F12">
        <v>99870.004894922298</v>
      </c>
      <c r="G12">
        <v>825.88615785383138</v>
      </c>
      <c r="H12">
        <v>99797.656284565965</v>
      </c>
      <c r="I12">
        <v>824.21502911677453</v>
      </c>
    </row>
    <row r="13" spans="1:9" x14ac:dyDescent="0.3">
      <c r="A13">
        <v>102673.89105277613</v>
      </c>
      <c r="B13">
        <v>2453.0487300405421</v>
      </c>
      <c r="C13">
        <v>102628.93201175021</v>
      </c>
      <c r="D13">
        <v>2517.5377133684101</v>
      </c>
      <c r="E13">
        <v>2.2600487300405422E-2</v>
      </c>
      <c r="F13">
        <v>100683.89105277613</v>
      </c>
      <c r="G13">
        <v>2260.0487300405421</v>
      </c>
      <c r="H13">
        <v>100609.87131368274</v>
      </c>
      <c r="I13">
        <v>2273.8321189203107</v>
      </c>
    </row>
    <row r="14" spans="1:9" x14ac:dyDescent="0.3">
      <c r="A14">
        <v>105120.93978281667</v>
      </c>
      <c r="B14">
        <v>-1070.7734311676084</v>
      </c>
      <c r="C14">
        <v>105140.46972511862</v>
      </c>
      <c r="D14">
        <v>-1125.8162152213931</v>
      </c>
      <c r="E14">
        <v>-1.2637734311676084E-2</v>
      </c>
      <c r="F14">
        <v>102931.93978281667</v>
      </c>
      <c r="G14">
        <v>-1263.7734311676084</v>
      </c>
      <c r="H14">
        <v>102871.70343260306</v>
      </c>
      <c r="I14">
        <v>-1300.0652561707741</v>
      </c>
    </row>
    <row r="15" spans="1:9" x14ac:dyDescent="0.3">
      <c r="A15">
        <v>104044.16635164907</v>
      </c>
      <c r="B15">
        <v>2204.8182514684631</v>
      </c>
      <c r="C15">
        <v>104008.65350989722</v>
      </c>
      <c r="D15">
        <v>2293.201775692808</v>
      </c>
      <c r="E15">
        <v>2.011818251468463E-2</v>
      </c>
      <c r="F15">
        <v>101656.16635164907</v>
      </c>
      <c r="G15">
        <v>2011.8182514684629</v>
      </c>
      <c r="H15">
        <v>101559.63817643229</v>
      </c>
      <c r="I15">
        <v>2043.1953369587977</v>
      </c>
    </row>
    <row r="16" spans="1:9" x14ac:dyDescent="0.3">
      <c r="A16">
        <v>106242.98460311753</v>
      </c>
      <c r="B16">
        <v>-670.30526905597321</v>
      </c>
      <c r="C16">
        <v>106295.85528559003</v>
      </c>
      <c r="D16">
        <v>-712.50671876742217</v>
      </c>
      <c r="E16">
        <v>-8.6330526905597314E-3</v>
      </c>
      <c r="F16">
        <v>103655.98460311753</v>
      </c>
      <c r="G16">
        <v>-863.3052690559731</v>
      </c>
      <c r="H16">
        <v>103590.83351339109</v>
      </c>
      <c r="I16">
        <v>-894.30512398010615</v>
      </c>
    </row>
    <row r="17" spans="1:9" x14ac:dyDescent="0.3">
      <c r="A17">
        <v>105566.67933406155</v>
      </c>
      <c r="B17">
        <v>374.49330233132224</v>
      </c>
      <c r="C17">
        <v>105577.34856682261</v>
      </c>
      <c r="D17">
        <v>395.38009916174491</v>
      </c>
      <c r="E17">
        <v>1.8149330233132226E-3</v>
      </c>
      <c r="F17">
        <v>102780.67933406155</v>
      </c>
      <c r="G17">
        <v>181.49330233132227</v>
      </c>
      <c r="H17">
        <v>102684.52838941099</v>
      </c>
      <c r="I17">
        <v>186.36554155728612</v>
      </c>
    </row>
    <row r="18" spans="1:9" x14ac:dyDescent="0.3">
      <c r="A18">
        <v>105935.17263639288</v>
      </c>
      <c r="B18">
        <v>2839.3795667222194</v>
      </c>
      <c r="C18">
        <v>105966.72866598435</v>
      </c>
      <c r="D18">
        <v>3008.7976412659364</v>
      </c>
      <c r="E18">
        <v>2.6463795667222192E-2</v>
      </c>
      <c r="F18">
        <v>102950.17263639288</v>
      </c>
      <c r="G18">
        <v>2646.3795667222194</v>
      </c>
      <c r="H18">
        <v>102858.89393096828</v>
      </c>
      <c r="I18">
        <v>2722.0367515456255</v>
      </c>
    </row>
    <row r="19" spans="1:9" x14ac:dyDescent="0.3">
      <c r="A19">
        <v>108768.55220311509</v>
      </c>
      <c r="B19">
        <v>1688.8360558299589</v>
      </c>
      <c r="C19">
        <v>108969.52630725029</v>
      </c>
      <c r="D19">
        <v>1840.3166501439553</v>
      </c>
      <c r="E19">
        <v>1.4958360558299589E-2</v>
      </c>
      <c r="F19">
        <v>105584.55220311509</v>
      </c>
      <c r="G19">
        <v>1495.8360558299589</v>
      </c>
      <c r="H19">
        <v>105568.93068251391</v>
      </c>
      <c r="I19">
        <v>1579.1381289031794</v>
      </c>
    </row>
    <row r="20" spans="1:9" x14ac:dyDescent="0.3">
      <c r="A20">
        <v>110451.38825894505</v>
      </c>
      <c r="B20">
        <v>-209.04102430101176</v>
      </c>
      <c r="C20">
        <v>110803.84295739424</v>
      </c>
      <c r="D20">
        <v>-231.62548828302141</v>
      </c>
      <c r="E20">
        <v>-4.0204102430101175E-3</v>
      </c>
      <c r="F20">
        <v>107068.38825894505</v>
      </c>
      <c r="G20">
        <v>-402.04102430101176</v>
      </c>
      <c r="H20">
        <v>107136.06881141709</v>
      </c>
      <c r="I20">
        <v>-430.73094844525804</v>
      </c>
    </row>
    <row r="21" spans="1:9" x14ac:dyDescent="0.3">
      <c r="A21">
        <v>110236.34723464404</v>
      </c>
      <c r="B21">
        <v>-593.56898704381717</v>
      </c>
      <c r="C21">
        <v>110566.21746911122</v>
      </c>
      <c r="D21">
        <v>-656.28677704406743</v>
      </c>
      <c r="E21">
        <v>-7.8656898704381716E-3</v>
      </c>
      <c r="F21">
        <v>106654.34723464404</v>
      </c>
      <c r="G21">
        <v>-786.56898704381717</v>
      </c>
      <c r="H21">
        <v>106693.33786297184</v>
      </c>
      <c r="I21">
        <v>-839.21670687201504</v>
      </c>
    </row>
    <row r="22" spans="1:9" x14ac:dyDescent="0.3">
      <c r="A22">
        <v>109636.77824760022</v>
      </c>
      <c r="B22">
        <v>1746.8593480581308</v>
      </c>
      <c r="C22">
        <v>109903.93069206715</v>
      </c>
      <c r="D22">
        <v>1919.8670871777042</v>
      </c>
      <c r="E22">
        <v>1.5538593480581309E-2</v>
      </c>
      <c r="F22">
        <v>105855.77824760022</v>
      </c>
      <c r="G22">
        <v>1553.859348058131</v>
      </c>
      <c r="H22">
        <v>105842.12115609982</v>
      </c>
      <c r="I22">
        <v>1644.6376937670698</v>
      </c>
    </row>
    <row r="23" spans="1:9" x14ac:dyDescent="0.3">
      <c r="A23">
        <v>111377.63759565835</v>
      </c>
      <c r="B23">
        <v>-1956.6313666162357</v>
      </c>
      <c r="C23">
        <v>111817.79777924485</v>
      </c>
      <c r="D23">
        <v>-2187.8621048082173</v>
      </c>
      <c r="E23">
        <v>-2.1496313666162357E-2</v>
      </c>
      <c r="F23">
        <v>107397.63759565835</v>
      </c>
      <c r="G23">
        <v>-2149.6313666162359</v>
      </c>
      <c r="H23">
        <v>107474.75884986689</v>
      </c>
      <c r="I23">
        <v>-2310.3111274318976</v>
      </c>
    </row>
    <row r="24" spans="1:9" x14ac:dyDescent="0.3">
      <c r="A24">
        <v>109415.00622904212</v>
      </c>
      <c r="B24">
        <v>-2106.6846725185605</v>
      </c>
      <c r="C24">
        <v>109623.93567443664</v>
      </c>
      <c r="D24">
        <v>-2309.4306502649629</v>
      </c>
      <c r="E24">
        <v>-2.2996846725185607E-2</v>
      </c>
      <c r="F24">
        <v>105236.00622904212</v>
      </c>
      <c r="G24">
        <v>-2299.6846725185605</v>
      </c>
      <c r="H24">
        <v>105152.447722435</v>
      </c>
      <c r="I24">
        <v>-2418.17472305093</v>
      </c>
    </row>
    <row r="25" spans="1:9" x14ac:dyDescent="0.3">
      <c r="A25">
        <v>107302.32155652356</v>
      </c>
      <c r="B25">
        <v>466.13760690345163</v>
      </c>
      <c r="C25">
        <v>107308.50502417168</v>
      </c>
      <c r="D25">
        <v>500.20529732354402</v>
      </c>
      <c r="E25">
        <v>2.7313760690345157E-3</v>
      </c>
      <c r="F25">
        <v>102924.32155652356</v>
      </c>
      <c r="G25">
        <v>273.13760690345157</v>
      </c>
      <c r="H25">
        <v>102722.27299938406</v>
      </c>
      <c r="I25">
        <v>280.57315822734802</v>
      </c>
    </row>
    <row r="26" spans="1:9" x14ac:dyDescent="0.3">
      <c r="A26">
        <v>107762.459163427</v>
      </c>
      <c r="B26">
        <v>-48.678855852172042</v>
      </c>
      <c r="C26">
        <v>107802.71032149522</v>
      </c>
      <c r="D26">
        <v>-52.477125962135254</v>
      </c>
      <c r="E26">
        <v>-2.4167885585217206E-3</v>
      </c>
      <c r="F26">
        <v>103185.459163427</v>
      </c>
      <c r="G26">
        <v>-241.67885585217206</v>
      </c>
      <c r="H26">
        <v>102990.84615761141</v>
      </c>
      <c r="I26">
        <v>-248.90709862618596</v>
      </c>
    </row>
    <row r="27" spans="1:9" x14ac:dyDescent="0.3">
      <c r="A27">
        <v>107707.78030757484</v>
      </c>
      <c r="B27">
        <v>-2733.415233415235</v>
      </c>
      <c r="C27">
        <v>107744.23319553309</v>
      </c>
      <c r="D27">
        <v>-2945.0972832931357</v>
      </c>
      <c r="E27">
        <v>-2.926415233415235E-2</v>
      </c>
      <c r="F27">
        <v>102931.78030757484</v>
      </c>
      <c r="G27">
        <v>-2926.415233415235</v>
      </c>
      <c r="H27">
        <v>102729.93905898523</v>
      </c>
      <c r="I27">
        <v>-3006.3045859003309</v>
      </c>
    </row>
    <row r="28" spans="1:9" x14ac:dyDescent="0.3">
      <c r="A28">
        <v>104968.36507415961</v>
      </c>
      <c r="B28">
        <v>2249.0430578194487</v>
      </c>
      <c r="C28">
        <v>104793.13591223996</v>
      </c>
      <c r="D28">
        <v>2356.8427483055325</v>
      </c>
      <c r="E28">
        <v>2.0560430578194486E-2</v>
      </c>
      <c r="F28">
        <v>99993.365074159607</v>
      </c>
      <c r="G28">
        <v>2056.0430578194487</v>
      </c>
      <c r="H28">
        <v>99711.634473084894</v>
      </c>
      <c r="I28">
        <v>2050.114138422166</v>
      </c>
    </row>
    <row r="29" spans="1:9" x14ac:dyDescent="0.3">
      <c r="A29">
        <v>107211.40813197906</v>
      </c>
      <c r="B29">
        <v>3744.3405871184441</v>
      </c>
      <c r="C29">
        <v>107143.97866054549</v>
      </c>
      <c r="D29">
        <v>4011.8354796403296</v>
      </c>
      <c r="E29">
        <v>3.5513405871184442E-2</v>
      </c>
      <c r="F29">
        <v>102037.40813197906</v>
      </c>
      <c r="G29">
        <v>3551.3405871184441</v>
      </c>
      <c r="H29">
        <v>101749.74861150706</v>
      </c>
      <c r="I29">
        <v>3613.4801197314359</v>
      </c>
    </row>
    <row r="30" spans="1:9" x14ac:dyDescent="0.3">
      <c r="A30">
        <v>110949.74871909749</v>
      </c>
      <c r="B30">
        <v>-462.02604146780578</v>
      </c>
      <c r="C30">
        <v>111149.81414018582</v>
      </c>
      <c r="D30">
        <v>-513.54108637072397</v>
      </c>
      <c r="E30">
        <v>-6.550260414678058E-3</v>
      </c>
      <c r="F30">
        <v>105576.74871909749</v>
      </c>
      <c r="G30">
        <v>-655.02604146780584</v>
      </c>
      <c r="H30">
        <v>105351.2287312385</v>
      </c>
      <c r="I30">
        <v>-690.0779831959253</v>
      </c>
    </row>
    <row r="31" spans="1:9" x14ac:dyDescent="0.3">
      <c r="A31">
        <v>110481.72267762969</v>
      </c>
      <c r="B31">
        <v>-1431.6954189484854</v>
      </c>
      <c r="C31">
        <v>110630.27305381509</v>
      </c>
      <c r="D31">
        <v>-1583.8885512816714</v>
      </c>
      <c r="E31">
        <v>-1.6246954189484856E-2</v>
      </c>
      <c r="F31">
        <v>104909.72267762969</v>
      </c>
      <c r="G31">
        <v>-1624.6954189484857</v>
      </c>
      <c r="H31">
        <v>104649.15074804258</v>
      </c>
      <c r="I31">
        <v>-1700.2299581719426</v>
      </c>
    </row>
    <row r="32" spans="1:9" x14ac:dyDescent="0.3">
      <c r="A32">
        <v>109044.02725868121</v>
      </c>
      <c r="B32">
        <v>95.433856996032489</v>
      </c>
      <c r="C32">
        <v>109040.38450253342</v>
      </c>
      <c r="D32">
        <v>104.06144461407172</v>
      </c>
      <c r="E32">
        <v>-9.7566143003967516E-4</v>
      </c>
      <c r="F32">
        <v>103273.02725868121</v>
      </c>
      <c r="G32">
        <v>-97.566143003967511</v>
      </c>
      <c r="H32">
        <v>102936.92078987064</v>
      </c>
      <c r="I32">
        <v>-100.43158334172595</v>
      </c>
    </row>
    <row r="33" spans="1:9" x14ac:dyDescent="0.3">
      <c r="A33">
        <v>109133.46111567724</v>
      </c>
      <c r="B33">
        <v>-228.82869474624539</v>
      </c>
      <c r="C33">
        <v>109138.44594714748</v>
      </c>
      <c r="D33">
        <v>-249.74008132719416</v>
      </c>
      <c r="E33">
        <v>-4.2182869474624539E-3</v>
      </c>
      <c r="F33">
        <v>103163.46111567724</v>
      </c>
      <c r="G33">
        <v>-421.82869474624539</v>
      </c>
      <c r="H33">
        <v>102824.48920652892</v>
      </c>
      <c r="I33">
        <v>-433.74320069939489</v>
      </c>
    </row>
    <row r="34" spans="1:9" x14ac:dyDescent="0.3">
      <c r="A34">
        <v>108898.632420931</v>
      </c>
      <c r="B34">
        <v>694.97045902137404</v>
      </c>
      <c r="C34">
        <v>108882.70586582029</v>
      </c>
      <c r="D34">
        <v>756.7026407505839</v>
      </c>
      <c r="E34">
        <v>5.0197045902137406E-3</v>
      </c>
      <c r="F34">
        <v>102729.632420931</v>
      </c>
      <c r="G34">
        <v>501.97045902137404</v>
      </c>
      <c r="H34">
        <v>102378.74600582953</v>
      </c>
      <c r="I34">
        <v>513.91106126578916</v>
      </c>
    </row>
    <row r="35" spans="1:9" x14ac:dyDescent="0.3">
      <c r="A35">
        <v>109587.60287995238</v>
      </c>
      <c r="B35">
        <v>-553.05044899217717</v>
      </c>
      <c r="C35">
        <v>109633.40850657088</v>
      </c>
      <c r="D35">
        <v>-606.328057991018</v>
      </c>
      <c r="E35">
        <v>-7.4605044899217722E-3</v>
      </c>
      <c r="F35">
        <v>103219.60287995238</v>
      </c>
      <c r="G35">
        <v>-746.05044899217717</v>
      </c>
      <c r="H35">
        <v>102880.65706709531</v>
      </c>
      <c r="I35">
        <v>-767.54160397516659</v>
      </c>
    </row>
    <row r="36" spans="1:9" x14ac:dyDescent="0.3">
      <c r="A36">
        <v>109028.5524309602</v>
      </c>
      <c r="B36">
        <v>-666.15575075163326</v>
      </c>
      <c r="C36">
        <v>109021.08044857986</v>
      </c>
      <c r="D36">
        <v>-726.25019693977913</v>
      </c>
      <c r="E36">
        <v>-8.5915575075163324E-3</v>
      </c>
      <c r="F36">
        <v>102461.5524309602</v>
      </c>
      <c r="G36">
        <v>-859.15575075163326</v>
      </c>
      <c r="H36">
        <v>102101.11546312014</v>
      </c>
      <c r="I36">
        <v>-877.20760508296166</v>
      </c>
    </row>
    <row r="37" spans="1:9" x14ac:dyDescent="0.3">
      <c r="A37">
        <v>108356.39668020858</v>
      </c>
      <c r="B37">
        <v>-925.14221601086331</v>
      </c>
      <c r="C37">
        <v>108288.83025164007</v>
      </c>
      <c r="D37">
        <v>-1001.8256838822651</v>
      </c>
      <c r="E37">
        <v>-1.1181422160108633E-2</v>
      </c>
      <c r="F37">
        <v>101590.39668020858</v>
      </c>
      <c r="G37">
        <v>-1118.1422160108632</v>
      </c>
      <c r="H37">
        <v>101211.90785803717</v>
      </c>
      <c r="I37">
        <v>-1131.69306939073</v>
      </c>
    </row>
    <row r="38" spans="1:9" x14ac:dyDescent="0.3">
      <c r="A38">
        <v>107425.25446419771</v>
      </c>
      <c r="B38">
        <v>299.39533882550393</v>
      </c>
      <c r="C38">
        <v>107281.0045677578</v>
      </c>
      <c r="D38">
        <v>321.19432712104282</v>
      </c>
      <c r="E38">
        <v>1.0639533882550393E-3</v>
      </c>
      <c r="F38">
        <v>100460.25446419771</v>
      </c>
      <c r="G38">
        <v>106.39533882550393</v>
      </c>
      <c r="H38">
        <v>100068.21478864644</v>
      </c>
      <c r="I38">
        <v>106.46791618101341</v>
      </c>
    </row>
    <row r="39" spans="1:9" x14ac:dyDescent="0.3">
      <c r="A39">
        <v>107718.64980302322</v>
      </c>
      <c r="B39">
        <v>-200.19619226842306</v>
      </c>
      <c r="C39">
        <v>107596.19889487885</v>
      </c>
      <c r="D39">
        <v>-215.40349321310657</v>
      </c>
      <c r="E39">
        <v>-3.9319619226842305E-3</v>
      </c>
      <c r="F39">
        <v>100554.64980302322</v>
      </c>
      <c r="G39">
        <v>-393.19619226842303</v>
      </c>
      <c r="H39">
        <v>100162.68270482746</v>
      </c>
      <c r="I39">
        <v>-393.8358544692839</v>
      </c>
    </row>
    <row r="40" spans="1:9" x14ac:dyDescent="0.3">
      <c r="A40">
        <v>107512.45361075479</v>
      </c>
      <c r="B40">
        <v>-1024.8699127475629</v>
      </c>
      <c r="C40">
        <v>107374.79540166575</v>
      </c>
      <c r="D40">
        <v>-1100.4519719459258</v>
      </c>
      <c r="E40">
        <v>-1.2178699127475628E-2</v>
      </c>
      <c r="F40">
        <v>100149.45361075479</v>
      </c>
      <c r="G40">
        <v>-1217.8699127475629</v>
      </c>
      <c r="H40">
        <v>99756.846850358168</v>
      </c>
      <c r="I40">
        <v>-1214.9086236961768</v>
      </c>
    </row>
    <row r="41" spans="1:9" x14ac:dyDescent="0.3">
      <c r="A41">
        <v>106481.58369800722</v>
      </c>
      <c r="B41">
        <v>216.97639377197069</v>
      </c>
      <c r="C41">
        <v>106268.34342971983</v>
      </c>
      <c r="D41">
        <v>230.57721929501903</v>
      </c>
      <c r="E41">
        <v>2.3976393771970683E-4</v>
      </c>
      <c r="F41">
        <v>98919.58369800722</v>
      </c>
      <c r="G41">
        <v>23.976393771970685</v>
      </c>
      <c r="H41">
        <v>98529.938226661994</v>
      </c>
      <c r="I41">
        <v>23.623925972503947</v>
      </c>
    </row>
    <row r="42" spans="1:9" x14ac:dyDescent="0.3">
      <c r="A42">
        <v>106692.56009177919</v>
      </c>
      <c r="B42">
        <v>1841.1509185828734</v>
      </c>
      <c r="C42">
        <v>106492.92064901485</v>
      </c>
      <c r="D42">
        <v>1960.6953867550674</v>
      </c>
      <c r="E42">
        <v>1.6481509185828733E-2</v>
      </c>
      <c r="F42">
        <v>98931.560091779189</v>
      </c>
      <c r="G42">
        <v>1648.1509185828734</v>
      </c>
      <c r="H42">
        <v>98541.562152634491</v>
      </c>
      <c r="I42">
        <v>1624.1136618045584</v>
      </c>
    </row>
    <row r="43" spans="1:9" x14ac:dyDescent="0.3">
      <c r="A43">
        <v>108527.71101036207</v>
      </c>
      <c r="B43">
        <v>-1852.1523917718171</v>
      </c>
      <c r="C43">
        <v>108447.61603576991</v>
      </c>
      <c r="D43">
        <v>-2008.6151142260289</v>
      </c>
      <c r="E43">
        <v>-2.0451523917718172E-2</v>
      </c>
      <c r="F43">
        <v>100567.71101036207</v>
      </c>
      <c r="G43">
        <v>-2045.1523917718171</v>
      </c>
      <c r="H43">
        <v>100153.67581443905</v>
      </c>
      <c r="I43">
        <v>-2048.295296366392</v>
      </c>
    </row>
    <row r="44" spans="1:9" x14ac:dyDescent="0.3">
      <c r="A44">
        <v>106669.55861859025</v>
      </c>
      <c r="B44">
        <v>-1238.7766832497573</v>
      </c>
      <c r="C44">
        <v>106433.00092154388</v>
      </c>
      <c r="D44">
        <v>-1318.4671986990847</v>
      </c>
      <c r="E44">
        <v>-1.4317766832497572E-2</v>
      </c>
      <c r="F44">
        <v>98510.55861859025</v>
      </c>
      <c r="G44">
        <v>-1431.7766832497571</v>
      </c>
      <c r="H44">
        <v>98093.380518072663</v>
      </c>
      <c r="I44">
        <v>-1404.4781500692243</v>
      </c>
    </row>
    <row r="45" spans="1:9" x14ac:dyDescent="0.3">
      <c r="A45">
        <v>105424.78193534049</v>
      </c>
      <c r="B45">
        <v>-183.28588698669049</v>
      </c>
      <c r="C45">
        <v>105108.53372284479</v>
      </c>
      <c r="D45">
        <v>-192.64910833262078</v>
      </c>
      <c r="E45">
        <v>-3.7628588698669051E-3</v>
      </c>
      <c r="F45">
        <v>97066.781935340492</v>
      </c>
      <c r="G45">
        <v>-376.28588698669051</v>
      </c>
      <c r="H45">
        <v>96676.902368003444</v>
      </c>
      <c r="I45">
        <v>-363.78153958669856</v>
      </c>
    </row>
    <row r="46" spans="1:9" x14ac:dyDescent="0.3">
      <c r="A46">
        <v>105235.4960483538</v>
      </c>
      <c r="B46">
        <v>763.12040127252283</v>
      </c>
      <c r="C46">
        <v>104909.88461451216</v>
      </c>
      <c r="D46">
        <v>800.58873244480583</v>
      </c>
      <c r="E46">
        <v>5.7012040127252276E-3</v>
      </c>
      <c r="F46">
        <v>96678.496048353802</v>
      </c>
      <c r="G46">
        <v>570.12040127252271</v>
      </c>
      <c r="H46">
        <v>96301.120828416751</v>
      </c>
      <c r="I46">
        <v>549.03233649690662</v>
      </c>
    </row>
    <row r="47" spans="1:9" x14ac:dyDescent="0.3">
      <c r="A47">
        <v>105992.61644962632</v>
      </c>
      <c r="B47">
        <v>125.93962769097296</v>
      </c>
      <c r="C47">
        <v>105704.47334695698</v>
      </c>
      <c r="D47">
        <v>133.12382018586135</v>
      </c>
      <c r="E47">
        <v>-6.7060372309027047E-4</v>
      </c>
      <c r="F47">
        <v>97236.616449626323</v>
      </c>
      <c r="G47">
        <v>-67.060372309027045</v>
      </c>
      <c r="H47">
        <v>96838.15316491366</v>
      </c>
      <c r="I47">
        <v>-64.940026049576957</v>
      </c>
    </row>
    <row r="48" spans="1:9" x14ac:dyDescent="0.3">
      <c r="A48">
        <v>106112.55607731729</v>
      </c>
      <c r="B48">
        <v>1416.4029226741686</v>
      </c>
      <c r="C48">
        <v>105831.59716714284</v>
      </c>
      <c r="D48">
        <v>1499.0018353881637</v>
      </c>
      <c r="E48">
        <v>1.2234029226741687E-2</v>
      </c>
      <c r="F48">
        <v>97157.556077317291</v>
      </c>
      <c r="G48">
        <v>1223.4029226741686</v>
      </c>
      <c r="H48">
        <v>96761.213138864085</v>
      </c>
      <c r="I48">
        <v>1183.7795095558449</v>
      </c>
    </row>
    <row r="49" spans="1:9" x14ac:dyDescent="0.3">
      <c r="A49">
        <v>107522.95899999146</v>
      </c>
      <c r="B49">
        <v>-955.94678562893557</v>
      </c>
      <c r="C49">
        <v>107324.599002531</v>
      </c>
      <c r="D49">
        <v>-1025.9660543538398</v>
      </c>
      <c r="E49">
        <v>-1.1489467856289355E-2</v>
      </c>
      <c r="F49">
        <v>98368.958999991461</v>
      </c>
      <c r="G49">
        <v>-1148.9467856289355</v>
      </c>
      <c r="H49">
        <v>97932.992648419924</v>
      </c>
      <c r="I49">
        <v>-1125.1979711042425</v>
      </c>
    </row>
    <row r="50" spans="1:9" x14ac:dyDescent="0.3">
      <c r="A50">
        <v>106561.01221436252</v>
      </c>
      <c r="B50">
        <v>2622.5930939728887</v>
      </c>
      <c r="C50">
        <v>106292.63294817717</v>
      </c>
      <c r="D50">
        <v>2787.6232511008457</v>
      </c>
      <c r="E50">
        <v>2.4295930939728885E-2</v>
      </c>
      <c r="F50">
        <v>97208.012214362519</v>
      </c>
      <c r="G50">
        <v>2429.5930939728887</v>
      </c>
      <c r="H50">
        <v>96795.794677315687</v>
      </c>
      <c r="I50">
        <v>2351.7439427362388</v>
      </c>
    </row>
    <row r="51" spans="1:9" x14ac:dyDescent="0.3">
      <c r="A51">
        <v>109177.60530833541</v>
      </c>
      <c r="B51">
        <v>-1387.4294609846265</v>
      </c>
      <c r="C51">
        <v>109074.25619927801</v>
      </c>
      <c r="D51">
        <v>-1513.3283648586337</v>
      </c>
      <c r="E51">
        <v>-1.5804294609846267E-2</v>
      </c>
      <c r="F51">
        <v>99625.605308335405</v>
      </c>
      <c r="G51">
        <v>-1580.4294609846268</v>
      </c>
      <c r="H51">
        <v>99135.538620051928</v>
      </c>
      <c r="I51">
        <v>-1566.7672586570932</v>
      </c>
    </row>
    <row r="52" spans="1:9" x14ac:dyDescent="0.3">
      <c r="A52">
        <v>107784.17584735078</v>
      </c>
      <c r="B52">
        <v>-2065.5270655270688</v>
      </c>
      <c r="C52">
        <v>107554.92783441937</v>
      </c>
      <c r="D52">
        <v>-2221.5761447280393</v>
      </c>
      <c r="E52">
        <v>-2.2585270655270689E-2</v>
      </c>
      <c r="F52">
        <v>98033.17584735078</v>
      </c>
      <c r="G52">
        <v>-2258.5270655270688</v>
      </c>
      <c r="H52">
        <v>97556.771361394829</v>
      </c>
      <c r="I52">
        <v>-2203.3460854514628</v>
      </c>
    </row>
    <row r="53" spans="1:9" x14ac:dyDescent="0.3">
      <c r="A53">
        <v>105712.64878182371</v>
      </c>
      <c r="B53">
        <v>-4160.6913729337975</v>
      </c>
      <c r="C53">
        <v>105327.35168969134</v>
      </c>
      <c r="D53">
        <v>-4382.346035092628</v>
      </c>
      <c r="E53">
        <v>-4.3536913729337975E-2</v>
      </c>
      <c r="F53">
        <v>95762.648781823707</v>
      </c>
      <c r="G53">
        <v>-4353.6913729337975</v>
      </c>
      <c r="H53">
        <v>95341.425275943373</v>
      </c>
      <c r="I53">
        <v>-4150.8714070708693</v>
      </c>
    </row>
    <row r="54" spans="1:9" x14ac:dyDescent="0.3">
      <c r="A54">
        <v>101545.95740888991</v>
      </c>
      <c r="B54">
        <v>-418.74090182054186</v>
      </c>
      <c r="C54">
        <v>100939.0056545987</v>
      </c>
      <c r="D54">
        <v>-422.67290256675432</v>
      </c>
      <c r="E54">
        <v>-6.1174090182054188E-3</v>
      </c>
      <c r="F54">
        <v>91396.95740888991</v>
      </c>
      <c r="G54">
        <v>-611.74090182054192</v>
      </c>
      <c r="H54">
        <v>91178.553868872506</v>
      </c>
      <c r="I54">
        <v>-557.77650770436924</v>
      </c>
    </row>
    <row r="55" spans="1:9" x14ac:dyDescent="0.3">
      <c r="A55">
        <v>101121.21650706937</v>
      </c>
      <c r="B55">
        <v>1832.8432522143996</v>
      </c>
      <c r="C55">
        <v>100510.33275203194</v>
      </c>
      <c r="D55">
        <v>1842.1968516238571</v>
      </c>
      <c r="E55">
        <v>1.6398432522143996E-2</v>
      </c>
      <c r="F55">
        <v>90773.216507069374</v>
      </c>
      <c r="G55">
        <v>1639.8432522143996</v>
      </c>
      <c r="H55">
        <v>90608.777361168133</v>
      </c>
      <c r="I55">
        <v>1485.8419214710841</v>
      </c>
    </row>
    <row r="56" spans="1:9" x14ac:dyDescent="0.3">
      <c r="A56">
        <v>102948.05975928377</v>
      </c>
      <c r="B56">
        <v>436.75274335316504</v>
      </c>
      <c r="C56">
        <v>102346.5296036558</v>
      </c>
      <c r="D56">
        <v>447.0012757707259</v>
      </c>
      <c r="E56">
        <v>2.4375274335316499E-3</v>
      </c>
      <c r="F56">
        <v>92401.059759283773</v>
      </c>
      <c r="G56">
        <v>243.75274335316499</v>
      </c>
      <c r="H56">
        <v>92082.619282639222</v>
      </c>
      <c r="I56">
        <v>224.45391065288359</v>
      </c>
    </row>
    <row r="57" spans="1:9" x14ac:dyDescent="0.3">
      <c r="A57">
        <v>103378.81250263694</v>
      </c>
      <c r="B57">
        <v>-491.67443475718858</v>
      </c>
      <c r="C57">
        <v>102787.53087942653</v>
      </c>
      <c r="D57">
        <v>-505.38001145229106</v>
      </c>
      <c r="E57">
        <v>-6.8467443475718863E-3</v>
      </c>
      <c r="F57">
        <v>92632.812502636938</v>
      </c>
      <c r="G57">
        <v>-684.67443475718858</v>
      </c>
      <c r="H57">
        <v>92295.073193292104</v>
      </c>
      <c r="I57">
        <v>-631.9207706949062</v>
      </c>
    </row>
    <row r="58" spans="1:9" x14ac:dyDescent="0.3">
      <c r="A58">
        <v>102881.13806787974</v>
      </c>
      <c r="B58">
        <v>57.594355753145202</v>
      </c>
      <c r="C58">
        <v>102276.15086797424</v>
      </c>
      <c r="D58">
        <v>58.905290181524585</v>
      </c>
      <c r="E58">
        <v>-1.3540564424685481E-3</v>
      </c>
      <c r="F58">
        <v>91936.138067879743</v>
      </c>
      <c r="G58">
        <v>-135.40564424685482</v>
      </c>
      <c r="H58">
        <v>91651.152422597195</v>
      </c>
      <c r="I58">
        <v>-124.10083339748461</v>
      </c>
    </row>
    <row r="59" spans="1:9" x14ac:dyDescent="0.3">
      <c r="A59">
        <v>102932.73242363289</v>
      </c>
      <c r="B59">
        <v>-1121.1247296323049</v>
      </c>
      <c r="C59">
        <v>102329.05615815577</v>
      </c>
      <c r="D59">
        <v>-1147.2363541884135</v>
      </c>
      <c r="E59">
        <v>-1.3141247296323049E-2</v>
      </c>
      <c r="F59">
        <v>91788.732423632886</v>
      </c>
      <c r="G59">
        <v>-1314.1247296323049</v>
      </c>
      <c r="H59">
        <v>91515.051589199706</v>
      </c>
      <c r="I59">
        <v>-1202.6219242694351</v>
      </c>
    </row>
    <row r="60" spans="1:9" x14ac:dyDescent="0.3">
      <c r="A60">
        <v>101805.60769400059</v>
      </c>
      <c r="B60">
        <v>1500.5702879954304</v>
      </c>
      <c r="C60">
        <v>101175.81980396736</v>
      </c>
      <c r="D60">
        <v>1518.2142906141305</v>
      </c>
      <c r="E60">
        <v>1.3075702879954304E-2</v>
      </c>
      <c r="F60">
        <v>90462.607694000588</v>
      </c>
      <c r="G60">
        <v>1307.5702879954304</v>
      </c>
      <c r="H60">
        <v>90300.429664930271</v>
      </c>
      <c r="I60">
        <v>1180.7415882308399</v>
      </c>
    </row>
    <row r="61" spans="1:9" x14ac:dyDescent="0.3">
      <c r="A61">
        <v>103300.17798199602</v>
      </c>
      <c r="B61">
        <v>-175.8520667149746</v>
      </c>
      <c r="C61">
        <v>102688.03409458148</v>
      </c>
      <c r="D61">
        <v>-180.57903022429929</v>
      </c>
      <c r="E61">
        <v>-3.6885206671497459E-3</v>
      </c>
      <c r="F61">
        <v>91758.177981996021</v>
      </c>
      <c r="G61">
        <v>-368.85206671497457</v>
      </c>
      <c r="H61">
        <v>91469.171253161112</v>
      </c>
      <c r="I61">
        <v>-337.38592857434418</v>
      </c>
    </row>
    <row r="62" spans="1:9" x14ac:dyDescent="0.3">
      <c r="A62">
        <v>103118.32591528105</v>
      </c>
      <c r="B62">
        <v>469.18090326277797</v>
      </c>
      <c r="C62">
        <v>102501.45506435719</v>
      </c>
      <c r="D62">
        <v>480.9172527284415</v>
      </c>
      <c r="E62">
        <v>2.7618090326277794E-3</v>
      </c>
      <c r="F62">
        <v>91377.32591528105</v>
      </c>
      <c r="G62">
        <v>276.18090326277792</v>
      </c>
      <c r="H62">
        <v>91119.785324586774</v>
      </c>
      <c r="I62">
        <v>251.65544616054794</v>
      </c>
    </row>
    <row r="63" spans="1:9" x14ac:dyDescent="0.3">
      <c r="A63">
        <v>103581.50681854383</v>
      </c>
      <c r="B63">
        <v>14.081284213127441</v>
      </c>
      <c r="C63">
        <v>102976.37231708562</v>
      </c>
      <c r="D63">
        <v>14.500395658337116</v>
      </c>
      <c r="E63">
        <v>-1.7891871578687257E-3</v>
      </c>
      <c r="F63">
        <v>91641.506818543829</v>
      </c>
      <c r="G63">
        <v>-178.91871578687258</v>
      </c>
      <c r="H63">
        <v>91359.440770747315</v>
      </c>
      <c r="I63">
        <v>-163.45913817708959</v>
      </c>
    </row>
    <row r="64" spans="1:9" x14ac:dyDescent="0.3">
      <c r="A64">
        <v>103589.58810275696</v>
      </c>
      <c r="B64">
        <v>1611.0552940969078</v>
      </c>
      <c r="C64">
        <v>102984.87271274396</v>
      </c>
      <c r="D64">
        <v>1659.1432439576233</v>
      </c>
      <c r="E64">
        <v>1.4180552940969078E-2</v>
      </c>
      <c r="F64">
        <v>91450.588102756956</v>
      </c>
      <c r="G64">
        <v>1418.0552940969078</v>
      </c>
      <c r="H64">
        <v>91183.981632570227</v>
      </c>
      <c r="I64">
        <v>1293.039278909014</v>
      </c>
    </row>
    <row r="65" spans="1:9" x14ac:dyDescent="0.3">
      <c r="A65">
        <v>105194.64339685386</v>
      </c>
      <c r="B65">
        <v>274.10174936276582</v>
      </c>
      <c r="C65">
        <v>104638.01595670158</v>
      </c>
      <c r="D65">
        <v>286.81463223580909</v>
      </c>
      <c r="E65">
        <v>8.1101749362765831E-4</v>
      </c>
      <c r="F65">
        <v>92856.643396853862</v>
      </c>
      <c r="G65">
        <v>81.10174936276583</v>
      </c>
      <c r="H65">
        <v>92465.020911479238</v>
      </c>
      <c r="I65">
        <v>74.990749507856904</v>
      </c>
    </row>
    <row r="66" spans="1:9" x14ac:dyDescent="0.3">
      <c r="A66">
        <v>105462.74514621662</v>
      </c>
      <c r="B66">
        <v>134.16270276864697</v>
      </c>
      <c r="C66">
        <v>104918.83058893739</v>
      </c>
      <c r="D66">
        <v>140.76193883137631</v>
      </c>
      <c r="E66">
        <v>-5.8837297231353045E-4</v>
      </c>
      <c r="F66">
        <v>92925.745146216621</v>
      </c>
      <c r="G66">
        <v>-58.837297231353048</v>
      </c>
      <c r="H66">
        <v>92528.011660987089</v>
      </c>
      <c r="I66">
        <v>-54.440981243235981</v>
      </c>
    </row>
    <row r="67" spans="1:9" x14ac:dyDescent="0.3">
      <c r="A67">
        <v>105590.90784898527</v>
      </c>
      <c r="B67">
        <v>-529.93336481451854</v>
      </c>
      <c r="C67">
        <v>105053.59252776876</v>
      </c>
      <c r="D67">
        <v>-556.71403774093869</v>
      </c>
      <c r="E67">
        <v>-7.2293336481451861E-3</v>
      </c>
      <c r="F67">
        <v>92854.907848985269</v>
      </c>
      <c r="G67">
        <v>-722.93336481451865</v>
      </c>
      <c r="H67">
        <v>92461.570679743847</v>
      </c>
      <c r="I67">
        <v>-668.43554407542661</v>
      </c>
    </row>
    <row r="68" spans="1:9" x14ac:dyDescent="0.3">
      <c r="A68">
        <v>105054.97448417074</v>
      </c>
      <c r="B68">
        <v>-3153.1451826948687</v>
      </c>
      <c r="C68">
        <v>104490.87849002783</v>
      </c>
      <c r="D68">
        <v>-3294.7491014638608</v>
      </c>
      <c r="E68">
        <v>-3.3461451826948686E-2</v>
      </c>
      <c r="F68">
        <v>92119.974484170743</v>
      </c>
      <c r="G68">
        <v>-3346.1451826948687</v>
      </c>
      <c r="H68">
        <v>91781.135135668417</v>
      </c>
      <c r="I68">
        <v>-3071.1300319648362</v>
      </c>
    </row>
    <row r="69" spans="1:9" x14ac:dyDescent="0.3">
      <c r="A69">
        <v>101895.82930147587</v>
      </c>
      <c r="B69">
        <v>-77.826395254307556</v>
      </c>
      <c r="C69">
        <v>101190.12938856396</v>
      </c>
      <c r="D69">
        <v>-78.752630056289021</v>
      </c>
      <c r="E69">
        <v>-2.7082639525430755E-3</v>
      </c>
      <c r="F69">
        <v>88761.829301475867</v>
      </c>
      <c r="G69">
        <v>-270.82639525430756</v>
      </c>
      <c r="H69">
        <v>88698.005103703588</v>
      </c>
      <c r="I69">
        <v>-240.21760988484215</v>
      </c>
    </row>
    <row r="70" spans="1:9" x14ac:dyDescent="0.3">
      <c r="A70">
        <v>101812.00290622156</v>
      </c>
      <c r="B70">
        <v>-981.73036539269447</v>
      </c>
      <c r="C70">
        <v>101105.37675850767</v>
      </c>
      <c r="D70">
        <v>-992.58218468295775</v>
      </c>
      <c r="E70">
        <v>-1.1747303653926944E-2</v>
      </c>
      <c r="F70">
        <v>88479.002906221562</v>
      </c>
      <c r="G70">
        <v>-1174.7303653926945</v>
      </c>
      <c r="H70">
        <v>88445.787493818745</v>
      </c>
      <c r="I70">
        <v>-1038.9995226005831</v>
      </c>
    </row>
    <row r="71" spans="1:9" x14ac:dyDescent="0.3">
      <c r="A71">
        <v>100824.27254082887</v>
      </c>
      <c r="B71">
        <v>-396.88114638945359</v>
      </c>
      <c r="C71">
        <v>100106.79457382471</v>
      </c>
      <c r="D71">
        <v>-397.30499391833081</v>
      </c>
      <c r="E71">
        <v>-5.898811463894536E-3</v>
      </c>
      <c r="F71">
        <v>87292.272540828868</v>
      </c>
      <c r="G71">
        <v>-589.88114638945365</v>
      </c>
      <c r="H71">
        <v>87394.78797121816</v>
      </c>
      <c r="I71">
        <v>-515.52537716925394</v>
      </c>
    </row>
    <row r="72" spans="1:9" x14ac:dyDescent="0.3">
      <c r="A72">
        <v>100421.39139443942</v>
      </c>
      <c r="B72">
        <v>2218.8122828368214</v>
      </c>
      <c r="C72">
        <v>99703.489579906382</v>
      </c>
      <c r="D72">
        <v>2212.2332732158934</v>
      </c>
      <c r="E72">
        <v>2.0258122828368214E-2</v>
      </c>
      <c r="F72">
        <v>86690.391394439415</v>
      </c>
      <c r="G72">
        <v>2025.8122828368214</v>
      </c>
      <c r="H72">
        <v>86867.262594048909</v>
      </c>
      <c r="I72">
        <v>1759.7676753943585</v>
      </c>
    </row>
    <row r="73" spans="1:9" x14ac:dyDescent="0.3">
      <c r="A73">
        <v>102634.20367727624</v>
      </c>
      <c r="B73">
        <v>277.02761564600735</v>
      </c>
      <c r="C73">
        <v>101909.72285312228</v>
      </c>
      <c r="D73">
        <v>282.31807533145889</v>
      </c>
      <c r="E73">
        <v>8.4027615646007346E-4</v>
      </c>
      <c r="F73">
        <v>88704.203677276237</v>
      </c>
      <c r="G73">
        <v>84.027615646007348</v>
      </c>
      <c r="H73">
        <v>88615.030269443261</v>
      </c>
      <c r="I73">
        <v>74.461097039400855</v>
      </c>
    </row>
    <row r="74" spans="1:9" x14ac:dyDescent="0.3">
      <c r="A74">
        <v>102905.23129292224</v>
      </c>
      <c r="B74">
        <v>429.31774685770603</v>
      </c>
      <c r="C74">
        <v>102186.04092845373</v>
      </c>
      <c r="D74">
        <v>438.7028085171309</v>
      </c>
      <c r="E74">
        <v>2.3631774685770601E-3</v>
      </c>
      <c r="F74">
        <v>88776.231292922239</v>
      </c>
      <c r="G74">
        <v>236.31774685770603</v>
      </c>
      <c r="H74">
        <v>88677.49136648266</v>
      </c>
      <c r="I74">
        <v>209.5606495672086</v>
      </c>
    </row>
    <row r="75" spans="1:9" x14ac:dyDescent="0.3">
      <c r="A75">
        <v>103328.54903977994</v>
      </c>
      <c r="B75">
        <v>-1068.8489714687696</v>
      </c>
      <c r="C75">
        <v>102618.74373697086</v>
      </c>
      <c r="D75">
        <v>-1096.8393869667857</v>
      </c>
      <c r="E75">
        <v>-1.2618489714687696E-2</v>
      </c>
      <c r="F75">
        <v>89000.549039779944</v>
      </c>
      <c r="G75">
        <v>-1261.8489714687696</v>
      </c>
      <c r="H75">
        <v>88875.052016049871</v>
      </c>
      <c r="I75">
        <v>-1121.4689297568593</v>
      </c>
    </row>
    <row r="76" spans="1:9" x14ac:dyDescent="0.3">
      <c r="A76">
        <v>102253.70006831117</v>
      </c>
      <c r="B76">
        <v>895.62159987405403</v>
      </c>
      <c r="C76">
        <v>101515.90435000407</v>
      </c>
      <c r="D76">
        <v>909.19836666612082</v>
      </c>
      <c r="E76">
        <v>7.0262159987405396E-3</v>
      </c>
      <c r="F76">
        <v>87726.700068311169</v>
      </c>
      <c r="G76">
        <v>702.62159987405391</v>
      </c>
      <c r="H76">
        <v>87741.583086293016</v>
      </c>
      <c r="I76">
        <v>616.49131483573433</v>
      </c>
    </row>
    <row r="77" spans="1:9" x14ac:dyDescent="0.3">
      <c r="A77">
        <v>103143.32166818522</v>
      </c>
      <c r="B77">
        <v>-327.82861750990583</v>
      </c>
      <c r="C77">
        <v>102419.1027166702</v>
      </c>
      <c r="D77">
        <v>-335.75912850211029</v>
      </c>
      <c r="E77">
        <v>-5.208286175099058E-3</v>
      </c>
      <c r="F77">
        <v>88417.321668185221</v>
      </c>
      <c r="G77">
        <v>-520.82861750990583</v>
      </c>
      <c r="H77">
        <v>88346.074401128746</v>
      </c>
      <c r="I77">
        <v>-460.13163792767165</v>
      </c>
    </row>
    <row r="78" spans="1:9" x14ac:dyDescent="0.3">
      <c r="A78">
        <v>102809.49305067532</v>
      </c>
      <c r="B78">
        <v>322.97700544144601</v>
      </c>
      <c r="C78">
        <v>102077.34358816809</v>
      </c>
      <c r="D78">
        <v>329.68634755524118</v>
      </c>
      <c r="E78">
        <v>1.2997700544144601E-3</v>
      </c>
      <c r="F78">
        <v>87884.493050675315</v>
      </c>
      <c r="G78">
        <v>129.97700544144601</v>
      </c>
      <c r="H78">
        <v>87873.942763201077</v>
      </c>
      <c r="I78">
        <v>114.21591936693902</v>
      </c>
    </row>
    <row r="79" spans="1:9" x14ac:dyDescent="0.3">
      <c r="A79">
        <v>103126.47005611676</v>
      </c>
      <c r="B79">
        <v>60.287963685373398</v>
      </c>
      <c r="C79">
        <v>102401.02993572333</v>
      </c>
      <c r="D79">
        <v>61.735495741097225</v>
      </c>
      <c r="E79">
        <v>-1.3271203631462661E-3</v>
      </c>
      <c r="F79">
        <v>88002.470056116756</v>
      </c>
      <c r="G79">
        <v>-132.7120363146266</v>
      </c>
      <c r="H79">
        <v>87976.158682568013</v>
      </c>
      <c r="I79">
        <v>-116.75495165902319</v>
      </c>
    </row>
    <row r="80" spans="1:9" x14ac:dyDescent="0.3">
      <c r="A80">
        <v>103180.75801980213</v>
      </c>
      <c r="B80">
        <v>-1222.874740385291</v>
      </c>
      <c r="C80">
        <v>102456.76543146443</v>
      </c>
      <c r="D80">
        <v>-1252.9179042771873</v>
      </c>
      <c r="E80">
        <v>-1.415874740385291E-2</v>
      </c>
      <c r="F80">
        <v>87857.758019802131</v>
      </c>
      <c r="G80">
        <v>-1415.874740385291</v>
      </c>
      <c r="H80">
        <v>87847.403730908991</v>
      </c>
      <c r="I80">
        <v>-1243.8091995102261</v>
      </c>
    </row>
    <row r="81" spans="1:9" x14ac:dyDescent="0.3">
      <c r="A81">
        <v>101951.88327941684</v>
      </c>
      <c r="B81">
        <v>389.50527771219532</v>
      </c>
      <c r="C81">
        <v>101197.84752718724</v>
      </c>
      <c r="D81">
        <v>394.17095704953465</v>
      </c>
      <c r="E81">
        <v>1.9650527771219528E-3</v>
      </c>
      <c r="F81">
        <v>86429.883279416841</v>
      </c>
      <c r="G81">
        <v>196.50527771219529</v>
      </c>
      <c r="H81">
        <v>86591.594531398761</v>
      </c>
      <c r="I81">
        <v>170.15705330934324</v>
      </c>
    </row>
    <row r="82" spans="1:9" x14ac:dyDescent="0.3">
      <c r="A82">
        <v>102335.38855712903</v>
      </c>
      <c r="B82">
        <v>-2887.830580605902</v>
      </c>
      <c r="C82">
        <v>101586.01848423677</v>
      </c>
      <c r="D82">
        <v>-2933.6321074077541</v>
      </c>
      <c r="E82">
        <v>-3.0808305806059023E-2</v>
      </c>
      <c r="F82">
        <v>86614.38855712903</v>
      </c>
      <c r="G82">
        <v>-3080.8305806059025</v>
      </c>
      <c r="H82">
        <v>86749.751584708109</v>
      </c>
      <c r="I82">
        <v>-2672.6128754213405</v>
      </c>
    </row>
    <row r="83" spans="1:9" x14ac:dyDescent="0.3">
      <c r="A83">
        <v>99441.557976523123</v>
      </c>
      <c r="B83">
        <v>-1145.3773491755319</v>
      </c>
      <c r="C83">
        <v>98646.386376829018</v>
      </c>
      <c r="D83">
        <v>-1129.8733653403772</v>
      </c>
      <c r="E83">
        <v>-1.3383773491755319E-2</v>
      </c>
      <c r="F83">
        <v>83521.557976523123</v>
      </c>
      <c r="G83">
        <v>-1338.3773491755319</v>
      </c>
      <c r="H83">
        <v>84065.138709286766</v>
      </c>
      <c r="I83">
        <v>-1125.1087750380862</v>
      </c>
    </row>
    <row r="84" spans="1:9" x14ac:dyDescent="0.3">
      <c r="A84">
        <v>98290.180627347596</v>
      </c>
      <c r="B84">
        <v>378.24442415547963</v>
      </c>
      <c r="C84">
        <v>97510.513011488641</v>
      </c>
      <c r="D84">
        <v>368.82807843135924</v>
      </c>
      <c r="E84">
        <v>1.8524442415547963E-3</v>
      </c>
      <c r="F84">
        <v>82171.180627347596</v>
      </c>
      <c r="G84">
        <v>185.24442415547963</v>
      </c>
      <c r="H84">
        <v>82928.029934248683</v>
      </c>
      <c r="I84">
        <v>153.61955151518274</v>
      </c>
    </row>
    <row r="85" spans="1:9" x14ac:dyDescent="0.3">
      <c r="A85">
        <v>98662.425051503073</v>
      </c>
      <c r="B85">
        <v>790.78981553650374</v>
      </c>
      <c r="C85">
        <v>97873.341089919995</v>
      </c>
      <c r="D85">
        <v>773.97241346439137</v>
      </c>
      <c r="E85">
        <v>5.9778981553650365E-3</v>
      </c>
      <c r="F85">
        <v>82344.425051503073</v>
      </c>
      <c r="G85">
        <v>597.78981553650362</v>
      </c>
      <c r="H85">
        <v>83069.649485763861</v>
      </c>
      <c r="I85">
        <v>496.58190442776794</v>
      </c>
    </row>
    <row r="86" spans="1:9" x14ac:dyDescent="0.3">
      <c r="A86">
        <v>99447.214867039584</v>
      </c>
      <c r="B86">
        <v>837.40632127728679</v>
      </c>
      <c r="C86">
        <v>98641.313503384386</v>
      </c>
      <c r="D86">
        <v>826.0285946682867</v>
      </c>
      <c r="E86">
        <v>6.4440632127728678E-3</v>
      </c>
      <c r="F86">
        <v>82930.214867039569</v>
      </c>
      <c r="G86">
        <v>644.40632127728679</v>
      </c>
      <c r="H86">
        <v>83554.231390191635</v>
      </c>
      <c r="I86">
        <v>538.42874877304587</v>
      </c>
    </row>
    <row r="87" spans="1:9" x14ac:dyDescent="0.3">
      <c r="A87">
        <v>100278.62118831687</v>
      </c>
      <c r="B87">
        <v>264.39051458228005</v>
      </c>
      <c r="C87">
        <v>99461.342098052672</v>
      </c>
      <c r="D87">
        <v>262.96635418348336</v>
      </c>
      <c r="E87">
        <v>7.1390514582280015E-4</v>
      </c>
      <c r="F87">
        <v>83562.621188316858</v>
      </c>
      <c r="G87">
        <v>71.390514582280019</v>
      </c>
      <c r="H87">
        <v>84080.660138964682</v>
      </c>
      <c r="I87">
        <v>60.025615937384885</v>
      </c>
    </row>
    <row r="88" spans="1:9" x14ac:dyDescent="0.3">
      <c r="A88">
        <v>100537.01170289915</v>
      </c>
      <c r="B88">
        <v>1707.400919999337</v>
      </c>
      <c r="C88">
        <v>99718.308452236161</v>
      </c>
      <c r="D88">
        <v>1702.5913159212569</v>
      </c>
      <c r="E88">
        <v>1.5144009199993371E-2</v>
      </c>
      <c r="F88">
        <v>83622.011702899137</v>
      </c>
      <c r="G88">
        <v>1514.400919999337</v>
      </c>
      <c r="H88">
        <v>84128.685754902064</v>
      </c>
      <c r="I88">
        <v>1274.0455910555881</v>
      </c>
    </row>
    <row r="89" spans="1:9" x14ac:dyDescent="0.3">
      <c r="A89">
        <v>102238.41262289848</v>
      </c>
      <c r="B89">
        <v>466.06137818703513</v>
      </c>
      <c r="C89">
        <v>101414.89976815741</v>
      </c>
      <c r="D89">
        <v>472.65567954647474</v>
      </c>
      <c r="E89">
        <v>2.7306137818703512E-3</v>
      </c>
      <c r="F89">
        <v>85124.412622898468</v>
      </c>
      <c r="G89">
        <v>273.06137818703513</v>
      </c>
      <c r="H89">
        <v>85390.731345957654</v>
      </c>
      <c r="I89">
        <v>233.16910785726057</v>
      </c>
    </row>
    <row r="90" spans="1:9" x14ac:dyDescent="0.3">
      <c r="A90">
        <v>102698.47400108552</v>
      </c>
      <c r="B90">
        <v>-279.36136692166951</v>
      </c>
      <c r="C90">
        <v>101881.55544770388</v>
      </c>
      <c r="D90">
        <v>-284.61770593976422</v>
      </c>
      <c r="E90">
        <v>-4.7236136692166957E-3</v>
      </c>
      <c r="F90">
        <v>85385.474001085502</v>
      </c>
      <c r="G90">
        <v>-472.36136692166957</v>
      </c>
      <c r="H90">
        <v>85611.900453814917</v>
      </c>
      <c r="I90">
        <v>-404.39754323125919</v>
      </c>
    </row>
    <row r="91" spans="1:9" x14ac:dyDescent="0.3">
      <c r="A91">
        <v>102413.11263416384</v>
      </c>
      <c r="B91">
        <v>1069.7697001083986</v>
      </c>
      <c r="C91">
        <v>101590.93774176412</v>
      </c>
      <c r="D91">
        <v>1086.78907001738</v>
      </c>
      <c r="E91">
        <v>8.7676970010839867E-3</v>
      </c>
      <c r="F91">
        <v>84901.11263416383</v>
      </c>
      <c r="G91">
        <v>876.76970010839864</v>
      </c>
      <c r="H91">
        <v>85195.502910583658</v>
      </c>
      <c r="I91">
        <v>746.96835537496645</v>
      </c>
    </row>
    <row r="92" spans="1:9" x14ac:dyDescent="0.3">
      <c r="A92">
        <v>103476.88233427225</v>
      </c>
      <c r="B92">
        <v>-40.30502845535009</v>
      </c>
      <c r="C92">
        <v>102671.7268117815</v>
      </c>
      <c r="D92">
        <v>-41.38186870708784</v>
      </c>
      <c r="E92">
        <v>-2.3330502845535011E-3</v>
      </c>
      <c r="F92">
        <v>85765.882334272232</v>
      </c>
      <c r="G92">
        <v>-233.30502845535011</v>
      </c>
      <c r="H92">
        <v>85930.471265958622</v>
      </c>
      <c r="I92">
        <v>-200.4801104388612</v>
      </c>
    </row>
    <row r="93" spans="1:9" x14ac:dyDescent="0.3">
      <c r="A93">
        <v>103430.5773058169</v>
      </c>
      <c r="B93">
        <v>-417.35823517089636</v>
      </c>
      <c r="C93">
        <v>102624.34494307441</v>
      </c>
      <c r="D93">
        <v>-428.31115491010837</v>
      </c>
      <c r="E93">
        <v>-6.1035823517089638E-3</v>
      </c>
      <c r="F93">
        <v>85520.577305816885</v>
      </c>
      <c r="G93">
        <v>-610.35823517089636</v>
      </c>
      <c r="H93">
        <v>85717.991155519761</v>
      </c>
      <c r="I93">
        <v>-523.18681804077551</v>
      </c>
    </row>
    <row r="94" spans="1:9" x14ac:dyDescent="0.3">
      <c r="A94">
        <v>103007.21907064601</v>
      </c>
      <c r="B94">
        <v>142.36717789425927</v>
      </c>
      <c r="C94">
        <v>102190.03378816431</v>
      </c>
      <c r="D94">
        <v>145.48506719339954</v>
      </c>
      <c r="E94">
        <v>-5.063282210574073E-4</v>
      </c>
      <c r="F94">
        <v>84898.219070645995</v>
      </c>
      <c r="G94">
        <v>-50.632822105740729</v>
      </c>
      <c r="H94">
        <v>85182.804337478985</v>
      </c>
      <c r="I94">
        <v>-43.130457784876931</v>
      </c>
    </row>
    <row r="95" spans="1:9" x14ac:dyDescent="0.3">
      <c r="A95">
        <v>103143.58624854028</v>
      </c>
      <c r="B95">
        <v>569.38238947045386</v>
      </c>
      <c r="C95">
        <v>102329.5188553577</v>
      </c>
      <c r="D95">
        <v>582.6462595922543</v>
      </c>
      <c r="E95">
        <v>3.7638238947045382E-3</v>
      </c>
      <c r="F95">
        <v>84835.586248540261</v>
      </c>
      <c r="G95">
        <v>376.3823894704538</v>
      </c>
      <c r="H95">
        <v>85127.673879694106</v>
      </c>
      <c r="I95">
        <v>320.40557304900807</v>
      </c>
    </row>
    <row r="96" spans="1:9" x14ac:dyDescent="0.3">
      <c r="A96">
        <v>103706.96863801073</v>
      </c>
      <c r="B96">
        <v>619.9141410905371</v>
      </c>
      <c r="C96">
        <v>102906.16511494995</v>
      </c>
      <c r="D96">
        <v>637.9298696015519</v>
      </c>
      <c r="E96">
        <v>4.2691414109053702E-3</v>
      </c>
      <c r="F96">
        <v>85199.968638010716</v>
      </c>
      <c r="G96">
        <v>426.91414109053704</v>
      </c>
      <c r="H96">
        <v>85436.079452743114</v>
      </c>
      <c r="I96">
        <v>364.73870477710705</v>
      </c>
    </row>
    <row r="97" spans="1:9" x14ac:dyDescent="0.3">
      <c r="A97">
        <v>104320.88277910127</v>
      </c>
      <c r="B97">
        <v>1255.6025302775186</v>
      </c>
      <c r="C97">
        <v>103538.0949845515</v>
      </c>
      <c r="D97">
        <v>1300.0269404271692</v>
      </c>
      <c r="E97">
        <v>1.0626025302775186E-2</v>
      </c>
      <c r="F97">
        <v>85614.882779101259</v>
      </c>
      <c r="G97">
        <v>1062.6025302775186</v>
      </c>
      <c r="H97">
        <v>85788.818157520218</v>
      </c>
      <c r="I97">
        <v>911.59415243698913</v>
      </c>
    </row>
    <row r="98" spans="1:9" x14ac:dyDescent="0.3">
      <c r="A98">
        <v>105570.4853093788</v>
      </c>
      <c r="B98">
        <v>433.82236945890514</v>
      </c>
      <c r="C98">
        <v>104832.12192497867</v>
      </c>
      <c r="D98">
        <v>454.78519528899085</v>
      </c>
      <c r="E98">
        <v>2.4082236945890513E-3</v>
      </c>
      <c r="F98">
        <v>86665.485309378782</v>
      </c>
      <c r="G98">
        <v>240.82236945890514</v>
      </c>
      <c r="H98">
        <v>86688.412309957203</v>
      </c>
      <c r="I98">
        <v>208.76508857114413</v>
      </c>
    </row>
    <row r="99" spans="1:9" x14ac:dyDescent="0.3">
      <c r="A99">
        <v>105998.30767883771</v>
      </c>
      <c r="B99">
        <v>934.79968578162527</v>
      </c>
      <c r="C99">
        <v>105280.90712026766</v>
      </c>
      <c r="D99">
        <v>984.16558894830678</v>
      </c>
      <c r="E99">
        <v>7.4179968578162525E-3</v>
      </c>
      <c r="F99">
        <v>86894.307678837693</v>
      </c>
      <c r="G99">
        <v>741.79968578162527</v>
      </c>
      <c r="H99">
        <v>86885.177398528351</v>
      </c>
      <c r="I99">
        <v>644.51397293309094</v>
      </c>
    </row>
    <row r="100" spans="1:9" x14ac:dyDescent="0.3">
      <c r="A100">
        <v>106927.10736461934</v>
      </c>
      <c r="B100">
        <v>-1467.0499640658668</v>
      </c>
      <c r="C100">
        <v>106259.07270921597</v>
      </c>
      <c r="D100">
        <v>-1558.8736879972762</v>
      </c>
      <c r="E100">
        <v>-1.660049964065867E-2</v>
      </c>
      <c r="F100">
        <v>87624.107364619325</v>
      </c>
      <c r="G100">
        <v>-1660.049964065867</v>
      </c>
      <c r="H100">
        <v>87517.691371461435</v>
      </c>
      <c r="I100">
        <v>-1452.8374041632219</v>
      </c>
    </row>
    <row r="101" spans="1:9" x14ac:dyDescent="0.3">
      <c r="A101">
        <v>105454.05740055347</v>
      </c>
      <c r="B101">
        <v>-190.8032818164364</v>
      </c>
      <c r="C101">
        <v>104694.19902121869</v>
      </c>
      <c r="D101">
        <v>-199.75996760391669</v>
      </c>
      <c r="E101">
        <v>-3.8380328181643643E-3</v>
      </c>
      <c r="F101">
        <v>85952.057400553458</v>
      </c>
      <c r="G101">
        <v>-383.80328181643642</v>
      </c>
      <c r="H101">
        <v>86052.853967298215</v>
      </c>
      <c r="I101">
        <v>-330.27367762319608</v>
      </c>
    </row>
    <row r="102" spans="1:9" x14ac:dyDescent="0.3">
      <c r="A102">
        <v>105257.25411873704</v>
      </c>
      <c r="B102">
        <v>769.69444058051931</v>
      </c>
      <c r="C102">
        <v>104488.43905361478</v>
      </c>
      <c r="D102">
        <v>804.24170644503715</v>
      </c>
      <c r="E102">
        <v>5.7669444058051928E-3</v>
      </c>
      <c r="F102">
        <v>85556.254118737023</v>
      </c>
      <c r="G102">
        <v>576.69444058051931</v>
      </c>
      <c r="H102">
        <v>85710.580289675025</v>
      </c>
      <c r="I102">
        <v>494.28815151985822</v>
      </c>
    </row>
    <row r="103" spans="1:9" x14ac:dyDescent="0.3">
      <c r="A103">
        <v>106020.94855931756</v>
      </c>
      <c r="B103">
        <v>2738.0346035714851</v>
      </c>
      <c r="C103">
        <v>105286.68076005983</v>
      </c>
      <c r="D103">
        <v>2882.7857521622791</v>
      </c>
      <c r="E103">
        <v>2.545034603571485E-2</v>
      </c>
      <c r="F103">
        <v>86120.948559317549</v>
      </c>
      <c r="G103">
        <v>2545.0346035714851</v>
      </c>
      <c r="H103">
        <v>86192.868441194878</v>
      </c>
      <c r="I103">
        <v>2193.6383276392557</v>
      </c>
    </row>
    <row r="104" spans="1:9" x14ac:dyDescent="0.3">
      <c r="A104">
        <v>108752.98316288905</v>
      </c>
      <c r="B104">
        <v>1281.4399809274082</v>
      </c>
      <c r="C104">
        <v>108163.4665122221</v>
      </c>
      <c r="D104">
        <v>1386.0499046446425</v>
      </c>
      <c r="E104">
        <v>1.0884399809274083E-2</v>
      </c>
      <c r="F104">
        <v>88653.983162889039</v>
      </c>
      <c r="G104">
        <v>1088.4399809274082</v>
      </c>
      <c r="H104">
        <v>88374.506768834137</v>
      </c>
      <c r="I104">
        <v>961.90346461938941</v>
      </c>
    </row>
    <row r="105" spans="1:9" x14ac:dyDescent="0.3">
      <c r="A105">
        <v>110028.42314381646</v>
      </c>
      <c r="B105">
        <v>1053.4077741493732</v>
      </c>
      <c r="C105">
        <v>109543.51641686675</v>
      </c>
      <c r="D105">
        <v>1153.9399180118694</v>
      </c>
      <c r="E105">
        <v>8.6040777414937326E-3</v>
      </c>
      <c r="F105">
        <v>89730.423143816442</v>
      </c>
      <c r="G105">
        <v>860.40777414937327</v>
      </c>
      <c r="H105">
        <v>89324.410233453527</v>
      </c>
      <c r="I105">
        <v>768.55416986171247</v>
      </c>
    </row>
    <row r="106" spans="1:9" x14ac:dyDescent="0.3">
      <c r="A106">
        <v>111075.83091796582</v>
      </c>
      <c r="B106">
        <v>1996.0753050837038</v>
      </c>
      <c r="C106">
        <v>110691.45633487862</v>
      </c>
      <c r="D106">
        <v>2209.4848247380232</v>
      </c>
      <c r="E106">
        <v>1.8030753050837036E-2</v>
      </c>
      <c r="F106">
        <v>90578.83091796581</v>
      </c>
      <c r="G106">
        <v>1803.0753050837036</v>
      </c>
      <c r="H106">
        <v>90080.964403315244</v>
      </c>
      <c r="I106">
        <v>1624.2276237374188</v>
      </c>
    </row>
    <row r="107" spans="1:9" x14ac:dyDescent="0.3">
      <c r="A107">
        <v>113065.90622304953</v>
      </c>
      <c r="B107">
        <v>-357.55426895861945</v>
      </c>
      <c r="C107">
        <v>112894.94115961665</v>
      </c>
      <c r="D107">
        <v>-403.66068155453092</v>
      </c>
      <c r="E107">
        <v>-5.505542689586195E-3</v>
      </c>
      <c r="F107">
        <v>92369.906223049518</v>
      </c>
      <c r="G107">
        <v>-550.55426895861945</v>
      </c>
      <c r="H107">
        <v>91693.192027052661</v>
      </c>
      <c r="I107">
        <v>-504.82078304936294</v>
      </c>
    </row>
    <row r="108" spans="1:9" x14ac:dyDescent="0.3">
      <c r="A108">
        <v>112702.35195409092</v>
      </c>
      <c r="B108">
        <v>-231.20180188244032</v>
      </c>
      <c r="C108">
        <v>112485.28047806212</v>
      </c>
      <c r="D108">
        <v>-260.06799531779654</v>
      </c>
      <c r="E108">
        <v>-4.2420180188244032E-3</v>
      </c>
      <c r="F108">
        <v>91807.351954090904</v>
      </c>
      <c r="G108">
        <v>-424.20180188244029</v>
      </c>
      <c r="H108">
        <v>91176.371244003298</v>
      </c>
      <c r="I108">
        <v>-386.77180970808513</v>
      </c>
    </row>
    <row r="109" spans="1:9" x14ac:dyDescent="0.3">
      <c r="A109">
        <v>112465.15015220847</v>
      </c>
      <c r="B109">
        <v>509.90741154896642</v>
      </c>
      <c r="C109">
        <v>112219.21248274433</v>
      </c>
      <c r="D109">
        <v>572.2140816313962</v>
      </c>
      <c r="E109">
        <v>3.1690741154896639E-3</v>
      </c>
      <c r="F109">
        <v>91371.150152208458</v>
      </c>
      <c r="G109">
        <v>316.90741154896637</v>
      </c>
      <c r="H109">
        <v>90777.599434295218</v>
      </c>
      <c r="I109">
        <v>287.68094063351413</v>
      </c>
    </row>
    <row r="110" spans="1:9" x14ac:dyDescent="0.3">
      <c r="A110">
        <v>112969.05756375744</v>
      </c>
      <c r="B110">
        <v>-2462.2668536361093</v>
      </c>
      <c r="C110">
        <v>112785.42656437572</v>
      </c>
      <c r="D110">
        <v>-2777.0781740267184</v>
      </c>
      <c r="E110">
        <v>-2.6552668536361092E-2</v>
      </c>
      <c r="F110">
        <v>91676.057563757422</v>
      </c>
      <c r="G110">
        <v>-2655.2668536361093</v>
      </c>
      <c r="H110">
        <v>91053.280374928727</v>
      </c>
      <c r="I110">
        <v>-2417.7075729438347</v>
      </c>
    </row>
    <row r="111" spans="1:9" x14ac:dyDescent="0.3">
      <c r="A111">
        <v>110500.79071012132</v>
      </c>
      <c r="B111">
        <v>381.1904872139184</v>
      </c>
      <c r="C111">
        <v>110002.34839034901</v>
      </c>
      <c r="D111">
        <v>419.31848777592336</v>
      </c>
      <c r="E111">
        <v>1.8819048721391842E-3</v>
      </c>
      <c r="F111">
        <v>89008.790710121306</v>
      </c>
      <c r="G111">
        <v>188.19048721391843</v>
      </c>
      <c r="H111">
        <v>88623.57280198489</v>
      </c>
      <c r="I111">
        <v>166.78113344243707</v>
      </c>
    </row>
    <row r="112" spans="1:9" x14ac:dyDescent="0.3">
      <c r="A112">
        <v>110875.98119733523</v>
      </c>
      <c r="B112">
        <v>649.73056197075095</v>
      </c>
      <c r="C112">
        <v>110415.66687812493</v>
      </c>
      <c r="D112">
        <v>717.40433291099339</v>
      </c>
      <c r="E112">
        <v>4.5673056197075091E-3</v>
      </c>
      <c r="F112">
        <v>89184.981197335219</v>
      </c>
      <c r="G112">
        <v>456.7305619707509</v>
      </c>
      <c r="H112">
        <v>88778.353935427323</v>
      </c>
      <c r="I112">
        <v>405.47787483765944</v>
      </c>
    </row>
    <row r="113" spans="1:9" x14ac:dyDescent="0.3">
      <c r="A113">
        <v>111519.71175930598</v>
      </c>
      <c r="B113">
        <v>1058.064123253042</v>
      </c>
      <c r="C113">
        <v>111127.07121103593</v>
      </c>
      <c r="D113">
        <v>1175.795671705831</v>
      </c>
      <c r="E113">
        <v>8.6506412325304208E-3</v>
      </c>
      <c r="F113">
        <v>89629.711759305967</v>
      </c>
      <c r="G113">
        <v>865.06412325304211</v>
      </c>
      <c r="H113">
        <v>89171.831810264979</v>
      </c>
      <c r="I113">
        <v>771.39352503814598</v>
      </c>
    </row>
    <row r="114" spans="1:9" x14ac:dyDescent="0.3">
      <c r="A114">
        <v>112571.77588255903</v>
      </c>
      <c r="B114">
        <v>20.933640360056575</v>
      </c>
      <c r="C114">
        <v>112296.86688274176</v>
      </c>
      <c r="D114">
        <v>23.507822248844633</v>
      </c>
      <c r="E114">
        <v>-1.7206635963994343E-3</v>
      </c>
      <c r="F114">
        <v>90482.775882559014</v>
      </c>
      <c r="G114">
        <v>-172.06635963994341</v>
      </c>
      <c r="H114">
        <v>89931.225335303126</v>
      </c>
      <c r="I114">
        <v>-154.74138561405059</v>
      </c>
    </row>
    <row r="115" spans="1:9" x14ac:dyDescent="0.3">
      <c r="A115">
        <v>112586.70952291909</v>
      </c>
      <c r="B115">
        <v>-891.36156975353504</v>
      </c>
      <c r="C115">
        <v>112314.37470499061</v>
      </c>
      <c r="D115">
        <v>-1001.1271734292716</v>
      </c>
      <c r="E115">
        <v>-1.084361569753535E-2</v>
      </c>
      <c r="F115">
        <v>90298.709522919075</v>
      </c>
      <c r="G115">
        <v>-1084.3615697535349</v>
      </c>
      <c r="H115">
        <v>89764.483949689078</v>
      </c>
      <c r="I115">
        <v>-973.37156723800842</v>
      </c>
    </row>
    <row r="116" spans="1:9" x14ac:dyDescent="0.3">
      <c r="A116">
        <v>111689.34795316556</v>
      </c>
      <c r="B116">
        <v>-3184.647302904566</v>
      </c>
      <c r="C116">
        <v>111307.24753156134</v>
      </c>
      <c r="D116">
        <v>-3544.7432564511778</v>
      </c>
      <c r="E116">
        <v>-3.3776473029045663E-2</v>
      </c>
      <c r="F116">
        <v>89202.347953165547</v>
      </c>
      <c r="G116">
        <v>-3377.6473029045665</v>
      </c>
      <c r="H116">
        <v>88779.112382451072</v>
      </c>
      <c r="I116">
        <v>-2998.6452949284726</v>
      </c>
    </row>
    <row r="117" spans="1:9" x14ac:dyDescent="0.3">
      <c r="A117">
        <v>108498.700650261</v>
      </c>
      <c r="B117">
        <v>2524.3685521166858</v>
      </c>
      <c r="C117">
        <v>107756.50427511016</v>
      </c>
      <c r="D117">
        <v>2720.1713067811529</v>
      </c>
      <c r="E117">
        <v>2.3313685521166857E-2</v>
      </c>
      <c r="F117">
        <v>85812.700650260987</v>
      </c>
      <c r="G117">
        <v>2331.3685521166858</v>
      </c>
      <c r="H117">
        <v>85768.4670875226</v>
      </c>
      <c r="I117">
        <v>1999.5790693110519</v>
      </c>
    </row>
    <row r="118" spans="1:9" x14ac:dyDescent="0.3">
      <c r="A118">
        <v>111017.06920237769</v>
      </c>
      <c r="B118">
        <v>347.76970572199252</v>
      </c>
      <c r="C118">
        <v>110470.67558189131</v>
      </c>
      <c r="D118">
        <v>384.18354338024051</v>
      </c>
      <c r="E118">
        <v>1.5476970572199254E-3</v>
      </c>
      <c r="F118">
        <v>88132.069202377679</v>
      </c>
      <c r="G118">
        <v>154.76970572199255</v>
      </c>
      <c r="H118">
        <v>87756.046156833647</v>
      </c>
      <c r="I118">
        <v>135.81977439018738</v>
      </c>
    </row>
    <row r="119" spans="1:9" x14ac:dyDescent="0.3">
      <c r="A119">
        <v>111358.83890809969</v>
      </c>
      <c r="B119">
        <v>780.92461474385675</v>
      </c>
      <c r="C119">
        <v>110848.85912527154</v>
      </c>
      <c r="D119">
        <v>865.64602607198719</v>
      </c>
      <c r="E119">
        <v>5.8792461474385669E-3</v>
      </c>
      <c r="F119">
        <v>88274.838908099671</v>
      </c>
      <c r="G119">
        <v>587.92461474385664</v>
      </c>
      <c r="H119">
        <v>87879.865931223831</v>
      </c>
      <c r="I119">
        <v>516.66736321356552</v>
      </c>
    </row>
    <row r="120" spans="1:9" x14ac:dyDescent="0.3">
      <c r="A120">
        <v>112133.76352284354</v>
      </c>
      <c r="B120">
        <v>1705.5749389796651</v>
      </c>
      <c r="C120">
        <v>111708.50515134353</v>
      </c>
      <c r="D120">
        <v>1905.2722685701235</v>
      </c>
      <c r="E120">
        <v>1.5125749389796652E-2</v>
      </c>
      <c r="F120">
        <v>88850.763522843525</v>
      </c>
      <c r="G120">
        <v>1512.5749389796651</v>
      </c>
      <c r="H120">
        <v>88384.533294437395</v>
      </c>
      <c r="I120">
        <v>1336.8823005457984</v>
      </c>
    </row>
    <row r="121" spans="1:9" x14ac:dyDescent="0.3">
      <c r="A121">
        <v>113833.33846182321</v>
      </c>
      <c r="B121">
        <v>-167.42155851533022</v>
      </c>
      <c r="C121">
        <v>113607.77741991366</v>
      </c>
      <c r="D121">
        <v>-190.20391155104684</v>
      </c>
      <c r="E121">
        <v>-3.6042155851533021E-3</v>
      </c>
      <c r="F121">
        <v>90351.338461823194</v>
      </c>
      <c r="G121">
        <v>-360.42155851533022</v>
      </c>
      <c r="H121">
        <v>89709.415594983191</v>
      </c>
      <c r="I121">
        <v>-323.33207382243313</v>
      </c>
    </row>
    <row r="122" spans="1:9" x14ac:dyDescent="0.3">
      <c r="A122">
        <v>113659.91690330788</v>
      </c>
      <c r="B122">
        <v>1502.3291344007869</v>
      </c>
      <c r="C122">
        <v>113411.57350836262</v>
      </c>
      <c r="D122">
        <v>1703.8151105984962</v>
      </c>
      <c r="E122">
        <v>1.3093291344007869E-2</v>
      </c>
      <c r="F122">
        <v>89978.916903307865</v>
      </c>
      <c r="G122">
        <v>1309.3291344007869</v>
      </c>
      <c r="H122">
        <v>89374.083521160763</v>
      </c>
      <c r="I122">
        <v>1170.2009141462506</v>
      </c>
    </row>
    <row r="123" spans="1:9" x14ac:dyDescent="0.3">
      <c r="A123">
        <v>115156.24603770867</v>
      </c>
      <c r="B123">
        <v>746.69557101135638</v>
      </c>
      <c r="C123">
        <v>115109.38861896112</v>
      </c>
      <c r="D123">
        <v>859.51670663603306</v>
      </c>
      <c r="E123">
        <v>5.536955710113564E-3</v>
      </c>
      <c r="F123">
        <v>91276.246037708654</v>
      </c>
      <c r="G123">
        <v>553.69557101135638</v>
      </c>
      <c r="H123">
        <v>90532.28443530701</v>
      </c>
      <c r="I123">
        <v>501.27324925369851</v>
      </c>
    </row>
    <row r="124" spans="1:9" x14ac:dyDescent="0.3">
      <c r="A124">
        <v>115896.94160872002</v>
      </c>
      <c r="B124">
        <v>424.53958383160699</v>
      </c>
      <c r="C124">
        <v>115962.90532559715</v>
      </c>
      <c r="D124">
        <v>492.30843566833062</v>
      </c>
      <c r="E124">
        <v>2.3153958383160698E-3</v>
      </c>
      <c r="F124">
        <v>91817.941608720008</v>
      </c>
      <c r="G124">
        <v>231.53958383160699</v>
      </c>
      <c r="H124">
        <v>91021.557684560714</v>
      </c>
      <c r="I124">
        <v>210.75093585987796</v>
      </c>
    </row>
    <row r="125" spans="1:9" x14ac:dyDescent="0.3">
      <c r="A125">
        <v>116315.48119255163</v>
      </c>
      <c r="B125">
        <v>77.66062307715012</v>
      </c>
      <c r="C125">
        <v>116449.21376126548</v>
      </c>
      <c r="D125">
        <v>90.435184975441203</v>
      </c>
      <c r="E125">
        <v>-1.153393769228499E-3</v>
      </c>
      <c r="F125">
        <v>92037.481192551611</v>
      </c>
      <c r="G125">
        <v>-115.33937692284989</v>
      </c>
      <c r="H125">
        <v>91220.30862042059</v>
      </c>
      <c r="I125">
        <v>-105.21293558989385</v>
      </c>
    </row>
    <row r="126" spans="1:9" x14ac:dyDescent="0.3">
      <c r="A126">
        <v>116387.14181562877</v>
      </c>
      <c r="B126">
        <v>729.77573828733091</v>
      </c>
      <c r="C126">
        <v>116533.64894624092</v>
      </c>
      <c r="D126">
        <v>850.43429695059604</v>
      </c>
      <c r="E126">
        <v>5.3677573828733085E-3</v>
      </c>
      <c r="F126">
        <v>91910.141815628755</v>
      </c>
      <c r="G126">
        <v>536.7757382873308</v>
      </c>
      <c r="H126">
        <v>91103.095684830696</v>
      </c>
      <c r="I126">
        <v>489.01931446486344</v>
      </c>
    </row>
    <row r="127" spans="1:9" x14ac:dyDescent="0.3">
      <c r="A127">
        <v>117110.91755391609</v>
      </c>
      <c r="B127">
        <v>-228.55626170428573</v>
      </c>
      <c r="C127">
        <v>117378.08324319152</v>
      </c>
      <c r="D127">
        <v>-268.27495912078319</v>
      </c>
      <c r="E127">
        <v>-4.2155626170428577E-3</v>
      </c>
      <c r="F127">
        <v>92434.917553916079</v>
      </c>
      <c r="G127">
        <v>-421.55626170428576</v>
      </c>
      <c r="H127">
        <v>91580.114999295562</v>
      </c>
      <c r="I127">
        <v>-386.06170925551629</v>
      </c>
    </row>
    <row r="128" spans="1:9" x14ac:dyDescent="0.3">
      <c r="A128">
        <v>116876.3612922118</v>
      </c>
      <c r="B128">
        <v>913.05126215909843</v>
      </c>
      <c r="C128">
        <v>117103.80828407074</v>
      </c>
      <c r="D128">
        <v>1069.2177995740788</v>
      </c>
      <c r="E128">
        <v>7.2005126215909836E-3</v>
      </c>
      <c r="F128">
        <v>92001.36129221179</v>
      </c>
      <c r="G128">
        <v>720.05126215909831</v>
      </c>
      <c r="H128">
        <v>91182.053290040043</v>
      </c>
      <c r="I128">
        <v>656.55752557751498</v>
      </c>
    </row>
    <row r="129" spans="1:9" x14ac:dyDescent="0.3">
      <c r="A129">
        <v>117783.41255437091</v>
      </c>
      <c r="B129">
        <v>1133.5348506401103</v>
      </c>
      <c r="C129">
        <v>118167.02608364481</v>
      </c>
      <c r="D129">
        <v>1339.4644226231035</v>
      </c>
      <c r="E129">
        <v>9.4053485064011042E-3</v>
      </c>
      <c r="F129">
        <v>92709.412554370894</v>
      </c>
      <c r="G129">
        <v>940.53485064011045</v>
      </c>
      <c r="H129">
        <v>91826.610815617561</v>
      </c>
      <c r="I129">
        <v>863.66127688254414</v>
      </c>
    </row>
    <row r="130" spans="1:9" x14ac:dyDescent="0.3">
      <c r="A130">
        <v>118910.94740501101</v>
      </c>
      <c r="B130">
        <v>846.90936893489254</v>
      </c>
      <c r="C130">
        <v>119500.49050626792</v>
      </c>
      <c r="D130">
        <v>1012.0608500207348</v>
      </c>
      <c r="E130">
        <v>6.5390936893489253E-3</v>
      </c>
      <c r="F130">
        <v>93637.947405011</v>
      </c>
      <c r="G130">
        <v>653.90936893489254</v>
      </c>
      <c r="H130">
        <v>92678.272092500105</v>
      </c>
      <c r="I130">
        <v>606.03190417983001</v>
      </c>
    </row>
    <row r="131" spans="1:9" x14ac:dyDescent="0.3">
      <c r="A131">
        <v>119751.85677394591</v>
      </c>
      <c r="B131">
        <v>842.608500784341</v>
      </c>
      <c r="C131">
        <v>120506.55135628865</v>
      </c>
      <c r="D131">
        <v>1015.3984457301357</v>
      </c>
      <c r="E131">
        <v>6.4960850078434095E-3</v>
      </c>
      <c r="F131">
        <v>94279.856773945896</v>
      </c>
      <c r="G131">
        <v>649.608500784341</v>
      </c>
      <c r="H131">
        <v>93272.303996679941</v>
      </c>
      <c r="I131">
        <v>605.90481563984554</v>
      </c>
    </row>
    <row r="132" spans="1:9" x14ac:dyDescent="0.3">
      <c r="A132">
        <v>120588.46527473025</v>
      </c>
      <c r="B132">
        <v>407.75027560898951</v>
      </c>
      <c r="C132">
        <v>121515.94980201879</v>
      </c>
      <c r="D132">
        <v>495.4816202266129</v>
      </c>
      <c r="E132">
        <v>2.1475027560898946E-3</v>
      </c>
      <c r="F132">
        <v>94917.465274730232</v>
      </c>
      <c r="G132">
        <v>214.75027560898945</v>
      </c>
      <c r="H132">
        <v>93866.20881231979</v>
      </c>
      <c r="I132">
        <v>201.57794212816631</v>
      </c>
    </row>
    <row r="133" spans="1:9" x14ac:dyDescent="0.3">
      <c r="A133">
        <v>120990.21555033924</v>
      </c>
      <c r="B133">
        <v>237.6531748978868</v>
      </c>
      <c r="C133">
        <v>122005.4314222454</v>
      </c>
      <c r="D133">
        <v>289.94978132283018</v>
      </c>
      <c r="E133">
        <v>4.4653174897886787E-4</v>
      </c>
      <c r="F133">
        <v>95120.215550339228</v>
      </c>
      <c r="G133">
        <v>44.653174897886785</v>
      </c>
      <c r="H133">
        <v>94055.786754447952</v>
      </c>
      <c r="I133">
        <v>41.998894961047078</v>
      </c>
    </row>
    <row r="134" spans="1:9" x14ac:dyDescent="0.3">
      <c r="A134">
        <v>121221.86872523713</v>
      </c>
      <c r="B134">
        <v>918.82261128208279</v>
      </c>
      <c r="C134">
        <v>122289.38120356823</v>
      </c>
      <c r="D134">
        <v>1123.6224856953263</v>
      </c>
      <c r="E134">
        <v>7.2582261128208278E-3</v>
      </c>
      <c r="F134">
        <v>95152.868725237116</v>
      </c>
      <c r="G134">
        <v>725.82261128208279</v>
      </c>
      <c r="H134">
        <v>94085.785649408994</v>
      </c>
      <c r="I134">
        <v>682.89590624580342</v>
      </c>
    </row>
    <row r="135" spans="1:9" x14ac:dyDescent="0.3">
      <c r="A135">
        <v>122134.69133651922</v>
      </c>
      <c r="B135">
        <v>653.00251708018175</v>
      </c>
      <c r="C135">
        <v>123407.00368926355</v>
      </c>
      <c r="D135">
        <v>805.85084034412375</v>
      </c>
      <c r="E135">
        <v>4.6000251708018169E-3</v>
      </c>
      <c r="F135">
        <v>95866.691336519201</v>
      </c>
      <c r="G135">
        <v>460.00251708018169</v>
      </c>
      <c r="H135">
        <v>94756.681555654795</v>
      </c>
      <c r="I135">
        <v>435.8831202576643</v>
      </c>
    </row>
    <row r="136" spans="1:9" x14ac:dyDescent="0.3">
      <c r="A136">
        <v>122781.6938535994</v>
      </c>
      <c r="B136">
        <v>15.908137735550875</v>
      </c>
      <c r="C136">
        <v>124206.85452960768</v>
      </c>
      <c r="D136">
        <v>19.7589974955653</v>
      </c>
      <c r="E136">
        <v>-1.7709186226444913E-3</v>
      </c>
      <c r="F136">
        <v>96314.693853599383</v>
      </c>
      <c r="G136">
        <v>-177.09186226444913</v>
      </c>
      <c r="H136">
        <v>95180.564675912465</v>
      </c>
      <c r="I136">
        <v>-168.55703449839183</v>
      </c>
    </row>
    <row r="137" spans="1:9" x14ac:dyDescent="0.3">
      <c r="A137">
        <v>122791.60199133494</v>
      </c>
      <c r="B137">
        <v>3992.7719551861233</v>
      </c>
      <c r="C137">
        <v>124220.61352710324</v>
      </c>
      <c r="D137">
        <v>4959.845819470318</v>
      </c>
      <c r="E137">
        <v>3.799771955186123E-2</v>
      </c>
      <c r="F137">
        <v>96125.60199133493</v>
      </c>
      <c r="G137">
        <v>3799.7719551861228</v>
      </c>
      <c r="H137">
        <v>95000.007641414079</v>
      </c>
      <c r="I137">
        <v>3609.7836477831261</v>
      </c>
    </row>
    <row r="138" spans="1:9" x14ac:dyDescent="0.3">
      <c r="A138">
        <v>126778.37394652107</v>
      </c>
      <c r="B138">
        <v>1814.0589569161004</v>
      </c>
      <c r="C138">
        <v>129174.45934657355</v>
      </c>
      <c r="D138">
        <v>2343.3008498244644</v>
      </c>
      <c r="E138">
        <v>1.6210589569161004E-2</v>
      </c>
      <c r="F138">
        <v>99913.373946521053</v>
      </c>
      <c r="G138">
        <v>1621.0589569161004</v>
      </c>
      <c r="H138">
        <v>98597.791289197208</v>
      </c>
      <c r="I138">
        <v>1598.3283270149739</v>
      </c>
    </row>
    <row r="139" spans="1:9" x14ac:dyDescent="0.3">
      <c r="A139">
        <v>128586.43290343716</v>
      </c>
      <c r="B139">
        <v>1914.3491354324201</v>
      </c>
      <c r="C139">
        <v>131511.76019639801</v>
      </c>
      <c r="D139">
        <v>2517.5942443117028</v>
      </c>
      <c r="E139">
        <v>1.7213491354324199E-2</v>
      </c>
      <c r="F139">
        <v>101522.43290343715</v>
      </c>
      <c r="G139">
        <v>1721.3491354324199</v>
      </c>
      <c r="H139">
        <v>100184.11961621218</v>
      </c>
      <c r="I139">
        <v>1724.5184768542497</v>
      </c>
    </row>
    <row r="140" spans="1:9" x14ac:dyDescent="0.3">
      <c r="A140">
        <v>130494.78203886958</v>
      </c>
      <c r="B140">
        <v>-1585.0288512478255</v>
      </c>
      <c r="C140">
        <v>134023.35444070972</v>
      </c>
      <c r="D140">
        <v>-2124.3088352953828</v>
      </c>
      <c r="E140">
        <v>-1.7780288512478256E-2</v>
      </c>
      <c r="F140">
        <v>103231.78203886957</v>
      </c>
      <c r="G140">
        <v>-1778.0288512478255</v>
      </c>
      <c r="H140">
        <v>101896.63809306643</v>
      </c>
      <c r="I140">
        <v>-1811.7516237463033</v>
      </c>
    </row>
    <row r="141" spans="1:9" x14ac:dyDescent="0.3">
      <c r="A141">
        <v>128903.75318762175</v>
      </c>
      <c r="B141">
        <v>-198.05129094746647</v>
      </c>
      <c r="C141">
        <v>131893.04560541434</v>
      </c>
      <c r="D141">
        <v>-261.21587949145379</v>
      </c>
      <c r="E141">
        <v>-3.9105129094746645E-3</v>
      </c>
      <c r="F141">
        <v>101441.75318762174</v>
      </c>
      <c r="G141">
        <v>-391.05129094746644</v>
      </c>
      <c r="H141">
        <v>100072.88646932013</v>
      </c>
      <c r="I141">
        <v>-391.33631442666888</v>
      </c>
    </row>
    <row r="142" spans="1:9" x14ac:dyDescent="0.3">
      <c r="A142">
        <v>128699.70189667429</v>
      </c>
      <c r="B142">
        <v>1041.051707008023</v>
      </c>
      <c r="C142">
        <v>131625.8297259229</v>
      </c>
      <c r="D142">
        <v>1370.292947225194</v>
      </c>
      <c r="E142">
        <v>8.4805170700802297E-3</v>
      </c>
      <c r="F142">
        <v>101038.70189667428</v>
      </c>
      <c r="G142">
        <v>848.05170700802296</v>
      </c>
      <c r="H142">
        <v>99669.55015489347</v>
      </c>
      <c r="I142">
        <v>845.24932145579169</v>
      </c>
    </row>
    <row r="143" spans="1:9" x14ac:dyDescent="0.3">
      <c r="A143">
        <v>129734.75360368231</v>
      </c>
      <c r="B143">
        <v>-1038.1585497994013</v>
      </c>
      <c r="C143">
        <v>132990.12267314809</v>
      </c>
      <c r="D143">
        <v>-1380.6483289199989</v>
      </c>
      <c r="E143">
        <v>-1.2311585497994012E-2</v>
      </c>
      <c r="F143">
        <v>101874.7536036823</v>
      </c>
      <c r="G143">
        <v>-1231.1585497994013</v>
      </c>
      <c r="H143">
        <v>100502.79947634926</v>
      </c>
      <c r="I143">
        <v>-1237.3488085408217</v>
      </c>
    </row>
    <row r="144" spans="1:9" x14ac:dyDescent="0.3">
      <c r="A144">
        <v>128690.59505388292</v>
      </c>
      <c r="B144">
        <v>-2845.5165119285466</v>
      </c>
      <c r="C144">
        <v>131603.47434422807</v>
      </c>
      <c r="D144">
        <v>-3744.7985927366585</v>
      </c>
      <c r="E144">
        <v>-3.0385165119285469E-2</v>
      </c>
      <c r="F144">
        <v>100631.59505388291</v>
      </c>
      <c r="G144">
        <v>-3038.5165119285471</v>
      </c>
      <c r="H144">
        <v>99253.450667808444</v>
      </c>
      <c r="I144">
        <v>-3015.832487200214</v>
      </c>
    </row>
    <row r="145" spans="1:9" x14ac:dyDescent="0.3">
      <c r="A145">
        <v>125839.07854195437</v>
      </c>
      <c r="B145">
        <v>1401.1058996298545</v>
      </c>
      <c r="C145">
        <v>127852.67575149142</v>
      </c>
      <c r="D145">
        <v>1791.3513827887748</v>
      </c>
      <c r="E145">
        <v>1.2081058996298546E-2</v>
      </c>
      <c r="F145">
        <v>97581.078541954354</v>
      </c>
      <c r="G145">
        <v>1208.1058996298545</v>
      </c>
      <c r="H145">
        <v>96225.618180608231</v>
      </c>
      <c r="I145">
        <v>1162.507370195226</v>
      </c>
    </row>
    <row r="146" spans="1:9" x14ac:dyDescent="0.3">
      <c r="A146">
        <v>127234.18444158422</v>
      </c>
      <c r="B146">
        <v>-313.04709059078567</v>
      </c>
      <c r="C146">
        <v>129638.0271342802</v>
      </c>
      <c r="D146">
        <v>-405.82807224315746</v>
      </c>
      <c r="E146">
        <v>-5.0604709059078566E-3</v>
      </c>
      <c r="F146">
        <v>98777.184441584206</v>
      </c>
      <c r="G146">
        <v>-506.04709059078567</v>
      </c>
      <c r="H146">
        <v>97376.125550803452</v>
      </c>
      <c r="I146">
        <v>-492.76905027987152</v>
      </c>
    </row>
    <row r="147" spans="1:9" x14ac:dyDescent="0.3">
      <c r="A147">
        <v>126915.13735099343</v>
      </c>
      <c r="B147">
        <v>383.45617856822184</v>
      </c>
      <c r="C147">
        <v>129226.19906203705</v>
      </c>
      <c r="D147">
        <v>495.5258446322506</v>
      </c>
      <c r="E147">
        <v>1.9045617856822182E-3</v>
      </c>
      <c r="F147">
        <v>98259.13735099342</v>
      </c>
      <c r="G147">
        <v>190.45617856822182</v>
      </c>
      <c r="H147">
        <v>96871.356500523587</v>
      </c>
      <c r="I147">
        <v>184.49748371809596</v>
      </c>
    </row>
    <row r="148" spans="1:9" x14ac:dyDescent="0.3">
      <c r="A148">
        <v>127292.59352956165</v>
      </c>
      <c r="B148">
        <v>-1737.0694827793509</v>
      </c>
      <c r="C148">
        <v>129715.7249066693</v>
      </c>
      <c r="D148">
        <v>-2253.2522717197662</v>
      </c>
      <c r="E148">
        <v>-1.9300694827793511E-2</v>
      </c>
      <c r="F148">
        <v>98437.593529561636</v>
      </c>
      <c r="G148">
        <v>-1930.0694827793511</v>
      </c>
      <c r="H148">
        <v>97043.853984241679</v>
      </c>
      <c r="I148">
        <v>-1873.0138106628021</v>
      </c>
    </row>
    <row r="149" spans="1:9" x14ac:dyDescent="0.3">
      <c r="A149">
        <v>125549.5240467823</v>
      </c>
      <c r="B149">
        <v>200.89559563242935</v>
      </c>
      <c r="C149">
        <v>127456.47263494953</v>
      </c>
      <c r="D149">
        <v>256.05443987206615</v>
      </c>
      <c r="E149">
        <v>7.895595632429332E-5</v>
      </c>
      <c r="F149">
        <v>96495.524046782288</v>
      </c>
      <c r="G149">
        <v>7.8955956324293322</v>
      </c>
      <c r="H149">
        <v>95158.840173578879</v>
      </c>
      <c r="I149">
        <v>7.5133572286155026</v>
      </c>
    </row>
    <row r="150" spans="1:9" x14ac:dyDescent="0.3">
      <c r="A150">
        <v>125744.41964241474</v>
      </c>
      <c r="B150">
        <v>-1248.6444149897525</v>
      </c>
      <c r="C150">
        <v>127706.5270748216</v>
      </c>
      <c r="D150">
        <v>-1594.6004178971359</v>
      </c>
      <c r="E150">
        <v>-1.4416444149897524E-2</v>
      </c>
      <c r="F150">
        <v>96491.419642414723</v>
      </c>
      <c r="G150">
        <v>-1441.6444149897525</v>
      </c>
      <c r="H150">
        <v>95154.353530807493</v>
      </c>
      <c r="I150">
        <v>-1371.7874232964905</v>
      </c>
    </row>
    <row r="151" spans="1:9" x14ac:dyDescent="0.3">
      <c r="A151">
        <v>124489.77522742498</v>
      </c>
      <c r="B151">
        <v>370.92213675472635</v>
      </c>
      <c r="C151">
        <v>126105.92665692446</v>
      </c>
      <c r="D151">
        <v>467.75479773021226</v>
      </c>
      <c r="E151">
        <v>1.7792213675472633E-3</v>
      </c>
      <c r="F151">
        <v>95037.775227424965</v>
      </c>
      <c r="G151">
        <v>177.92213675472632</v>
      </c>
      <c r="H151">
        <v>93770.566107510997</v>
      </c>
      <c r="I151">
        <v>166.83859486548678</v>
      </c>
    </row>
    <row r="152" spans="1:9" x14ac:dyDescent="0.3">
      <c r="A152">
        <v>124854.69736417971</v>
      </c>
      <c r="B152">
        <v>305.69354222392053</v>
      </c>
      <c r="C152">
        <v>126567.68145465468</v>
      </c>
      <c r="D152">
        <v>386.90922874942203</v>
      </c>
      <c r="E152">
        <v>1.1269354222392051E-3</v>
      </c>
      <c r="F152">
        <v>95203.697364179694</v>
      </c>
      <c r="G152">
        <v>112.69354222392052</v>
      </c>
      <c r="H152">
        <v>93925.404702376487</v>
      </c>
      <c r="I152">
        <v>105.84786560726087</v>
      </c>
    </row>
    <row r="153" spans="1:9" x14ac:dyDescent="0.3">
      <c r="A153">
        <v>125154.39090640363</v>
      </c>
      <c r="B153">
        <v>1300.0336875631483</v>
      </c>
      <c r="C153">
        <v>126948.59068340411</v>
      </c>
      <c r="D153">
        <v>1650.3744447709057</v>
      </c>
      <c r="E153">
        <v>1.1070336875631484E-2</v>
      </c>
      <c r="F153">
        <v>95304.390906403612</v>
      </c>
      <c r="G153">
        <v>1107.0336875631483</v>
      </c>
      <c r="H153">
        <v>94019.252567983742</v>
      </c>
      <c r="I153">
        <v>1040.8247987226605</v>
      </c>
    </row>
    <row r="154" spans="1:9" x14ac:dyDescent="0.3">
      <c r="A154">
        <v>126448.42459396677</v>
      </c>
      <c r="B154">
        <v>956.79106994999779</v>
      </c>
      <c r="C154">
        <v>128592.96512817501</v>
      </c>
      <c r="D154">
        <v>1230.3660069302932</v>
      </c>
      <c r="E154">
        <v>7.6379106994999774E-3</v>
      </c>
      <c r="F154">
        <v>96399.42459396676</v>
      </c>
      <c r="G154">
        <v>763.79106994999779</v>
      </c>
      <c r="H154">
        <v>95048.077366706406</v>
      </c>
      <c r="I154">
        <v>725.9687270860685</v>
      </c>
    </row>
    <row r="155" spans="1:9" x14ac:dyDescent="0.3">
      <c r="A155">
        <v>127399.21566391677</v>
      </c>
      <c r="B155">
        <v>279.51280449720133</v>
      </c>
      <c r="C155">
        <v>129817.33113510531</v>
      </c>
      <c r="D155">
        <v>362.85606297915143</v>
      </c>
      <c r="E155">
        <v>8.6512804497201347E-4</v>
      </c>
      <c r="F155">
        <v>97151.215663916752</v>
      </c>
      <c r="G155">
        <v>86.512804497201344</v>
      </c>
      <c r="H155">
        <v>95762.04609379248</v>
      </c>
      <c r="I155">
        <v>82.846431719642524</v>
      </c>
    </row>
    <row r="156" spans="1:9" x14ac:dyDescent="0.3">
      <c r="A156">
        <v>127672.72846841397</v>
      </c>
      <c r="B156">
        <v>-808.93562739179413</v>
      </c>
      <c r="C156">
        <v>130174.18719808446</v>
      </c>
      <c r="D156">
        <v>-1053.025377912993</v>
      </c>
      <c r="E156">
        <v>-1.0019356273917941E-2</v>
      </c>
      <c r="F156">
        <v>97225.728468413959</v>
      </c>
      <c r="G156">
        <v>-1001.935627391794</v>
      </c>
      <c r="H156">
        <v>95832.892525512128</v>
      </c>
      <c r="I156">
        <v>-960.18389297319368</v>
      </c>
    </row>
    <row r="157" spans="1:9" x14ac:dyDescent="0.3">
      <c r="A157">
        <v>126857.79284102218</v>
      </c>
      <c r="B157">
        <v>325.10759513267834</v>
      </c>
      <c r="C157">
        <v>129115.16182017146</v>
      </c>
      <c r="D157">
        <v>419.76319754522552</v>
      </c>
      <c r="E157">
        <v>1.3210759513267833E-3</v>
      </c>
      <c r="F157">
        <v>96211.792841022165</v>
      </c>
      <c r="G157">
        <v>132.10759513267834</v>
      </c>
      <c r="H157">
        <v>94860.708632538939</v>
      </c>
      <c r="I157">
        <v>125.31820090026419</v>
      </c>
    </row>
    <row r="158" spans="1:9" x14ac:dyDescent="0.3">
      <c r="A158">
        <v>127176.90043615486</v>
      </c>
      <c r="B158">
        <v>158.92801495792799</v>
      </c>
      <c r="C158">
        <v>129528.92501771668</v>
      </c>
      <c r="D158">
        <v>205.85774932700011</v>
      </c>
      <c r="E158">
        <v>-3.4071985042072013E-4</v>
      </c>
      <c r="F158">
        <v>96331.900436154843</v>
      </c>
      <c r="G158">
        <v>-34.071985042072015</v>
      </c>
      <c r="H158">
        <v>94974.026833439202</v>
      </c>
      <c r="I158">
        <v>-32.359536216542864</v>
      </c>
    </row>
    <row r="159" spans="1:9" x14ac:dyDescent="0.3">
      <c r="A159">
        <v>127329.82845111279</v>
      </c>
      <c r="B159">
        <v>-1225.2151141040051</v>
      </c>
      <c r="C159">
        <v>129728.78276704368</v>
      </c>
      <c r="D159">
        <v>-1589.4566538049712</v>
      </c>
      <c r="E159">
        <v>-1.4182151141040052E-2</v>
      </c>
      <c r="F159">
        <v>96285.828451112771</v>
      </c>
      <c r="G159">
        <v>-1418.2151141040051</v>
      </c>
      <c r="H159">
        <v>94929.667297222666</v>
      </c>
      <c r="I159">
        <v>-1346.3068893778589</v>
      </c>
    </row>
    <row r="160" spans="1:9" x14ac:dyDescent="0.3">
      <c r="A160">
        <v>126098.61333700878</v>
      </c>
      <c r="B160">
        <v>693.29601831828234</v>
      </c>
      <c r="C160">
        <v>128133.32611323871</v>
      </c>
      <c r="D160">
        <v>888.34324808186386</v>
      </c>
      <c r="E160">
        <v>5.0029601831828229E-3</v>
      </c>
      <c r="F160">
        <v>94855.613337008763</v>
      </c>
      <c r="G160">
        <v>500.29601831828228</v>
      </c>
      <c r="H160">
        <v>93571.360407844812</v>
      </c>
      <c r="I160">
        <v>468.13379040669724</v>
      </c>
    </row>
    <row r="161" spans="1:9" x14ac:dyDescent="0.3">
      <c r="A161">
        <v>126785.90935532706</v>
      </c>
      <c r="B161">
        <v>-1267.8338288266946</v>
      </c>
      <c r="C161">
        <v>129015.66936132057</v>
      </c>
      <c r="D161">
        <v>-1635.7043006500194</v>
      </c>
      <c r="E161">
        <v>-1.4608338288266945E-2</v>
      </c>
      <c r="F161">
        <v>95343.90935532705</v>
      </c>
      <c r="G161">
        <v>-1460.8338288266946</v>
      </c>
      <c r="H161">
        <v>94027.494198251516</v>
      </c>
      <c r="I161">
        <v>-1373.5854436461157</v>
      </c>
    </row>
    <row r="162" spans="1:9" x14ac:dyDescent="0.3">
      <c r="A162">
        <v>125512.07552650037</v>
      </c>
      <c r="B162">
        <v>935.5700986266063</v>
      </c>
      <c r="C162">
        <v>127373.96506067055</v>
      </c>
      <c r="D162">
        <v>1191.6727305427346</v>
      </c>
      <c r="E162">
        <v>7.4257009862660631E-3</v>
      </c>
      <c r="F162">
        <v>93871.075526500354</v>
      </c>
      <c r="G162">
        <v>742.5700986266063</v>
      </c>
      <c r="H162">
        <v>92641.908754605407</v>
      </c>
      <c r="I162">
        <v>687.93111320864398</v>
      </c>
    </row>
    <row r="163" spans="1:9" x14ac:dyDescent="0.3">
      <c r="A163">
        <v>126441.64562512697</v>
      </c>
      <c r="B163">
        <v>986.61355319838594</v>
      </c>
      <c r="C163">
        <v>128559.63779121329</v>
      </c>
      <c r="D163">
        <v>1268.3868103908644</v>
      </c>
      <c r="E163">
        <v>7.9361355319838602E-3</v>
      </c>
      <c r="F163">
        <v>94601.645625126956</v>
      </c>
      <c r="G163">
        <v>793.61355319838606</v>
      </c>
      <c r="H163">
        <v>93317.839867814051</v>
      </c>
      <c r="I163">
        <v>740.58302474293919</v>
      </c>
    </row>
    <row r="164" spans="1:9" x14ac:dyDescent="0.3">
      <c r="A164">
        <v>127422.25917832536</v>
      </c>
      <c r="B164">
        <v>3853.9553752535467</v>
      </c>
      <c r="C164">
        <v>129822.02460160415</v>
      </c>
      <c r="D164">
        <v>5003.2828953965054</v>
      </c>
      <c r="E164">
        <v>3.6609553752535468E-2</v>
      </c>
      <c r="F164">
        <v>95383.259178325345</v>
      </c>
      <c r="G164">
        <v>3660.9553752535467</v>
      </c>
      <c r="H164">
        <v>94046.422892556991</v>
      </c>
      <c r="I164">
        <v>3442.9975741187473</v>
      </c>
    </row>
    <row r="165" spans="1:9" x14ac:dyDescent="0.3">
      <c r="A165">
        <v>131270.2145535789</v>
      </c>
      <c r="B165">
        <v>463.49581609479952</v>
      </c>
      <c r="C165">
        <v>134819.30749700064</v>
      </c>
      <c r="D165">
        <v>624.88184953658038</v>
      </c>
      <c r="E165">
        <v>2.7049581609479949E-3</v>
      </c>
      <c r="F165">
        <v>99032.214553578888</v>
      </c>
      <c r="G165">
        <v>270.49581609479947</v>
      </c>
      <c r="H165">
        <v>97477.420466675743</v>
      </c>
      <c r="I165">
        <v>263.67234399949365</v>
      </c>
    </row>
    <row r="166" spans="1:9" x14ac:dyDescent="0.3">
      <c r="A166">
        <v>131727.7103696737</v>
      </c>
      <c r="B166">
        <v>516.11317624650758</v>
      </c>
      <c r="C166">
        <v>135438.18934653723</v>
      </c>
      <c r="D166">
        <v>699.01434088717235</v>
      </c>
      <c r="E166">
        <v>3.2311317624650754E-3</v>
      </c>
      <c r="F166">
        <v>99290.710369673689</v>
      </c>
      <c r="G166">
        <v>323.11317624650752</v>
      </c>
      <c r="H166">
        <v>97729.09281067524</v>
      </c>
      <c r="I166">
        <v>315.77557589746999</v>
      </c>
    </row>
    <row r="167" spans="1:9" x14ac:dyDescent="0.3">
      <c r="A167">
        <v>132237.8235459202</v>
      </c>
      <c r="B167">
        <v>1960.9060845534002</v>
      </c>
      <c r="C167">
        <v>136131.20368742439</v>
      </c>
      <c r="D167">
        <v>2669.4050560824876</v>
      </c>
      <c r="E167">
        <v>1.7679060845534E-2</v>
      </c>
      <c r="F167">
        <v>99601.823545920197</v>
      </c>
      <c r="G167">
        <v>1767.9060845534</v>
      </c>
      <c r="H167">
        <v>98032.868386572707</v>
      </c>
      <c r="I167">
        <v>1733.1290450684455</v>
      </c>
    </row>
    <row r="168" spans="1:9" x14ac:dyDescent="0.3">
      <c r="A168">
        <v>134192.72963047359</v>
      </c>
      <c r="B168">
        <v>-57.819299473539374</v>
      </c>
      <c r="C168">
        <v>138794.60874350689</v>
      </c>
      <c r="D168">
        <v>-80.250070482535506</v>
      </c>
      <c r="E168">
        <v>-2.5081929947353937E-3</v>
      </c>
      <c r="F168">
        <v>101357.72963047359</v>
      </c>
      <c r="G168">
        <v>-250.81929947353936</v>
      </c>
      <c r="H168">
        <v>99753.997431641154</v>
      </c>
      <c r="I168">
        <v>-250.20227755489481</v>
      </c>
    </row>
    <row r="169" spans="1:9" x14ac:dyDescent="0.3">
      <c r="A169">
        <v>134128.91033100005</v>
      </c>
      <c r="B169">
        <v>388.86272841888706</v>
      </c>
      <c r="C169">
        <v>138708.35867302437</v>
      </c>
      <c r="D169">
        <v>539.38510808097851</v>
      </c>
      <c r="E169">
        <v>1.9586272841888705E-3</v>
      </c>
      <c r="F169">
        <v>101094.91033100005</v>
      </c>
      <c r="G169">
        <v>195.86272841888706</v>
      </c>
      <c r="H169">
        <v>99491.795154086256</v>
      </c>
      <c r="I169">
        <v>194.86734454172338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111B-E1F7-4A52-8AD5-E85A8D461C91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-1407.0599851888487</v>
      </c>
      <c r="C3">
        <v>100000</v>
      </c>
      <c r="D3">
        <v>-1407.0599851888487</v>
      </c>
      <c r="E3">
        <v>-1.6000599851888488E-2</v>
      </c>
      <c r="F3">
        <v>100000</v>
      </c>
      <c r="G3">
        <v>-1600.0599851888487</v>
      </c>
      <c r="H3">
        <v>100000</v>
      </c>
      <c r="I3">
        <v>-1600.0599851888487</v>
      </c>
    </row>
    <row r="4" spans="1:9" x14ac:dyDescent="0.3">
      <c r="A4">
        <v>98586.940014811145</v>
      </c>
      <c r="B4">
        <v>1532.7400146179964</v>
      </c>
      <c r="C4">
        <v>98586.940014811145</v>
      </c>
      <c r="D4">
        <v>1511.0814787944516</v>
      </c>
      <c r="E4">
        <v>1.3397400146179964E-2</v>
      </c>
      <c r="F4">
        <v>98387.940014811145</v>
      </c>
      <c r="G4">
        <v>1339.7400146179964</v>
      </c>
      <c r="H4">
        <v>98387.940014811145</v>
      </c>
      <c r="I4">
        <v>1318.1426019367764</v>
      </c>
    </row>
    <row r="5" spans="1:9" x14ac:dyDescent="0.3">
      <c r="A5">
        <v>100113.68002942915</v>
      </c>
      <c r="B5">
        <v>2113.327169462415</v>
      </c>
      <c r="C5">
        <v>100092.0214936056</v>
      </c>
      <c r="D5">
        <v>2115.2718846885273</v>
      </c>
      <c r="E5">
        <v>1.9203271694624147E-2</v>
      </c>
      <c r="F5">
        <v>99715.680029429146</v>
      </c>
      <c r="G5">
        <v>1920.3271694624148</v>
      </c>
      <c r="H5">
        <v>99694.082616747924</v>
      </c>
      <c r="I5">
        <v>1914.4525548357167</v>
      </c>
    </row>
    <row r="6" spans="1:9" x14ac:dyDescent="0.3">
      <c r="A6">
        <v>102221.00719889156</v>
      </c>
      <c r="B6">
        <v>-739.24731182795949</v>
      </c>
      <c r="C6">
        <v>102201.29337829413</v>
      </c>
      <c r="D6">
        <v>-755.52031395244569</v>
      </c>
      <c r="E6">
        <v>-9.3224731182795957E-3</v>
      </c>
      <c r="F6">
        <v>101624.00719889156</v>
      </c>
      <c r="G6">
        <v>-932.24731182795961</v>
      </c>
      <c r="H6">
        <v>101596.53517158364</v>
      </c>
      <c r="I6">
        <v>-947.130968047436</v>
      </c>
    </row>
    <row r="7" spans="1:9" x14ac:dyDescent="0.3">
      <c r="A7">
        <v>101475.7598870636</v>
      </c>
      <c r="B7">
        <v>-99.162626707798282</v>
      </c>
      <c r="C7">
        <v>101439.77306434167</v>
      </c>
      <c r="D7">
        <v>-100.59034349703084</v>
      </c>
      <c r="E7">
        <v>-2.9216262670779831E-3</v>
      </c>
      <c r="F7">
        <v>100679.7598870636</v>
      </c>
      <c r="G7">
        <v>-292.16262670779832</v>
      </c>
      <c r="H7">
        <v>100637.40420353621</v>
      </c>
      <c r="I7">
        <v>-294.02488357159564</v>
      </c>
    </row>
    <row r="8" spans="1:9" x14ac:dyDescent="0.3">
      <c r="A8">
        <v>101370.5972603558</v>
      </c>
      <c r="B8">
        <v>-454.25618293137728</v>
      </c>
      <c r="C8">
        <v>101333.18272084465</v>
      </c>
      <c r="D8">
        <v>-460.31224787058687</v>
      </c>
      <c r="E8">
        <v>-6.472561829313773E-3</v>
      </c>
      <c r="F8">
        <v>100375.5972603558</v>
      </c>
      <c r="G8">
        <v>-647.25618293137734</v>
      </c>
      <c r="H8">
        <v>100331.37931996462</v>
      </c>
      <c r="I8">
        <v>-649.40105606880422</v>
      </c>
    </row>
    <row r="9" spans="1:9" x14ac:dyDescent="0.3">
      <c r="A9">
        <v>100910.34107742443</v>
      </c>
      <c r="B9">
        <v>1748.70466321244</v>
      </c>
      <c r="C9">
        <v>100866.87047297406</v>
      </c>
      <c r="D9">
        <v>1763.8636675973491</v>
      </c>
      <c r="E9">
        <v>1.5557046632124401E-2</v>
      </c>
      <c r="F9">
        <v>99716.341077424426</v>
      </c>
      <c r="G9">
        <v>1555.7046632124402</v>
      </c>
      <c r="H9">
        <v>99669.978263895813</v>
      </c>
      <c r="I9">
        <v>1550.5704996742527</v>
      </c>
    </row>
    <row r="10" spans="1:9" x14ac:dyDescent="0.3">
      <c r="A10">
        <v>102653.04574063687</v>
      </c>
      <c r="B10">
        <v>1254.3509635792445</v>
      </c>
      <c r="C10">
        <v>102624.73414057141</v>
      </c>
      <c r="D10">
        <v>1287.2743415628954</v>
      </c>
      <c r="E10">
        <v>1.0613509635792445E-2</v>
      </c>
      <c r="F10">
        <v>101260.04574063687</v>
      </c>
      <c r="G10">
        <v>1061.3509635792445</v>
      </c>
      <c r="H10">
        <v>101208.54876357007</v>
      </c>
      <c r="I10">
        <v>1074.1779075267204</v>
      </c>
    </row>
    <row r="11" spans="1:9" x14ac:dyDescent="0.3">
      <c r="A11">
        <v>103901.39670421611</v>
      </c>
      <c r="B11">
        <v>898.48775652247082</v>
      </c>
      <c r="C11">
        <v>103906.0084821343</v>
      </c>
      <c r="D11">
        <v>933.58276450317669</v>
      </c>
      <c r="E11">
        <v>7.0548775652247075E-3</v>
      </c>
      <c r="F11">
        <v>102309.39670421611</v>
      </c>
      <c r="G11">
        <v>705.4877565224707</v>
      </c>
      <c r="H11">
        <v>102270.7266710968</v>
      </c>
      <c r="I11">
        <v>721.50745517114888</v>
      </c>
    </row>
    <row r="12" spans="1:9" x14ac:dyDescent="0.3">
      <c r="A12">
        <v>104793.88446073858</v>
      </c>
      <c r="B12">
        <v>1018.8861578538313</v>
      </c>
      <c r="C12">
        <v>104833.59124663749</v>
      </c>
      <c r="D12">
        <v>1068.1349499930552</v>
      </c>
      <c r="E12">
        <v>8.2588615785383138E-3</v>
      </c>
      <c r="F12">
        <v>103002.88446073858</v>
      </c>
      <c r="G12">
        <v>825.88615785383138</v>
      </c>
      <c r="H12">
        <v>102980.23412626794</v>
      </c>
      <c r="I12">
        <v>850.49949897431441</v>
      </c>
    </row>
    <row r="13" spans="1:9" x14ac:dyDescent="0.3">
      <c r="A13">
        <v>105806.77061859242</v>
      </c>
      <c r="B13">
        <v>-2453.0487300405421</v>
      </c>
      <c r="C13">
        <v>105895.72619663054</v>
      </c>
      <c r="D13">
        <v>-2597.6737666336553</v>
      </c>
      <c r="E13">
        <v>-2.6460487300405424E-2</v>
      </c>
      <c r="F13">
        <v>103816.77061859242</v>
      </c>
      <c r="G13">
        <v>-2646.0487300405425</v>
      </c>
      <c r="H13">
        <v>103818.73362524225</v>
      </c>
      <c r="I13">
        <v>-2747.0942826348964</v>
      </c>
    </row>
    <row r="14" spans="1:9" x14ac:dyDescent="0.3">
      <c r="A14">
        <v>103347.72188855188</v>
      </c>
      <c r="B14">
        <v>-1070.7734311676084</v>
      </c>
      <c r="C14">
        <v>103292.05242999688</v>
      </c>
      <c r="D14">
        <v>-1106.0238539281227</v>
      </c>
      <c r="E14">
        <v>-1.2637734311676084E-2</v>
      </c>
      <c r="F14">
        <v>101158.72188855188</v>
      </c>
      <c r="G14">
        <v>-1263.7734311676084</v>
      </c>
      <c r="H14">
        <v>101059.63934260736</v>
      </c>
      <c r="I14">
        <v>-1277.1648716456793</v>
      </c>
    </row>
    <row r="15" spans="1:9" x14ac:dyDescent="0.3">
      <c r="A15">
        <v>102270.94845738428</v>
      </c>
      <c r="B15">
        <v>2204.8182514684631</v>
      </c>
      <c r="C15">
        <v>102180.02857606875</v>
      </c>
      <c r="D15">
        <v>2252.8839194008551</v>
      </c>
      <c r="E15">
        <v>2.011818251468463E-2</v>
      </c>
      <c r="F15">
        <v>99882.948457384278</v>
      </c>
      <c r="G15">
        <v>2011.8182514684629</v>
      </c>
      <c r="H15">
        <v>99770.474470961679</v>
      </c>
      <c r="I15">
        <v>2007.2006149834906</v>
      </c>
    </row>
    <row r="16" spans="1:9" x14ac:dyDescent="0.3">
      <c r="A16">
        <v>104469.76670885274</v>
      </c>
      <c r="B16">
        <v>670.30526905597321</v>
      </c>
      <c r="C16">
        <v>104426.91249546962</v>
      </c>
      <c r="D16">
        <v>699.9790967696033</v>
      </c>
      <c r="E16">
        <v>4.7730526905597316E-3</v>
      </c>
      <c r="F16">
        <v>101882.76670885274</v>
      </c>
      <c r="G16">
        <v>477.30526905597316</v>
      </c>
      <c r="H16">
        <v>101765.67508594517</v>
      </c>
      <c r="I16">
        <v>485.73292927559805</v>
      </c>
    </row>
    <row r="17" spans="1:9" x14ac:dyDescent="0.3">
      <c r="A17">
        <v>105134.07197790871</v>
      </c>
      <c r="B17">
        <v>-374.49330233132224</v>
      </c>
      <c r="C17">
        <v>105120.89159223922</v>
      </c>
      <c r="D17">
        <v>-393.67069836390596</v>
      </c>
      <c r="E17">
        <v>-5.6749330233132229E-3</v>
      </c>
      <c r="F17">
        <v>102348.07197790871</v>
      </c>
      <c r="G17">
        <v>-567.4933023313223</v>
      </c>
      <c r="H17">
        <v>102239.40801522078</v>
      </c>
      <c r="I17">
        <v>-580.20179282957099</v>
      </c>
    </row>
    <row r="18" spans="1:9" x14ac:dyDescent="0.3">
      <c r="A18">
        <v>104753.57867557739</v>
      </c>
      <c r="B18">
        <v>2839.3795667222194</v>
      </c>
      <c r="C18">
        <v>104721.22089387532</v>
      </c>
      <c r="D18">
        <v>2973.432948082735</v>
      </c>
      <c r="E18">
        <v>2.6463795667222192E-2</v>
      </c>
      <c r="F18">
        <v>101768.57867557739</v>
      </c>
      <c r="G18">
        <v>2646.3795667222194</v>
      </c>
      <c r="H18">
        <v>101647.20622239121</v>
      </c>
      <c r="I18">
        <v>2689.9708956133572</v>
      </c>
    </row>
    <row r="19" spans="1:9" x14ac:dyDescent="0.3">
      <c r="A19">
        <v>107586.9582422996</v>
      </c>
      <c r="B19">
        <v>1688.8360558299589</v>
      </c>
      <c r="C19">
        <v>107688.65384195805</v>
      </c>
      <c r="D19">
        <v>1818.6848141209018</v>
      </c>
      <c r="E19">
        <v>1.4958360558299589E-2</v>
      </c>
      <c r="F19">
        <v>104402.9582422996</v>
      </c>
      <c r="G19">
        <v>1495.8360558299589</v>
      </c>
      <c r="H19">
        <v>104325.17711800456</v>
      </c>
      <c r="I19">
        <v>1560.5336146395782</v>
      </c>
    </row>
    <row r="20" spans="1:9" x14ac:dyDescent="0.3">
      <c r="A20">
        <v>109269.79429812956</v>
      </c>
      <c r="B20">
        <v>209.04102430101176</v>
      </c>
      <c r="C20">
        <v>109501.33865607895</v>
      </c>
      <c r="D20">
        <v>228.90271994998719</v>
      </c>
      <c r="E20">
        <v>1.6041024301011761E-4</v>
      </c>
      <c r="F20">
        <v>105886.79429812956</v>
      </c>
      <c r="G20">
        <v>16.04102430101176</v>
      </c>
      <c r="H20">
        <v>105873.71073264413</v>
      </c>
      <c r="I20">
        <v>16.983227667006343</v>
      </c>
    </row>
    <row r="21" spans="1:9" x14ac:dyDescent="0.3">
      <c r="A21">
        <v>109472.83532243058</v>
      </c>
      <c r="B21">
        <v>-593.56898704381717</v>
      </c>
      <c r="C21">
        <v>109724.24137602893</v>
      </c>
      <c r="D21">
        <v>-651.28906807720784</v>
      </c>
      <c r="E21">
        <v>-7.8656898704381716E-3</v>
      </c>
      <c r="F21">
        <v>105890.83532243058</v>
      </c>
      <c r="G21">
        <v>-786.56898704381717</v>
      </c>
      <c r="H21">
        <v>105878.69396031114</v>
      </c>
      <c r="I21">
        <v>-832.80897057884249</v>
      </c>
    </row>
    <row r="22" spans="1:9" x14ac:dyDescent="0.3">
      <c r="A22">
        <v>108873.26633538675</v>
      </c>
      <c r="B22">
        <v>1746.8593480581308</v>
      </c>
      <c r="C22">
        <v>109066.95230795172</v>
      </c>
      <c r="D22">
        <v>1905.246252033558</v>
      </c>
      <c r="E22">
        <v>1.5538593480581309E-2</v>
      </c>
      <c r="F22">
        <v>105092.26633538675</v>
      </c>
      <c r="G22">
        <v>1553.859348058131</v>
      </c>
      <c r="H22">
        <v>105033.88498973229</v>
      </c>
      <c r="I22">
        <v>1632.0788405415813</v>
      </c>
    </row>
    <row r="23" spans="1:9" x14ac:dyDescent="0.3">
      <c r="A23">
        <v>110614.12568344489</v>
      </c>
      <c r="B23">
        <v>1956.6313666162357</v>
      </c>
      <c r="C23">
        <v>110966.19855998528</v>
      </c>
      <c r="D23">
        <v>2171.1994473663253</v>
      </c>
      <c r="E23">
        <v>1.7636313666162355E-2</v>
      </c>
      <c r="F23">
        <v>106634.12568344489</v>
      </c>
      <c r="G23">
        <v>1763.6313666162355</v>
      </c>
      <c r="H23">
        <v>106653.96383027387</v>
      </c>
      <c r="I23">
        <v>1880.9827598502447</v>
      </c>
    </row>
    <row r="24" spans="1:9" x14ac:dyDescent="0.3">
      <c r="A24">
        <v>112564.75705006112</v>
      </c>
      <c r="B24">
        <v>-2106.6846725185605</v>
      </c>
      <c r="C24">
        <v>113131.3980073516</v>
      </c>
      <c r="D24">
        <v>-2383.3218216268447</v>
      </c>
      <c r="E24">
        <v>-2.2996846725185607E-2</v>
      </c>
      <c r="F24">
        <v>108385.75705006112</v>
      </c>
      <c r="G24">
        <v>-2299.6846725185605</v>
      </c>
      <c r="H24">
        <v>108522.94659012412</v>
      </c>
      <c r="I24">
        <v>-2495.6855688985884</v>
      </c>
    </row>
    <row r="25" spans="1:9" x14ac:dyDescent="0.3">
      <c r="A25">
        <v>110452.07237754256</v>
      </c>
      <c r="B25">
        <v>-466.13760690345163</v>
      </c>
      <c r="C25">
        <v>110742.07618572476</v>
      </c>
      <c r="D25">
        <v>-516.21046376733455</v>
      </c>
      <c r="E25">
        <v>-6.5913760690345163E-3</v>
      </c>
      <c r="F25">
        <v>106074.07237754256</v>
      </c>
      <c r="G25">
        <v>-659.13760690345168</v>
      </c>
      <c r="H25">
        <v>106015.26102122554</v>
      </c>
      <c r="I25">
        <v>-698.78645444775373</v>
      </c>
    </row>
    <row r="26" spans="1:9" x14ac:dyDescent="0.3">
      <c r="A26">
        <v>109979.93477063911</v>
      </c>
      <c r="B26">
        <v>48.678855852172042</v>
      </c>
      <c r="C26">
        <v>110219.86572195742</v>
      </c>
      <c r="D26">
        <v>53.653769555249241</v>
      </c>
      <c r="E26">
        <v>-1.4432114414782795E-3</v>
      </c>
      <c r="F26">
        <v>105402.93477063911</v>
      </c>
      <c r="G26">
        <v>-144.32114414782797</v>
      </c>
      <c r="H26">
        <v>105304.47456677779</v>
      </c>
      <c r="I26">
        <v>-151.9766225336322</v>
      </c>
    </row>
    <row r="27" spans="1:9" x14ac:dyDescent="0.3">
      <c r="A27">
        <v>110022.61362649128</v>
      </c>
      <c r="B27">
        <v>2733.415233415235</v>
      </c>
      <c r="C27">
        <v>110267.51949151268</v>
      </c>
      <c r="D27">
        <v>3014.0691752901207</v>
      </c>
      <c r="E27">
        <v>2.5404152334152347E-2</v>
      </c>
      <c r="F27">
        <v>105246.61362649128</v>
      </c>
      <c r="G27">
        <v>2540.4152334152345</v>
      </c>
      <c r="H27">
        <v>105140.49794424415</v>
      </c>
      <c r="I27">
        <v>2671.0052262642103</v>
      </c>
    </row>
    <row r="28" spans="1:9" x14ac:dyDescent="0.3">
      <c r="A28">
        <v>112750.02885990651</v>
      </c>
      <c r="B28">
        <v>2249.0430578194487</v>
      </c>
      <c r="C28">
        <v>113275.5886668028</v>
      </c>
      <c r="D28">
        <v>2547.6167631148423</v>
      </c>
      <c r="E28">
        <v>2.0560430578194486E-2</v>
      </c>
      <c r="F28">
        <v>107775.02885990651</v>
      </c>
      <c r="G28">
        <v>2056.0430578194487</v>
      </c>
      <c r="H28">
        <v>107799.50317050837</v>
      </c>
      <c r="I28">
        <v>2216.4042013010935</v>
      </c>
    </row>
    <row r="29" spans="1:9" x14ac:dyDescent="0.3">
      <c r="A29">
        <v>114993.07191772596</v>
      </c>
      <c r="B29">
        <v>3744.3405871184441</v>
      </c>
      <c r="C29">
        <v>115817.20542991764</v>
      </c>
      <c r="D29">
        <v>4336.5906297787533</v>
      </c>
      <c r="E29">
        <v>3.5513405871184442E-2</v>
      </c>
      <c r="F29">
        <v>109819.07191772596</v>
      </c>
      <c r="G29">
        <v>3551.3405871184441</v>
      </c>
      <c r="H29">
        <v>110003.90737180946</v>
      </c>
      <c r="I29">
        <v>3906.6134099112473</v>
      </c>
    </row>
    <row r="30" spans="1:9" x14ac:dyDescent="0.3">
      <c r="A30">
        <v>118731.4125048444</v>
      </c>
      <c r="B30">
        <v>462.02604146780578</v>
      </c>
      <c r="C30">
        <v>120147.7960596964</v>
      </c>
      <c r="D30">
        <v>555.11410604542755</v>
      </c>
      <c r="E30">
        <v>2.6902604146780574E-3</v>
      </c>
      <c r="F30">
        <v>113358.4125048444</v>
      </c>
      <c r="G30">
        <v>269.02604146780573</v>
      </c>
      <c r="H30">
        <v>113898.52078172071</v>
      </c>
      <c r="I30">
        <v>306.41668174944931</v>
      </c>
    </row>
    <row r="31" spans="1:9" x14ac:dyDescent="0.3">
      <c r="A31">
        <v>119187.4385463122</v>
      </c>
      <c r="B31">
        <v>1431.6954189484854</v>
      </c>
      <c r="C31">
        <v>120696.91016574182</v>
      </c>
      <c r="D31">
        <v>1728.0121336552945</v>
      </c>
      <c r="E31">
        <v>1.2386954189484855E-2</v>
      </c>
      <c r="F31">
        <v>113615.4385463122</v>
      </c>
      <c r="G31">
        <v>1238.6954189484854</v>
      </c>
      <c r="H31">
        <v>114192.93746347017</v>
      </c>
      <c r="I31">
        <v>1414.502685122714</v>
      </c>
    </row>
    <row r="32" spans="1:9" x14ac:dyDescent="0.3">
      <c r="A32">
        <v>120613.13396526068</v>
      </c>
      <c r="B32">
        <v>-95.433856996032489</v>
      </c>
      <c r="C32">
        <v>122418.92229939712</v>
      </c>
      <c r="D32">
        <v>-116.82909924329078</v>
      </c>
      <c r="E32">
        <v>-2.8843385699603248E-3</v>
      </c>
      <c r="F32">
        <v>114842.13396526068</v>
      </c>
      <c r="G32">
        <v>-288.43385699603249</v>
      </c>
      <c r="H32">
        <v>115595.44014859288</v>
      </c>
      <c r="I32">
        <v>-333.41638653212669</v>
      </c>
    </row>
    <row r="33" spans="1:9" x14ac:dyDescent="0.3">
      <c r="A33">
        <v>120511.70010826465</v>
      </c>
      <c r="B33">
        <v>228.82869474624539</v>
      </c>
      <c r="C33">
        <v>122296.09320015383</v>
      </c>
      <c r="D33">
        <v>279.84855379556382</v>
      </c>
      <c r="E33">
        <v>3.5828694746245396E-4</v>
      </c>
      <c r="F33">
        <v>114541.70010826465</v>
      </c>
      <c r="G33">
        <v>35.828694746245397</v>
      </c>
      <c r="H33">
        <v>115250.02376206075</v>
      </c>
      <c r="I33">
        <v>41.292579208684032</v>
      </c>
    </row>
    <row r="34" spans="1:9" x14ac:dyDescent="0.3">
      <c r="A34">
        <v>120734.52880301089</v>
      </c>
      <c r="B34">
        <v>-694.97045902137404</v>
      </c>
      <c r="C34">
        <v>122569.94175394939</v>
      </c>
      <c r="D34">
        <v>-851.82488682965288</v>
      </c>
      <c r="E34">
        <v>-8.8797045902137411E-3</v>
      </c>
      <c r="F34">
        <v>114565.52880301089</v>
      </c>
      <c r="G34">
        <v>-887.97045902137415</v>
      </c>
      <c r="H34">
        <v>115279.31634126944</v>
      </c>
      <c r="I34">
        <v>-1023.6462744722722</v>
      </c>
    </row>
    <row r="35" spans="1:9" x14ac:dyDescent="0.3">
      <c r="A35">
        <v>120033.55834398951</v>
      </c>
      <c r="B35">
        <v>-553.05044899217717</v>
      </c>
      <c r="C35">
        <v>121712.11686711974</v>
      </c>
      <c r="D35">
        <v>-673.12940881148916</v>
      </c>
      <c r="E35">
        <v>-7.4605044899217722E-3</v>
      </c>
      <c r="F35">
        <v>113665.55834398951</v>
      </c>
      <c r="G35">
        <v>-746.05044899217717</v>
      </c>
      <c r="H35">
        <v>114243.67006679717</v>
      </c>
      <c r="I35">
        <v>-852.3154134784819</v>
      </c>
    </row>
    <row r="36" spans="1:9" x14ac:dyDescent="0.3">
      <c r="A36">
        <v>119474.50789499734</v>
      </c>
      <c r="B36">
        <v>-666.15575075163326</v>
      </c>
      <c r="C36">
        <v>121032.98745830824</v>
      </c>
      <c r="D36">
        <v>-806.26820626002336</v>
      </c>
      <c r="E36">
        <v>-8.5915575075163324E-3</v>
      </c>
      <c r="F36">
        <v>112907.50789499734</v>
      </c>
      <c r="G36">
        <v>-859.15575075163326</v>
      </c>
      <c r="H36">
        <v>113379.35465331869</v>
      </c>
      <c r="I36">
        <v>-974.10524566907702</v>
      </c>
    </row>
    <row r="37" spans="1:9" x14ac:dyDescent="0.3">
      <c r="A37">
        <v>118802.35214424571</v>
      </c>
      <c r="B37">
        <v>-925.14221601086331</v>
      </c>
      <c r="C37">
        <v>120220.71925204822</v>
      </c>
      <c r="D37">
        <v>-1112.2126261925976</v>
      </c>
      <c r="E37">
        <v>-1.1181422160108633E-2</v>
      </c>
      <c r="F37">
        <v>112036.35214424571</v>
      </c>
      <c r="G37">
        <v>-1118.1422160108632</v>
      </c>
      <c r="H37">
        <v>112393.24940764961</v>
      </c>
      <c r="I37">
        <v>-1256.7163695733097</v>
      </c>
    </row>
    <row r="38" spans="1:9" x14ac:dyDescent="0.3">
      <c r="A38">
        <v>117871.20992823485</v>
      </c>
      <c r="B38">
        <v>-299.39533882550393</v>
      </c>
      <c r="C38">
        <v>119102.50662585562</v>
      </c>
      <c r="D38">
        <v>-356.58735326214872</v>
      </c>
      <c r="E38">
        <v>-4.9239533882550392E-3</v>
      </c>
      <c r="F38">
        <v>110906.20992823485</v>
      </c>
      <c r="G38">
        <v>-492.39533882550393</v>
      </c>
      <c r="H38">
        <v>111124.5330380763</v>
      </c>
      <c r="I38">
        <v>-547.17202097109487</v>
      </c>
    </row>
    <row r="39" spans="1:9" x14ac:dyDescent="0.3">
      <c r="A39">
        <v>117565.81458940935</v>
      </c>
      <c r="B39">
        <v>-200.19619226842306</v>
      </c>
      <c r="C39">
        <v>118739.91927259347</v>
      </c>
      <c r="D39">
        <v>-237.71279708633156</v>
      </c>
      <c r="E39">
        <v>-3.9319619226842305E-3</v>
      </c>
      <c r="F39">
        <v>110401.81458940935</v>
      </c>
      <c r="G39">
        <v>-393.19619226842303</v>
      </c>
      <c r="H39">
        <v>110565.36101710521</v>
      </c>
      <c r="I39">
        <v>-434.73878948709307</v>
      </c>
    </row>
    <row r="40" spans="1:9" x14ac:dyDescent="0.3">
      <c r="A40">
        <v>117359.61839714092</v>
      </c>
      <c r="B40">
        <v>-1024.8699127475629</v>
      </c>
      <c r="C40">
        <v>118496.20647550713</v>
      </c>
      <c r="D40">
        <v>-1214.431967914702</v>
      </c>
      <c r="E40">
        <v>-1.2178699127475628E-2</v>
      </c>
      <c r="F40">
        <v>109996.61839714092</v>
      </c>
      <c r="G40">
        <v>-1217.8699127475629</v>
      </c>
      <c r="H40">
        <v>110118.62222761812</v>
      </c>
      <c r="I40">
        <v>-1341.1015684423112</v>
      </c>
    </row>
    <row r="41" spans="1:9" x14ac:dyDescent="0.3">
      <c r="A41">
        <v>116328.74848439335</v>
      </c>
      <c r="B41">
        <v>216.97639377197069</v>
      </c>
      <c r="C41">
        <v>117275.77450759243</v>
      </c>
      <c r="D41">
        <v>254.46074629472218</v>
      </c>
      <c r="E41">
        <v>2.3976393771970683E-4</v>
      </c>
      <c r="F41">
        <v>108766.74848439335</v>
      </c>
      <c r="G41">
        <v>23.976393771970685</v>
      </c>
      <c r="H41">
        <v>108765.5206591758</v>
      </c>
      <c r="I41">
        <v>26.078049521378112</v>
      </c>
    </row>
    <row r="42" spans="1:9" x14ac:dyDescent="0.3">
      <c r="A42">
        <v>116539.72487816532</v>
      </c>
      <c r="B42">
        <v>1841.1509185828734</v>
      </c>
      <c r="C42">
        <v>117524.23525388715</v>
      </c>
      <c r="D42">
        <v>2163.7985369344406</v>
      </c>
      <c r="E42">
        <v>1.6481509185828733E-2</v>
      </c>
      <c r="F42">
        <v>108778.72487816532</v>
      </c>
      <c r="G42">
        <v>1648.1509185828734</v>
      </c>
      <c r="H42">
        <v>108779.59870869719</v>
      </c>
      <c r="I42">
        <v>1792.851955348156</v>
      </c>
    </row>
    <row r="43" spans="1:9" x14ac:dyDescent="0.3">
      <c r="A43">
        <v>118374.87579674819</v>
      </c>
      <c r="B43">
        <v>-1852.1523917718171</v>
      </c>
      <c r="C43">
        <v>119682.03379082159</v>
      </c>
      <c r="D43">
        <v>-2216.6936513778564</v>
      </c>
      <c r="E43">
        <v>-2.0451523917718172E-2</v>
      </c>
      <c r="F43">
        <v>110414.87579674819</v>
      </c>
      <c r="G43">
        <v>-2045.1523917718171</v>
      </c>
      <c r="H43">
        <v>110560.45066404535</v>
      </c>
      <c r="I43">
        <v>-2261.1297011094234</v>
      </c>
    </row>
    <row r="44" spans="1:9" x14ac:dyDescent="0.3">
      <c r="A44">
        <v>116516.72340497638</v>
      </c>
      <c r="B44">
        <v>1238.7766832497573</v>
      </c>
      <c r="C44">
        <v>117459.34013944372</v>
      </c>
      <c r="D44">
        <v>1455.0589179464516</v>
      </c>
      <c r="E44">
        <v>1.0457766832497573E-2</v>
      </c>
      <c r="F44">
        <v>108357.72340497638</v>
      </c>
      <c r="G44">
        <v>1045.7766832497573</v>
      </c>
      <c r="H44">
        <v>108287.32096293592</v>
      </c>
      <c r="I44">
        <v>1132.4435535462103</v>
      </c>
    </row>
    <row r="45" spans="1:9" x14ac:dyDescent="0.3">
      <c r="A45">
        <v>117749.50008822614</v>
      </c>
      <c r="B45">
        <v>-183.28588698669049</v>
      </c>
      <c r="C45">
        <v>118908.39905739018</v>
      </c>
      <c r="D45">
        <v>-217.94231391401112</v>
      </c>
      <c r="E45">
        <v>-3.7628588698669051E-3</v>
      </c>
      <c r="F45">
        <v>109391.50008822614</v>
      </c>
      <c r="G45">
        <v>-376.28588698669051</v>
      </c>
      <c r="H45">
        <v>109407.76451648213</v>
      </c>
      <c r="I45">
        <v>-411.68597714315445</v>
      </c>
    </row>
    <row r="46" spans="1:9" x14ac:dyDescent="0.3">
      <c r="A46">
        <v>117560.21420123945</v>
      </c>
      <c r="B46">
        <v>763.12040127252283</v>
      </c>
      <c r="C46">
        <v>118684.45674347617</v>
      </c>
      <c r="D46">
        <v>905.70530254892913</v>
      </c>
      <c r="E46">
        <v>5.7012040127252276E-3</v>
      </c>
      <c r="F46">
        <v>109003.21420123945</v>
      </c>
      <c r="G46">
        <v>570.12040127252271</v>
      </c>
      <c r="H46">
        <v>108984.07853933898</v>
      </c>
      <c r="I46">
        <v>621.34046589164075</v>
      </c>
    </row>
    <row r="47" spans="1:9" x14ac:dyDescent="0.3">
      <c r="A47">
        <v>118317.33460251197</v>
      </c>
      <c r="B47">
        <v>125.93962769097296</v>
      </c>
      <c r="C47">
        <v>119584.1620460251</v>
      </c>
      <c r="D47">
        <v>150.6038484581338</v>
      </c>
      <c r="E47">
        <v>-6.7060372309027047E-4</v>
      </c>
      <c r="F47">
        <v>109561.33460251197</v>
      </c>
      <c r="G47">
        <v>-67.060372309027045</v>
      </c>
      <c r="H47">
        <v>109593.41900523062</v>
      </c>
      <c r="I47">
        <v>-73.493754811099663</v>
      </c>
    </row>
    <row r="48" spans="1:9" x14ac:dyDescent="0.3">
      <c r="A48">
        <v>118437.27423020294</v>
      </c>
      <c r="B48">
        <v>-1416.4029226741686</v>
      </c>
      <c r="C48">
        <v>119728.76589448324</v>
      </c>
      <c r="D48">
        <v>-1695.8417394111736</v>
      </c>
      <c r="E48">
        <v>-1.6094029226741687E-2</v>
      </c>
      <c r="F48">
        <v>109482.27423020294</v>
      </c>
      <c r="G48">
        <v>-1609.4029226741686</v>
      </c>
      <c r="H48">
        <v>109507.92525041952</v>
      </c>
      <c r="I48">
        <v>-1762.4237495400957</v>
      </c>
    </row>
    <row r="49" spans="1:9" x14ac:dyDescent="0.3">
      <c r="A49">
        <v>117014.87130752877</v>
      </c>
      <c r="B49">
        <v>-955.94678562893557</v>
      </c>
      <c r="C49">
        <v>118026.92415507206</v>
      </c>
      <c r="D49">
        <v>-1128.2745876371132</v>
      </c>
      <c r="E49">
        <v>-1.1489467856289355E-2</v>
      </c>
      <c r="F49">
        <v>107860.87130752877</v>
      </c>
      <c r="G49">
        <v>-1148.9467856289355</v>
      </c>
      <c r="H49">
        <v>107733.50150087941</v>
      </c>
      <c r="I49">
        <v>-1237.8006025398549</v>
      </c>
    </row>
    <row r="50" spans="1:9" x14ac:dyDescent="0.3">
      <c r="A50">
        <v>116052.92452189983</v>
      </c>
      <c r="B50">
        <v>2622.5930939728887</v>
      </c>
      <c r="C50">
        <v>116892.64956743494</v>
      </c>
      <c r="D50">
        <v>3065.6185549174784</v>
      </c>
      <c r="E50">
        <v>2.4295930939728885E-2</v>
      </c>
      <c r="F50">
        <v>106699.92452189983</v>
      </c>
      <c r="G50">
        <v>2429.5930939728887</v>
      </c>
      <c r="H50">
        <v>106483.70089833956</v>
      </c>
      <c r="I50">
        <v>2587.1206432328049</v>
      </c>
    </row>
    <row r="51" spans="1:9" x14ac:dyDescent="0.3">
      <c r="A51">
        <v>118669.51761587271</v>
      </c>
      <c r="B51">
        <v>1387.4294609846265</v>
      </c>
      <c r="C51">
        <v>119952.26812235243</v>
      </c>
      <c r="D51">
        <v>1664.2531070487883</v>
      </c>
      <c r="E51">
        <v>1.1944294609846267E-2</v>
      </c>
      <c r="F51">
        <v>109117.51761587271</v>
      </c>
      <c r="G51">
        <v>1194.4294609846268</v>
      </c>
      <c r="H51">
        <v>109058.82154157237</v>
      </c>
      <c r="I51">
        <v>1302.6306942951887</v>
      </c>
    </row>
    <row r="52" spans="1:9" x14ac:dyDescent="0.3">
      <c r="A52">
        <v>120050.94707685734</v>
      </c>
      <c r="B52">
        <v>2065.5270655270688</v>
      </c>
      <c r="C52">
        <v>121610.52122940122</v>
      </c>
      <c r="D52">
        <v>2511.8982305218242</v>
      </c>
      <c r="E52">
        <v>1.8725270655270687E-2</v>
      </c>
      <c r="F52">
        <v>110299.94707685734</v>
      </c>
      <c r="G52">
        <v>1872.5270655270688</v>
      </c>
      <c r="H52">
        <v>110349.45223586756</v>
      </c>
      <c r="I52">
        <v>2066.3233597774852</v>
      </c>
    </row>
    <row r="53" spans="1:9" x14ac:dyDescent="0.3">
      <c r="A53">
        <v>122110.47414238441</v>
      </c>
      <c r="B53">
        <v>4160.6913729337975</v>
      </c>
      <c r="C53">
        <v>124116.41945992304</v>
      </c>
      <c r="D53">
        <v>5164.101156863343</v>
      </c>
      <c r="E53">
        <v>3.9676913729337973E-2</v>
      </c>
      <c r="F53">
        <v>112160.47414238441</v>
      </c>
      <c r="G53">
        <v>3967.6913729337975</v>
      </c>
      <c r="H53">
        <v>112403.77559564504</v>
      </c>
      <c r="I53">
        <v>4459.8349071602734</v>
      </c>
    </row>
    <row r="54" spans="1:9" x14ac:dyDescent="0.3">
      <c r="A54">
        <v>126265.16551531821</v>
      </c>
      <c r="B54">
        <v>-418.74090182054186</v>
      </c>
      <c r="C54">
        <v>129274.52061678638</v>
      </c>
      <c r="D54">
        <v>-541.32529345491355</v>
      </c>
      <c r="E54">
        <v>-6.1174090182054188E-3</v>
      </c>
      <c r="F54">
        <v>116116.16551531821</v>
      </c>
      <c r="G54">
        <v>-611.74090182054192</v>
      </c>
      <c r="H54">
        <v>116851.61050280531</v>
      </c>
      <c r="I54">
        <v>-714.8290958816882</v>
      </c>
    </row>
    <row r="55" spans="1:9" x14ac:dyDescent="0.3">
      <c r="A55">
        <v>125840.42461349767</v>
      </c>
      <c r="B55">
        <v>1832.8432522143996</v>
      </c>
      <c r="C55">
        <v>128727.19532333147</v>
      </c>
      <c r="D55">
        <v>2359.3677132485313</v>
      </c>
      <c r="E55">
        <v>1.6398432522143996E-2</v>
      </c>
      <c r="F55">
        <v>115492.42461349767</v>
      </c>
      <c r="G55">
        <v>1639.8432522143996</v>
      </c>
      <c r="H55">
        <v>116124.78140692362</v>
      </c>
      <c r="I55">
        <v>1904.2643920501587</v>
      </c>
    </row>
    <row r="56" spans="1:9" x14ac:dyDescent="0.3">
      <c r="A56">
        <v>127667.26786571207</v>
      </c>
      <c r="B56">
        <v>-436.75274335316504</v>
      </c>
      <c r="C56">
        <v>131080.56303657999</v>
      </c>
      <c r="D56">
        <v>-572.4979550650379</v>
      </c>
      <c r="E56">
        <v>-6.2975274335316505E-3</v>
      </c>
      <c r="F56">
        <v>117120.26786571207</v>
      </c>
      <c r="G56">
        <v>-629.7527433531651</v>
      </c>
      <c r="H56">
        <v>118017.04579897378</v>
      </c>
      <c r="I56">
        <v>-743.21558354339857</v>
      </c>
    </row>
    <row r="57" spans="1:9" x14ac:dyDescent="0.3">
      <c r="A57">
        <v>127224.51512235891</v>
      </c>
      <c r="B57">
        <v>-491.67443475718858</v>
      </c>
      <c r="C57">
        <v>130502.06508151496</v>
      </c>
      <c r="D57">
        <v>-641.64529083599712</v>
      </c>
      <c r="E57">
        <v>-6.8467443475718863E-3</v>
      </c>
      <c r="F57">
        <v>116478.51512235891</v>
      </c>
      <c r="G57">
        <v>-684.67443475718858</v>
      </c>
      <c r="H57">
        <v>117261.83021543038</v>
      </c>
      <c r="I57">
        <v>-802.86177321343223</v>
      </c>
    </row>
    <row r="58" spans="1:9" x14ac:dyDescent="0.3">
      <c r="A58">
        <v>126726.84068760171</v>
      </c>
      <c r="B58">
        <v>-57.594355753145202</v>
      </c>
      <c r="C58">
        <v>129854.41979067896</v>
      </c>
      <c r="D58">
        <v>-74.788816495426232</v>
      </c>
      <c r="E58">
        <v>-2.5059435575314521E-3</v>
      </c>
      <c r="F58">
        <v>115781.84068760171</v>
      </c>
      <c r="G58">
        <v>-250.59435575314521</v>
      </c>
      <c r="H58">
        <v>116446.96844221695</v>
      </c>
      <c r="I58">
        <v>-291.80953036184189</v>
      </c>
    </row>
    <row r="59" spans="1:9" x14ac:dyDescent="0.3">
      <c r="A59">
        <v>126663.24633184857</v>
      </c>
      <c r="B59">
        <v>1121.1247296323049</v>
      </c>
      <c r="C59">
        <v>129773.63097418354</v>
      </c>
      <c r="D59">
        <v>1454.9242693933404</v>
      </c>
      <c r="E59">
        <v>9.2812472963230506E-3</v>
      </c>
      <c r="F59">
        <v>115519.24633184857</v>
      </c>
      <c r="G59">
        <v>928.12472963230505</v>
      </c>
      <c r="H59">
        <v>116143.15891185511</v>
      </c>
      <c r="I59">
        <v>1077.9533796370736</v>
      </c>
    </row>
    <row r="60" spans="1:9" x14ac:dyDescent="0.3">
      <c r="A60">
        <v>127778.37106148087</v>
      </c>
      <c r="B60">
        <v>1500.5702879954304</v>
      </c>
      <c r="C60">
        <v>131222.55524357688</v>
      </c>
      <c r="D60">
        <v>1969.0866751335043</v>
      </c>
      <c r="E60">
        <v>1.3075702879954304E-2</v>
      </c>
      <c r="F60">
        <v>116435.37106148087</v>
      </c>
      <c r="G60">
        <v>1307.5702879954304</v>
      </c>
      <c r="H60">
        <v>117209.11229149217</v>
      </c>
      <c r="I60">
        <v>1532.5915271467516</v>
      </c>
    </row>
    <row r="61" spans="1:9" x14ac:dyDescent="0.3">
      <c r="A61">
        <v>129272.9413494763</v>
      </c>
      <c r="B61">
        <v>-175.8520667149746</v>
      </c>
      <c r="C61">
        <v>133185.64191871037</v>
      </c>
      <c r="D61">
        <v>-234.20970388165773</v>
      </c>
      <c r="E61">
        <v>-3.6885206671497459E-3</v>
      </c>
      <c r="F61">
        <v>117730.9413494763</v>
      </c>
      <c r="G61">
        <v>-368.85206671497457</v>
      </c>
      <c r="H61">
        <v>118729.70381863893</v>
      </c>
      <c r="I61">
        <v>-437.93696633961775</v>
      </c>
    </row>
    <row r="62" spans="1:9" x14ac:dyDescent="0.3">
      <c r="A62">
        <v>129091.08928276133</v>
      </c>
      <c r="B62">
        <v>469.18090326277797</v>
      </c>
      <c r="C62">
        <v>132945.4322148287</v>
      </c>
      <c r="D62">
        <v>623.75457971213757</v>
      </c>
      <c r="E62">
        <v>2.7618090326277794E-3</v>
      </c>
      <c r="F62">
        <v>117350.08928276133</v>
      </c>
      <c r="G62">
        <v>276.18090326277792</v>
      </c>
      <c r="H62">
        <v>118279.7668522993</v>
      </c>
      <c r="I62">
        <v>326.66612846978802</v>
      </c>
    </row>
    <row r="63" spans="1:9" x14ac:dyDescent="0.3">
      <c r="A63">
        <v>129554.27018602411</v>
      </c>
      <c r="B63">
        <v>-14.081284213127441</v>
      </c>
      <c r="C63">
        <v>133563.18679454084</v>
      </c>
      <c r="D63">
        <v>-18.807411936649597</v>
      </c>
      <c r="E63">
        <v>-2.0708128421312744E-3</v>
      </c>
      <c r="F63">
        <v>117614.27018602411</v>
      </c>
      <c r="G63">
        <v>-207.08128421312745</v>
      </c>
      <c r="H63">
        <v>118594.4329807691</v>
      </c>
      <c r="I63">
        <v>-245.5868748218534</v>
      </c>
    </row>
    <row r="64" spans="1:9" x14ac:dyDescent="0.3">
      <c r="A64">
        <v>129534.18890181098</v>
      </c>
      <c r="B64">
        <v>-1611.0552940969078</v>
      </c>
      <c r="C64">
        <v>133538.37938260421</v>
      </c>
      <c r="D64">
        <v>-2151.3771306946587</v>
      </c>
      <c r="E64">
        <v>-1.8040552940969078E-2</v>
      </c>
      <c r="F64">
        <v>117395.18890181098</v>
      </c>
      <c r="G64">
        <v>-1804.0552940969078</v>
      </c>
      <c r="H64">
        <v>118336.84610594725</v>
      </c>
      <c r="I64">
        <v>-2134.8621370416517</v>
      </c>
    </row>
    <row r="65" spans="1:9" x14ac:dyDescent="0.3">
      <c r="A65">
        <v>127917.13360771407</v>
      </c>
      <c r="B65">
        <v>-274.10174936276582</v>
      </c>
      <c r="C65">
        <v>131381.00225190955</v>
      </c>
      <c r="D65">
        <v>-360.11762550281884</v>
      </c>
      <c r="E65">
        <v>-4.6710174936276582E-3</v>
      </c>
      <c r="F65">
        <v>115579.13360771407</v>
      </c>
      <c r="G65">
        <v>-467.10174936276582</v>
      </c>
      <c r="H65">
        <v>116189.9839689056</v>
      </c>
      <c r="I65">
        <v>-542.72544770307525</v>
      </c>
    </row>
    <row r="66" spans="1:9" x14ac:dyDescent="0.3">
      <c r="A66">
        <v>127637.03185835131</v>
      </c>
      <c r="B66">
        <v>-134.16270276864697</v>
      </c>
      <c r="C66">
        <v>131014.88462640673</v>
      </c>
      <c r="D66">
        <v>-175.7731102440118</v>
      </c>
      <c r="E66">
        <v>-3.2716270276864695E-3</v>
      </c>
      <c r="F66">
        <v>115100.03185835131</v>
      </c>
      <c r="G66">
        <v>-327.16270276864697</v>
      </c>
      <c r="H66">
        <v>115635.25852120252</v>
      </c>
      <c r="I66">
        <v>-378.31543713147829</v>
      </c>
    </row>
    <row r="67" spans="1:9" x14ac:dyDescent="0.3">
      <c r="A67">
        <v>127496.86915558267</v>
      </c>
      <c r="B67">
        <v>529.93336481451854</v>
      </c>
      <c r="C67">
        <v>130833.11151616271</v>
      </c>
      <c r="D67">
        <v>693.32831014913245</v>
      </c>
      <c r="E67">
        <v>3.3693336481451855E-3</v>
      </c>
      <c r="F67">
        <v>114760.86915558267</v>
      </c>
      <c r="G67">
        <v>336.93336481451854</v>
      </c>
      <c r="H67">
        <v>115244.94308407104</v>
      </c>
      <c r="I67">
        <v>388.29866451173734</v>
      </c>
    </row>
    <row r="68" spans="1:9" x14ac:dyDescent="0.3">
      <c r="A68">
        <v>128020.80252039719</v>
      </c>
      <c r="B68">
        <v>-3153.1451826948687</v>
      </c>
      <c r="C68">
        <v>131520.43982631183</v>
      </c>
      <c r="D68">
        <v>-4147.0304126424553</v>
      </c>
      <c r="E68">
        <v>-3.3461451826948686E-2</v>
      </c>
      <c r="F68">
        <v>115085.80252039719</v>
      </c>
      <c r="G68">
        <v>-3346.1451826948687</v>
      </c>
      <c r="H68">
        <v>115621.24174858278</v>
      </c>
      <c r="I68">
        <v>-3868.8546109421909</v>
      </c>
    </row>
    <row r="69" spans="1:9" x14ac:dyDescent="0.3">
      <c r="A69">
        <v>124861.65733770232</v>
      </c>
      <c r="B69">
        <v>-77.826395254307556</v>
      </c>
      <c r="C69">
        <v>127367.40941366937</v>
      </c>
      <c r="D69">
        <v>-99.125463475454467</v>
      </c>
      <c r="E69">
        <v>-2.7082639525430755E-3</v>
      </c>
      <c r="F69">
        <v>111727.65733770232</v>
      </c>
      <c r="G69">
        <v>-270.82639525430756</v>
      </c>
      <c r="H69">
        <v>111740.38713764059</v>
      </c>
      <c r="I69">
        <v>-302.62246252807995</v>
      </c>
    </row>
    <row r="70" spans="1:9" x14ac:dyDescent="0.3">
      <c r="A70">
        <v>124777.83094244801</v>
      </c>
      <c r="B70">
        <v>981.73036539269447</v>
      </c>
      <c r="C70">
        <v>127262.28395019392</v>
      </c>
      <c r="D70">
        <v>1249.3724852313271</v>
      </c>
      <c r="E70">
        <v>7.8873036539269456E-3</v>
      </c>
      <c r="F70">
        <v>111444.83094244801</v>
      </c>
      <c r="G70">
        <v>788.73036539269458</v>
      </c>
      <c r="H70">
        <v>111425.76467511251</v>
      </c>
      <c r="I70">
        <v>878.84884086361888</v>
      </c>
    </row>
    <row r="71" spans="1:9" x14ac:dyDescent="0.3">
      <c r="A71">
        <v>125753.5613078407</v>
      </c>
      <c r="B71">
        <v>396.88114638945359</v>
      </c>
      <c r="C71">
        <v>128505.65643542525</v>
      </c>
      <c r="D71">
        <v>510.01472243620833</v>
      </c>
      <c r="E71">
        <v>2.0388114638945354E-3</v>
      </c>
      <c r="F71">
        <v>112221.5613078407</v>
      </c>
      <c r="G71">
        <v>203.88114638945353</v>
      </c>
      <c r="H71">
        <v>112292.61351597613</v>
      </c>
      <c r="I71">
        <v>228.94346774705059</v>
      </c>
    </row>
    <row r="72" spans="1:9" x14ac:dyDescent="0.3">
      <c r="A72">
        <v>126144.44245423016</v>
      </c>
      <c r="B72">
        <v>-2218.8122828368214</v>
      </c>
      <c r="C72">
        <v>129009.67115786146</v>
      </c>
      <c r="D72">
        <v>-2862.4824296980223</v>
      </c>
      <c r="E72">
        <v>-2.4118122828368217E-2</v>
      </c>
      <c r="F72">
        <v>112413.44245423016</v>
      </c>
      <c r="G72">
        <v>-2411.8122828368219</v>
      </c>
      <c r="H72">
        <v>112509.55698372319</v>
      </c>
      <c r="I72">
        <v>-2713.519314698729</v>
      </c>
    </row>
    <row r="73" spans="1:9" x14ac:dyDescent="0.3">
      <c r="A73">
        <v>123919.63017139334</v>
      </c>
      <c r="B73">
        <v>277.02761564600735</v>
      </c>
      <c r="C73">
        <v>126141.18872816344</v>
      </c>
      <c r="D73">
        <v>349.44592748116139</v>
      </c>
      <c r="E73">
        <v>8.4027615646007346E-4</v>
      </c>
      <c r="F73">
        <v>109989.63017139334</v>
      </c>
      <c r="G73">
        <v>84.027615646007348</v>
      </c>
      <c r="H73">
        <v>109784.03766902446</v>
      </c>
      <c r="I73">
        <v>92.248909213195802</v>
      </c>
    </row>
    <row r="74" spans="1:9" x14ac:dyDescent="0.3">
      <c r="A74">
        <v>124190.65778703934</v>
      </c>
      <c r="B74">
        <v>429.31774685770603</v>
      </c>
      <c r="C74">
        <v>126484.63465564461</v>
      </c>
      <c r="D74">
        <v>543.02098362481468</v>
      </c>
      <c r="E74">
        <v>2.3631774685770601E-3</v>
      </c>
      <c r="F74">
        <v>110061.65778703934</v>
      </c>
      <c r="G74">
        <v>236.31774685770603</v>
      </c>
      <c r="H74">
        <v>109864.28657823766</v>
      </c>
      <c r="I74">
        <v>259.62880664298439</v>
      </c>
    </row>
    <row r="75" spans="1:9" x14ac:dyDescent="0.3">
      <c r="A75">
        <v>124613.97553389704</v>
      </c>
      <c r="B75">
        <v>1068.8489714687696</v>
      </c>
      <c r="C75">
        <v>127021.65563926942</v>
      </c>
      <c r="D75">
        <v>1357.6696598429337</v>
      </c>
      <c r="E75">
        <v>8.7584897146876974E-3</v>
      </c>
      <c r="F75">
        <v>110285.97553389704</v>
      </c>
      <c r="G75">
        <v>875.84897146876972</v>
      </c>
      <c r="H75">
        <v>110111.91538488065</v>
      </c>
      <c r="I75">
        <v>964.41407836303915</v>
      </c>
    </row>
    <row r="76" spans="1:9" x14ac:dyDescent="0.3">
      <c r="A76">
        <v>125676.82450536582</v>
      </c>
      <c r="B76">
        <v>-895.62159987405403</v>
      </c>
      <c r="C76">
        <v>128373.32529911236</v>
      </c>
      <c r="D76">
        <v>-1149.7392298554339</v>
      </c>
      <c r="E76">
        <v>-1.0886215998740539E-2</v>
      </c>
      <c r="F76">
        <v>111149.82450536582</v>
      </c>
      <c r="G76">
        <v>-1088.621599874054</v>
      </c>
      <c r="H76">
        <v>111064.32946324369</v>
      </c>
      <c r="I76">
        <v>-1209.0702802921537</v>
      </c>
    </row>
    <row r="77" spans="1:9" x14ac:dyDescent="0.3">
      <c r="A77">
        <v>124775.20290549177</v>
      </c>
      <c r="B77">
        <v>-327.82861750990583</v>
      </c>
      <c r="C77">
        <v>127217.58606925693</v>
      </c>
      <c r="D77">
        <v>-417.05565364031952</v>
      </c>
      <c r="E77">
        <v>-5.208286175099058E-3</v>
      </c>
      <c r="F77">
        <v>110049.20290549177</v>
      </c>
      <c r="G77">
        <v>-520.82861750990583</v>
      </c>
      <c r="H77">
        <v>109843.25918295153</v>
      </c>
      <c r="I77">
        <v>-572.09512823038915</v>
      </c>
    </row>
    <row r="78" spans="1:9" x14ac:dyDescent="0.3">
      <c r="A78">
        <v>124441.37428798186</v>
      </c>
      <c r="B78">
        <v>-322.97700544144601</v>
      </c>
      <c r="C78">
        <v>126794.53041561661</v>
      </c>
      <c r="D78">
        <v>-409.51717739990198</v>
      </c>
      <c r="E78">
        <v>-5.1597700544144601E-3</v>
      </c>
      <c r="F78">
        <v>109516.37428798186</v>
      </c>
      <c r="G78">
        <v>-515.97700544144595</v>
      </c>
      <c r="H78">
        <v>109259.16405472114</v>
      </c>
      <c r="I78">
        <v>-563.75216285990689</v>
      </c>
    </row>
    <row r="79" spans="1:9" x14ac:dyDescent="0.3">
      <c r="A79">
        <v>124112.39728254042</v>
      </c>
      <c r="B79">
        <v>60.287963685373398</v>
      </c>
      <c r="C79">
        <v>126379.01323821671</v>
      </c>
      <c r="D79">
        <v>76.191333606989332</v>
      </c>
      <c r="E79">
        <v>-1.3271203631462661E-3</v>
      </c>
      <c r="F79">
        <v>108988.39728254042</v>
      </c>
      <c r="G79">
        <v>-132.7120363146266</v>
      </c>
      <c r="H79">
        <v>108683.41189186124</v>
      </c>
      <c r="I79">
        <v>-144.23596905790211</v>
      </c>
    </row>
    <row r="80" spans="1:9" x14ac:dyDescent="0.3">
      <c r="A80">
        <v>124166.6852462258</v>
      </c>
      <c r="B80">
        <v>1222.874740385291</v>
      </c>
      <c r="C80">
        <v>126449.20457182369</v>
      </c>
      <c r="D80">
        <v>1546.3153821269545</v>
      </c>
      <c r="E80">
        <v>1.0298747403852912E-2</v>
      </c>
      <c r="F80">
        <v>108843.6852462258</v>
      </c>
      <c r="G80">
        <v>1029.8747403852913</v>
      </c>
      <c r="H80">
        <v>108527.17592280333</v>
      </c>
      <c r="I80">
        <v>1117.693971282459</v>
      </c>
    </row>
    <row r="81" spans="1:9" x14ac:dyDescent="0.3">
      <c r="A81">
        <v>125383.55998661109</v>
      </c>
      <c r="B81">
        <v>389.50527771219532</v>
      </c>
      <c r="C81">
        <v>127989.51995395064</v>
      </c>
      <c r="D81">
        <v>498.5259351391411</v>
      </c>
      <c r="E81">
        <v>1.9650527771219528E-3</v>
      </c>
      <c r="F81">
        <v>109861.55998661109</v>
      </c>
      <c r="G81">
        <v>196.50527771219529</v>
      </c>
      <c r="H81">
        <v>109632.86989408579</v>
      </c>
      <c r="I81">
        <v>215.43437544922301</v>
      </c>
    </row>
    <row r="82" spans="1:9" x14ac:dyDescent="0.3">
      <c r="A82">
        <v>125767.06526432328</v>
      </c>
      <c r="B82">
        <v>-2887.830580605902</v>
      </c>
      <c r="C82">
        <v>128482.04588908979</v>
      </c>
      <c r="D82">
        <v>-3710.343811773243</v>
      </c>
      <c r="E82">
        <v>-3.0808305806059023E-2</v>
      </c>
      <c r="F82">
        <v>110046.06526432328</v>
      </c>
      <c r="G82">
        <v>-3080.8305806059025</v>
      </c>
      <c r="H82">
        <v>109836.30426953502</v>
      </c>
      <c r="I82">
        <v>-3383.8704505431811</v>
      </c>
    </row>
    <row r="83" spans="1:9" x14ac:dyDescent="0.3">
      <c r="A83">
        <v>122873.23468371737</v>
      </c>
      <c r="B83">
        <v>-1145.3773491755319</v>
      </c>
      <c r="C83">
        <v>124765.70207731654</v>
      </c>
      <c r="D83">
        <v>-1429.0380911334098</v>
      </c>
      <c r="E83">
        <v>-1.3383773491755319E-2</v>
      </c>
      <c r="F83">
        <v>106953.23468371737</v>
      </c>
      <c r="G83">
        <v>-1338.3773491755319</v>
      </c>
      <c r="H83">
        <v>106440.43381899183</v>
      </c>
      <c r="I83">
        <v>-1424.5746565975592</v>
      </c>
    </row>
    <row r="84" spans="1:9" x14ac:dyDescent="0.3">
      <c r="A84">
        <v>121721.85733454184</v>
      </c>
      <c r="B84">
        <v>378.24442415547963</v>
      </c>
      <c r="C84">
        <v>123330.66398618314</v>
      </c>
      <c r="D84">
        <v>466.4913598016679</v>
      </c>
      <c r="E84">
        <v>1.8524442415547963E-3</v>
      </c>
      <c r="F84">
        <v>105602.85733454184</v>
      </c>
      <c r="G84">
        <v>185.24442415547963</v>
      </c>
      <c r="H84">
        <v>105003.85916239428</v>
      </c>
      <c r="I84">
        <v>194.51379424640811</v>
      </c>
    </row>
    <row r="85" spans="1:9" x14ac:dyDescent="0.3">
      <c r="A85">
        <v>122094.10175869732</v>
      </c>
      <c r="B85">
        <v>790.78981553650374</v>
      </c>
      <c r="C85">
        <v>123791.15534598481</v>
      </c>
      <c r="D85">
        <v>978.92784901101993</v>
      </c>
      <c r="E85">
        <v>5.9778981553650365E-3</v>
      </c>
      <c r="F85">
        <v>105776.10175869732</v>
      </c>
      <c r="G85">
        <v>597.78981553650362</v>
      </c>
      <c r="H85">
        <v>105186.37295664068</v>
      </c>
      <c r="I85">
        <v>628.79342486704115</v>
      </c>
    </row>
    <row r="86" spans="1:9" x14ac:dyDescent="0.3">
      <c r="A86">
        <v>122878.89157423383</v>
      </c>
      <c r="B86">
        <v>837.40632127728679</v>
      </c>
      <c r="C86">
        <v>124764.08319499582</v>
      </c>
      <c r="D86">
        <v>1044.7823193585482</v>
      </c>
      <c r="E86">
        <v>6.4440632127728678E-3</v>
      </c>
      <c r="F86">
        <v>106361.89157423381</v>
      </c>
      <c r="G86">
        <v>644.40632127728679</v>
      </c>
      <c r="H86">
        <v>105803.16638150772</v>
      </c>
      <c r="I86">
        <v>681.80229227396092</v>
      </c>
    </row>
    <row r="87" spans="1:9" x14ac:dyDescent="0.3">
      <c r="A87">
        <v>123710.29789551112</v>
      </c>
      <c r="B87">
        <v>264.39051458228005</v>
      </c>
      <c r="C87">
        <v>125802.86551435437</v>
      </c>
      <c r="D87">
        <v>332.61084349265525</v>
      </c>
      <c r="E87">
        <v>7.1390514582280015E-4</v>
      </c>
      <c r="F87">
        <v>106994.2978955111</v>
      </c>
      <c r="G87">
        <v>71.390514582280019</v>
      </c>
      <c r="H87">
        <v>106472.96867378168</v>
      </c>
      <c r="I87">
        <v>76.011600227242539</v>
      </c>
    </row>
    <row r="88" spans="1:9" x14ac:dyDescent="0.3">
      <c r="A88">
        <v>123968.6884100934</v>
      </c>
      <c r="B88">
        <v>-1707.400919999337</v>
      </c>
      <c r="C88">
        <v>126129.47635784703</v>
      </c>
      <c r="D88">
        <v>-2153.5358397242267</v>
      </c>
      <c r="E88">
        <v>-1.9004009199993371E-2</v>
      </c>
      <c r="F88">
        <v>107053.68841009338</v>
      </c>
      <c r="G88">
        <v>-1900.4009199993372</v>
      </c>
      <c r="H88">
        <v>106536.98027400892</v>
      </c>
      <c r="I88">
        <v>-2024.6297532667779</v>
      </c>
    </row>
    <row r="89" spans="1:9" x14ac:dyDescent="0.3">
      <c r="A89">
        <v>122255.28749009407</v>
      </c>
      <c r="B89">
        <v>466.06137818703513</v>
      </c>
      <c r="C89">
        <v>123969.94051812281</v>
      </c>
      <c r="D89">
        <v>577.77601331641085</v>
      </c>
      <c r="E89">
        <v>2.7306137818703512E-3</v>
      </c>
      <c r="F89">
        <v>105141.28749009405</v>
      </c>
      <c r="G89">
        <v>273.06137818703513</v>
      </c>
      <c r="H89">
        <v>104500.35052074214</v>
      </c>
      <c r="I89">
        <v>285.35009734222103</v>
      </c>
    </row>
    <row r="90" spans="1:9" x14ac:dyDescent="0.3">
      <c r="A90">
        <v>122715.3488682811</v>
      </c>
      <c r="B90">
        <v>279.36136692166951</v>
      </c>
      <c r="C90">
        <v>124541.71653143922</v>
      </c>
      <c r="D90">
        <v>347.92144168993951</v>
      </c>
      <c r="E90">
        <v>8.6361366921669535E-4</v>
      </c>
      <c r="F90">
        <v>105402.34886828109</v>
      </c>
      <c r="G90">
        <v>86.361366921669529</v>
      </c>
      <c r="H90">
        <v>104773.70061808436</v>
      </c>
      <c r="I90">
        <v>90.484000028195382</v>
      </c>
    </row>
    <row r="91" spans="1:9" x14ac:dyDescent="0.3">
      <c r="A91">
        <v>122988.71023520277</v>
      </c>
      <c r="B91">
        <v>-1069.7697001083986</v>
      </c>
      <c r="C91">
        <v>124883.63797312915</v>
      </c>
      <c r="D91">
        <v>-1335.967319429602</v>
      </c>
      <c r="E91">
        <v>-1.2627697001083986E-2</v>
      </c>
      <c r="F91">
        <v>105476.71023520276</v>
      </c>
      <c r="G91">
        <v>-1262.7697001083986</v>
      </c>
      <c r="H91">
        <v>104852.18461811256</v>
      </c>
      <c r="I91">
        <v>-1324.0416172592443</v>
      </c>
    </row>
    <row r="92" spans="1:9" x14ac:dyDescent="0.3">
      <c r="A92">
        <v>121912.94053509437</v>
      </c>
      <c r="B92">
        <v>40.30502845535009</v>
      </c>
      <c r="C92">
        <v>123541.67065369955</v>
      </c>
      <c r="D92">
        <v>49.793505511188492</v>
      </c>
      <c r="E92">
        <v>-1.5269497154464992E-3</v>
      </c>
      <c r="F92">
        <v>104201.94053509436</v>
      </c>
      <c r="G92">
        <v>-152.69497154464992</v>
      </c>
      <c r="H92">
        <v>103516.14300085332</v>
      </c>
      <c r="I92">
        <v>-158.0639450992721</v>
      </c>
    </row>
    <row r="93" spans="1:9" x14ac:dyDescent="0.3">
      <c r="A93">
        <v>121947.24556354972</v>
      </c>
      <c r="B93">
        <v>417.35823517089636</v>
      </c>
      <c r="C93">
        <v>123585.46415921074</v>
      </c>
      <c r="D93">
        <v>515.79411214264258</v>
      </c>
      <c r="E93">
        <v>2.2435823517089632E-3</v>
      </c>
      <c r="F93">
        <v>104037.2455635497</v>
      </c>
      <c r="G93">
        <v>224.35823517089631</v>
      </c>
      <c r="H93">
        <v>103346.07905575405</v>
      </c>
      <c r="I93">
        <v>231.86543908780908</v>
      </c>
    </row>
    <row r="94" spans="1:9" x14ac:dyDescent="0.3">
      <c r="A94">
        <v>122358.60379872061</v>
      </c>
      <c r="B94">
        <v>-142.36717789425927</v>
      </c>
      <c r="C94">
        <v>124095.25827135338</v>
      </c>
      <c r="D94">
        <v>-176.67091710151817</v>
      </c>
      <c r="E94">
        <v>-3.3536717789425926E-3</v>
      </c>
      <c r="F94">
        <v>104249.60379872059</v>
      </c>
      <c r="G94">
        <v>-335.36717789425927</v>
      </c>
      <c r="H94">
        <v>103565.94449484185</v>
      </c>
      <c r="I94">
        <v>-347.32618531188609</v>
      </c>
    </row>
    <row r="95" spans="1:9" x14ac:dyDescent="0.3">
      <c r="A95">
        <v>122210.23662082634</v>
      </c>
      <c r="B95">
        <v>-569.38238947045386</v>
      </c>
      <c r="C95">
        <v>123912.58735425185</v>
      </c>
      <c r="D95">
        <v>-705.53645073230268</v>
      </c>
      <c r="E95">
        <v>-7.6238238947045388E-3</v>
      </c>
      <c r="F95">
        <v>103902.23662082633</v>
      </c>
      <c r="G95">
        <v>-762.38238947045386</v>
      </c>
      <c r="H95">
        <v>103206.61830952996</v>
      </c>
      <c r="I95">
        <v>-786.82908275984551</v>
      </c>
    </row>
    <row r="96" spans="1:9" x14ac:dyDescent="0.3">
      <c r="A96">
        <v>121634.85423135589</v>
      </c>
      <c r="B96">
        <v>-619.9141410905371</v>
      </c>
      <c r="C96">
        <v>123201.05090351956</v>
      </c>
      <c r="D96">
        <v>-763.74073652306856</v>
      </c>
      <c r="E96">
        <v>-8.1291414109053699E-3</v>
      </c>
      <c r="F96">
        <v>103127.85423135587</v>
      </c>
      <c r="G96">
        <v>-812.91414109053699</v>
      </c>
      <c r="H96">
        <v>102407.78922677012</v>
      </c>
      <c r="I96">
        <v>-832.48740020260584</v>
      </c>
    </row>
    <row r="97" spans="1:9" x14ac:dyDescent="0.3">
      <c r="A97">
        <v>121008.94009026534</v>
      </c>
      <c r="B97">
        <v>-1255.6025302775186</v>
      </c>
      <c r="C97">
        <v>122431.31016699648</v>
      </c>
      <c r="D97">
        <v>-1537.2506283087246</v>
      </c>
      <c r="E97">
        <v>-1.4486025302775185E-2</v>
      </c>
      <c r="F97">
        <v>102302.94009026533</v>
      </c>
      <c r="G97">
        <v>-1448.6025302775186</v>
      </c>
      <c r="H97">
        <v>101563.30182656752</v>
      </c>
      <c r="I97">
        <v>-1471.2485600930502</v>
      </c>
    </row>
    <row r="98" spans="1:9" x14ac:dyDescent="0.3">
      <c r="A98">
        <v>119747.33755998782</v>
      </c>
      <c r="B98">
        <v>-433.82236945890514</v>
      </c>
      <c r="C98">
        <v>120888.05953868775</v>
      </c>
      <c r="D98">
        <v>-524.43944428362727</v>
      </c>
      <c r="E98">
        <v>-6.2682236945890519E-3</v>
      </c>
      <c r="F98">
        <v>100842.33755998781</v>
      </c>
      <c r="G98">
        <v>-626.8223694589052</v>
      </c>
      <c r="H98">
        <v>100080.05326647447</v>
      </c>
      <c r="I98">
        <v>-627.32416124064969</v>
      </c>
    </row>
    <row r="99" spans="1:9" x14ac:dyDescent="0.3">
      <c r="A99">
        <v>119307.51519052891</v>
      </c>
      <c r="B99">
        <v>-934.79968578162527</v>
      </c>
      <c r="C99">
        <v>120357.62009440413</v>
      </c>
      <c r="D99">
        <v>-1125.1026544567321</v>
      </c>
      <c r="E99">
        <v>-1.1277996857816252E-2</v>
      </c>
      <c r="F99">
        <v>100203.51519052889</v>
      </c>
      <c r="G99">
        <v>-1127.7996857816252</v>
      </c>
      <c r="H99">
        <v>99440.729105233811</v>
      </c>
      <c r="I99">
        <v>-1121.492230387784</v>
      </c>
    </row>
    <row r="100" spans="1:9" x14ac:dyDescent="0.3">
      <c r="A100">
        <v>118366.71550474728</v>
      </c>
      <c r="B100">
        <v>1467.0499640658668</v>
      </c>
      <c r="C100">
        <v>119226.51743994741</v>
      </c>
      <c r="D100">
        <v>1749.1125812597329</v>
      </c>
      <c r="E100">
        <v>1.2740499640658669E-2</v>
      </c>
      <c r="F100">
        <v>99063.715504747262</v>
      </c>
      <c r="G100">
        <v>1274.049964065867</v>
      </c>
      <c r="H100">
        <v>98307.236874846029</v>
      </c>
      <c r="I100">
        <v>1252.4833160781225</v>
      </c>
    </row>
    <row r="101" spans="1:9" x14ac:dyDescent="0.3">
      <c r="A101">
        <v>119827.76546881314</v>
      </c>
      <c r="B101">
        <v>190.8032818164364</v>
      </c>
      <c r="C101">
        <v>120969.63002120714</v>
      </c>
      <c r="D101">
        <v>230.81402408166431</v>
      </c>
      <c r="E101">
        <v>-2.1967181835636082E-5</v>
      </c>
      <c r="F101">
        <v>100325.76546881313</v>
      </c>
      <c r="G101">
        <v>-2.196718183563608</v>
      </c>
      <c r="H101">
        <v>99547.720190924156</v>
      </c>
      <c r="I101">
        <v>-2.1867828707570522</v>
      </c>
    </row>
    <row r="102" spans="1:9" x14ac:dyDescent="0.3">
      <c r="A102">
        <v>120012.56875062958</v>
      </c>
      <c r="B102">
        <v>-769.69444058051931</v>
      </c>
      <c r="C102">
        <v>121194.44404528879</v>
      </c>
      <c r="D102">
        <v>-932.82689810905606</v>
      </c>
      <c r="E102">
        <v>-9.6269444058051934E-3</v>
      </c>
      <c r="F102">
        <v>100311.56875062957</v>
      </c>
      <c r="G102">
        <v>-962.69444058051931</v>
      </c>
      <c r="H102">
        <v>99533.533408053394</v>
      </c>
      <c r="I102">
        <v>-958.20379263268399</v>
      </c>
    </row>
    <row r="103" spans="1:9" x14ac:dyDescent="0.3">
      <c r="A103">
        <v>119236.87431004905</v>
      </c>
      <c r="B103">
        <v>-2738.0346035714851</v>
      </c>
      <c r="C103">
        <v>120255.61714717974</v>
      </c>
      <c r="D103">
        <v>-3292.6404102282258</v>
      </c>
      <c r="E103">
        <v>-2.9310346035714852E-2</v>
      </c>
      <c r="F103">
        <v>99336.874310049039</v>
      </c>
      <c r="G103">
        <v>-2931.0346035714851</v>
      </c>
      <c r="H103">
        <v>98563.329615420706</v>
      </c>
      <c r="I103">
        <v>-2888.9252974602027</v>
      </c>
    </row>
    <row r="104" spans="1:9" x14ac:dyDescent="0.3">
      <c r="A104">
        <v>116492.83970647756</v>
      </c>
      <c r="B104">
        <v>1281.4399809274082</v>
      </c>
      <c r="C104">
        <v>116956.97673695152</v>
      </c>
      <c r="D104">
        <v>1498.7334603912648</v>
      </c>
      <c r="E104">
        <v>1.0884399809274083E-2</v>
      </c>
      <c r="F104">
        <v>96393.839706477549</v>
      </c>
      <c r="G104">
        <v>1088.4399809274082</v>
      </c>
      <c r="H104">
        <v>95662.404317960507</v>
      </c>
      <c r="I104">
        <v>1041.2278553131096</v>
      </c>
    </row>
    <row r="105" spans="1:9" x14ac:dyDescent="0.3">
      <c r="A105">
        <v>117768.27968740497</v>
      </c>
      <c r="B105">
        <v>1053.4077741493732</v>
      </c>
      <c r="C105">
        <v>118449.71019734278</v>
      </c>
      <c r="D105">
        <v>1247.7584556762117</v>
      </c>
      <c r="E105">
        <v>8.6040777414937326E-3</v>
      </c>
      <c r="F105">
        <v>97470.279687404953</v>
      </c>
      <c r="G105">
        <v>860.40777414937327</v>
      </c>
      <c r="H105">
        <v>96691.632173273611</v>
      </c>
      <c r="I105">
        <v>831.94232017076274</v>
      </c>
    </row>
    <row r="106" spans="1:9" x14ac:dyDescent="0.3">
      <c r="A106">
        <v>118815.68746155433</v>
      </c>
      <c r="B106">
        <v>-1996.0753050837038</v>
      </c>
      <c r="C106">
        <v>119691.46865301899</v>
      </c>
      <c r="D106">
        <v>-2389.1318480749146</v>
      </c>
      <c r="E106">
        <v>-2.1890753050837038E-2</v>
      </c>
      <c r="F106">
        <v>98318.68746155432</v>
      </c>
      <c r="G106">
        <v>-2189.0753050837038</v>
      </c>
      <c r="H106">
        <v>97511.574493444379</v>
      </c>
      <c r="I106">
        <v>-2134.6017968342908</v>
      </c>
    </row>
    <row r="107" spans="1:9" x14ac:dyDescent="0.3">
      <c r="A107">
        <v>116813.61215647063</v>
      </c>
      <c r="B107">
        <v>-357.55426895861945</v>
      </c>
      <c r="C107">
        <v>117296.33680494408</v>
      </c>
      <c r="D107">
        <v>-419.39805957815793</v>
      </c>
      <c r="E107">
        <v>-5.505542689586195E-3</v>
      </c>
      <c r="F107">
        <v>96117.612156470612</v>
      </c>
      <c r="G107">
        <v>-550.55426895861945</v>
      </c>
      <c r="H107">
        <v>95364.972696610086</v>
      </c>
      <c r="I107">
        <v>-525.0359282724088</v>
      </c>
    </row>
    <row r="108" spans="1:9" x14ac:dyDescent="0.3">
      <c r="A108">
        <v>116450.05788751201</v>
      </c>
      <c r="B108">
        <v>-231.20180188244032</v>
      </c>
      <c r="C108">
        <v>116870.93874536591</v>
      </c>
      <c r="D108">
        <v>-270.2077162562091</v>
      </c>
      <c r="E108">
        <v>-4.2420180188244032E-3</v>
      </c>
      <c r="F108">
        <v>95555.057887511997</v>
      </c>
      <c r="G108">
        <v>-424.20180188244029</v>
      </c>
      <c r="H108">
        <v>94827.936768337677</v>
      </c>
      <c r="I108">
        <v>-402.26181645922958</v>
      </c>
    </row>
    <row r="109" spans="1:9" x14ac:dyDescent="0.3">
      <c r="A109">
        <v>116212.85608562957</v>
      </c>
      <c r="B109">
        <v>509.90741154896642</v>
      </c>
      <c r="C109">
        <v>116594.73102910971</v>
      </c>
      <c r="D109">
        <v>594.52517499301291</v>
      </c>
      <c r="E109">
        <v>3.1690741154896639E-3</v>
      </c>
      <c r="F109">
        <v>95118.856085629552</v>
      </c>
      <c r="G109">
        <v>316.90741154896637</v>
      </c>
      <c r="H109">
        <v>94413.674951878449</v>
      </c>
      <c r="I109">
        <v>299.20393343825282</v>
      </c>
    </row>
    <row r="110" spans="1:9" x14ac:dyDescent="0.3">
      <c r="A110">
        <v>116716.76349717853</v>
      </c>
      <c r="B110">
        <v>2462.2668536361093</v>
      </c>
      <c r="C110">
        <v>117183.25620410273</v>
      </c>
      <c r="D110">
        <v>2885.3644755251007</v>
      </c>
      <c r="E110">
        <v>2.269266853636109E-2</v>
      </c>
      <c r="F110">
        <v>95423.763497178516</v>
      </c>
      <c r="G110">
        <v>2269.2668536361089</v>
      </c>
      <c r="H110">
        <v>94700.878885316706</v>
      </c>
      <c r="I110">
        <v>2149.0156546465687</v>
      </c>
    </row>
    <row r="111" spans="1:9" x14ac:dyDescent="0.3">
      <c r="A111">
        <v>119173.03035081465</v>
      </c>
      <c r="B111">
        <v>381.1904872139184</v>
      </c>
      <c r="C111">
        <v>120062.62067962783</v>
      </c>
      <c r="D111">
        <v>457.66728873047208</v>
      </c>
      <c r="E111">
        <v>1.8819048721391842E-3</v>
      </c>
      <c r="F111">
        <v>97681.030350814632</v>
      </c>
      <c r="G111">
        <v>188.19048721391843</v>
      </c>
      <c r="H111">
        <v>96837.894539963279</v>
      </c>
      <c r="I111">
        <v>182.23970554245741</v>
      </c>
    </row>
    <row r="112" spans="1:9" x14ac:dyDescent="0.3">
      <c r="A112">
        <v>119548.22083802856</v>
      </c>
      <c r="B112">
        <v>649.73056197075095</v>
      </c>
      <c r="C112">
        <v>120514.2879683583</v>
      </c>
      <c r="D112">
        <v>783.01816047186344</v>
      </c>
      <c r="E112">
        <v>4.5673056197075091E-3</v>
      </c>
      <c r="F112">
        <v>97857.220838028545</v>
      </c>
      <c r="G112">
        <v>456.7305619707509</v>
      </c>
      <c r="H112">
        <v>97008.134245505731</v>
      </c>
      <c r="I112">
        <v>443.06579669683879</v>
      </c>
    </row>
    <row r="113" spans="1:9" x14ac:dyDescent="0.3">
      <c r="A113">
        <v>120191.95139999931</v>
      </c>
      <c r="B113">
        <v>-1058.064123253042</v>
      </c>
      <c r="C113">
        <v>121291.30612883017</v>
      </c>
      <c r="D113">
        <v>-1283.3397947741701</v>
      </c>
      <c r="E113">
        <v>-1.251064123253042E-2</v>
      </c>
      <c r="F113">
        <v>98301.951399999292</v>
      </c>
      <c r="G113">
        <v>-1251.064123253042</v>
      </c>
      <c r="H113">
        <v>97439.200042202574</v>
      </c>
      <c r="I113">
        <v>-1219.0268737127594</v>
      </c>
    </row>
    <row r="114" spans="1:9" x14ac:dyDescent="0.3">
      <c r="A114">
        <v>119127.88727674626</v>
      </c>
      <c r="B114">
        <v>20.933640360056575</v>
      </c>
      <c r="C114">
        <v>120001.96633405599</v>
      </c>
      <c r="D114">
        <v>25.120780057367448</v>
      </c>
      <c r="E114">
        <v>-1.7206635963994343E-3</v>
      </c>
      <c r="F114">
        <v>97038.887276746245</v>
      </c>
      <c r="G114">
        <v>-172.06635963994341</v>
      </c>
      <c r="H114">
        <v>96208.173168489811</v>
      </c>
      <c r="I114">
        <v>-165.54190124711323</v>
      </c>
    </row>
    <row r="115" spans="1:9" x14ac:dyDescent="0.3">
      <c r="A115">
        <v>119142.82091710632</v>
      </c>
      <c r="B115">
        <v>-891.36156975353504</v>
      </c>
      <c r="C115">
        <v>120021.08711411335</v>
      </c>
      <c r="D115">
        <v>-1069.8218461356187</v>
      </c>
      <c r="E115">
        <v>-1.084361569753535E-2</v>
      </c>
      <c r="F115">
        <v>96854.820917106306</v>
      </c>
      <c r="G115">
        <v>-1084.3615697535349</v>
      </c>
      <c r="H115">
        <v>96030.631267242701</v>
      </c>
      <c r="I115">
        <v>-1041.319260653702</v>
      </c>
    </row>
    <row r="116" spans="1:9" x14ac:dyDescent="0.3">
      <c r="A116">
        <v>118245.45934735279</v>
      </c>
      <c r="B116">
        <v>-3184.647302904566</v>
      </c>
      <c r="C116">
        <v>118945.26526797774</v>
      </c>
      <c r="D116">
        <v>-3787.9871822893347</v>
      </c>
      <c r="E116">
        <v>-3.3776473029045663E-2</v>
      </c>
      <c r="F116">
        <v>95758.459347352778</v>
      </c>
      <c r="G116">
        <v>-3377.6473029045665</v>
      </c>
      <c r="H116">
        <v>94977.312006588996</v>
      </c>
      <c r="I116">
        <v>-3207.9986173618081</v>
      </c>
    </row>
    <row r="117" spans="1:9" x14ac:dyDescent="0.3">
      <c r="A117">
        <v>115054.81204444823</v>
      </c>
      <c r="B117">
        <v>2524.3685521166858</v>
      </c>
      <c r="C117">
        <v>115151.27808568841</v>
      </c>
      <c r="D117">
        <v>2906.842651355551</v>
      </c>
      <c r="E117">
        <v>2.3313685521166857E-2</v>
      </c>
      <c r="F117">
        <v>92368.812044448219</v>
      </c>
      <c r="G117">
        <v>2331.3685521166858</v>
      </c>
      <c r="H117">
        <v>91757.313389227187</v>
      </c>
      <c r="I117">
        <v>2139.2011486235956</v>
      </c>
    </row>
    <row r="118" spans="1:9" x14ac:dyDescent="0.3">
      <c r="A118">
        <v>117573.18059656493</v>
      </c>
      <c r="B118">
        <v>-347.76970572199252</v>
      </c>
      <c r="C118">
        <v>118052.12073704395</v>
      </c>
      <c r="D118">
        <v>-410.54951288578911</v>
      </c>
      <c r="E118">
        <v>-5.4076970572199254E-3</v>
      </c>
      <c r="F118">
        <v>94688.180596564911</v>
      </c>
      <c r="G118">
        <v>-540.76970572199252</v>
      </c>
      <c r="H118">
        <v>93884.514537850788</v>
      </c>
      <c r="I118">
        <v>-507.69901298485701</v>
      </c>
    </row>
    <row r="119" spans="1:9" x14ac:dyDescent="0.3">
      <c r="A119">
        <v>117219.41089084293</v>
      </c>
      <c r="B119">
        <v>-780.92461474385675</v>
      </c>
      <c r="C119">
        <v>117635.57122415816</v>
      </c>
      <c r="D119">
        <v>-918.64513138399229</v>
      </c>
      <c r="E119">
        <v>-9.7392461474385666E-3</v>
      </c>
      <c r="F119">
        <v>94135.410890842919</v>
      </c>
      <c r="G119">
        <v>-973.92461474385664</v>
      </c>
      <c r="H119">
        <v>93364.815524865931</v>
      </c>
      <c r="I119">
        <v>-909.30291990686294</v>
      </c>
    </row>
    <row r="120" spans="1:9" x14ac:dyDescent="0.3">
      <c r="A120">
        <v>116432.48627609908</v>
      </c>
      <c r="B120">
        <v>1705.5749389796651</v>
      </c>
      <c r="C120">
        <v>116710.92609277417</v>
      </c>
      <c r="D120">
        <v>1990.5923064894353</v>
      </c>
      <c r="E120">
        <v>1.5125749389796652E-2</v>
      </c>
      <c r="F120">
        <v>93149.486276099065</v>
      </c>
      <c r="G120">
        <v>1512.5749389796651</v>
      </c>
      <c r="H120">
        <v>92443.512604959062</v>
      </c>
      <c r="I120">
        <v>1398.2774043751187</v>
      </c>
    </row>
    <row r="121" spans="1:9" x14ac:dyDescent="0.3">
      <c r="A121">
        <v>118132.06121507875</v>
      </c>
      <c r="B121">
        <v>167.42155851533022</v>
      </c>
      <c r="C121">
        <v>118695.5183992636</v>
      </c>
      <c r="D121">
        <v>198.72188679189765</v>
      </c>
      <c r="E121">
        <v>-2.5578441484669801E-4</v>
      </c>
      <c r="F121">
        <v>94650.061215078735</v>
      </c>
      <c r="G121">
        <v>-25.578441484669803</v>
      </c>
      <c r="H121">
        <v>93829.790009334174</v>
      </c>
      <c r="I121">
        <v>-24.000197932726092</v>
      </c>
    </row>
    <row r="122" spans="1:9" x14ac:dyDescent="0.3">
      <c r="A122">
        <v>118293.48277359408</v>
      </c>
      <c r="B122">
        <v>-1502.3291344007869</v>
      </c>
      <c r="C122">
        <v>118888.2402860555</v>
      </c>
      <c r="D122">
        <v>-1786.0926711938253</v>
      </c>
      <c r="E122">
        <v>-1.695329134400787E-2</v>
      </c>
      <c r="F122">
        <v>94612.482773594063</v>
      </c>
      <c r="G122">
        <v>-1695.3291344007869</v>
      </c>
      <c r="H122">
        <v>93793.789811401453</v>
      </c>
      <c r="I122">
        <v>-1590.1134449313258</v>
      </c>
    </row>
    <row r="123" spans="1:9" x14ac:dyDescent="0.3">
      <c r="A123">
        <v>116785.15363919329</v>
      </c>
      <c r="B123">
        <v>746.69557101135638</v>
      </c>
      <c r="C123">
        <v>117096.14761486168</v>
      </c>
      <c r="D123">
        <v>874.35174806509224</v>
      </c>
      <c r="E123">
        <v>5.536955710113564E-3</v>
      </c>
      <c r="F123">
        <v>92905.153639193275</v>
      </c>
      <c r="G123">
        <v>553.69557101135638</v>
      </c>
      <c r="H123">
        <v>92191.676366470128</v>
      </c>
      <c r="I123">
        <v>510.46122888226847</v>
      </c>
    </row>
    <row r="124" spans="1:9" x14ac:dyDescent="0.3">
      <c r="A124">
        <v>117525.84921020464</v>
      </c>
      <c r="B124">
        <v>424.53958383160699</v>
      </c>
      <c r="C124">
        <v>117964.49936292677</v>
      </c>
      <c r="D124">
        <v>500.80599466440799</v>
      </c>
      <c r="E124">
        <v>2.3153958383160698E-3</v>
      </c>
      <c r="F124">
        <v>93446.849210204629</v>
      </c>
      <c r="G124">
        <v>231.53958383160699</v>
      </c>
      <c r="H124">
        <v>92690.137595352397</v>
      </c>
      <c r="I124">
        <v>214.61435884122281</v>
      </c>
    </row>
    <row r="125" spans="1:9" x14ac:dyDescent="0.3">
      <c r="A125">
        <v>117944.38879403625</v>
      </c>
      <c r="B125">
        <v>77.66062307715012</v>
      </c>
      <c r="C125">
        <v>118459.30535759118</v>
      </c>
      <c r="D125">
        <v>91.996234633569173</v>
      </c>
      <c r="E125">
        <v>-1.153393769228499E-3</v>
      </c>
      <c r="F125">
        <v>93666.388794036233</v>
      </c>
      <c r="G125">
        <v>-115.33937692284989</v>
      </c>
      <c r="H125">
        <v>92892.75195419362</v>
      </c>
      <c r="I125">
        <v>-107.1419213104554</v>
      </c>
    </row>
    <row r="126" spans="1:9" x14ac:dyDescent="0.3">
      <c r="A126">
        <v>118016.04941711339</v>
      </c>
      <c r="B126">
        <v>729.77573828733091</v>
      </c>
      <c r="C126">
        <v>118545.30159222474</v>
      </c>
      <c r="D126">
        <v>865.11484989960115</v>
      </c>
      <c r="E126">
        <v>5.3677573828733085E-3</v>
      </c>
      <c r="F126">
        <v>93539.049417113376</v>
      </c>
      <c r="G126">
        <v>536.7757382873308</v>
      </c>
      <c r="H126">
        <v>92773.610032883167</v>
      </c>
      <c r="I126">
        <v>497.98623018981789</v>
      </c>
    </row>
    <row r="127" spans="1:9" x14ac:dyDescent="0.3">
      <c r="A127">
        <v>118739.82515540071</v>
      </c>
      <c r="B127">
        <v>-228.55626170428573</v>
      </c>
      <c r="C127">
        <v>119404.41644212435</v>
      </c>
      <c r="D127">
        <v>-272.90627052993693</v>
      </c>
      <c r="E127">
        <v>-4.2155626170428577E-3</v>
      </c>
      <c r="F127">
        <v>94063.8251554007</v>
      </c>
      <c r="G127">
        <v>-421.55626170428576</v>
      </c>
      <c r="H127">
        <v>93259.596263072992</v>
      </c>
      <c r="I127">
        <v>-393.14166768712028</v>
      </c>
    </row>
    <row r="128" spans="1:9" x14ac:dyDescent="0.3">
      <c r="A128">
        <v>118505.26889369643</v>
      </c>
      <c r="B128">
        <v>913.05126215909843</v>
      </c>
      <c r="C128">
        <v>119125.5101715944</v>
      </c>
      <c r="D128">
        <v>1087.6769741752078</v>
      </c>
      <c r="E128">
        <v>7.2005126215909836E-3</v>
      </c>
      <c r="F128">
        <v>93630.268893696411</v>
      </c>
      <c r="G128">
        <v>720.05126215909831</v>
      </c>
      <c r="H128">
        <v>92854.454595385876</v>
      </c>
      <c r="I128">
        <v>668.59967228502296</v>
      </c>
    </row>
    <row r="129" spans="1:9" x14ac:dyDescent="0.3">
      <c r="A129">
        <v>119412.32015585553</v>
      </c>
      <c r="B129">
        <v>1133.5348506401103</v>
      </c>
      <c r="C129">
        <v>120207.18714576961</v>
      </c>
      <c r="D129">
        <v>1362.5903592714776</v>
      </c>
      <c r="E129">
        <v>9.4053485064011042E-3</v>
      </c>
      <c r="F129">
        <v>94338.320155855516</v>
      </c>
      <c r="G129">
        <v>940.53485064011045</v>
      </c>
      <c r="H129">
        <v>93511.054267670901</v>
      </c>
      <c r="I129">
        <v>879.50405458843113</v>
      </c>
    </row>
    <row r="130" spans="1:9" x14ac:dyDescent="0.3">
      <c r="A130">
        <v>120539.85500649564</v>
      </c>
      <c r="B130">
        <v>-846.90936893489254</v>
      </c>
      <c r="C130">
        <v>121563.77750504109</v>
      </c>
      <c r="D130">
        <v>-1029.5350209213602</v>
      </c>
      <c r="E130">
        <v>-1.0399093689348925E-2</v>
      </c>
      <c r="F130">
        <v>95266.855006495622</v>
      </c>
      <c r="G130">
        <v>-1039.9093689348924</v>
      </c>
      <c r="H130">
        <v>94378.558322259327</v>
      </c>
      <c r="I130">
        <v>-981.45147025885649</v>
      </c>
    </row>
    <row r="131" spans="1:9" x14ac:dyDescent="0.3">
      <c r="A131">
        <v>119686.94563756074</v>
      </c>
      <c r="B131">
        <v>-842.608500784341</v>
      </c>
      <c r="C131">
        <v>120528.24248411972</v>
      </c>
      <c r="D131">
        <v>-1015.5812170171563</v>
      </c>
      <c r="E131">
        <v>-1.0356085007843409E-2</v>
      </c>
      <c r="F131">
        <v>94214.945637560726</v>
      </c>
      <c r="G131">
        <v>-1035.608500784341</v>
      </c>
      <c r="H131">
        <v>93385.106852000477</v>
      </c>
      <c r="I131">
        <v>-967.10410502585694</v>
      </c>
    </row>
    <row r="132" spans="1:9" x14ac:dyDescent="0.3">
      <c r="A132">
        <v>118838.3371367764</v>
      </c>
      <c r="B132">
        <v>407.75027560898951</v>
      </c>
      <c r="C132">
        <v>119506.66126710257</v>
      </c>
      <c r="D132">
        <v>487.28874068771222</v>
      </c>
      <c r="E132">
        <v>2.1475027560898946E-3</v>
      </c>
      <c r="F132">
        <v>93167.33713677639</v>
      </c>
      <c r="G132">
        <v>214.75027560898945</v>
      </c>
      <c r="H132">
        <v>92406.002746974627</v>
      </c>
      <c r="I132">
        <v>198.44214557837839</v>
      </c>
    </row>
    <row r="133" spans="1:9" x14ac:dyDescent="0.3">
      <c r="A133">
        <v>119240.0874123854</v>
      </c>
      <c r="B133">
        <v>237.6531748978868</v>
      </c>
      <c r="C133">
        <v>119987.95000779028</v>
      </c>
      <c r="D133">
        <v>285.15517268840279</v>
      </c>
      <c r="E133">
        <v>4.4653174897886787E-4</v>
      </c>
      <c r="F133">
        <v>93370.087412385386</v>
      </c>
      <c r="G133">
        <v>44.653174897886785</v>
      </c>
      <c r="H133">
        <v>92592.444892553001</v>
      </c>
      <c r="I133">
        <v>41.345466360101135</v>
      </c>
    </row>
    <row r="134" spans="1:9" x14ac:dyDescent="0.3">
      <c r="A134">
        <v>119471.74058728329</v>
      </c>
      <c r="B134">
        <v>918.82261128208279</v>
      </c>
      <c r="C134">
        <v>120267.10518047868</v>
      </c>
      <c r="D134">
        <v>1105.0413563326433</v>
      </c>
      <c r="E134">
        <v>7.2582261128208278E-3</v>
      </c>
      <c r="F134">
        <v>93402.740587283275</v>
      </c>
      <c r="G134">
        <v>725.82261128208279</v>
      </c>
      <c r="H134">
        <v>92621.790358913102</v>
      </c>
      <c r="I134">
        <v>672.26989739927944</v>
      </c>
    </row>
    <row r="135" spans="1:9" x14ac:dyDescent="0.3">
      <c r="A135">
        <v>120384.56319856537</v>
      </c>
      <c r="B135">
        <v>-653.00251708018175</v>
      </c>
      <c r="C135">
        <v>121366.14653681133</v>
      </c>
      <c r="D135">
        <v>-792.52399176859979</v>
      </c>
      <c r="E135">
        <v>-8.4600251708018166E-3</v>
      </c>
      <c r="F135">
        <v>94116.56319856536</v>
      </c>
      <c r="G135">
        <v>-846.00251708018163</v>
      </c>
      <c r="H135">
        <v>93282.060256312383</v>
      </c>
      <c r="I135">
        <v>-789.16857775265453</v>
      </c>
    </row>
    <row r="136" spans="1:9" x14ac:dyDescent="0.3">
      <c r="A136">
        <v>119725.56068148519</v>
      </c>
      <c r="B136">
        <v>-15.908137735550875</v>
      </c>
      <c r="C136">
        <v>120567.62254504273</v>
      </c>
      <c r="D136">
        <v>-19.180063458944488</v>
      </c>
      <c r="E136">
        <v>-2.0890813773555088E-3</v>
      </c>
      <c r="F136">
        <v>93258.560681485178</v>
      </c>
      <c r="G136">
        <v>-208.90813773555089</v>
      </c>
      <c r="H136">
        <v>92480.891678559725</v>
      </c>
      <c r="I136">
        <v>-193.20010856691115</v>
      </c>
    </row>
    <row r="137" spans="1:9" x14ac:dyDescent="0.3">
      <c r="A137">
        <v>119703.65254374965</v>
      </c>
      <c r="B137">
        <v>3992.7719551861233</v>
      </c>
      <c r="C137">
        <v>120542.44248158378</v>
      </c>
      <c r="D137">
        <v>4812.9848375010406</v>
      </c>
      <c r="E137">
        <v>3.799771955186123E-2</v>
      </c>
      <c r="F137">
        <v>93037.652543749631</v>
      </c>
      <c r="G137">
        <v>3799.7719551861228</v>
      </c>
      <c r="H137">
        <v>92275.691569992807</v>
      </c>
      <c r="I137">
        <v>3506.265849730632</v>
      </c>
    </row>
    <row r="138" spans="1:9" x14ac:dyDescent="0.3">
      <c r="A138">
        <v>123690.42449893577</v>
      </c>
      <c r="B138">
        <v>-1814.0589569161004</v>
      </c>
      <c r="C138">
        <v>125349.42731908482</v>
      </c>
      <c r="D138">
        <v>-2273.9125137248957</v>
      </c>
      <c r="E138">
        <v>-2.0070589569161006E-2</v>
      </c>
      <c r="F138">
        <v>96825.424498935754</v>
      </c>
      <c r="G138">
        <v>-2007.0589569161007</v>
      </c>
      <c r="H138">
        <v>95769.957419723432</v>
      </c>
      <c r="I138">
        <v>-1922.1595084272949</v>
      </c>
    </row>
    <row r="139" spans="1:9" x14ac:dyDescent="0.3">
      <c r="A139">
        <v>121870.36554201967</v>
      </c>
      <c r="B139">
        <v>-1914.3491354324201</v>
      </c>
      <c r="C139">
        <v>123069.51480535993</v>
      </c>
      <c r="D139">
        <v>-2355.9801926572818</v>
      </c>
      <c r="E139">
        <v>-2.1073491354324202E-2</v>
      </c>
      <c r="F139">
        <v>94806.365542019659</v>
      </c>
      <c r="G139">
        <v>-2107.3491354324201</v>
      </c>
      <c r="H139">
        <v>93835.797911296133</v>
      </c>
      <c r="I139">
        <v>-1977.447876009812</v>
      </c>
    </row>
    <row r="140" spans="1:9" x14ac:dyDescent="0.3">
      <c r="A140">
        <v>119950.01640658725</v>
      </c>
      <c r="B140">
        <v>-1585.0288512478255</v>
      </c>
      <c r="C140">
        <v>120707.53461270264</v>
      </c>
      <c r="D140">
        <v>-1913.2492492412921</v>
      </c>
      <c r="E140">
        <v>-1.7780288512478256E-2</v>
      </c>
      <c r="F140">
        <v>92687.016406587238</v>
      </c>
      <c r="G140">
        <v>-1778.0288512478255</v>
      </c>
      <c r="H140">
        <v>91846.350035286319</v>
      </c>
      <c r="I140">
        <v>-1633.0546024454582</v>
      </c>
    </row>
    <row r="141" spans="1:9" x14ac:dyDescent="0.3">
      <c r="A141">
        <v>118358.98755533942</v>
      </c>
      <c r="B141">
        <v>-198.05129094746647</v>
      </c>
      <c r="C141">
        <v>118788.28536346136</v>
      </c>
      <c r="D141">
        <v>-235.26173265669559</v>
      </c>
      <c r="E141">
        <v>-3.9105129094746645E-3</v>
      </c>
      <c r="F141">
        <v>90896.987555339409</v>
      </c>
      <c r="G141">
        <v>-391.05129094746644</v>
      </c>
      <c r="H141">
        <v>90201.295432840867</v>
      </c>
      <c r="I141">
        <v>-352.73333024146228</v>
      </c>
    </row>
    <row r="142" spans="1:9" x14ac:dyDescent="0.3">
      <c r="A142">
        <v>118154.93626439196</v>
      </c>
      <c r="B142">
        <v>1041.051707008023</v>
      </c>
      <c r="C142">
        <v>118547.02363080466</v>
      </c>
      <c r="D142">
        <v>1234.1358131156962</v>
      </c>
      <c r="E142">
        <v>8.4805170700802297E-3</v>
      </c>
      <c r="F142">
        <v>90493.936264391945</v>
      </c>
      <c r="G142">
        <v>848.05170700802296</v>
      </c>
      <c r="H142">
        <v>89836.562102599404</v>
      </c>
      <c r="I142">
        <v>761.86049842841692</v>
      </c>
    </row>
    <row r="143" spans="1:9" x14ac:dyDescent="0.3">
      <c r="A143">
        <v>119189.98797139998</v>
      </c>
      <c r="B143">
        <v>-1038.1585497994013</v>
      </c>
      <c r="C143">
        <v>119775.15944392036</v>
      </c>
      <c r="D143">
        <v>-1243.4560583029242</v>
      </c>
      <c r="E143">
        <v>-1.2311585497994012E-2</v>
      </c>
      <c r="F143">
        <v>91329.987971399969</v>
      </c>
      <c r="G143">
        <v>-1231.1585497994013</v>
      </c>
      <c r="H143">
        <v>90586.422601027822</v>
      </c>
      <c r="I143">
        <v>-1115.2624868099711</v>
      </c>
    </row>
    <row r="144" spans="1:9" x14ac:dyDescent="0.3">
      <c r="A144">
        <v>118145.82942160059</v>
      </c>
      <c r="B144">
        <v>-2845.5165119285466</v>
      </c>
      <c r="C144">
        <v>118525.70338561744</v>
      </c>
      <c r="D144">
        <v>-3372.6684607171969</v>
      </c>
      <c r="E144">
        <v>-3.0385165119285469E-2</v>
      </c>
      <c r="F144">
        <v>90086.829421600574</v>
      </c>
      <c r="G144">
        <v>-3038.5165119285471</v>
      </c>
      <c r="H144">
        <v>89459.160114217855</v>
      </c>
      <c r="I144">
        <v>-2718.2313515031065</v>
      </c>
    </row>
    <row r="145" spans="1:9" x14ac:dyDescent="0.3">
      <c r="A145">
        <v>115294.31290967204</v>
      </c>
      <c r="B145">
        <v>1401.1058996298545</v>
      </c>
      <c r="C145">
        <v>115147.03492490025</v>
      </c>
      <c r="D145">
        <v>1613.3318995816264</v>
      </c>
      <c r="E145">
        <v>1.2081058996298546E-2</v>
      </c>
      <c r="F145">
        <v>87036.312909672022</v>
      </c>
      <c r="G145">
        <v>1208.1058996298545</v>
      </c>
      <c r="H145">
        <v>86728.928762714742</v>
      </c>
      <c r="I145">
        <v>1047.7773050681305</v>
      </c>
    </row>
    <row r="146" spans="1:9" x14ac:dyDescent="0.3">
      <c r="A146">
        <v>116689.41880930189</v>
      </c>
      <c r="B146">
        <v>-313.04709059078567</v>
      </c>
      <c r="C146">
        <v>116754.36682448187</v>
      </c>
      <c r="D146">
        <v>-365.496148481734</v>
      </c>
      <c r="E146">
        <v>-5.0604709059078566E-3</v>
      </c>
      <c r="F146">
        <v>88232.418809301875</v>
      </c>
      <c r="G146">
        <v>-506.04709059078567</v>
      </c>
      <c r="H146">
        <v>87764.70606778287</v>
      </c>
      <c r="I146">
        <v>-444.13074162156994</v>
      </c>
    </row>
    <row r="147" spans="1:9" x14ac:dyDescent="0.3">
      <c r="A147">
        <v>116370.3717187111</v>
      </c>
      <c r="B147">
        <v>383.45617856822184</v>
      </c>
      <c r="C147">
        <v>116382.87067600014</v>
      </c>
      <c r="D147">
        <v>446.27730840218578</v>
      </c>
      <c r="E147">
        <v>1.9045617856822182E-3</v>
      </c>
      <c r="F147">
        <v>87714.371718711089</v>
      </c>
      <c r="G147">
        <v>190.45617856822182</v>
      </c>
      <c r="H147">
        <v>87308.575326161299</v>
      </c>
      <c r="I147">
        <v>166.28457612856423</v>
      </c>
    </row>
    <row r="148" spans="1:9" x14ac:dyDescent="0.3">
      <c r="A148">
        <v>116747.82789727932</v>
      </c>
      <c r="B148">
        <v>-1737.0694827793509</v>
      </c>
      <c r="C148">
        <v>116823.14798440233</v>
      </c>
      <c r="D148">
        <v>-2029.2992524592132</v>
      </c>
      <c r="E148">
        <v>-1.9300694827793511E-2</v>
      </c>
      <c r="F148">
        <v>87892.827897279305</v>
      </c>
      <c r="G148">
        <v>-1930.0694827793511</v>
      </c>
      <c r="H148">
        <v>87462.859902289856</v>
      </c>
      <c r="I148">
        <v>-1688.0939677401543</v>
      </c>
    </row>
    <row r="149" spans="1:9" x14ac:dyDescent="0.3">
      <c r="A149">
        <v>115004.75841449997</v>
      </c>
      <c r="B149">
        <v>200.89559563242935</v>
      </c>
      <c r="C149">
        <v>114787.84873194312</v>
      </c>
      <c r="D149">
        <v>230.60373242368911</v>
      </c>
      <c r="E149">
        <v>7.895595632429332E-5</v>
      </c>
      <c r="F149">
        <v>85950.758414499956</v>
      </c>
      <c r="G149">
        <v>7.8955956324293322</v>
      </c>
      <c r="H149">
        <v>85762.765934549709</v>
      </c>
      <c r="I149">
        <v>6.7714812013788981</v>
      </c>
    </row>
    <row r="150" spans="1:9" x14ac:dyDescent="0.3">
      <c r="A150">
        <v>115199.65401013241</v>
      </c>
      <c r="B150">
        <v>-1248.6444149897525</v>
      </c>
      <c r="C150">
        <v>115012.4524643668</v>
      </c>
      <c r="D150">
        <v>-1436.0965642390599</v>
      </c>
      <c r="E150">
        <v>-1.4416444149897524E-2</v>
      </c>
      <c r="F150">
        <v>85946.654010132392</v>
      </c>
      <c r="G150">
        <v>-1441.6444149897525</v>
      </c>
      <c r="H150">
        <v>85757.537415751081</v>
      </c>
      <c r="I150">
        <v>-1236.3187485869228</v>
      </c>
    </row>
    <row r="151" spans="1:9" x14ac:dyDescent="0.3">
      <c r="A151">
        <v>113945.00959514265</v>
      </c>
      <c r="B151">
        <v>370.92213675472635</v>
      </c>
      <c r="C151">
        <v>113570.35590012773</v>
      </c>
      <c r="D151">
        <v>421.2575908247012</v>
      </c>
      <c r="E151">
        <v>1.7792213675472633E-3</v>
      </c>
      <c r="F151">
        <v>84493.009595142634</v>
      </c>
      <c r="G151">
        <v>177.92213675472632</v>
      </c>
      <c r="H151">
        <v>84509.218667164154</v>
      </c>
      <c r="I151">
        <v>150.36060760734253</v>
      </c>
    </row>
    <row r="152" spans="1:9" x14ac:dyDescent="0.3">
      <c r="A152">
        <v>114309.93173189738</v>
      </c>
      <c r="B152">
        <v>-305.69354222392053</v>
      </c>
      <c r="C152">
        <v>113985.61349095243</v>
      </c>
      <c r="D152">
        <v>-348.44665950615951</v>
      </c>
      <c r="E152">
        <v>-4.986935422239205E-3</v>
      </c>
      <c r="F152">
        <v>84658.931731897363</v>
      </c>
      <c r="G152">
        <v>-498.69354222392053</v>
      </c>
      <c r="H152">
        <v>84647.579274771502</v>
      </c>
      <c r="I152">
        <v>-422.13201149215922</v>
      </c>
    </row>
    <row r="153" spans="1:9" x14ac:dyDescent="0.3">
      <c r="A153">
        <v>113998.23818967346</v>
      </c>
      <c r="B153">
        <v>-1300.0336875631483</v>
      </c>
      <c r="C153">
        <v>113631.16683144627</v>
      </c>
      <c r="D153">
        <v>-1477.2434483798841</v>
      </c>
      <c r="E153">
        <v>-1.4930336875631483E-2</v>
      </c>
      <c r="F153">
        <v>84148.238189673444</v>
      </c>
      <c r="G153">
        <v>-1493.0336875631483</v>
      </c>
      <c r="H153">
        <v>84213.447263279348</v>
      </c>
      <c r="I153">
        <v>-1257.3351370989869</v>
      </c>
    </row>
    <row r="154" spans="1:9" x14ac:dyDescent="0.3">
      <c r="A154">
        <v>112692.20450211031</v>
      </c>
      <c r="B154">
        <v>-956.79106994999779</v>
      </c>
      <c r="C154">
        <v>112147.92338306639</v>
      </c>
      <c r="D154">
        <v>-1073.0213160635446</v>
      </c>
      <c r="E154">
        <v>-1.1497910699499977E-2</v>
      </c>
      <c r="F154">
        <v>82643.204502110297</v>
      </c>
      <c r="G154">
        <v>-1149.7910699499978</v>
      </c>
      <c r="H154">
        <v>82944.112126180364</v>
      </c>
      <c r="I154">
        <v>-953.68399427613497</v>
      </c>
    </row>
    <row r="155" spans="1:9" x14ac:dyDescent="0.3">
      <c r="A155">
        <v>111729.41343216032</v>
      </c>
      <c r="B155">
        <v>279.51280449720133</v>
      </c>
      <c r="C155">
        <v>111068.90206700284</v>
      </c>
      <c r="D155">
        <v>310.45180309172969</v>
      </c>
      <c r="E155">
        <v>8.6512804497201347E-4</v>
      </c>
      <c r="F155">
        <v>81481.413432160305</v>
      </c>
      <c r="G155">
        <v>86.512804497201344</v>
      </c>
      <c r="H155">
        <v>81978.428131904235</v>
      </c>
      <c r="I155">
        <v>70.921837259633023</v>
      </c>
    </row>
    <row r="156" spans="1:9" x14ac:dyDescent="0.3">
      <c r="A156">
        <v>112002.92623665753</v>
      </c>
      <c r="B156">
        <v>808.93562739179413</v>
      </c>
      <c r="C156">
        <v>111373.35387009456</v>
      </c>
      <c r="D156">
        <v>900.93873887633242</v>
      </c>
      <c r="E156">
        <v>6.1593562739179408E-3</v>
      </c>
      <c r="F156">
        <v>81555.926236657513</v>
      </c>
      <c r="G156">
        <v>615.93562739179413</v>
      </c>
      <c r="H156">
        <v>82037.349969163872</v>
      </c>
      <c r="I156">
        <v>505.29726622817128</v>
      </c>
    </row>
    <row r="157" spans="1:9" x14ac:dyDescent="0.3">
      <c r="A157">
        <v>112805.86186404932</v>
      </c>
      <c r="B157">
        <v>-325.10759513267834</v>
      </c>
      <c r="C157">
        <v>112268.29260897089</v>
      </c>
      <c r="D157">
        <v>-364.99274619754374</v>
      </c>
      <c r="E157">
        <v>-5.1810759513267832E-3</v>
      </c>
      <c r="F157">
        <v>82159.861864049308</v>
      </c>
      <c r="G157">
        <v>-518.10759513267828</v>
      </c>
      <c r="H157">
        <v>82530.64723539204</v>
      </c>
      <c r="I157">
        <v>-427.59755163872398</v>
      </c>
    </row>
    <row r="158" spans="1:9" x14ac:dyDescent="0.3">
      <c r="A158">
        <v>112474.75426891664</v>
      </c>
      <c r="B158">
        <v>-158.92801495792799</v>
      </c>
      <c r="C158">
        <v>111897.29986277335</v>
      </c>
      <c r="D158">
        <v>-177.83615746342596</v>
      </c>
      <c r="E158">
        <v>-3.51928014957928E-3</v>
      </c>
      <c r="F158">
        <v>81629.754268916629</v>
      </c>
      <c r="G158">
        <v>-351.92801495792799</v>
      </c>
      <c r="H158">
        <v>82091.049683753314</v>
      </c>
      <c r="I158">
        <v>-288.9014016101595</v>
      </c>
    </row>
    <row r="159" spans="1:9" x14ac:dyDescent="0.3">
      <c r="A159">
        <v>112309.82625395872</v>
      </c>
      <c r="B159">
        <v>-1225.2151141040051</v>
      </c>
      <c r="C159">
        <v>111713.46370530991</v>
      </c>
      <c r="D159">
        <v>-1368.7302418065494</v>
      </c>
      <c r="E159">
        <v>-1.4182151141040052E-2</v>
      </c>
      <c r="F159">
        <v>81265.826253958701</v>
      </c>
      <c r="G159">
        <v>-1418.2151141040051</v>
      </c>
      <c r="H159">
        <v>81790.148282143156</v>
      </c>
      <c r="I159">
        <v>-1159.9602447854315</v>
      </c>
    </row>
    <row r="160" spans="1:9" x14ac:dyDescent="0.3">
      <c r="A160">
        <v>111078.61113985471</v>
      </c>
      <c r="B160">
        <v>693.29601831828234</v>
      </c>
      <c r="C160">
        <v>110338.73346350336</v>
      </c>
      <c r="D160">
        <v>764.97404576529095</v>
      </c>
      <c r="E160">
        <v>5.0029601831828229E-3</v>
      </c>
      <c r="F160">
        <v>79835.611139854693</v>
      </c>
      <c r="G160">
        <v>500.29601831828228</v>
      </c>
      <c r="H160">
        <v>80618.18803735773</v>
      </c>
      <c r="I160">
        <v>403.32958479124648</v>
      </c>
    </row>
    <row r="161" spans="1:9" x14ac:dyDescent="0.3">
      <c r="A161">
        <v>111765.90715817299</v>
      </c>
      <c r="B161">
        <v>1267.8338288266946</v>
      </c>
      <c r="C161">
        <v>111097.70750926866</v>
      </c>
      <c r="D161">
        <v>1408.534318853443</v>
      </c>
      <c r="E161">
        <v>1.0748338288266946E-2</v>
      </c>
      <c r="F161">
        <v>80323.90715817298</v>
      </c>
      <c r="G161">
        <v>1074.8338288266946</v>
      </c>
      <c r="H161">
        <v>81009.517622148982</v>
      </c>
      <c r="I161">
        <v>870.71769997217984</v>
      </c>
    </row>
    <row r="162" spans="1:9" x14ac:dyDescent="0.3">
      <c r="A162">
        <v>113027.74098699969</v>
      </c>
      <c r="B162">
        <v>935.5700986266063</v>
      </c>
      <c r="C162">
        <v>112500.2418281221</v>
      </c>
      <c r="D162">
        <v>1052.5186234265327</v>
      </c>
      <c r="E162">
        <v>7.4257009862660631E-3</v>
      </c>
      <c r="F162">
        <v>81386.740986999677</v>
      </c>
      <c r="G162">
        <v>742.5700986266063</v>
      </c>
      <c r="H162">
        <v>81868.235322121167</v>
      </c>
      <c r="I162">
        <v>607.9290357753373</v>
      </c>
    </row>
    <row r="163" spans="1:9" x14ac:dyDescent="0.3">
      <c r="A163">
        <v>113957.31108562629</v>
      </c>
      <c r="B163">
        <v>986.61355319838594</v>
      </c>
      <c r="C163">
        <v>113546.76045154863</v>
      </c>
      <c r="D163">
        <v>1120.2677278326837</v>
      </c>
      <c r="E163">
        <v>7.9361355319838602E-3</v>
      </c>
      <c r="F163">
        <v>82117.311085626279</v>
      </c>
      <c r="G163">
        <v>793.61355319838606</v>
      </c>
      <c r="H163">
        <v>82464.164357896501</v>
      </c>
      <c r="I163">
        <v>654.44678487605938</v>
      </c>
    </row>
    <row r="164" spans="1:9" x14ac:dyDescent="0.3">
      <c r="A164">
        <v>114937.92463882468</v>
      </c>
      <c r="B164">
        <v>3853.9553752535467</v>
      </c>
      <c r="C164">
        <v>114661.02817938132</v>
      </c>
      <c r="D164">
        <v>4418.9848588402501</v>
      </c>
      <c r="E164">
        <v>3.6609553752535468E-2</v>
      </c>
      <c r="F164">
        <v>82898.924638824668</v>
      </c>
      <c r="G164">
        <v>3660.9553752535467</v>
      </c>
      <c r="H164">
        <v>83106.611142772555</v>
      </c>
      <c r="I164">
        <v>3042.495947822395</v>
      </c>
    </row>
    <row r="165" spans="1:9" x14ac:dyDescent="0.3">
      <c r="A165">
        <v>118785.88001407823</v>
      </c>
      <c r="B165">
        <v>463.49581609479952</v>
      </c>
      <c r="C165">
        <v>119074.01303822157</v>
      </c>
      <c r="D165">
        <v>551.90306848833302</v>
      </c>
      <c r="E165">
        <v>2.7049581609479949E-3</v>
      </c>
      <c r="F165">
        <v>86547.880014078211</v>
      </c>
      <c r="G165">
        <v>270.49581609479947</v>
      </c>
      <c r="H165">
        <v>86137.107090594945</v>
      </c>
      <c r="I165">
        <v>232.99727078515619</v>
      </c>
    </row>
    <row r="166" spans="1:9" x14ac:dyDescent="0.3">
      <c r="A166">
        <v>119243.37583017303</v>
      </c>
      <c r="B166">
        <v>-516.11317624650758</v>
      </c>
      <c r="C166">
        <v>119619.9161067099</v>
      </c>
      <c r="D166">
        <v>-617.37414844174816</v>
      </c>
      <c r="E166">
        <v>-7.091131762465076E-3</v>
      </c>
      <c r="F166">
        <v>86806.375830173012</v>
      </c>
      <c r="G166">
        <v>-709.11317624650758</v>
      </c>
      <c r="H166">
        <v>86358.104361380101</v>
      </c>
      <c r="I166">
        <v>-612.37669678325619</v>
      </c>
    </row>
    <row r="167" spans="1:9" x14ac:dyDescent="0.3">
      <c r="A167">
        <v>118721.26265392652</v>
      </c>
      <c r="B167">
        <v>1960.9060845534002</v>
      </c>
      <c r="C167">
        <v>118996.54195826815</v>
      </c>
      <c r="D167">
        <v>2333.4104316678199</v>
      </c>
      <c r="E167">
        <v>1.7679060845534E-2</v>
      </c>
      <c r="F167">
        <v>86085.262653926504</v>
      </c>
      <c r="G167">
        <v>1767.9060845534</v>
      </c>
      <c r="H167">
        <v>85733.727664596838</v>
      </c>
      <c r="I167">
        <v>1515.6917878968491</v>
      </c>
    </row>
    <row r="168" spans="1:9" x14ac:dyDescent="0.3">
      <c r="A168">
        <v>120676.16873847992</v>
      </c>
      <c r="B168">
        <v>57.819299473539374</v>
      </c>
      <c r="C168">
        <v>121323.95238993596</v>
      </c>
      <c r="D168">
        <v>70.148659365471403</v>
      </c>
      <c r="E168">
        <v>-1.3518070052646065E-3</v>
      </c>
      <c r="F168">
        <v>87841.168738479901</v>
      </c>
      <c r="G168">
        <v>-135.18070052646064</v>
      </c>
      <c r="H168">
        <v>87237.41945249369</v>
      </c>
      <c r="I168">
        <v>-117.92815473708782</v>
      </c>
    </row>
    <row r="169" spans="1:9" x14ac:dyDescent="0.3">
      <c r="A169">
        <v>120727.98803795346</v>
      </c>
      <c r="B169">
        <v>-388.86272841888706</v>
      </c>
      <c r="C169">
        <v>121388.10104930143</v>
      </c>
      <c r="D169">
        <v>-472.0330817161892</v>
      </c>
      <c r="E169">
        <v>-5.8186272841888702E-3</v>
      </c>
      <c r="F169">
        <v>87693.988037953444</v>
      </c>
      <c r="G169">
        <v>-581.86272841888706</v>
      </c>
      <c r="H169">
        <v>87107.491297756598</v>
      </c>
      <c r="I169">
        <v>-506.84602552237112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6C910-0907-4E7B-8375-E350A00F4D32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-1532.7400146179964</v>
      </c>
      <c r="C4">
        <v>101401.05998518885</v>
      </c>
      <c r="D4">
        <v>-1554.2146216397869</v>
      </c>
      <c r="E4">
        <v>-1.7257400146179963E-2</v>
      </c>
      <c r="F4">
        <v>101202.05998518885</v>
      </c>
      <c r="G4">
        <v>-1725.7400146179964</v>
      </c>
      <c r="H4">
        <v>101202.05998518885</v>
      </c>
      <c r="I4">
        <v>-1746.4844447821115</v>
      </c>
    </row>
    <row r="5" spans="1:9" x14ac:dyDescent="0.3">
      <c r="A5">
        <v>99862.319970570854</v>
      </c>
      <c r="B5">
        <v>-2113.327169462415</v>
      </c>
      <c r="C5">
        <v>99840.845363549073</v>
      </c>
      <c r="D5">
        <v>-2109.9637112888381</v>
      </c>
      <c r="E5">
        <v>-2.306327169462415E-2</v>
      </c>
      <c r="F5">
        <v>99464.319970570854</v>
      </c>
      <c r="G5">
        <v>-2306.327169462415</v>
      </c>
      <c r="H5">
        <v>99443.575540406746</v>
      </c>
      <c r="I5">
        <v>-2293.4942009732813</v>
      </c>
    </row>
    <row r="6" spans="1:9" x14ac:dyDescent="0.3">
      <c r="A6">
        <v>97742.992801108441</v>
      </c>
      <c r="B6">
        <v>739.24731182795949</v>
      </c>
      <c r="C6">
        <v>97724.881652260228</v>
      </c>
      <c r="D6">
        <v>722.42856060138854</v>
      </c>
      <c r="E6">
        <v>5.4624731182795951E-3</v>
      </c>
      <c r="F6">
        <v>97145.992801108441</v>
      </c>
      <c r="G6">
        <v>546.24731182795949</v>
      </c>
      <c r="H6">
        <v>97138.081339433469</v>
      </c>
      <c r="I6">
        <v>530.61415807791207</v>
      </c>
    </row>
    <row r="7" spans="1:9" x14ac:dyDescent="0.3">
      <c r="A7">
        <v>98476.240112936401</v>
      </c>
      <c r="B7">
        <v>99.162626707798282</v>
      </c>
      <c r="C7">
        <v>98441.310212861616</v>
      </c>
      <c r="D7">
        <v>97.616988972645672</v>
      </c>
      <c r="E7">
        <v>-9.3837373292201729E-4</v>
      </c>
      <c r="F7">
        <v>97680.240112936401</v>
      </c>
      <c r="G7">
        <v>-93.837373292201733</v>
      </c>
      <c r="H7">
        <v>97656.695497511377</v>
      </c>
      <c r="I7">
        <v>-91.638477898828512</v>
      </c>
    </row>
    <row r="8" spans="1:9" x14ac:dyDescent="0.3">
      <c r="A8">
        <v>98569.402739644196</v>
      </c>
      <c r="B8">
        <v>454.25618293137728</v>
      </c>
      <c r="C8">
        <v>98532.92720183426</v>
      </c>
      <c r="D8">
        <v>447.59191403760502</v>
      </c>
      <c r="E8">
        <v>2.6125618293137724E-3</v>
      </c>
      <c r="F8">
        <v>97574.402739644196</v>
      </c>
      <c r="G8">
        <v>261.25618293137723</v>
      </c>
      <c r="H8">
        <v>97553.057019612548</v>
      </c>
      <c r="I8">
        <v>254.86339310230971</v>
      </c>
    </row>
    <row r="9" spans="1:9" x14ac:dyDescent="0.3">
      <c r="A9">
        <v>99017.658922575574</v>
      </c>
      <c r="B9">
        <v>-1748.70466321244</v>
      </c>
      <c r="C9">
        <v>98974.519115871866</v>
      </c>
      <c r="D9">
        <v>-1730.7720311713392</v>
      </c>
      <c r="E9">
        <v>-1.9417046632124402E-2</v>
      </c>
      <c r="F9">
        <v>97823.658922575574</v>
      </c>
      <c r="G9">
        <v>-1941.7046632124402</v>
      </c>
      <c r="H9">
        <v>97795.920412714855</v>
      </c>
      <c r="I9">
        <v>-1898.9079470852109</v>
      </c>
    </row>
    <row r="10" spans="1:9" x14ac:dyDescent="0.3">
      <c r="A10">
        <v>97262.954259363134</v>
      </c>
      <c r="B10">
        <v>-1254.3509635792445</v>
      </c>
      <c r="C10">
        <v>97237.747084700532</v>
      </c>
      <c r="D10">
        <v>-1219.7026175196897</v>
      </c>
      <c r="E10">
        <v>-1.4473509635792444E-2</v>
      </c>
      <c r="F10">
        <v>95869.954259363134</v>
      </c>
      <c r="G10">
        <v>-1447.3509635792443</v>
      </c>
      <c r="H10">
        <v>95885.012465629639</v>
      </c>
      <c r="I10">
        <v>-1387.7926518493691</v>
      </c>
    </row>
    <row r="11" spans="1:9" x14ac:dyDescent="0.3">
      <c r="A11">
        <v>96002.603295783891</v>
      </c>
      <c r="B11">
        <v>-898.48775652247082</v>
      </c>
      <c r="C11">
        <v>96012.044467180836</v>
      </c>
      <c r="D11">
        <v>-862.65646432453013</v>
      </c>
      <c r="E11">
        <v>-1.0914877565224707E-2</v>
      </c>
      <c r="F11">
        <v>94410.603295783891</v>
      </c>
      <c r="G11">
        <v>-1091.4877565224708</v>
      </c>
      <c r="H11">
        <v>94485.219813780277</v>
      </c>
      <c r="I11">
        <v>-1031.2946059907554</v>
      </c>
    </row>
    <row r="12" spans="1:9" x14ac:dyDescent="0.3">
      <c r="A12">
        <v>95098.115539261416</v>
      </c>
      <c r="B12">
        <v>-1018.8861578538313</v>
      </c>
      <c r="C12">
        <v>95143.3880028563</v>
      </c>
      <c r="D12">
        <v>-969.40281047426561</v>
      </c>
      <c r="E12">
        <v>-1.2118861578538313E-2</v>
      </c>
      <c r="F12">
        <v>93307.115539261416</v>
      </c>
      <c r="G12">
        <v>-1211.8861578538313</v>
      </c>
      <c r="H12">
        <v>93441.925207789522</v>
      </c>
      <c r="I12">
        <v>-1132.4097572253311</v>
      </c>
    </row>
    <row r="13" spans="1:9" x14ac:dyDescent="0.3">
      <c r="A13">
        <v>94073.229381407582</v>
      </c>
      <c r="B13">
        <v>2453.0487300405421</v>
      </c>
      <c r="C13">
        <v>94167.985192382039</v>
      </c>
      <c r="D13">
        <v>2309.9865648664936</v>
      </c>
      <c r="E13">
        <v>2.2600487300405422E-2</v>
      </c>
      <c r="F13">
        <v>92083.229381407582</v>
      </c>
      <c r="G13">
        <v>2260.0487300405421</v>
      </c>
      <c r="H13">
        <v>92297.515450564184</v>
      </c>
      <c r="I13">
        <v>2085.968825799449</v>
      </c>
    </row>
    <row r="14" spans="1:9" x14ac:dyDescent="0.3">
      <c r="A14">
        <v>96520.278111448119</v>
      </c>
      <c r="B14">
        <v>-1070.7734311676084</v>
      </c>
      <c r="C14">
        <v>96471.971757248539</v>
      </c>
      <c r="D14">
        <v>-1032.9962421001362</v>
      </c>
      <c r="E14">
        <v>-1.2637734311676084E-2</v>
      </c>
      <c r="F14">
        <v>94331.278111448119</v>
      </c>
      <c r="G14">
        <v>-1263.7734311676084</v>
      </c>
      <c r="H14">
        <v>94371.484276363626</v>
      </c>
      <c r="I14">
        <v>-1192.6417448832005</v>
      </c>
    </row>
    <row r="15" spans="1:9" x14ac:dyDescent="0.3">
      <c r="A15">
        <v>95443.504680280515</v>
      </c>
      <c r="B15">
        <v>2204.8182514684631</v>
      </c>
      <c r="C15">
        <v>95432.975515148399</v>
      </c>
      <c r="D15">
        <v>2104.1236620774216</v>
      </c>
      <c r="E15">
        <v>2.011818251468463E-2</v>
      </c>
      <c r="F15">
        <v>93055.504680280515</v>
      </c>
      <c r="G15">
        <v>2011.8182514684629</v>
      </c>
      <c r="H15">
        <v>93166.842531480419</v>
      </c>
      <c r="I15">
        <v>1874.3475423652058</v>
      </c>
    </row>
    <row r="16" spans="1:9" x14ac:dyDescent="0.3">
      <c r="A16">
        <v>97642.322931748975</v>
      </c>
      <c r="B16">
        <v>-670.30526905597321</v>
      </c>
      <c r="C16">
        <v>97531.099177225813</v>
      </c>
      <c r="D16">
        <v>-653.7560967531515</v>
      </c>
      <c r="E16">
        <v>-8.6330526905597314E-3</v>
      </c>
      <c r="F16">
        <v>95055.322931748975</v>
      </c>
      <c r="G16">
        <v>-863.3052690559731</v>
      </c>
      <c r="H16">
        <v>95029.190073845632</v>
      </c>
      <c r="I16">
        <v>-820.3920050487252</v>
      </c>
    </row>
    <row r="17" spans="1:9" x14ac:dyDescent="0.3">
      <c r="A17">
        <v>96966.017662693004</v>
      </c>
      <c r="B17">
        <v>374.49330233132224</v>
      </c>
      <c r="C17">
        <v>96871.343080472667</v>
      </c>
      <c r="D17">
        <v>362.77669171476691</v>
      </c>
      <c r="E17">
        <v>1.8149330233132226E-3</v>
      </c>
      <c r="F17">
        <v>94180.017662693004</v>
      </c>
      <c r="G17">
        <v>181.49330233132227</v>
      </c>
      <c r="H17">
        <v>94196.79806879691</v>
      </c>
      <c r="I17">
        <v>170.9608795054267</v>
      </c>
    </row>
    <row r="18" spans="1:9" x14ac:dyDescent="0.3">
      <c r="A18">
        <v>97334.510965024325</v>
      </c>
      <c r="B18">
        <v>2839.3795667222194</v>
      </c>
      <c r="C18">
        <v>97228.119772187434</v>
      </c>
      <c r="D18">
        <v>2760.6753659196961</v>
      </c>
      <c r="E18">
        <v>2.6463795667222192E-2</v>
      </c>
      <c r="F18">
        <v>94349.510965024325</v>
      </c>
      <c r="G18">
        <v>2646.3795667222194</v>
      </c>
      <c r="H18">
        <v>94355.758948302333</v>
      </c>
      <c r="I18">
        <v>2497.0115248335451</v>
      </c>
    </row>
    <row r="19" spans="1:9" x14ac:dyDescent="0.3">
      <c r="A19">
        <v>100167.89053174654</v>
      </c>
      <c r="B19">
        <v>1688.8360558299589</v>
      </c>
      <c r="C19">
        <v>99982.795138107133</v>
      </c>
      <c r="D19">
        <v>1688.5454939189565</v>
      </c>
      <c r="E19">
        <v>1.4958360558299589E-2</v>
      </c>
      <c r="F19">
        <v>96983.89053174654</v>
      </c>
      <c r="G19">
        <v>1495.8360558299589</v>
      </c>
      <c r="H19">
        <v>96840.770473135883</v>
      </c>
      <c r="I19">
        <v>1448.5791614806992</v>
      </c>
    </row>
    <row r="20" spans="1:9" x14ac:dyDescent="0.3">
      <c r="A20">
        <v>101850.7265875765</v>
      </c>
      <c r="B20">
        <v>-209.04102430101176</v>
      </c>
      <c r="C20">
        <v>101665.34063202608</v>
      </c>
      <c r="D20">
        <v>-212.52226941630005</v>
      </c>
      <c r="E20">
        <v>-4.0204102430101175E-3</v>
      </c>
      <c r="F20">
        <v>98467.726587576501</v>
      </c>
      <c r="G20">
        <v>-402.04102430101176</v>
      </c>
      <c r="H20">
        <v>98277.349634616578</v>
      </c>
      <c r="I20">
        <v>-395.11526312689909</v>
      </c>
    </row>
    <row r="21" spans="1:9" x14ac:dyDescent="0.3">
      <c r="A21">
        <v>101635.68556327549</v>
      </c>
      <c r="B21">
        <v>-593.56898704381717</v>
      </c>
      <c r="C21">
        <v>101446.81836260979</v>
      </c>
      <c r="D21">
        <v>-602.15685214312396</v>
      </c>
      <c r="E21">
        <v>-7.8656898704381716E-3</v>
      </c>
      <c r="F21">
        <v>98053.685563275489</v>
      </c>
      <c r="G21">
        <v>-786.56898704381717</v>
      </c>
      <c r="H21">
        <v>97870.234371489685</v>
      </c>
      <c r="I21">
        <v>-769.81691111323619</v>
      </c>
    </row>
    <row r="22" spans="1:9" x14ac:dyDescent="0.3">
      <c r="A22">
        <v>101036.11657623167</v>
      </c>
      <c r="B22">
        <v>1746.8593480581308</v>
      </c>
      <c r="C22">
        <v>100838.66151046667</v>
      </c>
      <c r="D22">
        <v>1761.5095850522835</v>
      </c>
      <c r="E22">
        <v>1.5538593480581309E-2</v>
      </c>
      <c r="F22">
        <v>97255.116576231667</v>
      </c>
      <c r="G22">
        <v>1553.859348058131</v>
      </c>
      <c r="H22">
        <v>97088.417460376455</v>
      </c>
      <c r="I22">
        <v>1508.617450589762</v>
      </c>
    </row>
    <row r="23" spans="1:9" x14ac:dyDescent="0.3">
      <c r="A23">
        <v>102776.9759242898</v>
      </c>
      <c r="B23">
        <v>1956.6313666162357</v>
      </c>
      <c r="C23">
        <v>102594.17109551895</v>
      </c>
      <c r="D23">
        <v>2007.3897319748514</v>
      </c>
      <c r="E23">
        <v>1.7636313666162355E-2</v>
      </c>
      <c r="F23">
        <v>98796.9759242898</v>
      </c>
      <c r="G23">
        <v>1763.6313666162355</v>
      </c>
      <c r="H23">
        <v>98585.03491096622</v>
      </c>
      <c r="I23">
        <v>1738.6765984793665</v>
      </c>
    </row>
    <row r="24" spans="1:9" x14ac:dyDescent="0.3">
      <c r="A24">
        <v>104727.60729090603</v>
      </c>
      <c r="B24">
        <v>-2106.6846725185605</v>
      </c>
      <c r="C24">
        <v>104595.5608274938</v>
      </c>
      <c r="D24">
        <v>-2203.4986480876396</v>
      </c>
      <c r="E24">
        <v>-2.2996846725185607E-2</v>
      </c>
      <c r="F24">
        <v>100548.60729090603</v>
      </c>
      <c r="G24">
        <v>-2299.6846725185605</v>
      </c>
      <c r="H24">
        <v>100311.71150944558</v>
      </c>
      <c r="I24">
        <v>-2306.8530543237571</v>
      </c>
    </row>
    <row r="25" spans="1:9" x14ac:dyDescent="0.3">
      <c r="A25">
        <v>102614.92261838747</v>
      </c>
      <c r="B25">
        <v>466.13760690345163</v>
      </c>
      <c r="C25">
        <v>102386.06217940616</v>
      </c>
      <c r="D25">
        <v>477.25994004576381</v>
      </c>
      <c r="E25">
        <v>2.7313760690345157E-3</v>
      </c>
      <c r="F25">
        <v>98236.922618387471</v>
      </c>
      <c r="G25">
        <v>273.13760690345157</v>
      </c>
      <c r="H25">
        <v>97992.858455121823</v>
      </c>
      <c r="I25">
        <v>267.65534852060637</v>
      </c>
    </row>
    <row r="26" spans="1:9" x14ac:dyDescent="0.3">
      <c r="A26">
        <v>103075.06022529092</v>
      </c>
      <c r="B26">
        <v>-48.678855852172042</v>
      </c>
      <c r="C26">
        <v>102857.32211945193</v>
      </c>
      <c r="D26">
        <v>-50.069767567932274</v>
      </c>
      <c r="E26">
        <v>-2.4167885585217206E-3</v>
      </c>
      <c r="F26">
        <v>98498.060225290916</v>
      </c>
      <c r="G26">
        <v>-241.67885585217206</v>
      </c>
      <c r="H26">
        <v>98248.513803642432</v>
      </c>
      <c r="I26">
        <v>-237.44588405240637</v>
      </c>
    </row>
    <row r="27" spans="1:9" x14ac:dyDescent="0.3">
      <c r="A27">
        <v>103020.38136943875</v>
      </c>
      <c r="B27">
        <v>-2733.415233415235</v>
      </c>
      <c r="C27">
        <v>102801.252351884</v>
      </c>
      <c r="D27">
        <v>-2809.9850919280348</v>
      </c>
      <c r="E27">
        <v>-2.926415233415235E-2</v>
      </c>
      <c r="F27">
        <v>98244.38136943875</v>
      </c>
      <c r="G27">
        <v>-2926.415233415235</v>
      </c>
      <c r="H27">
        <v>97999.06791959003</v>
      </c>
      <c r="I27">
        <v>-2867.8596522038251</v>
      </c>
    </row>
    <row r="28" spans="1:9" x14ac:dyDescent="0.3">
      <c r="A28">
        <v>100280.96613602352</v>
      </c>
      <c r="B28">
        <v>2249.0430578194487</v>
      </c>
      <c r="C28">
        <v>99985.267259955974</v>
      </c>
      <c r="D28">
        <v>2248.711712152262</v>
      </c>
      <c r="E28">
        <v>2.0560430578194486E-2</v>
      </c>
      <c r="F28">
        <v>95305.966136023519</v>
      </c>
      <c r="G28">
        <v>2056.0430578194487</v>
      </c>
      <c r="H28">
        <v>95119.208267386202</v>
      </c>
      <c r="I28">
        <v>1955.6918782344171</v>
      </c>
    </row>
    <row r="29" spans="1:9" x14ac:dyDescent="0.3">
      <c r="A29">
        <v>102524.00919384297</v>
      </c>
      <c r="B29">
        <v>3744.3405871184441</v>
      </c>
      <c r="C29">
        <v>102227.97897210823</v>
      </c>
      <c r="D29">
        <v>3827.7637080435575</v>
      </c>
      <c r="E29">
        <v>3.5513405871184442E-2</v>
      </c>
      <c r="F29">
        <v>97350.009193842969</v>
      </c>
      <c r="G29">
        <v>3551.3405871184441</v>
      </c>
      <c r="H29">
        <v>97062.900145620617</v>
      </c>
      <c r="I29">
        <v>3447.0341679056723</v>
      </c>
    </row>
    <row r="30" spans="1:9" x14ac:dyDescent="0.3">
      <c r="A30">
        <v>106262.34978096141</v>
      </c>
      <c r="B30">
        <v>462.02604146780578</v>
      </c>
      <c r="C30">
        <v>106049.74268015179</v>
      </c>
      <c r="D30">
        <v>489.97742809189941</v>
      </c>
      <c r="E30">
        <v>2.6902604146780574E-3</v>
      </c>
      <c r="F30">
        <v>100889.34978096141</v>
      </c>
      <c r="G30">
        <v>269.02604146780573</v>
      </c>
      <c r="H30">
        <v>100497.93431352629</v>
      </c>
      <c r="I30">
        <v>270.36561444059544</v>
      </c>
    </row>
    <row r="31" spans="1:9" x14ac:dyDescent="0.3">
      <c r="A31">
        <v>106718.37582242921</v>
      </c>
      <c r="B31">
        <v>-1431.6954189484854</v>
      </c>
      <c r="C31">
        <v>106533.72010824368</v>
      </c>
      <c r="D31">
        <v>-1525.2383904251262</v>
      </c>
      <c r="E31">
        <v>-1.6246954189484856E-2</v>
      </c>
      <c r="F31">
        <v>101146.37582242921</v>
      </c>
      <c r="G31">
        <v>-1624.6954189484857</v>
      </c>
      <c r="H31">
        <v>100756.29992796689</v>
      </c>
      <c r="I31">
        <v>-1636.9829892316743</v>
      </c>
    </row>
    <row r="32" spans="1:9" x14ac:dyDescent="0.3">
      <c r="A32">
        <v>105280.68040348073</v>
      </c>
      <c r="B32">
        <v>95.433856996032489</v>
      </c>
      <c r="C32">
        <v>105002.48171781855</v>
      </c>
      <c r="D32">
        <v>100.20791824486811</v>
      </c>
      <c r="E32">
        <v>-9.7566143003967516E-4</v>
      </c>
      <c r="F32">
        <v>99509.680403480728</v>
      </c>
      <c r="G32">
        <v>-97.566143003967511</v>
      </c>
      <c r="H32">
        <v>99107.31693873521</v>
      </c>
      <c r="I32">
        <v>-96.695186571841717</v>
      </c>
    </row>
    <row r="33" spans="1:9" x14ac:dyDescent="0.3">
      <c r="A33">
        <v>105370.11426047677</v>
      </c>
      <c r="B33">
        <v>-228.82869474624539</v>
      </c>
      <c r="C33">
        <v>105096.68963606341</v>
      </c>
      <c r="D33">
        <v>-240.49138311571647</v>
      </c>
      <c r="E33">
        <v>-4.2182869474624539E-3</v>
      </c>
      <c r="F33">
        <v>99400.114260476767</v>
      </c>
      <c r="G33">
        <v>-421.82869474624539</v>
      </c>
      <c r="H33">
        <v>98998.621752163366</v>
      </c>
      <c r="I33">
        <v>-417.60459395392331</v>
      </c>
    </row>
    <row r="34" spans="1:9" x14ac:dyDescent="0.3">
      <c r="A34">
        <v>105135.28556573052</v>
      </c>
      <c r="B34">
        <v>-694.97045902137404</v>
      </c>
      <c r="C34">
        <v>104850.1982529477</v>
      </c>
      <c r="D34">
        <v>-728.67790408333133</v>
      </c>
      <c r="E34">
        <v>-8.8797045902137411E-3</v>
      </c>
      <c r="F34">
        <v>98966.285565730519</v>
      </c>
      <c r="G34">
        <v>-887.97045902137415</v>
      </c>
      <c r="H34">
        <v>98569.017158209448</v>
      </c>
      <c r="I34">
        <v>-875.26375411260949</v>
      </c>
    </row>
    <row r="35" spans="1:9" x14ac:dyDescent="0.3">
      <c r="A35">
        <v>104434.31510670914</v>
      </c>
      <c r="B35">
        <v>-553.05044899217717</v>
      </c>
      <c r="C35">
        <v>104115.52034886436</v>
      </c>
      <c r="D35">
        <v>-575.81135275993597</v>
      </c>
      <c r="E35">
        <v>-7.4605044899217722E-3</v>
      </c>
      <c r="F35">
        <v>98066.315106709138</v>
      </c>
      <c r="G35">
        <v>-746.05044899217717</v>
      </c>
      <c r="H35">
        <v>97681.753404096846</v>
      </c>
      <c r="I35">
        <v>-728.75515985469588</v>
      </c>
    </row>
    <row r="36" spans="1:9" x14ac:dyDescent="0.3">
      <c r="A36">
        <v>103875.26465771697</v>
      </c>
      <c r="B36">
        <v>-666.15575075163326</v>
      </c>
      <c r="C36">
        <v>103533.70899610443</v>
      </c>
      <c r="D36">
        <v>-689.69575644401061</v>
      </c>
      <c r="E36">
        <v>-8.5915575075163324E-3</v>
      </c>
      <c r="F36">
        <v>97308.264657716965</v>
      </c>
      <c r="G36">
        <v>-859.15575075163326</v>
      </c>
      <c r="H36">
        <v>96940.998244242146</v>
      </c>
      <c r="I36">
        <v>-832.87416125144625</v>
      </c>
    </row>
    <row r="37" spans="1:9" x14ac:dyDescent="0.3">
      <c r="A37">
        <v>103203.10890696534</v>
      </c>
      <c r="B37">
        <v>-925.14221601086331</v>
      </c>
      <c r="C37">
        <v>102838.01323966042</v>
      </c>
      <c r="D37">
        <v>-951.39787458693945</v>
      </c>
      <c r="E37">
        <v>-1.1181422160108633E-2</v>
      </c>
      <c r="F37">
        <v>96437.108906965339</v>
      </c>
      <c r="G37">
        <v>-1118.1422160108632</v>
      </c>
      <c r="H37">
        <v>96096.124082990704</v>
      </c>
      <c r="I37">
        <v>-1074.4913313221011</v>
      </c>
    </row>
    <row r="38" spans="1:9" x14ac:dyDescent="0.3">
      <c r="A38">
        <v>102271.96669095448</v>
      </c>
      <c r="B38">
        <v>299.39533882550393</v>
      </c>
      <c r="C38">
        <v>101880.61536507348</v>
      </c>
      <c r="D38">
        <v>305.02581356977015</v>
      </c>
      <c r="E38">
        <v>1.0639533882550393E-3</v>
      </c>
      <c r="F38">
        <v>95306.966690954476</v>
      </c>
      <c r="G38">
        <v>106.39533882550393</v>
      </c>
      <c r="H38">
        <v>95009.6327516686</v>
      </c>
      <c r="I38">
        <v>101.08582068300475</v>
      </c>
    </row>
    <row r="39" spans="1:9" x14ac:dyDescent="0.3">
      <c r="A39">
        <v>102565.36202977998</v>
      </c>
      <c r="B39">
        <v>-200.19619226842306</v>
      </c>
      <c r="C39">
        <v>102179.64117864324</v>
      </c>
      <c r="D39">
        <v>-204.55975091318143</v>
      </c>
      <c r="E39">
        <v>-3.9319619226842305E-3</v>
      </c>
      <c r="F39">
        <v>95401.362029779979</v>
      </c>
      <c r="G39">
        <v>-393.19619226842303</v>
      </c>
      <c r="H39">
        <v>95098.718572351601</v>
      </c>
      <c r="I39">
        <v>-373.92454032255017</v>
      </c>
    </row>
    <row r="40" spans="1:9" x14ac:dyDescent="0.3">
      <c r="A40">
        <v>102359.16583751155</v>
      </c>
      <c r="B40">
        <v>1024.8699127475629</v>
      </c>
      <c r="C40">
        <v>101969.08142773007</v>
      </c>
      <c r="D40">
        <v>1045.0504358578685</v>
      </c>
      <c r="E40">
        <v>8.3186991274756296E-3</v>
      </c>
      <c r="F40">
        <v>94996.165837511551</v>
      </c>
      <c r="G40">
        <v>831.86991274756292</v>
      </c>
      <c r="H40">
        <v>94712.794032029051</v>
      </c>
      <c r="I40">
        <v>787.88723707501913</v>
      </c>
    </row>
    <row r="41" spans="1:9" x14ac:dyDescent="0.3">
      <c r="A41">
        <v>103378.03575025912</v>
      </c>
      <c r="B41">
        <v>-216.97639377197069</v>
      </c>
      <c r="C41">
        <v>103008.13186358793</v>
      </c>
      <c r="D41">
        <v>-223.50332980948934</v>
      </c>
      <c r="E41">
        <v>-4.0997639377197068E-3</v>
      </c>
      <c r="F41">
        <v>95816.035750259121</v>
      </c>
      <c r="G41">
        <v>-409.97639377197066</v>
      </c>
      <c r="H41">
        <v>95488.681269104069</v>
      </c>
      <c r="I41">
        <v>-391.48105192748409</v>
      </c>
    </row>
    <row r="42" spans="1:9" x14ac:dyDescent="0.3">
      <c r="A42">
        <v>103155.05935648715</v>
      </c>
      <c r="B42">
        <v>1841.1509185828734</v>
      </c>
      <c r="C42">
        <v>102778.62853377844</v>
      </c>
      <c r="D42">
        <v>1892.3096633565408</v>
      </c>
      <c r="E42">
        <v>1.6481509185828733E-2</v>
      </c>
      <c r="F42">
        <v>95394.059356487152</v>
      </c>
      <c r="G42">
        <v>1648.1509185828734</v>
      </c>
      <c r="H42">
        <v>95085.200217176578</v>
      </c>
      <c r="I42">
        <v>1567.1476008157599</v>
      </c>
    </row>
    <row r="43" spans="1:9" x14ac:dyDescent="0.3">
      <c r="A43">
        <v>104990.21027507003</v>
      </c>
      <c r="B43">
        <v>-1852.1523917718171</v>
      </c>
      <c r="C43">
        <v>104664.93819713498</v>
      </c>
      <c r="D43">
        <v>-1938.5541561647296</v>
      </c>
      <c r="E43">
        <v>-2.0451523917718172E-2</v>
      </c>
      <c r="F43">
        <v>97030.210275070029</v>
      </c>
      <c r="G43">
        <v>-2045.1523917718171</v>
      </c>
      <c r="H43">
        <v>96640.34781799234</v>
      </c>
      <c r="I43">
        <v>-1976.4423848162735</v>
      </c>
    </row>
    <row r="44" spans="1:9" x14ac:dyDescent="0.3">
      <c r="A44">
        <v>103132.05788329821</v>
      </c>
      <c r="B44">
        <v>-1238.7766832497573</v>
      </c>
      <c r="C44">
        <v>102720.38404097025</v>
      </c>
      <c r="D44">
        <v>-1272.4761664441442</v>
      </c>
      <c r="E44">
        <v>-1.4317766832497572E-2</v>
      </c>
      <c r="F44">
        <v>94973.057883298214</v>
      </c>
      <c r="G44">
        <v>-1431.7766832497571</v>
      </c>
      <c r="H44">
        <v>94651.905433176071</v>
      </c>
      <c r="I44">
        <v>-1355.203912243825</v>
      </c>
    </row>
    <row r="45" spans="1:9" x14ac:dyDescent="0.3">
      <c r="A45">
        <v>101887.28120004846</v>
      </c>
      <c r="B45">
        <v>-183.28588698669049</v>
      </c>
      <c r="C45">
        <v>101441.90787452611</v>
      </c>
      <c r="D45">
        <v>-185.9287006240466</v>
      </c>
      <c r="E45">
        <v>-3.7628588698669051E-3</v>
      </c>
      <c r="F45">
        <v>93529.281200048456</v>
      </c>
      <c r="G45">
        <v>-376.28588698669051</v>
      </c>
      <c r="H45">
        <v>93284.701520932242</v>
      </c>
      <c r="I45">
        <v>-351.01716654092667</v>
      </c>
    </row>
    <row r="46" spans="1:9" x14ac:dyDescent="0.3">
      <c r="A46">
        <v>101697.99531306177</v>
      </c>
      <c r="B46">
        <v>763.12040127252283</v>
      </c>
      <c r="C46">
        <v>101249.97917390206</v>
      </c>
      <c r="D46">
        <v>772.65924736022714</v>
      </c>
      <c r="E46">
        <v>5.7012040127252276E-3</v>
      </c>
      <c r="F46">
        <v>93140.995313061765</v>
      </c>
      <c r="G46">
        <v>570.12040127252271</v>
      </c>
      <c r="H46">
        <v>92921.684354391313</v>
      </c>
      <c r="I46">
        <v>529.76547971044272</v>
      </c>
    </row>
    <row r="47" spans="1:9" x14ac:dyDescent="0.3">
      <c r="A47">
        <v>102455.11571433429</v>
      </c>
      <c r="B47">
        <v>125.93962769097296</v>
      </c>
      <c r="C47">
        <v>102016.63842126228</v>
      </c>
      <c r="D47">
        <v>128.47937461058379</v>
      </c>
      <c r="E47">
        <v>-6.7060372309027047E-4</v>
      </c>
      <c r="F47">
        <v>93699.115714334286</v>
      </c>
      <c r="G47">
        <v>-67.060372309027045</v>
      </c>
      <c r="H47">
        <v>93439.449834101761</v>
      </c>
      <c r="I47">
        <v>-62.660842942255194</v>
      </c>
    </row>
    <row r="48" spans="1:9" x14ac:dyDescent="0.3">
      <c r="A48">
        <v>102575.05534202525</v>
      </c>
      <c r="B48">
        <v>1416.4029226741686</v>
      </c>
      <c r="C48">
        <v>102139.11779587287</v>
      </c>
      <c r="D48">
        <v>1446.7014496543552</v>
      </c>
      <c r="E48">
        <v>1.2234029226741687E-2</v>
      </c>
      <c r="F48">
        <v>93620.055342025255</v>
      </c>
      <c r="G48">
        <v>1223.4029226741686</v>
      </c>
      <c r="H48">
        <v>93364.788991159512</v>
      </c>
      <c r="I48">
        <v>1142.2275572664159</v>
      </c>
    </row>
    <row r="49" spans="1:9" x14ac:dyDescent="0.3">
      <c r="A49">
        <v>103985.45826469942</v>
      </c>
      <c r="B49">
        <v>955.94678562893557</v>
      </c>
      <c r="C49">
        <v>103579.81924552722</v>
      </c>
      <c r="D49">
        <v>990.16795263787901</v>
      </c>
      <c r="E49">
        <v>7.6294678562893554E-3</v>
      </c>
      <c r="F49">
        <v>94831.458264699424</v>
      </c>
      <c r="G49">
        <v>762.94678562893557</v>
      </c>
      <c r="H49">
        <v>94495.016548425934</v>
      </c>
      <c r="I49">
        <v>720.94669133574632</v>
      </c>
    </row>
    <row r="50" spans="1:9" x14ac:dyDescent="0.3">
      <c r="A50">
        <v>104935.40505032837</v>
      </c>
      <c r="B50">
        <v>-2622.5930939728887</v>
      </c>
      <c r="C50">
        <v>104563.98719816509</v>
      </c>
      <c r="D50">
        <v>-2742.287907041773</v>
      </c>
      <c r="E50">
        <v>-2.8155930939728888E-2</v>
      </c>
      <c r="F50">
        <v>95582.405050328365</v>
      </c>
      <c r="G50">
        <v>-2815.5930939728887</v>
      </c>
      <c r="H50">
        <v>95203.963239761681</v>
      </c>
      <c r="I50">
        <v>-2680.5562141672176</v>
      </c>
    </row>
    <row r="51" spans="1:9" x14ac:dyDescent="0.3">
      <c r="A51">
        <v>102306.81195635548</v>
      </c>
      <c r="B51">
        <v>-1387.4294609846265</v>
      </c>
      <c r="C51">
        <v>101815.69929112332</v>
      </c>
      <c r="D51">
        <v>-1412.6210078725605</v>
      </c>
      <c r="E51">
        <v>-1.5804294609846267E-2</v>
      </c>
      <c r="F51">
        <v>92754.811956355479</v>
      </c>
      <c r="G51">
        <v>-1580.4294609846268</v>
      </c>
      <c r="H51">
        <v>92511.407025594468</v>
      </c>
      <c r="I51">
        <v>-1462.0775314038967</v>
      </c>
    </row>
    <row r="52" spans="1:9" x14ac:dyDescent="0.3">
      <c r="A52">
        <v>100913.38249537085</v>
      </c>
      <c r="B52">
        <v>-2065.5270655270688</v>
      </c>
      <c r="C52">
        <v>100397.07828325077</v>
      </c>
      <c r="D52">
        <v>-2073.7288249389435</v>
      </c>
      <c r="E52">
        <v>-2.2585270655270689E-2</v>
      </c>
      <c r="F52">
        <v>91162.382495370854</v>
      </c>
      <c r="G52">
        <v>-2258.5270655270688</v>
      </c>
      <c r="H52">
        <v>91037.329494190577</v>
      </c>
      <c r="I52">
        <v>-2056.1027263593514</v>
      </c>
    </row>
    <row r="53" spans="1:9" x14ac:dyDescent="0.3">
      <c r="A53">
        <v>98841.855429843781</v>
      </c>
      <c r="B53">
        <v>-4160.6913729337975</v>
      </c>
      <c r="C53">
        <v>98317.34945831183</v>
      </c>
      <c r="D53">
        <v>-4090.6814770091542</v>
      </c>
      <c r="E53">
        <v>-4.3536913729337975E-2</v>
      </c>
      <c r="F53">
        <v>88891.855429843781</v>
      </c>
      <c r="G53">
        <v>-4353.6913729337975</v>
      </c>
      <c r="H53">
        <v>88969.22676783122</v>
      </c>
      <c r="I53">
        <v>-3873.4455503569748</v>
      </c>
    </row>
    <row r="54" spans="1:9" x14ac:dyDescent="0.3">
      <c r="A54">
        <v>94675.164056909984</v>
      </c>
      <c r="B54">
        <v>-418.74090182054186</v>
      </c>
      <c r="C54">
        <v>94220.667981302671</v>
      </c>
      <c r="D54">
        <v>-394.54047480624536</v>
      </c>
      <c r="E54">
        <v>-6.1174090182054188E-3</v>
      </c>
      <c r="F54">
        <v>84526.164056909984</v>
      </c>
      <c r="G54">
        <v>-611.74090182054192</v>
      </c>
      <c r="H54">
        <v>85083.781217474243</v>
      </c>
      <c r="I54">
        <v>-520.49229052279372</v>
      </c>
    </row>
    <row r="55" spans="1:9" x14ac:dyDescent="0.3">
      <c r="A55">
        <v>94250.423155089447</v>
      </c>
      <c r="B55">
        <v>1832.8432522143996</v>
      </c>
      <c r="C55">
        <v>93820.127506496428</v>
      </c>
      <c r="D55">
        <v>1719.5758762217656</v>
      </c>
      <c r="E55">
        <v>1.6398432522143996E-2</v>
      </c>
      <c r="F55">
        <v>83902.423155089447</v>
      </c>
      <c r="G55">
        <v>1639.8432522143996</v>
      </c>
      <c r="H55">
        <v>84551.288926951456</v>
      </c>
      <c r="I55">
        <v>1386.5086061289142</v>
      </c>
    </row>
    <row r="56" spans="1:9" x14ac:dyDescent="0.3">
      <c r="A56">
        <v>96077.266407303847</v>
      </c>
      <c r="B56">
        <v>436.75274335316504</v>
      </c>
      <c r="C56">
        <v>95533.703382718188</v>
      </c>
      <c r="D56">
        <v>417.24607035089707</v>
      </c>
      <c r="E56">
        <v>2.4375274335316499E-3</v>
      </c>
      <c r="F56">
        <v>85530.266407303847</v>
      </c>
      <c r="G56">
        <v>243.75274335316499</v>
      </c>
      <c r="H56">
        <v>85925.797533080375</v>
      </c>
      <c r="I56">
        <v>209.44648873496959</v>
      </c>
    </row>
    <row r="57" spans="1:9" x14ac:dyDescent="0.3">
      <c r="A57">
        <v>96508.019150657012</v>
      </c>
      <c r="B57">
        <v>491.67443475718858</v>
      </c>
      <c r="C57">
        <v>95944.949453069086</v>
      </c>
      <c r="D57">
        <v>471.73678790144777</v>
      </c>
      <c r="E57">
        <v>2.9867443475718857E-3</v>
      </c>
      <c r="F57">
        <v>85762.019150657012</v>
      </c>
      <c r="G57">
        <v>298.67443475718858</v>
      </c>
      <c r="H57">
        <v>86123.24402181535</v>
      </c>
      <c r="I57">
        <v>257.22811227671122</v>
      </c>
    </row>
    <row r="58" spans="1:9" x14ac:dyDescent="0.3">
      <c r="A58">
        <v>96993.693585414207</v>
      </c>
      <c r="B58">
        <v>57.594355753145202</v>
      </c>
      <c r="C58">
        <v>96410.686240970535</v>
      </c>
      <c r="D58">
        <v>55.52711361767318</v>
      </c>
      <c r="E58">
        <v>-1.3540564424685481E-3</v>
      </c>
      <c r="F58">
        <v>86048.693585414207</v>
      </c>
      <c r="G58">
        <v>-135.40564424685482</v>
      </c>
      <c r="H58">
        <v>86368.472134092066</v>
      </c>
      <c r="I58">
        <v>-116.94778611933263</v>
      </c>
    </row>
    <row r="59" spans="1:9" x14ac:dyDescent="0.3">
      <c r="A59">
        <v>97045.287941167349</v>
      </c>
      <c r="B59">
        <v>-1121.1247296323049</v>
      </c>
      <c r="C59">
        <v>96460.21335458821</v>
      </c>
      <c r="D59">
        <v>-1081.4393061743717</v>
      </c>
      <c r="E59">
        <v>-1.3141247296323049E-2</v>
      </c>
      <c r="F59">
        <v>85901.287941167349</v>
      </c>
      <c r="G59">
        <v>-1314.1247296323049</v>
      </c>
      <c r="H59">
        <v>86239.524347972736</v>
      </c>
      <c r="I59">
        <v>-1133.2949161739825</v>
      </c>
    </row>
    <row r="60" spans="1:9" x14ac:dyDescent="0.3">
      <c r="A60">
        <v>95918.163211535051</v>
      </c>
      <c r="B60">
        <v>1500.5702879954304</v>
      </c>
      <c r="C60">
        <v>95372.774048413834</v>
      </c>
      <c r="D60">
        <v>1431.1355102075145</v>
      </c>
      <c r="E60">
        <v>1.3075702879954304E-2</v>
      </c>
      <c r="F60">
        <v>84575.163211535051</v>
      </c>
      <c r="G60">
        <v>1307.5702879954304</v>
      </c>
      <c r="H60">
        <v>85094.229431798754</v>
      </c>
      <c r="I60">
        <v>1112.6668608488633</v>
      </c>
    </row>
    <row r="61" spans="1:9" x14ac:dyDescent="0.3">
      <c r="A61">
        <v>97412.733499530485</v>
      </c>
      <c r="B61">
        <v>175.8520667149746</v>
      </c>
      <c r="C61">
        <v>96797.909558621352</v>
      </c>
      <c r="D61">
        <v>170.22112449572759</v>
      </c>
      <c r="E61">
        <v>-1.7147933285025408E-4</v>
      </c>
      <c r="F61">
        <v>85870.733499530485</v>
      </c>
      <c r="G61">
        <v>-17.147933285025406</v>
      </c>
      <c r="H61">
        <v>86194.896292647623</v>
      </c>
      <c r="I61">
        <v>-14.780643311360052</v>
      </c>
    </row>
    <row r="62" spans="1:9" x14ac:dyDescent="0.3">
      <c r="A62">
        <v>97582.585566245456</v>
      </c>
      <c r="B62">
        <v>-469.18090326277797</v>
      </c>
      <c r="C62">
        <v>96962.13068311708</v>
      </c>
      <c r="D62">
        <v>-454.92780056188388</v>
      </c>
      <c r="E62">
        <v>-6.62180903262778E-3</v>
      </c>
      <c r="F62">
        <v>85841.585566245456</v>
      </c>
      <c r="G62">
        <v>-662.18090326277797</v>
      </c>
      <c r="H62">
        <v>86168.115649336265</v>
      </c>
      <c r="I62">
        <v>-570.58880653129006</v>
      </c>
    </row>
    <row r="63" spans="1:9" x14ac:dyDescent="0.3">
      <c r="A63">
        <v>97107.404662982677</v>
      </c>
      <c r="B63">
        <v>-14.081284213127441</v>
      </c>
      <c r="C63">
        <v>96501.202882555197</v>
      </c>
      <c r="D63">
        <v>-13.588608646979328</v>
      </c>
      <c r="E63">
        <v>-2.0708128421312744E-3</v>
      </c>
      <c r="F63">
        <v>85167.404662982677</v>
      </c>
      <c r="G63">
        <v>-207.08128421312745</v>
      </c>
      <c r="H63">
        <v>85585.526842804975</v>
      </c>
      <c r="I63">
        <v>-177.23160808665145</v>
      </c>
    </row>
    <row r="64" spans="1:9" x14ac:dyDescent="0.3">
      <c r="A64">
        <v>97087.32337876955</v>
      </c>
      <c r="B64">
        <v>1611.0552940969078</v>
      </c>
      <c r="C64">
        <v>96481.614273908213</v>
      </c>
      <c r="D64">
        <v>1554.3721545899562</v>
      </c>
      <c r="E64">
        <v>1.4180552940969078E-2</v>
      </c>
      <c r="F64">
        <v>84948.32337876955</v>
      </c>
      <c r="G64">
        <v>1418.0552940969078</v>
      </c>
      <c r="H64">
        <v>85396.295234718316</v>
      </c>
      <c r="I64">
        <v>1210.9666855385485</v>
      </c>
    </row>
    <row r="65" spans="1:9" x14ac:dyDescent="0.3">
      <c r="A65">
        <v>98692.378672866456</v>
      </c>
      <c r="B65">
        <v>-274.10174936276582</v>
      </c>
      <c r="C65">
        <v>98029.986428498174</v>
      </c>
      <c r="D65">
        <v>-268.70190770059543</v>
      </c>
      <c r="E65">
        <v>-4.6710174936276582E-3</v>
      </c>
      <c r="F65">
        <v>86354.378672866456</v>
      </c>
      <c r="G65">
        <v>-467.10174936276582</v>
      </c>
      <c r="H65">
        <v>86595.26192025686</v>
      </c>
      <c r="I65">
        <v>-404.48798329478882</v>
      </c>
    </row>
    <row r="66" spans="1:9" x14ac:dyDescent="0.3">
      <c r="A66">
        <v>98412.276923503698</v>
      </c>
      <c r="B66">
        <v>-134.16270276864697</v>
      </c>
      <c r="C66">
        <v>97755.284520797577</v>
      </c>
      <c r="D66">
        <v>-131.15113181228281</v>
      </c>
      <c r="E66">
        <v>-3.2716270276864695E-3</v>
      </c>
      <c r="F66">
        <v>85875.276923503698</v>
      </c>
      <c r="G66">
        <v>-327.16270276864697</v>
      </c>
      <c r="H66">
        <v>86178.773936962069</v>
      </c>
      <c r="I66">
        <v>-281.9448060250474</v>
      </c>
    </row>
    <row r="67" spans="1:9" x14ac:dyDescent="0.3">
      <c r="A67">
        <v>98272.114220735049</v>
      </c>
      <c r="B67">
        <v>529.93336481451854</v>
      </c>
      <c r="C67">
        <v>97618.133388985298</v>
      </c>
      <c r="D67">
        <v>517.31105893737481</v>
      </c>
      <c r="E67">
        <v>3.3693336481451855E-3</v>
      </c>
      <c r="F67">
        <v>85536.114220735049</v>
      </c>
      <c r="G67">
        <v>336.93336481451854</v>
      </c>
      <c r="H67">
        <v>85884.829130937025</v>
      </c>
      <c r="I67">
        <v>289.37464465606593</v>
      </c>
    </row>
    <row r="68" spans="1:9" x14ac:dyDescent="0.3">
      <c r="A68">
        <v>98796.047585549575</v>
      </c>
      <c r="B68">
        <v>-3153.1451826948687</v>
      </c>
      <c r="C68">
        <v>98129.444447922666</v>
      </c>
      <c r="D68">
        <v>-3094.1638504149105</v>
      </c>
      <c r="E68">
        <v>-3.3461451826948686E-2</v>
      </c>
      <c r="F68">
        <v>85861.047585549575</v>
      </c>
      <c r="G68">
        <v>-3346.1451826948687</v>
      </c>
      <c r="H68">
        <v>86162.203775593094</v>
      </c>
      <c r="I68">
        <v>-2883.1124309407446</v>
      </c>
    </row>
    <row r="69" spans="1:9" x14ac:dyDescent="0.3">
      <c r="A69">
        <v>95636.902402854699</v>
      </c>
      <c r="B69">
        <v>-77.826395254307556</v>
      </c>
      <c r="C69">
        <v>95029.28059750775</v>
      </c>
      <c r="D69">
        <v>-73.957863525141391</v>
      </c>
      <c r="E69">
        <v>-2.7082639525430755E-3</v>
      </c>
      <c r="F69">
        <v>82502.902402854699</v>
      </c>
      <c r="G69">
        <v>-270.82639525430756</v>
      </c>
      <c r="H69">
        <v>83267.091344652348</v>
      </c>
      <c r="I69">
        <v>-225.50926192183348</v>
      </c>
    </row>
    <row r="70" spans="1:9" x14ac:dyDescent="0.3">
      <c r="A70">
        <v>95553.076007600393</v>
      </c>
      <c r="B70">
        <v>981.73036539269447</v>
      </c>
      <c r="C70">
        <v>94949.322733982612</v>
      </c>
      <c r="D70">
        <v>932.14633301421622</v>
      </c>
      <c r="E70">
        <v>7.8873036539269456E-3</v>
      </c>
      <c r="F70">
        <v>82220.076007600393</v>
      </c>
      <c r="G70">
        <v>788.73036539269458</v>
      </c>
      <c r="H70">
        <v>83029.582082730514</v>
      </c>
      <c r="I70">
        <v>654.87952614514768</v>
      </c>
    </row>
    <row r="71" spans="1:9" x14ac:dyDescent="0.3">
      <c r="A71">
        <v>96528.806372993087</v>
      </c>
      <c r="B71">
        <v>396.88114638945359</v>
      </c>
      <c r="C71">
        <v>95875.469066996826</v>
      </c>
      <c r="D71">
        <v>380.51166073936292</v>
      </c>
      <c r="E71">
        <v>2.0388114638945354E-3</v>
      </c>
      <c r="F71">
        <v>82996.806372993087</v>
      </c>
      <c r="G71">
        <v>203.88114638945353</v>
      </c>
      <c r="H71">
        <v>83672.461608875659</v>
      </c>
      <c r="I71">
        <v>170.5923739404511</v>
      </c>
    </row>
    <row r="72" spans="1:9" x14ac:dyDescent="0.3">
      <c r="A72">
        <v>96919.68751938254</v>
      </c>
      <c r="B72">
        <v>-2218.8122828368214</v>
      </c>
      <c r="C72">
        <v>96249.980727736183</v>
      </c>
      <c r="D72">
        <v>-2135.6063946150839</v>
      </c>
      <c r="E72">
        <v>-2.4118122828368217E-2</v>
      </c>
      <c r="F72">
        <v>83188.68751938254</v>
      </c>
      <c r="G72">
        <v>-2411.8122828368219</v>
      </c>
      <c r="H72">
        <v>83831.053982816113</v>
      </c>
      <c r="I72">
        <v>-2021.8476567891255</v>
      </c>
    </row>
    <row r="73" spans="1:9" x14ac:dyDescent="0.3">
      <c r="A73">
        <v>94694.875236545719</v>
      </c>
      <c r="B73">
        <v>277.02761564600735</v>
      </c>
      <c r="C73">
        <v>94108.374333121101</v>
      </c>
      <c r="D73">
        <v>260.70618553826455</v>
      </c>
      <c r="E73">
        <v>8.4027615646007346E-4</v>
      </c>
      <c r="F73">
        <v>80764.875236545719</v>
      </c>
      <c r="G73">
        <v>84.027615646007348</v>
      </c>
      <c r="H73">
        <v>81797.206326026993</v>
      </c>
      <c r="I73">
        <v>68.732242140805567</v>
      </c>
    </row>
    <row r="74" spans="1:9" x14ac:dyDescent="0.3">
      <c r="A74">
        <v>94965.902852191721</v>
      </c>
      <c r="B74">
        <v>429.31774685770603</v>
      </c>
      <c r="C74">
        <v>94363.080518659364</v>
      </c>
      <c r="D74">
        <v>405.11745114823134</v>
      </c>
      <c r="E74">
        <v>2.3631774685770601E-3</v>
      </c>
      <c r="F74">
        <v>80836.902852191721</v>
      </c>
      <c r="G74">
        <v>236.31774685770603</v>
      </c>
      <c r="H74">
        <v>81853.938568167796</v>
      </c>
      <c r="I74">
        <v>193.43538333858496</v>
      </c>
    </row>
    <row r="75" spans="1:9" x14ac:dyDescent="0.3">
      <c r="A75">
        <v>95389.220599049426</v>
      </c>
      <c r="B75">
        <v>1068.8489714687696</v>
      </c>
      <c r="C75">
        <v>94762.197969807603</v>
      </c>
      <c r="D75">
        <v>1012.8647783414879</v>
      </c>
      <c r="E75">
        <v>8.7584897146876974E-3</v>
      </c>
      <c r="F75">
        <v>81061.220599049426</v>
      </c>
      <c r="G75">
        <v>875.84897146876972</v>
      </c>
      <c r="H75">
        <v>82035.373951506379</v>
      </c>
      <c r="I75">
        <v>718.50597899482761</v>
      </c>
    </row>
    <row r="76" spans="1:9" x14ac:dyDescent="0.3">
      <c r="A76">
        <v>96452.069570518201</v>
      </c>
      <c r="B76">
        <v>-895.62159987405403</v>
      </c>
      <c r="C76">
        <v>95769.062748149096</v>
      </c>
      <c r="D76">
        <v>-857.72841196935963</v>
      </c>
      <c r="E76">
        <v>-1.0886215998740539E-2</v>
      </c>
      <c r="F76">
        <v>81925.069570518201</v>
      </c>
      <c r="G76">
        <v>-1088.621599874054</v>
      </c>
      <c r="H76">
        <v>82741.879930501207</v>
      </c>
      <c r="I76">
        <v>-900.74597706529096</v>
      </c>
    </row>
    <row r="77" spans="1:9" x14ac:dyDescent="0.3">
      <c r="A77">
        <v>95550.447970644149</v>
      </c>
      <c r="B77">
        <v>-327.82861750990583</v>
      </c>
      <c r="C77">
        <v>94905.334336179731</v>
      </c>
      <c r="D77">
        <v>-311.12684549745194</v>
      </c>
      <c r="E77">
        <v>-5.208286175099058E-3</v>
      </c>
      <c r="F77">
        <v>80824.447970644149</v>
      </c>
      <c r="G77">
        <v>-520.82861750990583</v>
      </c>
      <c r="H77">
        <v>81829.133953435914</v>
      </c>
      <c r="I77">
        <v>-426.18954709000917</v>
      </c>
    </row>
    <row r="78" spans="1:9" x14ac:dyDescent="0.3">
      <c r="A78">
        <v>95216.619353134243</v>
      </c>
      <c r="B78">
        <v>-322.97700544144601</v>
      </c>
      <c r="C78">
        <v>94588.207490682282</v>
      </c>
      <c r="D78">
        <v>-305.49816005414715</v>
      </c>
      <c r="E78">
        <v>-5.1597700544144601E-3</v>
      </c>
      <c r="F78">
        <v>80291.619353134243</v>
      </c>
      <c r="G78">
        <v>-515.97700544144595</v>
      </c>
      <c r="H78">
        <v>81390.944406345909</v>
      </c>
      <c r="I78">
        <v>-419.95855764837574</v>
      </c>
    </row>
    <row r="79" spans="1:9" x14ac:dyDescent="0.3">
      <c r="A79">
        <v>94887.642347692803</v>
      </c>
      <c r="B79">
        <v>60.287963685373398</v>
      </c>
      <c r="C79">
        <v>94276.709330628131</v>
      </c>
      <c r="D79">
        <v>56.837508285014124</v>
      </c>
      <c r="E79">
        <v>-1.3271203631462661E-3</v>
      </c>
      <c r="F79">
        <v>79763.642347692803</v>
      </c>
      <c r="G79">
        <v>-132.7120363146266</v>
      </c>
      <c r="H79">
        <v>80958.985848697528</v>
      </c>
      <c r="I79">
        <v>-107.44231869947689</v>
      </c>
    </row>
    <row r="80" spans="1:9" x14ac:dyDescent="0.3">
      <c r="A80">
        <v>94941.930311378179</v>
      </c>
      <c r="B80">
        <v>1222.874740385291</v>
      </c>
      <c r="C80">
        <v>94327.546838913142</v>
      </c>
      <c r="D80">
        <v>1153.5077435181729</v>
      </c>
      <c r="E80">
        <v>1.0298747403852912E-2</v>
      </c>
      <c r="F80">
        <v>79618.930311378179</v>
      </c>
      <c r="G80">
        <v>1029.8747403852913</v>
      </c>
      <c r="H80">
        <v>80839.543529998045</v>
      </c>
      <c r="I80">
        <v>832.54603905822182</v>
      </c>
    </row>
    <row r="81" spans="1:9" x14ac:dyDescent="0.3">
      <c r="A81">
        <v>96158.805051763469</v>
      </c>
      <c r="B81">
        <v>389.50527771219532</v>
      </c>
      <c r="C81">
        <v>95475.054582431316</v>
      </c>
      <c r="D81">
        <v>371.88037649716915</v>
      </c>
      <c r="E81">
        <v>1.9650527771219528E-3</v>
      </c>
      <c r="F81">
        <v>80636.805051763469</v>
      </c>
      <c r="G81">
        <v>196.50527771219529</v>
      </c>
      <c r="H81">
        <v>81660.089569056261</v>
      </c>
      <c r="I81">
        <v>160.46638578770143</v>
      </c>
    </row>
    <row r="82" spans="1:9" x14ac:dyDescent="0.3">
      <c r="A82">
        <v>96542.310329475658</v>
      </c>
      <c r="B82">
        <v>-2887.830580605902</v>
      </c>
      <c r="C82">
        <v>95840.934958928483</v>
      </c>
      <c r="D82">
        <v>-2767.7238284825494</v>
      </c>
      <c r="E82">
        <v>-3.0808305806059023E-2</v>
      </c>
      <c r="F82">
        <v>80821.310329475658</v>
      </c>
      <c r="G82">
        <v>-3080.8305806059025</v>
      </c>
      <c r="H82">
        <v>81808.555954843963</v>
      </c>
      <c r="I82">
        <v>-2520.3830094089235</v>
      </c>
    </row>
    <row r="83" spans="1:9" x14ac:dyDescent="0.3">
      <c r="A83">
        <v>93648.479748869751</v>
      </c>
      <c r="B83">
        <v>-1145.3773491755319</v>
      </c>
      <c r="C83">
        <v>93067.211130445939</v>
      </c>
      <c r="D83">
        <v>-1065.9707557974973</v>
      </c>
      <c r="E83">
        <v>-1.3383773491755319E-2</v>
      </c>
      <c r="F83">
        <v>77728.479748869751</v>
      </c>
      <c r="G83">
        <v>-1338.3773491755319</v>
      </c>
      <c r="H83">
        <v>79276.172945435042</v>
      </c>
      <c r="I83">
        <v>-1061.0143419949236</v>
      </c>
    </row>
    <row r="84" spans="1:9" x14ac:dyDescent="0.3">
      <c r="A84">
        <v>92497.102399694224</v>
      </c>
      <c r="B84">
        <v>378.24442415547963</v>
      </c>
      <c r="C84">
        <v>91995.240374648449</v>
      </c>
      <c r="D84">
        <v>347.96686720553834</v>
      </c>
      <c r="E84">
        <v>1.8524442415547963E-3</v>
      </c>
      <c r="F84">
        <v>76378.102399694224</v>
      </c>
      <c r="G84">
        <v>185.24442415547963</v>
      </c>
      <c r="H84">
        <v>78203.158603440126</v>
      </c>
      <c r="I84">
        <v>144.86699082633908</v>
      </c>
    </row>
    <row r="85" spans="1:9" x14ac:dyDescent="0.3">
      <c r="A85">
        <v>92869.346823849701</v>
      </c>
      <c r="B85">
        <v>790.78981553650374</v>
      </c>
      <c r="C85">
        <v>92337.20724185399</v>
      </c>
      <c r="D85">
        <v>730.19323081941627</v>
      </c>
      <c r="E85">
        <v>5.9778981553650365E-3</v>
      </c>
      <c r="F85">
        <v>76551.346823849701</v>
      </c>
      <c r="G85">
        <v>597.78981553650362</v>
      </c>
      <c r="H85">
        <v>78336.025594266466</v>
      </c>
      <c r="I85">
        <v>468.28478289859379</v>
      </c>
    </row>
    <row r="86" spans="1:9" x14ac:dyDescent="0.3">
      <c r="A86">
        <v>93654.136639386212</v>
      </c>
      <c r="B86">
        <v>837.40632127728679</v>
      </c>
      <c r="C86">
        <v>93061.400472673413</v>
      </c>
      <c r="D86">
        <v>779.30205022733799</v>
      </c>
      <c r="E86">
        <v>6.4440632127728678E-3</v>
      </c>
      <c r="F86">
        <v>77137.136639386197</v>
      </c>
      <c r="G86">
        <v>644.40632127728679</v>
      </c>
      <c r="H86">
        <v>78792.310377165064</v>
      </c>
      <c r="I86">
        <v>507.74262875087129</v>
      </c>
    </row>
    <row r="87" spans="1:9" x14ac:dyDescent="0.3">
      <c r="A87">
        <v>94485.542960663501</v>
      </c>
      <c r="B87">
        <v>264.39051458228005</v>
      </c>
      <c r="C87">
        <v>93834.702522900756</v>
      </c>
      <c r="D87">
        <v>248.09005285704902</v>
      </c>
      <c r="E87">
        <v>7.1390514582280015E-4</v>
      </c>
      <c r="F87">
        <v>77769.542960663486</v>
      </c>
      <c r="G87">
        <v>71.390514582280019</v>
      </c>
      <c r="H87">
        <v>79288.053005915936</v>
      </c>
      <c r="I87">
        <v>56.604149043194326</v>
      </c>
    </row>
    <row r="88" spans="1:9" x14ac:dyDescent="0.3">
      <c r="A88">
        <v>94743.93347524578</v>
      </c>
      <c r="B88">
        <v>-1707.400919999337</v>
      </c>
      <c r="C88">
        <v>94076.792575757805</v>
      </c>
      <c r="D88">
        <v>-1606.2680219443569</v>
      </c>
      <c r="E88">
        <v>-1.9004009199993371E-2</v>
      </c>
      <c r="F88">
        <v>77828.933475245765</v>
      </c>
      <c r="G88">
        <v>-1900.4009199993372</v>
      </c>
      <c r="H88">
        <v>79332.657154959132</v>
      </c>
      <c r="I88">
        <v>-1507.6385464327634</v>
      </c>
    </row>
    <row r="89" spans="1:9" x14ac:dyDescent="0.3">
      <c r="A89">
        <v>93030.532555246449</v>
      </c>
      <c r="B89">
        <v>466.06137818703513</v>
      </c>
      <c r="C89">
        <v>92464.524553813448</v>
      </c>
      <c r="D89">
        <v>430.94143746959247</v>
      </c>
      <c r="E89">
        <v>2.7306137818703512E-3</v>
      </c>
      <c r="F89">
        <v>75916.532555246435</v>
      </c>
      <c r="G89">
        <v>273.06137818703513</v>
      </c>
      <c r="H89">
        <v>77813.01860852637</v>
      </c>
      <c r="I89">
        <v>212.47730102137621</v>
      </c>
    </row>
    <row r="90" spans="1:9" x14ac:dyDescent="0.3">
      <c r="A90">
        <v>93490.593933433483</v>
      </c>
      <c r="B90">
        <v>279.36136692166951</v>
      </c>
      <c r="C90">
        <v>92889.465991283039</v>
      </c>
      <c r="D90">
        <v>259.49728191948765</v>
      </c>
      <c r="E90">
        <v>8.6361366921669535E-4</v>
      </c>
      <c r="F90">
        <v>76177.593933433469</v>
      </c>
      <c r="G90">
        <v>86.361366921669529</v>
      </c>
      <c r="H90">
        <v>78013.495909547753</v>
      </c>
      <c r="I90">
        <v>67.373521450866193</v>
      </c>
    </row>
    <row r="91" spans="1:9" x14ac:dyDescent="0.3">
      <c r="A91">
        <v>93763.955300355155</v>
      </c>
      <c r="B91">
        <v>-1069.7697001083986</v>
      </c>
      <c r="C91">
        <v>93142.96327320252</v>
      </c>
      <c r="D91">
        <v>-996.41519887981451</v>
      </c>
      <c r="E91">
        <v>-1.2627697001083986E-2</v>
      </c>
      <c r="F91">
        <v>76251.955300355141</v>
      </c>
      <c r="G91">
        <v>-1262.7697001083986</v>
      </c>
      <c r="H91">
        <v>78068.869430998617</v>
      </c>
      <c r="I91">
        <v>-985.83002839183848</v>
      </c>
    </row>
    <row r="92" spans="1:9" x14ac:dyDescent="0.3">
      <c r="A92">
        <v>92688.185600246754</v>
      </c>
      <c r="B92">
        <v>40.30502845535009</v>
      </c>
      <c r="C92">
        <v>92140.548074322709</v>
      </c>
      <c r="D92">
        <v>37.137274120271293</v>
      </c>
      <c r="E92">
        <v>-1.5269497154464992E-3</v>
      </c>
      <c r="F92">
        <v>74977.185600246739</v>
      </c>
      <c r="G92">
        <v>-152.69497154464992</v>
      </c>
      <c r="H92">
        <v>77071.039402606781</v>
      </c>
      <c r="I92">
        <v>-117.68360168497635</v>
      </c>
    </row>
    <row r="93" spans="1:9" x14ac:dyDescent="0.3">
      <c r="A93">
        <v>92722.4906287021</v>
      </c>
      <c r="B93">
        <v>-417.35823517089636</v>
      </c>
      <c r="C93">
        <v>92171.685348442974</v>
      </c>
      <c r="D93">
        <v>-384.68611929753325</v>
      </c>
      <c r="E93">
        <v>-6.1035823517089638E-3</v>
      </c>
      <c r="F93">
        <v>74812.490628702086</v>
      </c>
      <c r="G93">
        <v>-610.35823517089636</v>
      </c>
      <c r="H93">
        <v>76941.35580092181</v>
      </c>
      <c r="I93">
        <v>-469.61790138306645</v>
      </c>
    </row>
    <row r="94" spans="1:9" x14ac:dyDescent="0.3">
      <c r="A94">
        <v>92299.13239353121</v>
      </c>
      <c r="B94">
        <v>142.36717789425927</v>
      </c>
      <c r="C94">
        <v>91780.99922914544</v>
      </c>
      <c r="D94">
        <v>130.66601844568623</v>
      </c>
      <c r="E94">
        <v>-5.063282210574073E-4</v>
      </c>
      <c r="F94">
        <v>74190.132393531196</v>
      </c>
      <c r="G94">
        <v>-50.632822105740729</v>
      </c>
      <c r="H94">
        <v>76459.737899538741</v>
      </c>
      <c r="I94">
        <v>-38.713723073189072</v>
      </c>
    </row>
    <row r="95" spans="1:9" x14ac:dyDescent="0.3">
      <c r="A95">
        <v>92435.499571425476</v>
      </c>
      <c r="B95">
        <v>569.38238947045386</v>
      </c>
      <c r="C95">
        <v>91905.665247591125</v>
      </c>
      <c r="D95">
        <v>523.2946728454508</v>
      </c>
      <c r="E95">
        <v>3.7638238947045382E-3</v>
      </c>
      <c r="F95">
        <v>74127.499571425462</v>
      </c>
      <c r="G95">
        <v>376.3823894704538</v>
      </c>
      <c r="H95">
        <v>76409.024176465551</v>
      </c>
      <c r="I95">
        <v>287.59011096643781</v>
      </c>
    </row>
    <row r="96" spans="1:9" x14ac:dyDescent="0.3">
      <c r="A96">
        <v>92998.881960895931</v>
      </c>
      <c r="B96">
        <v>619.9141410905371</v>
      </c>
      <c r="C96">
        <v>92422.95992043658</v>
      </c>
      <c r="D96">
        <v>572.94299816122577</v>
      </c>
      <c r="E96">
        <v>4.2691414109053702E-3</v>
      </c>
      <c r="F96">
        <v>74491.881960895917</v>
      </c>
      <c r="G96">
        <v>426.91414109053704</v>
      </c>
      <c r="H96">
        <v>76684.614287431992</v>
      </c>
      <c r="I96">
        <v>327.37746243378155</v>
      </c>
    </row>
    <row r="97" spans="1:9" x14ac:dyDescent="0.3">
      <c r="A97">
        <v>93612.796101986474</v>
      </c>
      <c r="B97">
        <v>-1255.6025302775186</v>
      </c>
      <c r="C97">
        <v>92989.9029185978</v>
      </c>
      <c r="D97">
        <v>-1167.5835739485219</v>
      </c>
      <c r="E97">
        <v>-1.4486025302775185E-2</v>
      </c>
      <c r="F97">
        <v>74906.79610198646</v>
      </c>
      <c r="G97">
        <v>-1448.6025302775186</v>
      </c>
      <c r="H97">
        <v>76999.991749865774</v>
      </c>
      <c r="I97">
        <v>-1115.423828802036</v>
      </c>
    </row>
    <row r="98" spans="1:9" x14ac:dyDescent="0.3">
      <c r="A98">
        <v>92351.193571708951</v>
      </c>
      <c r="B98">
        <v>-433.82236945890514</v>
      </c>
      <c r="C98">
        <v>91816.319344649281</v>
      </c>
      <c r="D98">
        <v>-398.3197321309126</v>
      </c>
      <c r="E98">
        <v>-6.2682236945890519E-3</v>
      </c>
      <c r="F98">
        <v>73446.193571708936</v>
      </c>
      <c r="G98">
        <v>-626.8223694589052</v>
      </c>
      <c r="H98">
        <v>75872.567921063732</v>
      </c>
      <c r="I98">
        <v>-475.58622801212891</v>
      </c>
    </row>
    <row r="99" spans="1:9" x14ac:dyDescent="0.3">
      <c r="A99">
        <v>91911.37120225004</v>
      </c>
      <c r="B99">
        <v>-934.79968578162527</v>
      </c>
      <c r="C99">
        <v>91411.999612518368</v>
      </c>
      <c r="D99">
        <v>-854.51908514452225</v>
      </c>
      <c r="E99">
        <v>-1.1277996857816252E-2</v>
      </c>
      <c r="F99">
        <v>72807.371202250026</v>
      </c>
      <c r="G99">
        <v>-1127.7996857816252</v>
      </c>
      <c r="H99">
        <v>75384.98169305161</v>
      </c>
      <c r="I99">
        <v>-850.1915866607718</v>
      </c>
    </row>
    <row r="100" spans="1:9" x14ac:dyDescent="0.3">
      <c r="A100">
        <v>90970.571516468408</v>
      </c>
      <c r="B100">
        <v>1467.0499640658668</v>
      </c>
      <c r="C100">
        <v>90551.480527373846</v>
      </c>
      <c r="D100">
        <v>1328.4354625379485</v>
      </c>
      <c r="E100">
        <v>1.2740499640658669E-2</v>
      </c>
      <c r="F100">
        <v>71667.571516468393</v>
      </c>
      <c r="G100">
        <v>1274.049964065867</v>
      </c>
      <c r="H100">
        <v>74522.790106390836</v>
      </c>
      <c r="I100">
        <v>949.4575805713539</v>
      </c>
    </row>
    <row r="101" spans="1:9" x14ac:dyDescent="0.3">
      <c r="A101">
        <v>92431.621480534275</v>
      </c>
      <c r="B101">
        <v>190.8032818164364</v>
      </c>
      <c r="C101">
        <v>91873.915989911795</v>
      </c>
      <c r="D101">
        <v>175.29844684202743</v>
      </c>
      <c r="E101">
        <v>-2.1967181835636082E-5</v>
      </c>
      <c r="F101">
        <v>72929.621480534261</v>
      </c>
      <c r="G101">
        <v>-2.196718183563608</v>
      </c>
      <c r="H101">
        <v>75460.24768696219</v>
      </c>
      <c r="I101">
        <v>-1.6576489823016354</v>
      </c>
    </row>
    <row r="102" spans="1:9" x14ac:dyDescent="0.3">
      <c r="A102">
        <v>92616.424762350711</v>
      </c>
      <c r="B102">
        <v>-769.69444058051931</v>
      </c>
      <c r="C102">
        <v>92043.214436753828</v>
      </c>
      <c r="D102">
        <v>-708.45150445130014</v>
      </c>
      <c r="E102">
        <v>-9.6269444058051934E-3</v>
      </c>
      <c r="F102">
        <v>72915.424762350696</v>
      </c>
      <c r="G102">
        <v>-962.69444058051931</v>
      </c>
      <c r="H102">
        <v>75446.590037979884</v>
      </c>
      <c r="I102">
        <v>-726.32012790320823</v>
      </c>
    </row>
    <row r="103" spans="1:9" x14ac:dyDescent="0.3">
      <c r="A103">
        <v>91840.730321770185</v>
      </c>
      <c r="B103">
        <v>-2738.0346035714851</v>
      </c>
      <c r="C103">
        <v>91328.762932302532</v>
      </c>
      <c r="D103">
        <v>-2500.6131321002113</v>
      </c>
      <c r="E103">
        <v>-2.9310346035714852E-2</v>
      </c>
      <c r="F103">
        <v>71940.73032177017</v>
      </c>
      <c r="G103">
        <v>-2931.0346035714851</v>
      </c>
      <c r="H103">
        <v>74708.269910076677</v>
      </c>
      <c r="I103">
        <v>-2189.7252427939311</v>
      </c>
    </row>
    <row r="104" spans="1:9" x14ac:dyDescent="0.3">
      <c r="A104">
        <v>89096.695718198695</v>
      </c>
      <c r="B104">
        <v>1281.4399809274082</v>
      </c>
      <c r="C104">
        <v>88822.149800202315</v>
      </c>
      <c r="D104">
        <v>1138.2025394590264</v>
      </c>
      <c r="E104">
        <v>1.0884399809274083E-2</v>
      </c>
      <c r="F104">
        <v>68997.69571819868</v>
      </c>
      <c r="G104">
        <v>1088.4399809274082</v>
      </c>
      <c r="H104">
        <v>72506.544667282753</v>
      </c>
      <c r="I104">
        <v>789.19022094769514</v>
      </c>
    </row>
    <row r="105" spans="1:9" x14ac:dyDescent="0.3">
      <c r="A105">
        <v>90372.135699126098</v>
      </c>
      <c r="B105">
        <v>1053.4077741493732</v>
      </c>
      <c r="C105">
        <v>89954.352339661345</v>
      </c>
      <c r="D105">
        <v>947.58614073171123</v>
      </c>
      <c r="E105">
        <v>8.6040777414937326E-3</v>
      </c>
      <c r="F105">
        <v>70074.135699126084</v>
      </c>
      <c r="G105">
        <v>860.40777414937327</v>
      </c>
      <c r="H105">
        <v>73283.73488823045</v>
      </c>
      <c r="I105">
        <v>630.53895216535136</v>
      </c>
    </row>
    <row r="106" spans="1:9" x14ac:dyDescent="0.3">
      <c r="A106">
        <v>91419.543473275466</v>
      </c>
      <c r="B106">
        <v>-1996.0753050837038</v>
      </c>
      <c r="C106">
        <v>90895.938480393059</v>
      </c>
      <c r="D106">
        <v>-1814.3513813312013</v>
      </c>
      <c r="E106">
        <v>-2.1890753050837038E-2</v>
      </c>
      <c r="F106">
        <v>70922.543473275451</v>
      </c>
      <c r="G106">
        <v>-2189.0753050837038</v>
      </c>
      <c r="H106">
        <v>73902.273840395806</v>
      </c>
      <c r="I106">
        <v>-1617.7764265354388</v>
      </c>
    </row>
    <row r="107" spans="1:9" x14ac:dyDescent="0.3">
      <c r="A107">
        <v>89417.468168191757</v>
      </c>
      <c r="B107">
        <v>-357.55426895861945</v>
      </c>
      <c r="C107">
        <v>89075.587099061857</v>
      </c>
      <c r="D107">
        <v>-318.493564272649</v>
      </c>
      <c r="E107">
        <v>-5.505542689586195E-3</v>
      </c>
      <c r="F107">
        <v>68721.468168191743</v>
      </c>
      <c r="G107">
        <v>-550.55426895861945</v>
      </c>
      <c r="H107">
        <v>72272.497413860372</v>
      </c>
      <c r="I107">
        <v>-397.89931979501614</v>
      </c>
    </row>
    <row r="108" spans="1:9" x14ac:dyDescent="0.3">
      <c r="A108">
        <v>89053.913899233143</v>
      </c>
      <c r="B108">
        <v>-231.20180188244032</v>
      </c>
      <c r="C108">
        <v>88751.093534789208</v>
      </c>
      <c r="D108">
        <v>-205.19412744280265</v>
      </c>
      <c r="E108">
        <v>-4.2420180188244032E-3</v>
      </c>
      <c r="F108">
        <v>68158.913899233128</v>
      </c>
      <c r="G108">
        <v>-424.20180188244029</v>
      </c>
      <c r="H108">
        <v>71862.598094065354</v>
      </c>
      <c r="I108">
        <v>-304.84243599456141</v>
      </c>
    </row>
    <row r="109" spans="1:9" x14ac:dyDescent="0.3">
      <c r="A109">
        <v>88816.712097350697</v>
      </c>
      <c r="B109">
        <v>509.90741154896642</v>
      </c>
      <c r="C109">
        <v>88539.899407346413</v>
      </c>
      <c r="D109">
        <v>451.47150925605877</v>
      </c>
      <c r="E109">
        <v>3.1690741154896639E-3</v>
      </c>
      <c r="F109">
        <v>67722.712097350683</v>
      </c>
      <c r="G109">
        <v>316.90741154896637</v>
      </c>
      <c r="H109">
        <v>71545.75565807079</v>
      </c>
      <c r="I109">
        <v>226.7338023291403</v>
      </c>
    </row>
    <row r="110" spans="1:9" x14ac:dyDescent="0.3">
      <c r="A110">
        <v>89320.619508899661</v>
      </c>
      <c r="B110">
        <v>2462.2668536361093</v>
      </c>
      <c r="C110">
        <v>88985.370916602478</v>
      </c>
      <c r="D110">
        <v>2191.0572926646491</v>
      </c>
      <c r="E110">
        <v>2.269266853636109E-2</v>
      </c>
      <c r="F110">
        <v>68027.619508899646</v>
      </c>
      <c r="G110">
        <v>2269.2668536361089</v>
      </c>
      <c r="H110">
        <v>71760.489460399927</v>
      </c>
      <c r="I110">
        <v>1628.437001331889</v>
      </c>
    </row>
    <row r="111" spans="1:9" x14ac:dyDescent="0.3">
      <c r="A111">
        <v>91776.886362535777</v>
      </c>
      <c r="B111">
        <v>381.1904872139184</v>
      </c>
      <c r="C111">
        <v>91170.42820926712</v>
      </c>
      <c r="D111">
        <v>347.53299948592104</v>
      </c>
      <c r="E111">
        <v>1.8819048721391842E-3</v>
      </c>
      <c r="F111">
        <v>70284.886362535763</v>
      </c>
      <c r="G111">
        <v>188.19048721391843</v>
      </c>
      <c r="H111">
        <v>73376.926461731811</v>
      </c>
      <c r="I111">
        <v>138.08839541093172</v>
      </c>
    </row>
    <row r="112" spans="1:9" x14ac:dyDescent="0.3">
      <c r="A112">
        <v>92152.07684974969</v>
      </c>
      <c r="B112">
        <v>649.73056197075095</v>
      </c>
      <c r="C112">
        <v>91511.96120875304</v>
      </c>
      <c r="D112">
        <v>594.58117983208672</v>
      </c>
      <c r="E112">
        <v>4.5673056197075091E-3</v>
      </c>
      <c r="F112">
        <v>70461.076849749676</v>
      </c>
      <c r="G112">
        <v>456.7305619707509</v>
      </c>
      <c r="H112">
        <v>73503.014857142742</v>
      </c>
      <c r="I112">
        <v>335.71073282247255</v>
      </c>
    </row>
    <row r="113" spans="1:9" x14ac:dyDescent="0.3">
      <c r="A113">
        <v>92795.807411720438</v>
      </c>
      <c r="B113">
        <v>-1058.064123253042</v>
      </c>
      <c r="C113">
        <v>92100.542388585134</v>
      </c>
      <c r="D113">
        <v>-974.48279633507968</v>
      </c>
      <c r="E113">
        <v>-1.251064123253042E-2</v>
      </c>
      <c r="F113">
        <v>70905.807411720423</v>
      </c>
      <c r="G113">
        <v>-1251.064123253042</v>
      </c>
      <c r="H113">
        <v>73826.725589965208</v>
      </c>
      <c r="I113">
        <v>-923.61967722852739</v>
      </c>
    </row>
    <row r="114" spans="1:9" x14ac:dyDescent="0.3">
      <c r="A114">
        <v>91731.743288467391</v>
      </c>
      <c r="B114">
        <v>20.933640360056575</v>
      </c>
      <c r="C114">
        <v>91120.059592250051</v>
      </c>
      <c r="D114">
        <v>19.07474557091086</v>
      </c>
      <c r="E114">
        <v>-1.7206635963994343E-3</v>
      </c>
      <c r="F114">
        <v>69642.743288467376</v>
      </c>
      <c r="G114">
        <v>-172.06635963994341</v>
      </c>
      <c r="H114">
        <v>72891.105912736675</v>
      </c>
      <c r="I114">
        <v>-125.42107244534155</v>
      </c>
    </row>
    <row r="115" spans="1:9" x14ac:dyDescent="0.3">
      <c r="A115">
        <v>91746.676928827452</v>
      </c>
      <c r="B115">
        <v>-891.36156975353504</v>
      </c>
      <c r="C115">
        <v>91133.134337820957</v>
      </c>
      <c r="D115">
        <v>-812.32573679919869</v>
      </c>
      <c r="E115">
        <v>-1.084361569753535E-2</v>
      </c>
      <c r="F115">
        <v>69458.676928827437</v>
      </c>
      <c r="G115">
        <v>-1084.3615697535349</v>
      </c>
      <c r="H115">
        <v>72753.684840291331</v>
      </c>
      <c r="I115">
        <v>-788.91299898772263</v>
      </c>
    </row>
    <row r="116" spans="1:9" x14ac:dyDescent="0.3">
      <c r="A116">
        <v>90849.315359073924</v>
      </c>
      <c r="B116">
        <v>-3184.647302904566</v>
      </c>
      <c r="C116">
        <v>90314.808601021752</v>
      </c>
      <c r="D116">
        <v>-2876.2081162358604</v>
      </c>
      <c r="E116">
        <v>-3.3776473029045663E-2</v>
      </c>
      <c r="F116">
        <v>68362.315359073909</v>
      </c>
      <c r="G116">
        <v>-3377.6473029045665</v>
      </c>
      <c r="H116">
        <v>71952.771841303605</v>
      </c>
      <c r="I116">
        <v>-2430.3108574628673</v>
      </c>
    </row>
    <row r="117" spans="1:9" x14ac:dyDescent="0.3">
      <c r="A117">
        <v>87658.668056169365</v>
      </c>
      <c r="B117">
        <v>2524.3685521166858</v>
      </c>
      <c r="C117">
        <v>87432.600484785886</v>
      </c>
      <c r="D117">
        <v>2207.1210709357561</v>
      </c>
      <c r="E117">
        <v>2.3313685521166857E-2</v>
      </c>
      <c r="F117">
        <v>64972.668056169343</v>
      </c>
      <c r="G117">
        <v>2331.3685521166858</v>
      </c>
      <c r="H117">
        <v>69510.460983840734</v>
      </c>
      <c r="I117">
        <v>1620.5450278086014</v>
      </c>
    </row>
    <row r="118" spans="1:9" x14ac:dyDescent="0.3">
      <c r="A118">
        <v>90177.036608286056</v>
      </c>
      <c r="B118">
        <v>347.76970572199252</v>
      </c>
      <c r="C118">
        <v>89633.72155572164</v>
      </c>
      <c r="D118">
        <v>311.71892968200336</v>
      </c>
      <c r="E118">
        <v>1.5476970572199254E-3</v>
      </c>
      <c r="F118">
        <v>67292.036608286027</v>
      </c>
      <c r="G118">
        <v>154.76970572199255</v>
      </c>
      <c r="H118">
        <v>71119.006011649341</v>
      </c>
      <c r="I118">
        <v>110.07067631663587</v>
      </c>
    </row>
    <row r="119" spans="1:9" x14ac:dyDescent="0.3">
      <c r="A119">
        <v>90518.806314008049</v>
      </c>
      <c r="B119">
        <v>780.92461474385675</v>
      </c>
      <c r="C119">
        <v>89939.44048540364</v>
      </c>
      <c r="D119">
        <v>702.35922911341868</v>
      </c>
      <c r="E119">
        <v>5.8792461474385669E-3</v>
      </c>
      <c r="F119">
        <v>67434.806314008019</v>
      </c>
      <c r="G119">
        <v>587.92461474385664</v>
      </c>
      <c r="H119">
        <v>71217.076687965979</v>
      </c>
      <c r="I119">
        <v>418.70272374956096</v>
      </c>
    </row>
    <row r="120" spans="1:9" x14ac:dyDescent="0.3">
      <c r="A120">
        <v>91293.730928751902</v>
      </c>
      <c r="B120">
        <v>-1705.5749389796651</v>
      </c>
      <c r="C120">
        <v>90635.799714517052</v>
      </c>
      <c r="D120">
        <v>-1545.8614856746058</v>
      </c>
      <c r="E120">
        <v>-1.8985749389796653E-2</v>
      </c>
      <c r="F120">
        <v>68010.730928751873</v>
      </c>
      <c r="G120">
        <v>-1898.5749389796654</v>
      </c>
      <c r="H120">
        <v>71623.779411715543</v>
      </c>
      <c r="I120">
        <v>-1359.8311262609084</v>
      </c>
    </row>
    <row r="121" spans="1:9" x14ac:dyDescent="0.3">
      <c r="A121">
        <v>89582.155989772233</v>
      </c>
      <c r="B121">
        <v>-167.42155851533022</v>
      </c>
      <c r="C121">
        <v>89083.938228842453</v>
      </c>
      <c r="D121">
        <v>-149.14571776956208</v>
      </c>
      <c r="E121">
        <v>-3.6042155851533021E-3</v>
      </c>
      <c r="F121">
        <v>66100.155989772204</v>
      </c>
      <c r="G121">
        <v>-360.42155851533022</v>
      </c>
      <c r="H121">
        <v>70251.948285454637</v>
      </c>
      <c r="I121">
        <v>-253.20316689781941</v>
      </c>
    </row>
    <row r="122" spans="1:9" x14ac:dyDescent="0.3">
      <c r="A122">
        <v>89408.734431256904</v>
      </c>
      <c r="B122">
        <v>1502.3291344007869</v>
      </c>
      <c r="C122">
        <v>88928.792511072897</v>
      </c>
      <c r="D122">
        <v>1336.0031587646731</v>
      </c>
      <c r="E122">
        <v>1.3093291344007869E-2</v>
      </c>
      <c r="F122">
        <v>65727.734431256875</v>
      </c>
      <c r="G122">
        <v>1309.3291344007869</v>
      </c>
      <c r="H122">
        <v>69986.745118556821</v>
      </c>
      <c r="I122">
        <v>916.35684405608504</v>
      </c>
    </row>
    <row r="123" spans="1:9" x14ac:dyDescent="0.3">
      <c r="A123">
        <v>90905.063565657692</v>
      </c>
      <c r="B123">
        <v>-746.69557101135638</v>
      </c>
      <c r="C123">
        <v>90258.795669837564</v>
      </c>
      <c r="D123">
        <v>-673.95842971486707</v>
      </c>
      <c r="E123">
        <v>-9.3969557101135637E-3</v>
      </c>
      <c r="F123">
        <v>67025.063565657663</v>
      </c>
      <c r="G123">
        <v>-939.69557101135638</v>
      </c>
      <c r="H123">
        <v>70891.101962612913</v>
      </c>
      <c r="I123">
        <v>-666.16054538381832</v>
      </c>
    </row>
    <row r="124" spans="1:9" x14ac:dyDescent="0.3">
      <c r="A124">
        <v>90152.367994646338</v>
      </c>
      <c r="B124">
        <v>-424.53958383160699</v>
      </c>
      <c r="C124">
        <v>89578.837240122695</v>
      </c>
      <c r="D124">
        <v>-380.29762282040952</v>
      </c>
      <c r="E124">
        <v>-6.1753958383160704E-3</v>
      </c>
      <c r="F124">
        <v>66073.367994646309</v>
      </c>
      <c r="G124">
        <v>-617.53958383160705</v>
      </c>
      <c r="H124">
        <v>70212.9414172291</v>
      </c>
      <c r="I124">
        <v>-433.59270622388664</v>
      </c>
    </row>
    <row r="125" spans="1:9" x14ac:dyDescent="0.3">
      <c r="A125">
        <v>89721.828410814735</v>
      </c>
      <c r="B125">
        <v>77.66062307715012</v>
      </c>
      <c r="C125">
        <v>89192.539617302289</v>
      </c>
      <c r="D125">
        <v>69.26748200513093</v>
      </c>
      <c r="E125">
        <v>-1.153393769228499E-3</v>
      </c>
      <c r="F125">
        <v>65443.828410814705</v>
      </c>
      <c r="G125">
        <v>-115.33937692284989</v>
      </c>
      <c r="H125">
        <v>69767.348711005208</v>
      </c>
      <c r="I125">
        <v>-80.469225298865354</v>
      </c>
    </row>
    <row r="126" spans="1:9" x14ac:dyDescent="0.3">
      <c r="A126">
        <v>89793.489033891878</v>
      </c>
      <c r="B126">
        <v>-729.77573828733091</v>
      </c>
      <c r="C126">
        <v>89255.807099307422</v>
      </c>
      <c r="D126">
        <v>-651.3672252232866</v>
      </c>
      <c r="E126">
        <v>-9.2277573828733091E-3</v>
      </c>
      <c r="F126">
        <v>65316.489033891856</v>
      </c>
      <c r="G126">
        <v>-922.77573828733091</v>
      </c>
      <c r="H126">
        <v>69674.879485706348</v>
      </c>
      <c r="I126">
        <v>-642.94288357503478</v>
      </c>
    </row>
    <row r="127" spans="1:9" x14ac:dyDescent="0.3">
      <c r="A127">
        <v>89057.713295604553</v>
      </c>
      <c r="B127">
        <v>228.55626170428573</v>
      </c>
      <c r="C127">
        <v>88598.439874084128</v>
      </c>
      <c r="D127">
        <v>202.49728210452596</v>
      </c>
      <c r="E127">
        <v>3.5556261704285737E-4</v>
      </c>
      <c r="F127">
        <v>64381.713295604524</v>
      </c>
      <c r="G127">
        <v>35.556261704285738</v>
      </c>
      <c r="H127">
        <v>69019.936602131318</v>
      </c>
      <c r="I127">
        <v>24.540909286385912</v>
      </c>
    </row>
    <row r="128" spans="1:9" x14ac:dyDescent="0.3">
      <c r="A128">
        <v>89280.269557308842</v>
      </c>
      <c r="B128">
        <v>-913.05126215909843</v>
      </c>
      <c r="C128">
        <v>88794.937156188651</v>
      </c>
      <c r="D128">
        <v>-810.74329443795875</v>
      </c>
      <c r="E128">
        <v>-1.1060512621590983E-2</v>
      </c>
      <c r="F128">
        <v>64405.269557308813</v>
      </c>
      <c r="G128">
        <v>-1106.0512621590983</v>
      </c>
      <c r="H128">
        <v>69032.477511417703</v>
      </c>
      <c r="I128">
        <v>-763.53458881473125</v>
      </c>
    </row>
    <row r="129" spans="1:9" x14ac:dyDescent="0.3">
      <c r="A129">
        <v>88361.218295149738</v>
      </c>
      <c r="B129">
        <v>-1133.5348506401103</v>
      </c>
      <c r="C129">
        <v>87978.193861750697</v>
      </c>
      <c r="D129">
        <v>-997.26348838666252</v>
      </c>
      <c r="E129">
        <v>-1.3265348506401103E-2</v>
      </c>
      <c r="F129">
        <v>63287.218295149716</v>
      </c>
      <c r="G129">
        <v>-1326.5348506401103</v>
      </c>
      <c r="H129">
        <v>68256.942922602975</v>
      </c>
      <c r="I129">
        <v>-905.45213584985675</v>
      </c>
    </row>
    <row r="130" spans="1:9" x14ac:dyDescent="0.3">
      <c r="A130">
        <v>87221.683444509632</v>
      </c>
      <c r="B130">
        <v>846.90936893489254</v>
      </c>
      <c r="C130">
        <v>86974.930373364041</v>
      </c>
      <c r="D130">
        <v>736.59883395661961</v>
      </c>
      <c r="E130">
        <v>6.5390936893489253E-3</v>
      </c>
      <c r="F130">
        <v>61948.683444509603</v>
      </c>
      <c r="G130">
        <v>653.90936893489254</v>
      </c>
      <c r="H130">
        <v>67339.490786753115</v>
      </c>
      <c r="I130">
        <v>440.3392392476274</v>
      </c>
    </row>
    <row r="131" spans="1:9" x14ac:dyDescent="0.3">
      <c r="A131">
        <v>88062.592813444528</v>
      </c>
      <c r="B131">
        <v>842.608500784341</v>
      </c>
      <c r="C131">
        <v>87705.529207320666</v>
      </c>
      <c r="D131">
        <v>739.01424475877695</v>
      </c>
      <c r="E131">
        <v>6.4960850078434095E-3</v>
      </c>
      <c r="F131">
        <v>62590.592813444498</v>
      </c>
      <c r="G131">
        <v>649.608500784341</v>
      </c>
      <c r="H131">
        <v>67767.830026000738</v>
      </c>
      <c r="I131">
        <v>440.22558464598387</v>
      </c>
    </row>
    <row r="132" spans="1:9" x14ac:dyDescent="0.3">
      <c r="A132">
        <v>88899.201314228863</v>
      </c>
      <c r="B132">
        <v>-407.75027560898951</v>
      </c>
      <c r="C132">
        <v>88438.543452079437</v>
      </c>
      <c r="D132">
        <v>-360.60840467042982</v>
      </c>
      <c r="E132">
        <v>-6.0075027560898952E-3</v>
      </c>
      <c r="F132">
        <v>63228.201314228842</v>
      </c>
      <c r="G132">
        <v>-600.75027560898957</v>
      </c>
      <c r="H132">
        <v>68196.055610646727</v>
      </c>
      <c r="I132">
        <v>-409.68799203542</v>
      </c>
    </row>
    <row r="133" spans="1:9" x14ac:dyDescent="0.3">
      <c r="A133">
        <v>88485.451038619867</v>
      </c>
      <c r="B133">
        <v>-237.6531748978868</v>
      </c>
      <c r="C133">
        <v>88071.935047409002</v>
      </c>
      <c r="D133">
        <v>-209.30574983417216</v>
      </c>
      <c r="E133">
        <v>-4.3065317489788682E-3</v>
      </c>
      <c r="F133">
        <v>62615.451038619853</v>
      </c>
      <c r="G133">
        <v>-430.6531748978868</v>
      </c>
      <c r="H133">
        <v>67774.367618611301</v>
      </c>
      <c r="I133">
        <v>-291.8724659165149</v>
      </c>
    </row>
    <row r="134" spans="1:9" x14ac:dyDescent="0.3">
      <c r="A134">
        <v>88241.797863721979</v>
      </c>
      <c r="B134">
        <v>-918.82261128208279</v>
      </c>
      <c r="C134">
        <v>87856.629297574837</v>
      </c>
      <c r="D134">
        <v>-807.24657549639653</v>
      </c>
      <c r="E134">
        <v>-1.1118226112820827E-2</v>
      </c>
      <c r="F134">
        <v>62172.797863721964</v>
      </c>
      <c r="G134">
        <v>-1111.8226112820828</v>
      </c>
      <c r="H134">
        <v>67470.495152694784</v>
      </c>
      <c r="I134">
        <v>-750.15222105164219</v>
      </c>
    </row>
    <row r="135" spans="1:9" x14ac:dyDescent="0.3">
      <c r="A135">
        <v>87316.975252439894</v>
      </c>
      <c r="B135">
        <v>653.00251708018175</v>
      </c>
      <c r="C135">
        <v>87043.382722078444</v>
      </c>
      <c r="D135">
        <v>568.39548012690818</v>
      </c>
      <c r="E135">
        <v>4.6000251708018169E-3</v>
      </c>
      <c r="F135">
        <v>61048.975252439879</v>
      </c>
      <c r="G135">
        <v>460.00251708018169</v>
      </c>
      <c r="H135">
        <v>66708.342931643143</v>
      </c>
      <c r="I135">
        <v>306.86005658803793</v>
      </c>
    </row>
    <row r="136" spans="1:9" x14ac:dyDescent="0.3">
      <c r="A136">
        <v>87963.977769520076</v>
      </c>
      <c r="B136">
        <v>15.908137735550875</v>
      </c>
      <c r="C136">
        <v>87605.778202205358</v>
      </c>
      <c r="D136">
        <v>13.936447860708034</v>
      </c>
      <c r="E136">
        <v>-1.7709186226444913E-3</v>
      </c>
      <c r="F136">
        <v>61496.977769520061</v>
      </c>
      <c r="G136">
        <v>-177.09186226444913</v>
      </c>
      <c r="H136">
        <v>67003.202988231176</v>
      </c>
      <c r="I136">
        <v>-118.65721994868763</v>
      </c>
    </row>
    <row r="137" spans="1:9" x14ac:dyDescent="0.3">
      <c r="A137">
        <v>87973.885907255622</v>
      </c>
      <c r="B137">
        <v>-3992.7719551861233</v>
      </c>
      <c r="C137">
        <v>87613.71465006606</v>
      </c>
      <c r="D137">
        <v>-3498.2158274446333</v>
      </c>
      <c r="E137">
        <v>-4.1857719551861232E-2</v>
      </c>
      <c r="F137">
        <v>61307.885907255615</v>
      </c>
      <c r="G137">
        <v>-4185.7719551861228</v>
      </c>
      <c r="H137">
        <v>66872.545768282493</v>
      </c>
      <c r="I137">
        <v>-2799.132266487773</v>
      </c>
    </row>
    <row r="138" spans="1:9" x14ac:dyDescent="0.3">
      <c r="A138">
        <v>83975.1139520695</v>
      </c>
      <c r="B138">
        <v>1814.0589569161004</v>
      </c>
      <c r="C138">
        <v>84109.498822621434</v>
      </c>
      <c r="D138">
        <v>1525.7958970090062</v>
      </c>
      <c r="E138">
        <v>1.6210589569161004E-2</v>
      </c>
      <c r="F138">
        <v>57110.113952069492</v>
      </c>
      <c r="G138">
        <v>1621.0589569161004</v>
      </c>
      <c r="H138">
        <v>64061.413501794719</v>
      </c>
      <c r="I138">
        <v>1038.4732814979034</v>
      </c>
    </row>
    <row r="139" spans="1:9" x14ac:dyDescent="0.3">
      <c r="A139">
        <v>85783.172908985594</v>
      </c>
      <c r="B139">
        <v>1914.3491354324201</v>
      </c>
      <c r="C139">
        <v>85629.294719630445</v>
      </c>
      <c r="D139">
        <v>1639.2436631421244</v>
      </c>
      <c r="E139">
        <v>1.7213491354324199E-2</v>
      </c>
      <c r="F139">
        <v>58719.172908985594</v>
      </c>
      <c r="G139">
        <v>1721.3491354324199</v>
      </c>
      <c r="H139">
        <v>65087.886783292619</v>
      </c>
      <c r="I139">
        <v>1120.3897764154399</v>
      </c>
    </row>
    <row r="140" spans="1:9" x14ac:dyDescent="0.3">
      <c r="A140">
        <v>87691.522044418016</v>
      </c>
      <c r="B140">
        <v>1585.0288512478255</v>
      </c>
      <c r="C140">
        <v>87262.538382772575</v>
      </c>
      <c r="D140">
        <v>1383.1364096981529</v>
      </c>
      <c r="E140">
        <v>1.3920288512478255E-2</v>
      </c>
      <c r="F140">
        <v>60428.522044418016</v>
      </c>
      <c r="G140">
        <v>1392.0288512478255</v>
      </c>
      <c r="H140">
        <v>66196.276559708058</v>
      </c>
      <c r="I140">
        <v>921.47126816293769</v>
      </c>
    </row>
    <row r="141" spans="1:9" x14ac:dyDescent="0.3">
      <c r="A141">
        <v>89270.550895665845</v>
      </c>
      <c r="B141">
        <v>198.05129094746647</v>
      </c>
      <c r="C141">
        <v>88639.674792470731</v>
      </c>
      <c r="D141">
        <v>175.55202021812431</v>
      </c>
      <c r="E141">
        <v>5.0512909474664585E-5</v>
      </c>
      <c r="F141">
        <v>61808.550895665845</v>
      </c>
      <c r="G141">
        <v>5.0512909474664589</v>
      </c>
      <c r="H141">
        <v>67105.74782787099</v>
      </c>
      <c r="I141">
        <v>3.3897065652589169</v>
      </c>
    </row>
    <row r="142" spans="1:9" x14ac:dyDescent="0.3">
      <c r="A142">
        <v>89462.602186613309</v>
      </c>
      <c r="B142">
        <v>-1041.051707008023</v>
      </c>
      <c r="C142">
        <v>88809.226812688852</v>
      </c>
      <c r="D142">
        <v>-924.54997171412413</v>
      </c>
      <c r="E142">
        <v>-1.2340517070080229E-2</v>
      </c>
      <c r="F142">
        <v>61801.602186613309</v>
      </c>
      <c r="G142">
        <v>-1234.051707008023</v>
      </c>
      <c r="H142">
        <v>67097.137534436246</v>
      </c>
      <c r="I142">
        <v>-828.01337109723136</v>
      </c>
    </row>
    <row r="143" spans="1:9" x14ac:dyDescent="0.3">
      <c r="A143">
        <v>88415.550479605285</v>
      </c>
      <c r="B143">
        <v>1038.1585497994013</v>
      </c>
      <c r="C143">
        <v>87878.676840974731</v>
      </c>
      <c r="D143">
        <v>912.31999707516559</v>
      </c>
      <c r="E143">
        <v>8.4515854979940134E-3</v>
      </c>
      <c r="F143">
        <v>60555.550479605285</v>
      </c>
      <c r="G143">
        <v>845.15854979940138</v>
      </c>
      <c r="H143">
        <v>66257.124163339016</v>
      </c>
      <c r="I143">
        <v>559.97774971766478</v>
      </c>
    </row>
    <row r="144" spans="1:9" x14ac:dyDescent="0.3">
      <c r="A144">
        <v>89447.709029404679</v>
      </c>
      <c r="B144">
        <v>2845.5165119285466</v>
      </c>
      <c r="C144">
        <v>88784.99683804989</v>
      </c>
      <c r="D144">
        <v>2526.3917451419479</v>
      </c>
      <c r="E144">
        <v>2.6525165119285467E-2</v>
      </c>
      <c r="F144">
        <v>61388.709029404687</v>
      </c>
      <c r="G144">
        <v>2652.5165119285466</v>
      </c>
      <c r="H144">
        <v>66805.101913056686</v>
      </c>
      <c r="I144">
        <v>1772.0163590545219</v>
      </c>
    </row>
    <row r="145" spans="1:9" x14ac:dyDescent="0.3">
      <c r="A145">
        <v>92287.225541333231</v>
      </c>
      <c r="B145">
        <v>-1401.1058996298545</v>
      </c>
      <c r="C145">
        <v>91305.388583191845</v>
      </c>
      <c r="D145">
        <v>-1279.2851861190645</v>
      </c>
      <c r="E145">
        <v>-1.5941058996298545E-2</v>
      </c>
      <c r="F145">
        <v>64029.225541333231</v>
      </c>
      <c r="G145">
        <v>-1594.1058996298545</v>
      </c>
      <c r="H145">
        <v>68565.118272111213</v>
      </c>
      <c r="I145">
        <v>-1093.0005954639121</v>
      </c>
    </row>
    <row r="146" spans="1:9" x14ac:dyDescent="0.3">
      <c r="A146">
        <v>90880.119641703379</v>
      </c>
      <c r="B146">
        <v>313.04709059078567</v>
      </c>
      <c r="C146">
        <v>90020.103397072788</v>
      </c>
      <c r="D146">
        <v>281.80531463135338</v>
      </c>
      <c r="E146">
        <v>1.2004709059078567E-3</v>
      </c>
      <c r="F146">
        <v>62423.119641703379</v>
      </c>
      <c r="G146">
        <v>120.04709059078567</v>
      </c>
      <c r="H146">
        <v>67460.117676647307</v>
      </c>
      <c r="I146">
        <v>80.983908579935402</v>
      </c>
    </row>
    <row r="147" spans="1:9" x14ac:dyDescent="0.3">
      <c r="A147">
        <v>91187.166732294165</v>
      </c>
      <c r="B147">
        <v>-383.45617856822184</v>
      </c>
      <c r="C147">
        <v>90295.908711704134</v>
      </c>
      <c r="D147">
        <v>-346.24524094935077</v>
      </c>
      <c r="E147">
        <v>-5.7645617856822186E-3</v>
      </c>
      <c r="F147">
        <v>62531.166732294165</v>
      </c>
      <c r="G147">
        <v>-576.45617856822184</v>
      </c>
      <c r="H147">
        <v>67529.101585227239</v>
      </c>
      <c r="I147">
        <v>-389.27567841965345</v>
      </c>
    </row>
    <row r="148" spans="1:9" x14ac:dyDescent="0.3">
      <c r="A148">
        <v>90797.710553725949</v>
      </c>
      <c r="B148">
        <v>1737.0694827793509</v>
      </c>
      <c r="C148">
        <v>89943.663470754778</v>
      </c>
      <c r="D148">
        <v>1562.3839298442401</v>
      </c>
      <c r="E148">
        <v>1.544069482779351E-2</v>
      </c>
      <c r="F148">
        <v>61942.710553725941</v>
      </c>
      <c r="G148">
        <v>1544.0694827793511</v>
      </c>
      <c r="H148">
        <v>67127.825906807586</v>
      </c>
      <c r="I148">
        <v>1036.5002742802671</v>
      </c>
    </row>
    <row r="149" spans="1:9" x14ac:dyDescent="0.3">
      <c r="A149">
        <v>92528.780036505297</v>
      </c>
      <c r="B149">
        <v>-200.89559563242935</v>
      </c>
      <c r="C149">
        <v>91500.047400599025</v>
      </c>
      <c r="D149">
        <v>-183.81956522938859</v>
      </c>
      <c r="E149">
        <v>-3.9389559563242933E-3</v>
      </c>
      <c r="F149">
        <v>63474.78003650529</v>
      </c>
      <c r="G149">
        <v>-393.89559563242932</v>
      </c>
      <c r="H149">
        <v>68152.326181087847</v>
      </c>
      <c r="I149">
        <v>-268.44901114835204</v>
      </c>
    </row>
    <row r="150" spans="1:9" x14ac:dyDescent="0.3">
      <c r="A150">
        <v>92321.884440872862</v>
      </c>
      <c r="B150">
        <v>1248.6444149897525</v>
      </c>
      <c r="C150">
        <v>91310.227835369631</v>
      </c>
      <c r="D150">
        <v>1140.1400601807611</v>
      </c>
      <c r="E150">
        <v>1.0556444149897525E-2</v>
      </c>
      <c r="F150">
        <v>63068.884440872862</v>
      </c>
      <c r="G150">
        <v>1055.6444149897525</v>
      </c>
      <c r="H150">
        <v>67871.8771699395</v>
      </c>
      <c r="I150">
        <v>716.48568069317116</v>
      </c>
    </row>
    <row r="151" spans="1:9" x14ac:dyDescent="0.3">
      <c r="A151">
        <v>93564.52885586262</v>
      </c>
      <c r="B151">
        <v>-370.92213675472635</v>
      </c>
      <c r="C151">
        <v>92444.367895550386</v>
      </c>
      <c r="D151">
        <v>-342.89662470757571</v>
      </c>
      <c r="E151">
        <v>-5.6392213675472633E-3</v>
      </c>
      <c r="F151">
        <v>64112.528855862613</v>
      </c>
      <c r="G151">
        <v>-563.92213675472635</v>
      </c>
      <c r="H151">
        <v>68576.362850632664</v>
      </c>
      <c r="I151">
        <v>-386.71729069596205</v>
      </c>
    </row>
    <row r="152" spans="1:9" x14ac:dyDescent="0.3">
      <c r="A152">
        <v>93187.606719107891</v>
      </c>
      <c r="B152">
        <v>305.69354222392053</v>
      </c>
      <c r="C152">
        <v>92095.471270842812</v>
      </c>
      <c r="D152">
        <v>281.52990835565248</v>
      </c>
      <c r="E152">
        <v>1.1269354222392051E-3</v>
      </c>
      <c r="F152">
        <v>63536.606719107884</v>
      </c>
      <c r="G152">
        <v>112.69354222392052</v>
      </c>
      <c r="H152">
        <v>68177.645559936704</v>
      </c>
      <c r="I152">
        <v>76.83180378636213</v>
      </c>
    </row>
    <row r="153" spans="1:9" x14ac:dyDescent="0.3">
      <c r="A153">
        <v>93487.300261331809</v>
      </c>
      <c r="B153">
        <v>1300.0336875631483</v>
      </c>
      <c r="C153">
        <v>92371.001179198458</v>
      </c>
      <c r="D153">
        <v>1200.854132868933</v>
      </c>
      <c r="E153">
        <v>1.1070336875631484E-2</v>
      </c>
      <c r="F153">
        <v>63637.300261331802</v>
      </c>
      <c r="G153">
        <v>1107.0336875631483</v>
      </c>
      <c r="H153">
        <v>68242.477363723068</v>
      </c>
      <c r="I153">
        <v>755.46721364407028</v>
      </c>
    </row>
    <row r="154" spans="1:9" x14ac:dyDescent="0.3">
      <c r="A154">
        <v>94781.333948894957</v>
      </c>
      <c r="B154">
        <v>956.79106994999779</v>
      </c>
      <c r="C154">
        <v>93565.85531206739</v>
      </c>
      <c r="D154">
        <v>895.22974814819645</v>
      </c>
      <c r="E154">
        <v>7.6379106994999774E-3</v>
      </c>
      <c r="F154">
        <v>64732.33394889495</v>
      </c>
      <c r="G154">
        <v>763.79106994999779</v>
      </c>
      <c r="H154">
        <v>68985.944577367132</v>
      </c>
      <c r="I154">
        <v>526.90848420258487</v>
      </c>
    </row>
    <row r="155" spans="1:9" x14ac:dyDescent="0.3">
      <c r="A155">
        <v>95732.125018844948</v>
      </c>
      <c r="B155">
        <v>-279.51280449720133</v>
      </c>
      <c r="C155">
        <v>94455.085060215584</v>
      </c>
      <c r="D155">
        <v>-264.01405724202561</v>
      </c>
      <c r="E155">
        <v>-4.7251280449720134E-3</v>
      </c>
      <c r="F155">
        <v>65484.125018844948</v>
      </c>
      <c r="G155">
        <v>-472.51280449720133</v>
      </c>
      <c r="H155">
        <v>69500.853061569724</v>
      </c>
      <c r="I155">
        <v>-328.40042995070212</v>
      </c>
    </row>
    <row r="156" spans="1:9" x14ac:dyDescent="0.3">
      <c r="A156">
        <v>95446.612214347741</v>
      </c>
      <c r="B156">
        <v>-808.93562739179413</v>
      </c>
      <c r="C156">
        <v>94185.071002973564</v>
      </c>
      <c r="D156">
        <v>-761.89659502731092</v>
      </c>
      <c r="E156">
        <v>-1.0019356273917941E-2</v>
      </c>
      <c r="F156">
        <v>64999.612214347748</v>
      </c>
      <c r="G156">
        <v>-1001.935627391794</v>
      </c>
      <c r="H156">
        <v>69160.452631619017</v>
      </c>
      <c r="I156">
        <v>-692.94321498161651</v>
      </c>
    </row>
    <row r="157" spans="1:9" x14ac:dyDescent="0.3">
      <c r="A157">
        <v>94631.676586955946</v>
      </c>
      <c r="B157">
        <v>325.10759513267834</v>
      </c>
      <c r="C157">
        <v>93417.174407946251</v>
      </c>
      <c r="D157">
        <v>303.70632915857391</v>
      </c>
      <c r="E157">
        <v>1.3210759513267833E-3</v>
      </c>
      <c r="F157">
        <v>63985.676586955953</v>
      </c>
      <c r="G157">
        <v>132.10759513267834</v>
      </c>
      <c r="H157">
        <v>68455.509416637404</v>
      </c>
      <c r="I157">
        <v>90.434927226143827</v>
      </c>
    </row>
    <row r="158" spans="1:9" x14ac:dyDescent="0.3">
      <c r="A158">
        <v>94950.784182088624</v>
      </c>
      <c r="B158">
        <v>158.92801495792799</v>
      </c>
      <c r="C158">
        <v>93714.880737104831</v>
      </c>
      <c r="D158">
        <v>148.93919967567035</v>
      </c>
      <c r="E158">
        <v>-3.4071985042072013E-4</v>
      </c>
      <c r="F158">
        <v>64105.784182088631</v>
      </c>
      <c r="G158">
        <v>-34.071985042072015</v>
      </c>
      <c r="H158">
        <v>68533.94434386355</v>
      </c>
      <c r="I158">
        <v>-23.350875265583149</v>
      </c>
    </row>
    <row r="159" spans="1:9" x14ac:dyDescent="0.3">
      <c r="A159">
        <v>95103.712197046552</v>
      </c>
      <c r="B159">
        <v>1225.2151141040051</v>
      </c>
      <c r="C159">
        <v>93857.819936780506</v>
      </c>
      <c r="D159">
        <v>1149.960195633957</v>
      </c>
      <c r="E159">
        <v>1.0322151141040053E-2</v>
      </c>
      <c r="F159">
        <v>64059.71219704656</v>
      </c>
      <c r="G159">
        <v>1032.2151141040054</v>
      </c>
      <c r="H159">
        <v>68498.593468597974</v>
      </c>
      <c r="I159">
        <v>707.05283473152724</v>
      </c>
    </row>
    <row r="160" spans="1:9" x14ac:dyDescent="0.3">
      <c r="A160">
        <v>96322.927311150561</v>
      </c>
      <c r="B160">
        <v>-693.29601831828234</v>
      </c>
      <c r="C160">
        <v>95001.780132414468</v>
      </c>
      <c r="D160">
        <v>-658.64355898951851</v>
      </c>
      <c r="E160">
        <v>-8.8629601831828227E-3</v>
      </c>
      <c r="F160">
        <v>65079.927311150568</v>
      </c>
      <c r="G160">
        <v>-886.29601831828222</v>
      </c>
      <c r="H160">
        <v>69193.6463033295</v>
      </c>
      <c r="I160">
        <v>-613.26053211564465</v>
      </c>
    </row>
    <row r="161" spans="1:9" x14ac:dyDescent="0.3">
      <c r="A161">
        <v>95623.631292832273</v>
      </c>
      <c r="B161">
        <v>-1267.8338288266946</v>
      </c>
      <c r="C161">
        <v>94337.136573424956</v>
      </c>
      <c r="D161">
        <v>-1196.0381306243216</v>
      </c>
      <c r="E161">
        <v>-1.4608338288266945E-2</v>
      </c>
      <c r="F161">
        <v>64181.631292832288</v>
      </c>
      <c r="G161">
        <v>-1460.8338288266946</v>
      </c>
      <c r="H161">
        <v>68568.385771213856</v>
      </c>
      <c r="I161">
        <v>-1001.6701752262818</v>
      </c>
    </row>
    <row r="162" spans="1:9" x14ac:dyDescent="0.3">
      <c r="A162">
        <v>94349.797464005576</v>
      </c>
      <c r="B162">
        <v>935.5700986266063</v>
      </c>
      <c r="C162">
        <v>93135.098442800634</v>
      </c>
      <c r="D162">
        <v>871.34413235729676</v>
      </c>
      <c r="E162">
        <v>7.4257009862660631E-3</v>
      </c>
      <c r="F162">
        <v>62708.797464005591</v>
      </c>
      <c r="G162">
        <v>742.5700986266063</v>
      </c>
      <c r="H162">
        <v>67554.715595987567</v>
      </c>
      <c r="I162">
        <v>501.6411182280483</v>
      </c>
    </row>
    <row r="163" spans="1:9" x14ac:dyDescent="0.3">
      <c r="A163">
        <v>95279.367562632178</v>
      </c>
      <c r="B163">
        <v>-986.61355319838594</v>
      </c>
      <c r="C163">
        <v>94000.442575157926</v>
      </c>
      <c r="D163">
        <v>-927.42110651297401</v>
      </c>
      <c r="E163">
        <v>-1.1796135531983859E-2</v>
      </c>
      <c r="F163">
        <v>63439.3675626322</v>
      </c>
      <c r="G163">
        <v>-1179.6135531983859</v>
      </c>
      <c r="H163">
        <v>68044.35671421561</v>
      </c>
      <c r="I163">
        <v>-802.66045398754318</v>
      </c>
    </row>
    <row r="164" spans="1:9" x14ac:dyDescent="0.3">
      <c r="A164">
        <v>94286.754009433789</v>
      </c>
      <c r="B164">
        <v>3853.9553752535467</v>
      </c>
      <c r="C164">
        <v>93067.021468644947</v>
      </c>
      <c r="D164">
        <v>3586.7614764792143</v>
      </c>
      <c r="E164">
        <v>3.6609553752535468E-2</v>
      </c>
      <c r="F164">
        <v>62247.754009433811</v>
      </c>
      <c r="G164">
        <v>3660.9553752535467</v>
      </c>
      <c r="H164">
        <v>67229.696260228069</v>
      </c>
      <c r="I164">
        <v>2461.2491790054523</v>
      </c>
    </row>
    <row r="165" spans="1:9" x14ac:dyDescent="0.3">
      <c r="A165">
        <v>98134.709384687332</v>
      </c>
      <c r="B165">
        <v>-463.49581609479952</v>
      </c>
      <c r="C165">
        <v>96647.782945124156</v>
      </c>
      <c r="D165">
        <v>-447.95843029903369</v>
      </c>
      <c r="E165">
        <v>-6.5649581609479955E-3</v>
      </c>
      <c r="F165">
        <v>65896.709384687361</v>
      </c>
      <c r="G165">
        <v>-656.49581609479958</v>
      </c>
      <c r="H165">
        <v>69678.945439233517</v>
      </c>
      <c r="I165">
        <v>-457.43936150754621</v>
      </c>
    </row>
    <row r="166" spans="1:9" x14ac:dyDescent="0.3">
      <c r="A166">
        <v>97665.213568592531</v>
      </c>
      <c r="B166">
        <v>516.11317624650758</v>
      </c>
      <c r="C166">
        <v>96193.824514825115</v>
      </c>
      <c r="D166">
        <v>496.46900305645556</v>
      </c>
      <c r="E166">
        <v>3.2311317624650754E-3</v>
      </c>
      <c r="F166">
        <v>65228.21356859256</v>
      </c>
      <c r="G166">
        <v>323.11317624650752</v>
      </c>
      <c r="H166">
        <v>69209.506077725964</v>
      </c>
      <c r="I166">
        <v>223.62503335226003</v>
      </c>
    </row>
    <row r="167" spans="1:9" x14ac:dyDescent="0.3">
      <c r="A167">
        <v>98175.32674483904</v>
      </c>
      <c r="B167">
        <v>-1960.9060845534002</v>
      </c>
      <c r="C167">
        <v>96684.293517881568</v>
      </c>
      <c r="D167">
        <v>-1895.8881943996082</v>
      </c>
      <c r="E167">
        <v>-2.1539060845534003E-2</v>
      </c>
      <c r="F167">
        <v>65539.326744839069</v>
      </c>
      <c r="G167">
        <v>-2153.9060845534004</v>
      </c>
      <c r="H167">
        <v>69421.131111078226</v>
      </c>
      <c r="I167">
        <v>-1495.2659669673073</v>
      </c>
    </row>
    <row r="168" spans="1:9" x14ac:dyDescent="0.3">
      <c r="A168">
        <v>96208.420660285643</v>
      </c>
      <c r="B168">
        <v>-57.819299473539374</v>
      </c>
      <c r="C168">
        <v>94782.405323481958</v>
      </c>
      <c r="D168">
        <v>-54.802522782207959</v>
      </c>
      <c r="E168">
        <v>-2.5081929947353937E-3</v>
      </c>
      <c r="F168">
        <v>63373.420660285672</v>
      </c>
      <c r="G168">
        <v>-250.81929947353936</v>
      </c>
      <c r="H168">
        <v>67913.865144110925</v>
      </c>
      <c r="I168">
        <v>-170.34108079986325</v>
      </c>
    </row>
    <row r="169" spans="1:9" x14ac:dyDescent="0.3">
      <c r="A169">
        <v>96144.601360812099</v>
      </c>
      <c r="B169">
        <v>388.86272841888706</v>
      </c>
      <c r="C169">
        <v>94721.602800699751</v>
      </c>
      <c r="D169">
        <v>368.33700905290198</v>
      </c>
      <c r="E169">
        <v>1.9586272841888705E-3</v>
      </c>
      <c r="F169">
        <v>63110.601360812136</v>
      </c>
      <c r="G169">
        <v>195.86272841888706</v>
      </c>
      <c r="H169">
        <v>67731.524063311066</v>
      </c>
      <c r="I169">
        <v>132.66081103009608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B0186-4EE7-43DD-AD78-C4207E1DC15F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1532.7400146179964</v>
      </c>
      <c r="C4">
        <v>101401.05998518885</v>
      </c>
      <c r="D4">
        <v>1554.2146216397869</v>
      </c>
      <c r="E4">
        <v>1.3397400146179964E-2</v>
      </c>
      <c r="F4">
        <v>101202.05998518885</v>
      </c>
      <c r="G4">
        <v>1339.7400146179964</v>
      </c>
      <c r="H4">
        <v>101202.05998518885</v>
      </c>
      <c r="I4">
        <v>1355.8444932392827</v>
      </c>
    </row>
    <row r="5" spans="1:9" x14ac:dyDescent="0.3">
      <c r="A5">
        <v>102927.79999980686</v>
      </c>
      <c r="B5">
        <v>2113.327169462415</v>
      </c>
      <c r="C5">
        <v>102949.27460682864</v>
      </c>
      <c r="D5">
        <v>2175.6549910305803</v>
      </c>
      <c r="E5">
        <v>1.9203271694624147E-2</v>
      </c>
      <c r="F5">
        <v>102529.79999980686</v>
      </c>
      <c r="G5">
        <v>1920.3271694624148</v>
      </c>
      <c r="H5">
        <v>102545.90447842814</v>
      </c>
      <c r="I5">
        <v>1969.2168648702307</v>
      </c>
    </row>
    <row r="6" spans="1:9" x14ac:dyDescent="0.3">
      <c r="A6">
        <v>105035.12716926927</v>
      </c>
      <c r="B6">
        <v>-739.24731182795949</v>
      </c>
      <c r="C6">
        <v>105118.92959785921</v>
      </c>
      <c r="D6">
        <v>-777.08886127449955</v>
      </c>
      <c r="E6">
        <v>-9.3224731182795957E-3</v>
      </c>
      <c r="F6">
        <v>104438.12716926927</v>
      </c>
      <c r="G6">
        <v>-932.24731182795961</v>
      </c>
      <c r="H6">
        <v>104503.12134329838</v>
      </c>
      <c r="I6">
        <v>-974.2275394992098</v>
      </c>
    </row>
    <row r="7" spans="1:9" x14ac:dyDescent="0.3">
      <c r="A7">
        <v>104289.87985744131</v>
      </c>
      <c r="B7">
        <v>-99.162626707798282</v>
      </c>
      <c r="C7">
        <v>104335.84073658471</v>
      </c>
      <c r="D7">
        <v>-103.46216027206242</v>
      </c>
      <c r="E7">
        <v>-2.9216262670779831E-3</v>
      </c>
      <c r="F7">
        <v>103493.87985744131</v>
      </c>
      <c r="G7">
        <v>-292.16262670779832</v>
      </c>
      <c r="H7">
        <v>103516.89380379918</v>
      </c>
      <c r="I7">
        <v>-302.43767602350181</v>
      </c>
    </row>
    <row r="8" spans="1:9" x14ac:dyDescent="0.3">
      <c r="A8">
        <v>104184.71723073351</v>
      </c>
      <c r="B8">
        <v>-454.25618293137728</v>
      </c>
      <c r="C8">
        <v>104226.37857631265</v>
      </c>
      <c r="D8">
        <v>-473.45476892836462</v>
      </c>
      <c r="E8">
        <v>-6.472561829313773E-3</v>
      </c>
      <c r="F8">
        <v>103189.71723073351</v>
      </c>
      <c r="G8">
        <v>-647.25618293137734</v>
      </c>
      <c r="H8">
        <v>103202.45612777567</v>
      </c>
      <c r="I8">
        <v>-667.98427822407007</v>
      </c>
    </row>
    <row r="9" spans="1:9" x14ac:dyDescent="0.3">
      <c r="A9">
        <v>103724.46104780213</v>
      </c>
      <c r="B9">
        <v>-1748.70466321244</v>
      </c>
      <c r="C9">
        <v>103746.92380738429</v>
      </c>
      <c r="D9">
        <v>-1814.2272945591862</v>
      </c>
      <c r="E9">
        <v>-1.9417046632124402E-2</v>
      </c>
      <c r="F9">
        <v>102530.46104780213</v>
      </c>
      <c r="G9">
        <v>-1941.7046632124402</v>
      </c>
      <c r="H9">
        <v>102522.4718495516</v>
      </c>
      <c r="I9">
        <v>-1990.6836167434046</v>
      </c>
    </row>
    <row r="10" spans="1:9" x14ac:dyDescent="0.3">
      <c r="A10">
        <v>101969.75638458969</v>
      </c>
      <c r="B10">
        <v>-1254.3509635792445</v>
      </c>
      <c r="C10">
        <v>101926.6965128251</v>
      </c>
      <c r="D10">
        <v>-1278.5184998531138</v>
      </c>
      <c r="E10">
        <v>-1.4473509635792444E-2</v>
      </c>
      <c r="F10">
        <v>100576.75638458969</v>
      </c>
      <c r="G10">
        <v>-1447.3509635792443</v>
      </c>
      <c r="H10">
        <v>100519.78823280819</v>
      </c>
      <c r="I10">
        <v>-1454.8741235753653</v>
      </c>
    </row>
    <row r="11" spans="1:9" x14ac:dyDescent="0.3">
      <c r="A11">
        <v>100709.40542101045</v>
      </c>
      <c r="B11">
        <v>-898.48775652247082</v>
      </c>
      <c r="C11">
        <v>100642.17801297198</v>
      </c>
      <c r="D11">
        <v>-904.25764734410336</v>
      </c>
      <c r="E11">
        <v>-1.0914877565224707E-2</v>
      </c>
      <c r="F11">
        <v>99117.405421010451</v>
      </c>
      <c r="G11">
        <v>-1091.4877565224708</v>
      </c>
      <c r="H11">
        <v>99052.914109232821</v>
      </c>
      <c r="I11">
        <v>-1081.1504299809951</v>
      </c>
    </row>
    <row r="12" spans="1:9" x14ac:dyDescent="0.3">
      <c r="A12">
        <v>99804.917664487977</v>
      </c>
      <c r="B12">
        <v>-1018.8861578538313</v>
      </c>
      <c r="C12">
        <v>99731.920365627884</v>
      </c>
      <c r="D12">
        <v>-1016.1547315671887</v>
      </c>
      <c r="E12">
        <v>-1.2118861578538313E-2</v>
      </c>
      <c r="F12">
        <v>98013.917664487977</v>
      </c>
      <c r="G12">
        <v>-1211.8861578538313</v>
      </c>
      <c r="H12">
        <v>97959.763679251831</v>
      </c>
      <c r="I12">
        <v>-1187.1608162951779</v>
      </c>
    </row>
    <row r="13" spans="1:9" x14ac:dyDescent="0.3">
      <c r="A13">
        <v>98780.031506634143</v>
      </c>
      <c r="B13">
        <v>2453.0487300405421</v>
      </c>
      <c r="C13">
        <v>98709.765634060692</v>
      </c>
      <c r="D13">
        <v>2421.3986523123212</v>
      </c>
      <c r="E13">
        <v>2.2600487300405422E-2</v>
      </c>
      <c r="F13">
        <v>96790.031506634143</v>
      </c>
      <c r="G13">
        <v>2260.0487300405421</v>
      </c>
      <c r="H13">
        <v>96760.602862956657</v>
      </c>
      <c r="I13">
        <v>2186.8367761838244</v>
      </c>
    </row>
    <row r="14" spans="1:9" x14ac:dyDescent="0.3">
      <c r="A14">
        <v>101227.08023667468</v>
      </c>
      <c r="B14">
        <v>-1070.7734311676084</v>
      </c>
      <c r="C14">
        <v>101125.16428637301</v>
      </c>
      <c r="D14">
        <v>-1082.8213914030773</v>
      </c>
      <c r="E14">
        <v>-1.2637734311676084E-2</v>
      </c>
      <c r="F14">
        <v>99038.080236674679</v>
      </c>
      <c r="G14">
        <v>-1263.7734311676084</v>
      </c>
      <c r="H14">
        <v>98935.439639140488</v>
      </c>
      <c r="I14">
        <v>-1250.3198001683238</v>
      </c>
    </row>
    <row r="15" spans="1:9" x14ac:dyDescent="0.3">
      <c r="A15">
        <v>100150.30680550708</v>
      </c>
      <c r="B15">
        <v>2204.8182514684631</v>
      </c>
      <c r="C15">
        <v>100036.34289496993</v>
      </c>
      <c r="D15">
        <v>2205.6195462498722</v>
      </c>
      <c r="E15">
        <v>2.011818251468463E-2</v>
      </c>
      <c r="F15">
        <v>97762.306805507076</v>
      </c>
      <c r="G15">
        <v>2011.8182514684629</v>
      </c>
      <c r="H15">
        <v>97673.119838972169</v>
      </c>
      <c r="I15">
        <v>1965.0056516991062</v>
      </c>
    </row>
    <row r="16" spans="1:9" x14ac:dyDescent="0.3">
      <c r="A16">
        <v>102349.12505697554</v>
      </c>
      <c r="B16">
        <v>670.30526905597321</v>
      </c>
      <c r="C16">
        <v>102235.9624412198</v>
      </c>
      <c r="D16">
        <v>685.29304311358214</v>
      </c>
      <c r="E16">
        <v>4.7730526905597316E-3</v>
      </c>
      <c r="F16">
        <v>99762.125056975536</v>
      </c>
      <c r="G16">
        <v>477.30526905597316</v>
      </c>
      <c r="H16">
        <v>99626.125490671271</v>
      </c>
      <c r="I16">
        <v>475.52074632328998</v>
      </c>
    </row>
    <row r="17" spans="1:9" x14ac:dyDescent="0.3">
      <c r="A17">
        <v>103013.43032603151</v>
      </c>
      <c r="B17">
        <v>374.49330233132224</v>
      </c>
      <c r="C17">
        <v>102915.25548433338</v>
      </c>
      <c r="D17">
        <v>385.4107388659973</v>
      </c>
      <c r="E17">
        <v>1.8149330233132226E-3</v>
      </c>
      <c r="F17">
        <v>100227.43032603151</v>
      </c>
      <c r="G17">
        <v>181.49330233132227</v>
      </c>
      <c r="H17">
        <v>100089.64623699457</v>
      </c>
      <c r="I17">
        <v>181.65600424725946</v>
      </c>
    </row>
    <row r="18" spans="1:9" x14ac:dyDescent="0.3">
      <c r="A18">
        <v>103381.92362836283</v>
      </c>
      <c r="B18">
        <v>2839.3795667222194</v>
      </c>
      <c r="C18">
        <v>103294.66622319937</v>
      </c>
      <c r="D18">
        <v>2932.9276462554408</v>
      </c>
      <c r="E18">
        <v>2.6463795667222192E-2</v>
      </c>
      <c r="F18">
        <v>100396.92362836283</v>
      </c>
      <c r="G18">
        <v>2646.3795667222194</v>
      </c>
      <c r="H18">
        <v>100259.30224124182</v>
      </c>
      <c r="I18">
        <v>2653.2416882504954</v>
      </c>
    </row>
    <row r="19" spans="1:9" x14ac:dyDescent="0.3">
      <c r="A19">
        <v>106215.30319508504</v>
      </c>
      <c r="B19">
        <v>1688.8360558299589</v>
      </c>
      <c r="C19">
        <v>106221.59386945481</v>
      </c>
      <c r="D19">
        <v>1793.908576344618</v>
      </c>
      <c r="E19">
        <v>1.4958360558299589E-2</v>
      </c>
      <c r="F19">
        <v>103031.30319508504</v>
      </c>
      <c r="G19">
        <v>1495.8360558299589</v>
      </c>
      <c r="H19">
        <v>102900.54392949231</v>
      </c>
      <c r="I19">
        <v>1539.223437742492</v>
      </c>
    </row>
    <row r="20" spans="1:9" x14ac:dyDescent="0.3">
      <c r="A20">
        <v>107898.139250915</v>
      </c>
      <c r="B20">
        <v>-209.04102430101176</v>
      </c>
      <c r="C20">
        <v>108009.50244579943</v>
      </c>
      <c r="D20">
        <v>-225.78417025512547</v>
      </c>
      <c r="E20">
        <v>-4.0204102430101175E-3</v>
      </c>
      <c r="F20">
        <v>104515.139250915</v>
      </c>
      <c r="G20">
        <v>-402.04102430101176</v>
      </c>
      <c r="H20">
        <v>104427.7673672348</v>
      </c>
      <c r="I20">
        <v>-419.84246557790851</v>
      </c>
    </row>
    <row r="21" spans="1:9" x14ac:dyDescent="0.3">
      <c r="A21">
        <v>107683.09822661399</v>
      </c>
      <c r="B21">
        <v>-593.56898704381717</v>
      </c>
      <c r="C21">
        <v>107777.71827554431</v>
      </c>
      <c r="D21">
        <v>-639.73511062708735</v>
      </c>
      <c r="E21">
        <v>-7.8656898704381716E-3</v>
      </c>
      <c r="F21">
        <v>104101.09822661399</v>
      </c>
      <c r="G21">
        <v>-786.56898704381717</v>
      </c>
      <c r="H21">
        <v>103995.92490165689</v>
      </c>
      <c r="I21">
        <v>-817.99969306581147</v>
      </c>
    </row>
    <row r="22" spans="1:9" x14ac:dyDescent="0.3">
      <c r="A22">
        <v>107083.52923957017</v>
      </c>
      <c r="B22">
        <v>1746.8593480581308</v>
      </c>
      <c r="C22">
        <v>107131.98316491721</v>
      </c>
      <c r="D22">
        <v>1871.4450626764192</v>
      </c>
      <c r="E22">
        <v>1.5538593480581309E-2</v>
      </c>
      <c r="F22">
        <v>103302.52923957017</v>
      </c>
      <c r="G22">
        <v>1553.859348058131</v>
      </c>
      <c r="H22">
        <v>103165.92520859108</v>
      </c>
      <c r="I22">
        <v>1603.0533728643522</v>
      </c>
    </row>
    <row r="23" spans="1:9" x14ac:dyDescent="0.3">
      <c r="A23">
        <v>108824.3885876283</v>
      </c>
      <c r="B23">
        <v>1956.6313666162357</v>
      </c>
      <c r="C23">
        <v>108997.42822759363</v>
      </c>
      <c r="D23">
        <v>2132.6778695061157</v>
      </c>
      <c r="E23">
        <v>1.7636313666162355E-2</v>
      </c>
      <c r="F23">
        <v>104844.3885876283</v>
      </c>
      <c r="G23">
        <v>1763.6313666162355</v>
      </c>
      <c r="H23">
        <v>104756.97858145543</v>
      </c>
      <c r="I23">
        <v>1847.5269329819996</v>
      </c>
    </row>
    <row r="24" spans="1:9" x14ac:dyDescent="0.3">
      <c r="A24">
        <v>110775.01995424453</v>
      </c>
      <c r="B24">
        <v>-2106.6846725185605</v>
      </c>
      <c r="C24">
        <v>111124.10609709975</v>
      </c>
      <c r="D24">
        <v>-2341.0345106208638</v>
      </c>
      <c r="E24">
        <v>-2.2996846725185607E-2</v>
      </c>
      <c r="F24">
        <v>106596.01995424453</v>
      </c>
      <c r="G24">
        <v>-2299.6846725185605</v>
      </c>
      <c r="H24">
        <v>106592.50551443743</v>
      </c>
      <c r="I24">
        <v>-2451.2915113690192</v>
      </c>
    </row>
    <row r="25" spans="1:9" x14ac:dyDescent="0.3">
      <c r="A25">
        <v>108662.33528172597</v>
      </c>
      <c r="B25">
        <v>466.13760690345163</v>
      </c>
      <c r="C25">
        <v>108777.07158647888</v>
      </c>
      <c r="D25">
        <v>507.05083835286706</v>
      </c>
      <c r="E25">
        <v>2.7313760690345157E-3</v>
      </c>
      <c r="F25">
        <v>104284.33528172597</v>
      </c>
      <c r="G25">
        <v>273.13760690345157</v>
      </c>
      <c r="H25">
        <v>104129.21400306841</v>
      </c>
      <c r="I25">
        <v>284.41604321535482</v>
      </c>
    </row>
    <row r="26" spans="1:9" x14ac:dyDescent="0.3">
      <c r="A26">
        <v>109122.47288862942</v>
      </c>
      <c r="B26">
        <v>48.678855852172042</v>
      </c>
      <c r="C26">
        <v>109278.12242483174</v>
      </c>
      <c r="D26">
        <v>53.195339693143943</v>
      </c>
      <c r="E26">
        <v>-1.4432114414782795E-3</v>
      </c>
      <c r="F26">
        <v>104545.47288862942</v>
      </c>
      <c r="G26">
        <v>-144.32114414782797</v>
      </c>
      <c r="H26">
        <v>104401.63004628377</v>
      </c>
      <c r="I26">
        <v>-150.67362699177926</v>
      </c>
    </row>
    <row r="27" spans="1:9" x14ac:dyDescent="0.3">
      <c r="A27">
        <v>109165.15174448158</v>
      </c>
      <c r="B27">
        <v>-2733.415233415235</v>
      </c>
      <c r="C27">
        <v>109325.31776452489</v>
      </c>
      <c r="D27">
        <v>-2988.3148897551355</v>
      </c>
      <c r="E27">
        <v>-2.926415233415235E-2</v>
      </c>
      <c r="F27">
        <v>104389.15174448158</v>
      </c>
      <c r="G27">
        <v>-2926.415233415235</v>
      </c>
      <c r="H27">
        <v>104238.95641929199</v>
      </c>
      <c r="I27">
        <v>-3050.464699807229</v>
      </c>
    </row>
    <row r="28" spans="1:9" x14ac:dyDescent="0.3">
      <c r="A28">
        <v>106425.73651106635</v>
      </c>
      <c r="B28">
        <v>2249.0430578194487</v>
      </c>
      <c r="C28">
        <v>106331.00287476977</v>
      </c>
      <c r="D28">
        <v>2391.4300384648077</v>
      </c>
      <c r="E28">
        <v>2.0560430578194486E-2</v>
      </c>
      <c r="F28">
        <v>101450.73651106635</v>
      </c>
      <c r="G28">
        <v>2056.0430578194487</v>
      </c>
      <c r="H28">
        <v>101176.49171948477</v>
      </c>
      <c r="I28">
        <v>2080.2322341437357</v>
      </c>
    </row>
    <row r="29" spans="1:9" x14ac:dyDescent="0.3">
      <c r="A29">
        <v>108668.7795688858</v>
      </c>
      <c r="B29">
        <v>3744.3405871184441</v>
      </c>
      <c r="C29">
        <v>108716.43291323457</v>
      </c>
      <c r="D29">
        <v>4070.713522437637</v>
      </c>
      <c r="E29">
        <v>3.5513405871184442E-2</v>
      </c>
      <c r="F29">
        <v>103494.7795688858</v>
      </c>
      <c r="G29">
        <v>3551.3405871184441</v>
      </c>
      <c r="H29">
        <v>103244.72395362851</v>
      </c>
      <c r="I29">
        <v>3666.5717858236076</v>
      </c>
    </row>
    <row r="30" spans="1:9" x14ac:dyDescent="0.3">
      <c r="A30">
        <v>112407.12015600424</v>
      </c>
      <c r="B30">
        <v>-462.02604146780578</v>
      </c>
      <c r="C30">
        <v>112781.14643567221</v>
      </c>
      <c r="D30">
        <v>-521.07826639874565</v>
      </c>
      <c r="E30">
        <v>-6.550260414678058E-3</v>
      </c>
      <c r="F30">
        <v>107034.12015600424</v>
      </c>
      <c r="G30">
        <v>-655.02604146780584</v>
      </c>
      <c r="H30">
        <v>106899.29573945211</v>
      </c>
      <c r="I30">
        <v>-700.21822523909589</v>
      </c>
    </row>
    <row r="31" spans="1:9" x14ac:dyDescent="0.3">
      <c r="A31">
        <v>111939.09411453643</v>
      </c>
      <c r="B31">
        <v>-1431.6954189484854</v>
      </c>
      <c r="C31">
        <v>112254.06816927347</v>
      </c>
      <c r="D31">
        <v>-1607.1363515627982</v>
      </c>
      <c r="E31">
        <v>-1.6246954189484856E-2</v>
      </c>
      <c r="F31">
        <v>106367.09411453643</v>
      </c>
      <c r="G31">
        <v>-1624.6954189484857</v>
      </c>
      <c r="H31">
        <v>106187.07751421302</v>
      </c>
      <c r="I31">
        <v>-1725.2165838886963</v>
      </c>
    </row>
    <row r="32" spans="1:9" x14ac:dyDescent="0.3">
      <c r="A32">
        <v>110501.39869558795</v>
      </c>
      <c r="B32">
        <v>95.433856996032489</v>
      </c>
      <c r="C32">
        <v>110640.93181771066</v>
      </c>
      <c r="D32">
        <v>105.58890864999181</v>
      </c>
      <c r="E32">
        <v>-9.7566143003967516E-4</v>
      </c>
      <c r="F32">
        <v>104730.39869558795</v>
      </c>
      <c r="G32">
        <v>-97.566143003967511</v>
      </c>
      <c r="H32">
        <v>104449.86093032431</v>
      </c>
      <c r="I32">
        <v>-101.90770068272542</v>
      </c>
    </row>
    <row r="33" spans="1:9" x14ac:dyDescent="0.3">
      <c r="A33">
        <v>110590.83255258399</v>
      </c>
      <c r="B33">
        <v>-228.82869474624539</v>
      </c>
      <c r="C33">
        <v>110740.52072636066</v>
      </c>
      <c r="D33">
        <v>-253.40608813332645</v>
      </c>
      <c r="E33">
        <v>-4.2182869474624539E-3</v>
      </c>
      <c r="F33">
        <v>104620.83255258399</v>
      </c>
      <c r="G33">
        <v>-421.82869474624539</v>
      </c>
      <c r="H33">
        <v>104335.95322964159</v>
      </c>
      <c r="I33">
        <v>-440.11898965965014</v>
      </c>
    </row>
    <row r="34" spans="1:9" x14ac:dyDescent="0.3">
      <c r="A34">
        <v>110356.00385783774</v>
      </c>
      <c r="B34">
        <v>694.97045902137404</v>
      </c>
      <c r="C34">
        <v>110481.11463822733</v>
      </c>
      <c r="D34">
        <v>767.811109533219</v>
      </c>
      <c r="E34">
        <v>5.0197045902137406E-3</v>
      </c>
      <c r="F34">
        <v>104187.00385783774</v>
      </c>
      <c r="G34">
        <v>501.97045902137404</v>
      </c>
      <c r="H34">
        <v>103883.83423998194</v>
      </c>
      <c r="I34">
        <v>521.46615958344069</v>
      </c>
    </row>
    <row r="35" spans="1:9" x14ac:dyDescent="0.3">
      <c r="A35">
        <v>111044.97431685912</v>
      </c>
      <c r="B35">
        <v>553.05044899217717</v>
      </c>
      <c r="C35">
        <v>111242.92574776054</v>
      </c>
      <c r="D35">
        <v>615.22950032002393</v>
      </c>
      <c r="E35">
        <v>3.6005044899217716E-3</v>
      </c>
      <c r="F35">
        <v>104676.97431685912</v>
      </c>
      <c r="G35">
        <v>360.05044899217717</v>
      </c>
      <c r="H35">
        <v>104393.30039956539</v>
      </c>
      <c r="I35">
        <v>375.86854680638743</v>
      </c>
    </row>
    <row r="36" spans="1:9" x14ac:dyDescent="0.3">
      <c r="A36">
        <v>111592.0247658513</v>
      </c>
      <c r="B36">
        <v>666.15575075163326</v>
      </c>
      <c r="C36">
        <v>111852.15524808057</v>
      </c>
      <c r="D36">
        <v>745.1095645247334</v>
      </c>
      <c r="E36">
        <v>4.7315575075163319E-3</v>
      </c>
      <c r="F36">
        <v>105025.0247658513</v>
      </c>
      <c r="G36">
        <v>473.15575075163321</v>
      </c>
      <c r="H36">
        <v>104757.16894637178</v>
      </c>
      <c r="I36">
        <v>495.66456919436212</v>
      </c>
    </row>
    <row r="37" spans="1:9" x14ac:dyDescent="0.3">
      <c r="A37">
        <v>112252.18051660292</v>
      </c>
      <c r="B37">
        <v>925.14221601086331</v>
      </c>
      <c r="C37">
        <v>112591.26481260531</v>
      </c>
      <c r="D37">
        <v>1041.6293223219961</v>
      </c>
      <c r="E37">
        <v>7.3214221601086331E-3</v>
      </c>
      <c r="F37">
        <v>105486.18051660292</v>
      </c>
      <c r="G37">
        <v>732.14221601086331</v>
      </c>
      <c r="H37">
        <v>105240.83351556613</v>
      </c>
      <c r="I37">
        <v>770.51257064916922</v>
      </c>
    </row>
    <row r="38" spans="1:9" x14ac:dyDescent="0.3">
      <c r="A38">
        <v>113171.32273261379</v>
      </c>
      <c r="B38">
        <v>-299.39533882550393</v>
      </c>
      <c r="C38">
        <v>113626.89413492731</v>
      </c>
      <c r="D38">
        <v>-340.1936246921623</v>
      </c>
      <c r="E38">
        <v>-4.9239533882550392E-3</v>
      </c>
      <c r="F38">
        <v>106206.32273261379</v>
      </c>
      <c r="G38">
        <v>-492.39533882550393</v>
      </c>
      <c r="H38">
        <v>105999.3460862153</v>
      </c>
      <c r="I38">
        <v>-521.93583931403839</v>
      </c>
    </row>
    <row r="39" spans="1:9" x14ac:dyDescent="0.3">
      <c r="A39">
        <v>112865.92739378828</v>
      </c>
      <c r="B39">
        <v>-200.19619226842306</v>
      </c>
      <c r="C39">
        <v>113280.70051023514</v>
      </c>
      <c r="D39">
        <v>-226.78364899648685</v>
      </c>
      <c r="E39">
        <v>-3.9319619226842305E-3</v>
      </c>
      <c r="F39">
        <v>105701.92739378828</v>
      </c>
      <c r="G39">
        <v>-393.19619226842303</v>
      </c>
      <c r="H39">
        <v>105465.41024690126</v>
      </c>
      <c r="I39">
        <v>-414.68597725108702</v>
      </c>
    </row>
    <row r="40" spans="1:9" x14ac:dyDescent="0.3">
      <c r="A40">
        <v>112659.73120151985</v>
      </c>
      <c r="B40">
        <v>-1024.8699127475629</v>
      </c>
      <c r="C40">
        <v>113047.91686123866</v>
      </c>
      <c r="D40">
        <v>-1158.5940868987141</v>
      </c>
      <c r="E40">
        <v>-1.2178699127475628E-2</v>
      </c>
      <c r="F40">
        <v>105296.73120151985</v>
      </c>
      <c r="G40">
        <v>-1217.8699127475629</v>
      </c>
      <c r="H40">
        <v>105038.72426965018</v>
      </c>
      <c r="I40">
        <v>-1279.2350196139416</v>
      </c>
    </row>
    <row r="41" spans="1:9" x14ac:dyDescent="0.3">
      <c r="A41">
        <v>111628.86128877228</v>
      </c>
      <c r="B41">
        <v>216.97639377197069</v>
      </c>
      <c r="C41">
        <v>111883.32277433995</v>
      </c>
      <c r="D41">
        <v>242.76039898801682</v>
      </c>
      <c r="E41">
        <v>2.3976393771970683E-4</v>
      </c>
      <c r="F41">
        <v>104066.86128877228</v>
      </c>
      <c r="G41">
        <v>23.976393771970685</v>
      </c>
      <c r="H41">
        <v>103747.48925003623</v>
      </c>
      <c r="I41">
        <v>24.87490655112164</v>
      </c>
    </row>
    <row r="42" spans="1:9" x14ac:dyDescent="0.3">
      <c r="A42">
        <v>111839.83768254425</v>
      </c>
      <c r="B42">
        <v>-1841.1509185828734</v>
      </c>
      <c r="C42">
        <v>112120.08317332796</v>
      </c>
      <c r="D42">
        <v>-2064.2999412616095</v>
      </c>
      <c r="E42">
        <v>-2.0341509185828735E-2</v>
      </c>
      <c r="F42">
        <v>104078.83768254425</v>
      </c>
      <c r="G42">
        <v>-2034.1509185828736</v>
      </c>
      <c r="H42">
        <v>103760.36415658735</v>
      </c>
      <c r="I42">
        <v>-2110.6424006161565</v>
      </c>
    </row>
    <row r="43" spans="1:9" x14ac:dyDescent="0.3">
      <c r="A43">
        <v>109992.68676396138</v>
      </c>
      <c r="B43">
        <v>1852.1523917718171</v>
      </c>
      <c r="C43">
        <v>110049.78323206636</v>
      </c>
      <c r="D43">
        <v>2038.2896922724171</v>
      </c>
      <c r="E43">
        <v>1.6591523917718169E-2</v>
      </c>
      <c r="F43">
        <v>102032.68676396138</v>
      </c>
      <c r="G43">
        <v>1659.1523917718168</v>
      </c>
      <c r="H43">
        <v>101637.7217559712</v>
      </c>
      <c r="I43">
        <v>1686.3246914565805</v>
      </c>
    </row>
    <row r="44" spans="1:9" x14ac:dyDescent="0.3">
      <c r="A44">
        <v>111838.83915573319</v>
      </c>
      <c r="B44">
        <v>1238.7766832497573</v>
      </c>
      <c r="C44">
        <v>112082.07292433878</v>
      </c>
      <c r="D44">
        <v>1388.446585489698</v>
      </c>
      <c r="E44">
        <v>1.0457766832497573E-2</v>
      </c>
      <c r="F44">
        <v>103679.83915573319</v>
      </c>
      <c r="G44">
        <v>1045.7766832497573</v>
      </c>
      <c r="H44">
        <v>103312.04644742778</v>
      </c>
      <c r="I44">
        <v>1080.4132927353589</v>
      </c>
    </row>
    <row r="45" spans="1:9" x14ac:dyDescent="0.3">
      <c r="A45">
        <v>113071.61583898295</v>
      </c>
      <c r="B45">
        <v>183.28588698669049</v>
      </c>
      <c r="C45">
        <v>113464.51950982847</v>
      </c>
      <c r="D45">
        <v>207.96445099877562</v>
      </c>
      <c r="E45">
        <v>-9.7141130133095079E-5</v>
      </c>
      <c r="F45">
        <v>104713.61583898295</v>
      </c>
      <c r="G45">
        <v>-9.7141130133095075</v>
      </c>
      <c r="H45">
        <v>104380.45974016315</v>
      </c>
      <c r="I45">
        <v>-10.13963582297148</v>
      </c>
    </row>
    <row r="46" spans="1:9" x14ac:dyDescent="0.3">
      <c r="A46">
        <v>113248.90172596964</v>
      </c>
      <c r="B46">
        <v>-763.12040127252283</v>
      </c>
      <c r="C46">
        <v>113666.48396082725</v>
      </c>
      <c r="D46">
        <v>-867.41212851423268</v>
      </c>
      <c r="E46">
        <v>-9.5612040127252274E-3</v>
      </c>
      <c r="F46">
        <v>104691.90172596964</v>
      </c>
      <c r="G46">
        <v>-956.12040127252271</v>
      </c>
      <c r="H46">
        <v>104358.32010434018</v>
      </c>
      <c r="I46">
        <v>-997.79118894288104</v>
      </c>
    </row>
    <row r="47" spans="1:9" x14ac:dyDescent="0.3">
      <c r="A47">
        <v>112479.78132469712</v>
      </c>
      <c r="B47">
        <v>-125.93962769097296</v>
      </c>
      <c r="C47">
        <v>112793.07183231301</v>
      </c>
      <c r="D47">
        <v>-142.0511747268267</v>
      </c>
      <c r="E47">
        <v>-3.1893962769097297E-3</v>
      </c>
      <c r="F47">
        <v>103723.78132469712</v>
      </c>
      <c r="G47">
        <v>-318.93962769097294</v>
      </c>
      <c r="H47">
        <v>103348.5289153973</v>
      </c>
      <c r="I47">
        <v>-329.61941334686571</v>
      </c>
    </row>
    <row r="48" spans="1:9" x14ac:dyDescent="0.3">
      <c r="A48">
        <v>112347.84169700615</v>
      </c>
      <c r="B48">
        <v>1416.4029226741686</v>
      </c>
      <c r="C48">
        <v>112645.02065758618</v>
      </c>
      <c r="D48">
        <v>1595.5073648409716</v>
      </c>
      <c r="E48">
        <v>1.2234029226741687E-2</v>
      </c>
      <c r="F48">
        <v>103392.84169700615</v>
      </c>
      <c r="G48">
        <v>1223.4029226741686</v>
      </c>
      <c r="H48">
        <v>103006.90950205043</v>
      </c>
      <c r="I48">
        <v>1260.1895414044209</v>
      </c>
    </row>
    <row r="49" spans="1:9" x14ac:dyDescent="0.3">
      <c r="A49">
        <v>113758.24461968032</v>
      </c>
      <c r="B49">
        <v>-955.94678562893557</v>
      </c>
      <c r="C49">
        <v>114234.52802242716</v>
      </c>
      <c r="D49">
        <v>-1092.021298708778</v>
      </c>
      <c r="E49">
        <v>-1.1489467856289355E-2</v>
      </c>
      <c r="F49">
        <v>104604.24461968032</v>
      </c>
      <c r="G49">
        <v>-1148.9467856289355</v>
      </c>
      <c r="H49">
        <v>104255.09904345486</v>
      </c>
      <c r="I49">
        <v>-1197.8356093140376</v>
      </c>
    </row>
    <row r="50" spans="1:9" x14ac:dyDescent="0.3">
      <c r="A50">
        <v>112796.29783405138</v>
      </c>
      <c r="B50">
        <v>2622.5930939728887</v>
      </c>
      <c r="C50">
        <v>113136.50672371838</v>
      </c>
      <c r="D50">
        <v>2967.110212098411</v>
      </c>
      <c r="E50">
        <v>2.4295930939728885E-2</v>
      </c>
      <c r="F50">
        <v>103443.29783405138</v>
      </c>
      <c r="G50">
        <v>2429.5930939728887</v>
      </c>
      <c r="H50">
        <v>103045.26343414083</v>
      </c>
      <c r="I50">
        <v>2503.5806040620555</v>
      </c>
    </row>
    <row r="51" spans="1:9" x14ac:dyDescent="0.3">
      <c r="A51">
        <v>115412.89092802427</v>
      </c>
      <c r="B51">
        <v>1387.4294609846265</v>
      </c>
      <c r="C51">
        <v>116097.6169358168</v>
      </c>
      <c r="D51">
        <v>1610.7725408685997</v>
      </c>
      <c r="E51">
        <v>1.1944294609846267E-2</v>
      </c>
      <c r="F51">
        <v>105860.89092802427</v>
      </c>
      <c r="G51">
        <v>1194.4294609846268</v>
      </c>
      <c r="H51">
        <v>105536.84403820288</v>
      </c>
      <c r="I51">
        <v>1260.5631573856926</v>
      </c>
    </row>
    <row r="52" spans="1:9" x14ac:dyDescent="0.3">
      <c r="A52">
        <v>116794.32038900889</v>
      </c>
      <c r="B52">
        <v>2065.5270655270688</v>
      </c>
      <c r="C52">
        <v>117702.38947668539</v>
      </c>
      <c r="D52">
        <v>2431.1747114130212</v>
      </c>
      <c r="E52">
        <v>1.8725270655270687E-2</v>
      </c>
      <c r="F52">
        <v>107043.32038900889</v>
      </c>
      <c r="G52">
        <v>1872.5270655270688</v>
      </c>
      <c r="H52">
        <v>106785.40719558857</v>
      </c>
      <c r="I52">
        <v>1999.5856517706859</v>
      </c>
    </row>
    <row r="53" spans="1:9" x14ac:dyDescent="0.3">
      <c r="A53">
        <v>118853.84745453596</v>
      </c>
      <c r="B53">
        <v>-4160.6913729337975</v>
      </c>
      <c r="C53">
        <v>120127.56418809842</v>
      </c>
      <c r="D53">
        <v>-4998.1371996897205</v>
      </c>
      <c r="E53">
        <v>-4.3536913729337975E-2</v>
      </c>
      <c r="F53">
        <v>108903.84745453596</v>
      </c>
      <c r="G53">
        <v>-4353.6913729337975</v>
      </c>
      <c r="H53">
        <v>108772.99284735926</v>
      </c>
      <c r="I53">
        <v>-4735.6404056773763</v>
      </c>
    </row>
    <row r="54" spans="1:9" x14ac:dyDescent="0.3">
      <c r="A54">
        <v>114687.15608160217</v>
      </c>
      <c r="B54">
        <v>-418.74090182054186</v>
      </c>
      <c r="C54">
        <v>115123.4269884087</v>
      </c>
      <c r="D54">
        <v>-482.06887637797564</v>
      </c>
      <c r="E54">
        <v>-6.1174090182054188E-3</v>
      </c>
      <c r="F54">
        <v>104538.15608160217</v>
      </c>
      <c r="G54">
        <v>-611.74090182054192</v>
      </c>
      <c r="H54">
        <v>104025.35244168188</v>
      </c>
      <c r="I54">
        <v>-636.36562914874185</v>
      </c>
    </row>
    <row r="55" spans="1:9" x14ac:dyDescent="0.3">
      <c r="A55">
        <v>114262.41517978163</v>
      </c>
      <c r="B55">
        <v>1832.8432522143996</v>
      </c>
      <c r="C55">
        <v>114635.35811203072</v>
      </c>
      <c r="D55">
        <v>2101.0864258081674</v>
      </c>
      <c r="E55">
        <v>1.6398432522143996E-2</v>
      </c>
      <c r="F55">
        <v>103914.41517978163</v>
      </c>
      <c r="G55">
        <v>1639.8432522143996</v>
      </c>
      <c r="H55">
        <v>103376.98681253314</v>
      </c>
      <c r="I55">
        <v>1695.2205425878944</v>
      </c>
    </row>
    <row r="56" spans="1:9" x14ac:dyDescent="0.3">
      <c r="A56">
        <v>116089.25843199603</v>
      </c>
      <c r="B56">
        <v>436.75274335316504</v>
      </c>
      <c r="C56">
        <v>116730.44453783889</v>
      </c>
      <c r="D56">
        <v>509.82341884735615</v>
      </c>
      <c r="E56">
        <v>2.4375274335316499E-3</v>
      </c>
      <c r="F56">
        <v>105542.25843199603</v>
      </c>
      <c r="G56">
        <v>243.75274335316499</v>
      </c>
      <c r="H56">
        <v>105060.20735512103</v>
      </c>
      <c r="I56">
        <v>256.08713760063114</v>
      </c>
    </row>
    <row r="57" spans="1:9" x14ac:dyDescent="0.3">
      <c r="A57">
        <v>116520.01117534919</v>
      </c>
      <c r="B57">
        <v>-491.67443475718858</v>
      </c>
      <c r="C57">
        <v>117234.26795668625</v>
      </c>
      <c r="D57">
        <v>-576.41092431776497</v>
      </c>
      <c r="E57">
        <v>-6.8467443475718863E-3</v>
      </c>
      <c r="F57">
        <v>105774.01117534919</v>
      </c>
      <c r="G57">
        <v>-684.67443475718858</v>
      </c>
      <c r="H57">
        <v>105304.29449272166</v>
      </c>
      <c r="I57">
        <v>-720.99158309308734</v>
      </c>
    </row>
    <row r="58" spans="1:9" x14ac:dyDescent="0.3">
      <c r="A58">
        <v>116022.336740592</v>
      </c>
      <c r="B58">
        <v>57.594355753145202</v>
      </c>
      <c r="C58">
        <v>116651.85703236848</v>
      </c>
      <c r="D58">
        <v>67.184885531872624</v>
      </c>
      <c r="E58">
        <v>-1.3540564424685481E-3</v>
      </c>
      <c r="F58">
        <v>105077.336740592</v>
      </c>
      <c r="G58">
        <v>-135.40564424685482</v>
      </c>
      <c r="H58">
        <v>104571.30290962858</v>
      </c>
      <c r="I58">
        <v>-141.5954464021126</v>
      </c>
    </row>
    <row r="59" spans="1:9" x14ac:dyDescent="0.3">
      <c r="A59">
        <v>116073.93109634514</v>
      </c>
      <c r="B59">
        <v>1121.1247296323049</v>
      </c>
      <c r="C59">
        <v>116713.04191790035</v>
      </c>
      <c r="D59">
        <v>1308.4987756476992</v>
      </c>
      <c r="E59">
        <v>9.2812472963230506E-3</v>
      </c>
      <c r="F59">
        <v>104929.93109634514</v>
      </c>
      <c r="G59">
        <v>928.12472963230505</v>
      </c>
      <c r="H59">
        <v>104417.70746322646</v>
      </c>
      <c r="I59">
        <v>969.12656508132181</v>
      </c>
    </row>
    <row r="60" spans="1:9" x14ac:dyDescent="0.3">
      <c r="A60">
        <v>117189.05582597744</v>
      </c>
      <c r="B60">
        <v>1500.5702879954304</v>
      </c>
      <c r="C60">
        <v>118015.54069354806</v>
      </c>
      <c r="D60">
        <v>1770.9061388645384</v>
      </c>
      <c r="E60">
        <v>1.3075702879954304E-2</v>
      </c>
      <c r="F60">
        <v>105846.05582597744</v>
      </c>
      <c r="G60">
        <v>1307.5702879954304</v>
      </c>
      <c r="H60">
        <v>105374.83402830777</v>
      </c>
      <c r="I60">
        <v>1377.8500207786508</v>
      </c>
    </row>
    <row r="61" spans="1:9" x14ac:dyDescent="0.3">
      <c r="A61">
        <v>118683.62611397287</v>
      </c>
      <c r="B61">
        <v>-175.8520667149746</v>
      </c>
      <c r="C61">
        <v>119780.44683241259</v>
      </c>
      <c r="D61">
        <v>-210.63639127522887</v>
      </c>
      <c r="E61">
        <v>-3.6885206671497459E-3</v>
      </c>
      <c r="F61">
        <v>107141.62611397287</v>
      </c>
      <c r="G61">
        <v>-368.85206671497457</v>
      </c>
      <c r="H61">
        <v>106740.68404908643</v>
      </c>
      <c r="I61">
        <v>-393.71521914075652</v>
      </c>
    </row>
    <row r="62" spans="1:9" x14ac:dyDescent="0.3">
      <c r="A62">
        <v>118501.7740472579</v>
      </c>
      <c r="B62">
        <v>-469.18090326277797</v>
      </c>
      <c r="C62">
        <v>119563.81044113736</v>
      </c>
      <c r="D62">
        <v>-560.97056580312392</v>
      </c>
      <c r="E62">
        <v>-6.62180903262778E-3</v>
      </c>
      <c r="F62">
        <v>106760.7740472579</v>
      </c>
      <c r="G62">
        <v>-662.18090326277797</v>
      </c>
      <c r="H62">
        <v>106334.96882994568</v>
      </c>
      <c r="I62">
        <v>-704.1298570823277</v>
      </c>
    </row>
    <row r="63" spans="1:9" x14ac:dyDescent="0.3">
      <c r="A63">
        <v>118026.59314399512</v>
      </c>
      <c r="B63">
        <v>-14.081284213127441</v>
      </c>
      <c r="C63">
        <v>118996.83987533423</v>
      </c>
      <c r="D63">
        <v>-16.75628322748598</v>
      </c>
      <c r="E63">
        <v>-2.0708128421312744E-3</v>
      </c>
      <c r="F63">
        <v>106086.59314399512</v>
      </c>
      <c r="G63">
        <v>-207.08128421312745</v>
      </c>
      <c r="H63">
        <v>105618.83897286335</v>
      </c>
      <c r="I63">
        <v>-218.71684811600056</v>
      </c>
    </row>
    <row r="64" spans="1:9" x14ac:dyDescent="0.3">
      <c r="A64">
        <v>118006.511859782</v>
      </c>
      <c r="B64">
        <v>-1611.0552940969078</v>
      </c>
      <c r="C64">
        <v>118974.08359210675</v>
      </c>
      <c r="D64">
        <v>-1916.7382723139162</v>
      </c>
      <c r="E64">
        <v>-1.8040552940969078E-2</v>
      </c>
      <c r="F64">
        <v>105867.511859782</v>
      </c>
      <c r="G64">
        <v>-1804.0552940969078</v>
      </c>
      <c r="H64">
        <v>105388.12212474734</v>
      </c>
      <c r="I64">
        <v>-1901.2599965408192</v>
      </c>
    </row>
    <row r="65" spans="1:9" x14ac:dyDescent="0.3">
      <c r="A65">
        <v>116389.45656568509</v>
      </c>
      <c r="B65">
        <v>-274.10174936276582</v>
      </c>
      <c r="C65">
        <v>117051.34531979283</v>
      </c>
      <c r="D65">
        <v>-320.83978517420411</v>
      </c>
      <c r="E65">
        <v>-4.6710174936276582E-3</v>
      </c>
      <c r="F65">
        <v>104051.45656568509</v>
      </c>
      <c r="G65">
        <v>-467.10174936276582</v>
      </c>
      <c r="H65">
        <v>103474.86212820653</v>
      </c>
      <c r="I65">
        <v>-483.33289115156276</v>
      </c>
    </row>
    <row r="66" spans="1:9" x14ac:dyDescent="0.3">
      <c r="A66">
        <v>116109.35481632233</v>
      </c>
      <c r="B66">
        <v>134.16270276864697</v>
      </c>
      <c r="C66">
        <v>116724.50553461863</v>
      </c>
      <c r="D66">
        <v>156.60075141858326</v>
      </c>
      <c r="E66">
        <v>-5.8837297231353045E-4</v>
      </c>
      <c r="F66">
        <v>103572.35481632233</v>
      </c>
      <c r="G66">
        <v>-58.837297231353048</v>
      </c>
      <c r="H66">
        <v>102979.52923705497</v>
      </c>
      <c r="I66">
        <v>-60.590371704654146</v>
      </c>
    </row>
    <row r="67" spans="1:9" x14ac:dyDescent="0.3">
      <c r="A67">
        <v>116237.51751909098</v>
      </c>
      <c r="B67">
        <v>-529.93336481451854</v>
      </c>
      <c r="C67">
        <v>116875.1062860372</v>
      </c>
      <c r="D67">
        <v>-619.36018337214182</v>
      </c>
      <c r="E67">
        <v>-7.2293336481451861E-3</v>
      </c>
      <c r="F67">
        <v>103501.51751909098</v>
      </c>
      <c r="G67">
        <v>-722.93336481451865</v>
      </c>
      <c r="H67">
        <v>102906.93886535031</v>
      </c>
      <c r="I67">
        <v>-743.94859576689657</v>
      </c>
    </row>
    <row r="68" spans="1:9" x14ac:dyDescent="0.3">
      <c r="A68">
        <v>115701.58415427645</v>
      </c>
      <c r="B68">
        <v>3153.1451826948687</v>
      </c>
      <c r="C68">
        <v>116249.74610266506</v>
      </c>
      <c r="D68">
        <v>3665.523269131199</v>
      </c>
      <c r="E68">
        <v>2.9601451826948684E-2</v>
      </c>
      <c r="F68">
        <v>102766.58415427645</v>
      </c>
      <c r="G68">
        <v>2960.1451826948683</v>
      </c>
      <c r="H68">
        <v>102150.99026958342</v>
      </c>
      <c r="I68">
        <v>3023.8176175401773</v>
      </c>
    </row>
    <row r="69" spans="1:9" x14ac:dyDescent="0.3">
      <c r="A69">
        <v>118848.72933697133</v>
      </c>
      <c r="B69">
        <v>77.826395254307556</v>
      </c>
      <c r="C69">
        <v>119909.26937179625</v>
      </c>
      <c r="D69">
        <v>93.321061927846515</v>
      </c>
      <c r="E69">
        <v>-1.1517360474569245E-3</v>
      </c>
      <c r="F69">
        <v>105714.72933697132</v>
      </c>
      <c r="G69">
        <v>-115.17360474569244</v>
      </c>
      <c r="H69">
        <v>105162.80788712359</v>
      </c>
      <c r="I69">
        <v>-121.11979669538761</v>
      </c>
    </row>
    <row r="70" spans="1:9" x14ac:dyDescent="0.3">
      <c r="A70">
        <v>118920.55573222564</v>
      </c>
      <c r="B70">
        <v>-981.73036539269447</v>
      </c>
      <c r="C70">
        <v>119996.59043372409</v>
      </c>
      <c r="D70">
        <v>-1178.0429657237746</v>
      </c>
      <c r="E70">
        <v>-1.1747303653926944E-2</v>
      </c>
      <c r="F70">
        <v>105587.55573222562</v>
      </c>
      <c r="G70">
        <v>-1174.7303653926945</v>
      </c>
      <c r="H70">
        <v>105029.6880904282</v>
      </c>
      <c r="I70">
        <v>-1233.8156386754945</v>
      </c>
    </row>
    <row r="71" spans="1:9" x14ac:dyDescent="0.3">
      <c r="A71">
        <v>117932.82536683294</v>
      </c>
      <c r="B71">
        <v>-396.88114638945359</v>
      </c>
      <c r="C71">
        <v>118812.54746800032</v>
      </c>
      <c r="D71">
        <v>-471.54460044551337</v>
      </c>
      <c r="E71">
        <v>-5.898811463894536E-3</v>
      </c>
      <c r="F71">
        <v>104400.82536683293</v>
      </c>
      <c r="G71">
        <v>-589.88114638945365</v>
      </c>
      <c r="H71">
        <v>103783.8724517527</v>
      </c>
      <c r="I71">
        <v>-612.20149658576713</v>
      </c>
    </row>
    <row r="72" spans="1:9" x14ac:dyDescent="0.3">
      <c r="A72">
        <v>117529.94422044349</v>
      </c>
      <c r="B72">
        <v>2218.8122828368214</v>
      </c>
      <c r="C72">
        <v>118335.00286755481</v>
      </c>
      <c r="D72">
        <v>2625.6315785206111</v>
      </c>
      <c r="E72">
        <v>2.0258122828368214E-2</v>
      </c>
      <c r="F72">
        <v>103798.94422044347</v>
      </c>
      <c r="G72">
        <v>2025.8122828368214</v>
      </c>
      <c r="H72">
        <v>103159.67095516693</v>
      </c>
      <c r="I72">
        <v>2089.8212851438207</v>
      </c>
    </row>
    <row r="73" spans="1:9" x14ac:dyDescent="0.3">
      <c r="A73">
        <v>119742.75650328031</v>
      </c>
      <c r="B73">
        <v>277.02761564600735</v>
      </c>
      <c r="C73">
        <v>120954.63444607542</v>
      </c>
      <c r="D73">
        <v>335.077739819307</v>
      </c>
      <c r="E73">
        <v>8.4027615646007346E-4</v>
      </c>
      <c r="F73">
        <v>105812.7565032803</v>
      </c>
      <c r="G73">
        <v>84.027615646007348</v>
      </c>
      <c r="H73">
        <v>105237.49224031075</v>
      </c>
      <c r="I73">
        <v>88.428555495185122</v>
      </c>
    </row>
    <row r="74" spans="1:9" x14ac:dyDescent="0.3">
      <c r="A74">
        <v>120013.78411892631</v>
      </c>
      <c r="B74">
        <v>429.31774685770603</v>
      </c>
      <c r="C74">
        <v>121283.71218589472</v>
      </c>
      <c r="D74">
        <v>520.69250046186824</v>
      </c>
      <c r="E74">
        <v>2.3631774685770601E-3</v>
      </c>
      <c r="F74">
        <v>105884.7841189263</v>
      </c>
      <c r="G74">
        <v>236.31774685770603</v>
      </c>
      <c r="H74">
        <v>105313.92079580593</v>
      </c>
      <c r="I74">
        <v>248.87548475215766</v>
      </c>
    </row>
    <row r="75" spans="1:9" x14ac:dyDescent="0.3">
      <c r="A75">
        <v>120437.10186578402</v>
      </c>
      <c r="B75">
        <v>1068.8489714687696</v>
      </c>
      <c r="C75">
        <v>121798.40468635659</v>
      </c>
      <c r="D75">
        <v>1301.8409957554923</v>
      </c>
      <c r="E75">
        <v>8.7584897146876974E-3</v>
      </c>
      <c r="F75">
        <v>106109.101865784</v>
      </c>
      <c r="G75">
        <v>875.84897146876972</v>
      </c>
      <c r="H75">
        <v>105550.79628055809</v>
      </c>
      <c r="I75">
        <v>924.46556360036448</v>
      </c>
    </row>
    <row r="76" spans="1:9" x14ac:dyDescent="0.3">
      <c r="A76">
        <v>121499.95083725279</v>
      </c>
      <c r="B76">
        <v>895.62159987405403</v>
      </c>
      <c r="C76">
        <v>123094.24568211209</v>
      </c>
      <c r="D76">
        <v>1102.4586525310308</v>
      </c>
      <c r="E76">
        <v>7.0262159987405396E-3</v>
      </c>
      <c r="F76">
        <v>106972.95083725278</v>
      </c>
      <c r="G76">
        <v>702.62159987405391</v>
      </c>
      <c r="H76">
        <v>106463.26184415845</v>
      </c>
      <c r="I76">
        <v>748.03387364752939</v>
      </c>
    </row>
    <row r="77" spans="1:9" x14ac:dyDescent="0.3">
      <c r="A77">
        <v>122389.57243712684</v>
      </c>
      <c r="B77">
        <v>327.82861750990583</v>
      </c>
      <c r="C77">
        <v>124190.70433464312</v>
      </c>
      <c r="D77">
        <v>407.13266909607518</v>
      </c>
      <c r="E77">
        <v>1.3482861750990581E-3</v>
      </c>
      <c r="F77">
        <v>107663.57243712683</v>
      </c>
      <c r="G77">
        <v>134.8286175099058</v>
      </c>
      <c r="H77">
        <v>107199.29571780597</v>
      </c>
      <c r="I77">
        <v>144.53532839667344</v>
      </c>
    </row>
    <row r="78" spans="1:9" x14ac:dyDescent="0.3">
      <c r="A78">
        <v>122711.40105463675</v>
      </c>
      <c r="B78">
        <v>322.97700544144601</v>
      </c>
      <c r="C78">
        <v>124591.83700373919</v>
      </c>
      <c r="D78">
        <v>402.40298417916426</v>
      </c>
      <c r="E78">
        <v>1.2997700544144601E-3</v>
      </c>
      <c r="F78">
        <v>107786.40105463674</v>
      </c>
      <c r="G78">
        <v>129.97700544144601</v>
      </c>
      <c r="H78">
        <v>107331.83104620264</v>
      </c>
      <c r="I78">
        <v>139.50669987932645</v>
      </c>
    </row>
    <row r="79" spans="1:9" x14ac:dyDescent="0.3">
      <c r="A79">
        <v>123028.37806007819</v>
      </c>
      <c r="B79">
        <v>60.287963685373398</v>
      </c>
      <c r="C79">
        <v>124988.23998791835</v>
      </c>
      <c r="D79">
        <v>75.352864734903562</v>
      </c>
      <c r="E79">
        <v>-1.3271203631462661E-3</v>
      </c>
      <c r="F79">
        <v>107904.37806007818</v>
      </c>
      <c r="G79">
        <v>-132.7120363146266</v>
      </c>
      <c r="H79">
        <v>107459.33774608198</v>
      </c>
      <c r="I79">
        <v>-142.61147533303756</v>
      </c>
    </row>
    <row r="80" spans="1:9" x14ac:dyDescent="0.3">
      <c r="A80">
        <v>123082.66602376357</v>
      </c>
      <c r="B80">
        <v>1222.874740385291</v>
      </c>
      <c r="C80">
        <v>125057.59285265325</v>
      </c>
      <c r="D80">
        <v>1529.2977139289778</v>
      </c>
      <c r="E80">
        <v>1.0298747403852912E-2</v>
      </c>
      <c r="F80">
        <v>107759.66602376355</v>
      </c>
      <c r="G80">
        <v>1029.8747403852913</v>
      </c>
      <c r="H80">
        <v>107304.72627074894</v>
      </c>
      <c r="I80">
        <v>1105.1042711020229</v>
      </c>
    </row>
    <row r="81" spans="1:9" x14ac:dyDescent="0.3">
      <c r="A81">
        <v>124299.54076414886</v>
      </c>
      <c r="B81">
        <v>389.50527771219532</v>
      </c>
      <c r="C81">
        <v>126580.89056658222</v>
      </c>
      <c r="D81">
        <v>493.03924933193611</v>
      </c>
      <c r="E81">
        <v>1.9650527771219528E-3</v>
      </c>
      <c r="F81">
        <v>108777.54076414884</v>
      </c>
      <c r="G81">
        <v>196.50527771219529</v>
      </c>
      <c r="H81">
        <v>108397.83054185097</v>
      </c>
      <c r="I81">
        <v>213.00745794025909</v>
      </c>
    </row>
    <row r="82" spans="1:9" x14ac:dyDescent="0.3">
      <c r="A82">
        <v>124683.04604186105</v>
      </c>
      <c r="B82">
        <v>-2887.830580605902</v>
      </c>
      <c r="C82">
        <v>127067.92981591416</v>
      </c>
      <c r="D82">
        <v>-3669.5065353668142</v>
      </c>
      <c r="E82">
        <v>-3.0808305806059023E-2</v>
      </c>
      <c r="F82">
        <v>108962.04604186103</v>
      </c>
      <c r="G82">
        <v>-3080.8305806059025</v>
      </c>
      <c r="H82">
        <v>108598.83799979123</v>
      </c>
      <c r="I82">
        <v>-3345.7462112802314</v>
      </c>
    </row>
    <row r="83" spans="1:9" x14ac:dyDescent="0.3">
      <c r="A83">
        <v>121789.21546125514</v>
      </c>
      <c r="B83">
        <v>-1145.3773491755319</v>
      </c>
      <c r="C83">
        <v>123392.42328054734</v>
      </c>
      <c r="D83">
        <v>-1413.308866854185</v>
      </c>
      <c r="E83">
        <v>-1.3383773491755319E-2</v>
      </c>
      <c r="F83">
        <v>105869.21546125512</v>
      </c>
      <c r="G83">
        <v>-1338.3773491755319</v>
      </c>
      <c r="H83">
        <v>105241.091788511</v>
      </c>
      <c r="I83">
        <v>-1408.5229345224618</v>
      </c>
    </row>
    <row r="84" spans="1:9" x14ac:dyDescent="0.3">
      <c r="A84">
        <v>120637.83811207961</v>
      </c>
      <c r="B84">
        <v>378.24442415547963</v>
      </c>
      <c r="C84">
        <v>121973.11441369315</v>
      </c>
      <c r="D84">
        <v>461.356504238578</v>
      </c>
      <c r="E84">
        <v>1.8524442415547963E-3</v>
      </c>
      <c r="F84">
        <v>104518.8381120796</v>
      </c>
      <c r="G84">
        <v>185.24442415547963</v>
      </c>
      <c r="H84">
        <v>103820.56885398853</v>
      </c>
      <c r="I84">
        <v>192.3218149285143</v>
      </c>
    </row>
    <row r="85" spans="1:9" x14ac:dyDescent="0.3">
      <c r="A85">
        <v>121010.08253623509</v>
      </c>
      <c r="B85">
        <v>790.78981553650374</v>
      </c>
      <c r="C85">
        <v>122428.47091793173</v>
      </c>
      <c r="D85">
        <v>968.15187933607433</v>
      </c>
      <c r="E85">
        <v>5.9778981553650365E-3</v>
      </c>
      <c r="F85">
        <v>104692.08253623507</v>
      </c>
      <c r="G85">
        <v>597.78981553650362</v>
      </c>
      <c r="H85">
        <v>104000.89066891704</v>
      </c>
      <c r="I85">
        <v>621.70673248603998</v>
      </c>
    </row>
    <row r="86" spans="1:9" x14ac:dyDescent="0.3">
      <c r="A86">
        <v>121794.8723517716</v>
      </c>
      <c r="B86">
        <v>837.40632127728679</v>
      </c>
      <c r="C86">
        <v>123390.6227972678</v>
      </c>
      <c r="D86">
        <v>1033.2808751677335</v>
      </c>
      <c r="E86">
        <v>6.4440632127728678E-3</v>
      </c>
      <c r="F86">
        <v>105277.87235177157</v>
      </c>
      <c r="G86">
        <v>644.40632127728679</v>
      </c>
      <c r="H86">
        <v>104610.59740140308</v>
      </c>
      <c r="I86">
        <v>674.11730238057453</v>
      </c>
    </row>
    <row r="87" spans="1:9" x14ac:dyDescent="0.3">
      <c r="A87">
        <v>122626.27867304889</v>
      </c>
      <c r="B87">
        <v>264.39051458228005</v>
      </c>
      <c r="C87">
        <v>124417.90367243554</v>
      </c>
      <c r="D87">
        <v>328.94913575203782</v>
      </c>
      <c r="E87">
        <v>7.1390514582280015E-4</v>
      </c>
      <c r="F87">
        <v>105910.27867304886</v>
      </c>
      <c r="G87">
        <v>71.390514582280019</v>
      </c>
      <c r="H87">
        <v>105272.71470378365</v>
      </c>
      <c r="I87">
        <v>75.154732741766708</v>
      </c>
    </row>
    <row r="88" spans="1:9" x14ac:dyDescent="0.3">
      <c r="A88">
        <v>122884.66918763117</v>
      </c>
      <c r="B88">
        <v>-1707.400919999337</v>
      </c>
      <c r="C88">
        <v>124740.85280818757</v>
      </c>
      <c r="D88">
        <v>-2129.8264684620135</v>
      </c>
      <c r="E88">
        <v>-1.9004009199993371E-2</v>
      </c>
      <c r="F88">
        <v>105969.66918763114</v>
      </c>
      <c r="G88">
        <v>-1900.4009199993372</v>
      </c>
      <c r="H88">
        <v>105335.86943652542</v>
      </c>
      <c r="I88">
        <v>-2001.8038318610297</v>
      </c>
    </row>
    <row r="89" spans="1:9" x14ac:dyDescent="0.3">
      <c r="A89">
        <v>121171.26826763184</v>
      </c>
      <c r="B89">
        <v>466.06137818703513</v>
      </c>
      <c r="C89">
        <v>122605.02633972556</v>
      </c>
      <c r="D89">
        <v>571.41467548550247</v>
      </c>
      <c r="E89">
        <v>2.7306137818703512E-3</v>
      </c>
      <c r="F89">
        <v>104057.26826763181</v>
      </c>
      <c r="G89">
        <v>273.06137818703513</v>
      </c>
      <c r="H89">
        <v>103322.06560466439</v>
      </c>
      <c r="I89">
        <v>282.13265631140916</v>
      </c>
    </row>
    <row r="90" spans="1:9" x14ac:dyDescent="0.3">
      <c r="A90">
        <v>121631.32964581887</v>
      </c>
      <c r="B90">
        <v>279.36136692166951</v>
      </c>
      <c r="C90">
        <v>123170.44101521106</v>
      </c>
      <c r="D90">
        <v>344.09062766354236</v>
      </c>
      <c r="E90">
        <v>8.6361366921669535E-4</v>
      </c>
      <c r="F90">
        <v>104318.32964581884</v>
      </c>
      <c r="G90">
        <v>86.361366921669529</v>
      </c>
      <c r="H90">
        <v>103592.1982609758</v>
      </c>
      <c r="I90">
        <v>89.463638442384678</v>
      </c>
    </row>
    <row r="91" spans="1:9" x14ac:dyDescent="0.3">
      <c r="A91">
        <v>121904.69101274054</v>
      </c>
      <c r="B91">
        <v>1069.7697001083986</v>
      </c>
      <c r="C91">
        <v>123508.5316428746</v>
      </c>
      <c r="D91">
        <v>1321.2568485642662</v>
      </c>
      <c r="E91">
        <v>8.7676970010839867E-3</v>
      </c>
      <c r="F91">
        <v>104392.69101274051</v>
      </c>
      <c r="G91">
        <v>876.76970010839864</v>
      </c>
      <c r="H91">
        <v>103669.66189941818</v>
      </c>
      <c r="I91">
        <v>908.94418373891961</v>
      </c>
    </row>
    <row r="92" spans="1:9" x14ac:dyDescent="0.3">
      <c r="A92">
        <v>122968.46071284894</v>
      </c>
      <c r="B92">
        <v>-40.30502845535009</v>
      </c>
      <c r="C92">
        <v>124823.78849143887</v>
      </c>
      <c r="D92">
        <v>-50.310263470520447</v>
      </c>
      <c r="E92">
        <v>-2.3330502845535011E-3</v>
      </c>
      <c r="F92">
        <v>105257.46071284892</v>
      </c>
      <c r="G92">
        <v>-233.30502845535011</v>
      </c>
      <c r="H92">
        <v>104566.60608315709</v>
      </c>
      <c r="I92">
        <v>-243.95915007710352</v>
      </c>
    </row>
    <row r="93" spans="1:9" x14ac:dyDescent="0.3">
      <c r="A93">
        <v>122922.1556843936</v>
      </c>
      <c r="B93">
        <v>-417.35823517089636</v>
      </c>
      <c r="C93">
        <v>124767.47822796836</v>
      </c>
      <c r="D93">
        <v>-520.72734519948108</v>
      </c>
      <c r="E93">
        <v>-6.1035823517089638E-3</v>
      </c>
      <c r="F93">
        <v>105012.15568439357</v>
      </c>
      <c r="G93">
        <v>-610.35823517089636</v>
      </c>
      <c r="H93">
        <v>104310.64693307999</v>
      </c>
      <c r="I93">
        <v>-636.66862371609182</v>
      </c>
    </row>
    <row r="94" spans="1:9" x14ac:dyDescent="0.3">
      <c r="A94">
        <v>122498.79744922271</v>
      </c>
      <c r="B94">
        <v>142.36717789425927</v>
      </c>
      <c r="C94">
        <v>124240.75088276887</v>
      </c>
      <c r="D94">
        <v>176.87805082643507</v>
      </c>
      <c r="E94">
        <v>-5.063282210574073E-4</v>
      </c>
      <c r="F94">
        <v>104389.79744922268</v>
      </c>
      <c r="G94">
        <v>-50.632822105740729</v>
      </c>
      <c r="H94">
        <v>103661.9783093639</v>
      </c>
      <c r="I94">
        <v>-52.486985068671764</v>
      </c>
    </row>
    <row r="95" spans="1:9" x14ac:dyDescent="0.3">
      <c r="A95">
        <v>122635.16462711697</v>
      </c>
      <c r="B95">
        <v>-569.38238947045386</v>
      </c>
      <c r="C95">
        <v>124411.6289335953</v>
      </c>
      <c r="D95">
        <v>-708.37790560121948</v>
      </c>
      <c r="E95">
        <v>-7.6238238947045388E-3</v>
      </c>
      <c r="F95">
        <v>104327.16462711694</v>
      </c>
      <c r="G95">
        <v>-762.38238947045386</v>
      </c>
      <c r="H95">
        <v>103597.49132429523</v>
      </c>
      <c r="I95">
        <v>-789.80902978960819</v>
      </c>
    </row>
    <row r="96" spans="1:9" x14ac:dyDescent="0.3">
      <c r="A96">
        <v>122059.78223764652</v>
      </c>
      <c r="B96">
        <v>-619.9141410905371</v>
      </c>
      <c r="C96">
        <v>123697.25102799409</v>
      </c>
      <c r="D96">
        <v>-766.81675126279504</v>
      </c>
      <c r="E96">
        <v>-8.1291414109053699E-3</v>
      </c>
      <c r="F96">
        <v>103552.78223764649</v>
      </c>
      <c r="G96">
        <v>-812.91414109053699</v>
      </c>
      <c r="H96">
        <v>102795.68229450562</v>
      </c>
      <c r="I96">
        <v>-835.64063780253753</v>
      </c>
    </row>
    <row r="97" spans="1:9" x14ac:dyDescent="0.3">
      <c r="A97">
        <v>121433.86809655598</v>
      </c>
      <c r="B97">
        <v>-1255.6025302775186</v>
      </c>
      <c r="C97">
        <v>122924.43427673129</v>
      </c>
      <c r="D97">
        <v>-1543.4423071079634</v>
      </c>
      <c r="E97">
        <v>-1.4486025302775185E-2</v>
      </c>
      <c r="F97">
        <v>102727.86809655595</v>
      </c>
      <c r="G97">
        <v>-1448.6025302775186</v>
      </c>
      <c r="H97">
        <v>101948.04165670308</v>
      </c>
      <c r="I97">
        <v>-1476.8219110073794</v>
      </c>
    </row>
    <row r="98" spans="1:9" x14ac:dyDescent="0.3">
      <c r="A98">
        <v>120172.26556627845</v>
      </c>
      <c r="B98">
        <v>-433.82236945890514</v>
      </c>
      <c r="C98">
        <v>121374.99196962333</v>
      </c>
      <c r="D98">
        <v>-526.55186609317582</v>
      </c>
      <c r="E98">
        <v>-6.2682236945890519E-3</v>
      </c>
      <c r="F98">
        <v>101267.26556627842</v>
      </c>
      <c r="G98">
        <v>-626.8223694589052</v>
      </c>
      <c r="H98">
        <v>100459.21974569569</v>
      </c>
      <c r="I98">
        <v>-629.70086154989804</v>
      </c>
    </row>
    <row r="99" spans="1:9" x14ac:dyDescent="0.3">
      <c r="A99">
        <v>119732.44319681954</v>
      </c>
      <c r="B99">
        <v>-934.79968578162527</v>
      </c>
      <c r="C99">
        <v>120842.44010353016</v>
      </c>
      <c r="D99">
        <v>-1129.6347503786487</v>
      </c>
      <c r="E99">
        <v>-1.1277996857816252E-2</v>
      </c>
      <c r="F99">
        <v>100628.44319681951</v>
      </c>
      <c r="G99">
        <v>-1127.7996857816252</v>
      </c>
      <c r="H99">
        <v>99817.5188841458</v>
      </c>
      <c r="I99">
        <v>-1125.7416643304107</v>
      </c>
    </row>
    <row r="100" spans="1:9" x14ac:dyDescent="0.3">
      <c r="A100">
        <v>118791.64351103791</v>
      </c>
      <c r="B100">
        <v>-1467.0499640658668</v>
      </c>
      <c r="C100">
        <v>119706.8053531515</v>
      </c>
      <c r="D100">
        <v>-1756.1586449178062</v>
      </c>
      <c r="E100">
        <v>-1.660049964065867E-2</v>
      </c>
      <c r="F100">
        <v>99488.643511037895</v>
      </c>
      <c r="G100">
        <v>-1660.049964065867</v>
      </c>
      <c r="H100">
        <v>98679.777219815383</v>
      </c>
      <c r="I100">
        <v>-1638.1336062778228</v>
      </c>
    </row>
    <row r="101" spans="1:9" x14ac:dyDescent="0.3">
      <c r="A101">
        <v>117318.59354697204</v>
      </c>
      <c r="B101">
        <v>190.8032818164364</v>
      </c>
      <c r="C101">
        <v>117944.6467082337</v>
      </c>
      <c r="D101">
        <v>225.04225664611144</v>
      </c>
      <c r="E101">
        <v>-2.1967181835636082E-5</v>
      </c>
      <c r="F101">
        <v>97816.593546972028</v>
      </c>
      <c r="G101">
        <v>-2.196718183563608</v>
      </c>
      <c r="H101">
        <v>97029.643613537555</v>
      </c>
      <c r="I101">
        <v>-2.1314678247055445</v>
      </c>
    </row>
    <row r="102" spans="1:9" x14ac:dyDescent="0.3">
      <c r="A102">
        <v>117503.39682878848</v>
      </c>
      <c r="B102">
        <v>769.69444058051931</v>
      </c>
      <c r="C102">
        <v>118163.68896487981</v>
      </c>
      <c r="D102">
        <v>909.4993447475365</v>
      </c>
      <c r="E102">
        <v>5.7669444058051928E-3</v>
      </c>
      <c r="F102">
        <v>97802.396828788464</v>
      </c>
      <c r="G102">
        <v>576.69444058051931</v>
      </c>
      <c r="H102">
        <v>97015.512145712855</v>
      </c>
      <c r="I102">
        <v>559.48306504504444</v>
      </c>
    </row>
    <row r="103" spans="1:9" x14ac:dyDescent="0.3">
      <c r="A103">
        <v>118267.091269369</v>
      </c>
      <c r="B103">
        <v>2738.0346035714851</v>
      </c>
      <c r="C103">
        <v>119067.18830962735</v>
      </c>
      <c r="D103">
        <v>3260.1008174172189</v>
      </c>
      <c r="E103">
        <v>2.545034603571485E-2</v>
      </c>
      <c r="F103">
        <v>98367.09126936899</v>
      </c>
      <c r="G103">
        <v>2545.0346035714851</v>
      </c>
      <c r="H103">
        <v>97562.995210757901</v>
      </c>
      <c r="I103">
        <v>2483.011988394579</v>
      </c>
    </row>
    <row r="104" spans="1:9" x14ac:dyDescent="0.3">
      <c r="A104">
        <v>120999.12587294049</v>
      </c>
      <c r="B104">
        <v>-1281.4399809274082</v>
      </c>
      <c r="C104">
        <v>122321.28912704457</v>
      </c>
      <c r="D104">
        <v>-1567.4739040597599</v>
      </c>
      <c r="E104">
        <v>-1.4744399809274082E-2</v>
      </c>
      <c r="F104">
        <v>100900.12587294048</v>
      </c>
      <c r="G104">
        <v>-1474.4399809274082</v>
      </c>
      <c r="H104">
        <v>100034.00719915247</v>
      </c>
      <c r="I104">
        <v>-1474.9413966681059</v>
      </c>
    </row>
    <row r="105" spans="1:9" x14ac:dyDescent="0.3">
      <c r="A105">
        <v>119711.68589201309</v>
      </c>
      <c r="B105">
        <v>-1053.4077741493732</v>
      </c>
      <c r="C105">
        <v>120747.81522298481</v>
      </c>
      <c r="D105">
        <v>-1271.9668726744424</v>
      </c>
      <c r="E105">
        <v>-1.2464077741493731E-2</v>
      </c>
      <c r="F105">
        <v>99413.685892013076</v>
      </c>
      <c r="G105">
        <v>-1246.4077741493732</v>
      </c>
      <c r="H105">
        <v>98547.065802484372</v>
      </c>
      <c r="I105">
        <v>-1228.2982893582634</v>
      </c>
    </row>
    <row r="106" spans="1:9" x14ac:dyDescent="0.3">
      <c r="A106">
        <v>118652.27811786372</v>
      </c>
      <c r="B106">
        <v>1996.0753050837038</v>
      </c>
      <c r="C106">
        <v>119469.84835031036</v>
      </c>
      <c r="D106">
        <v>2384.7081399414956</v>
      </c>
      <c r="E106">
        <v>1.8030753050837036E-2</v>
      </c>
      <c r="F106">
        <v>98155.278117863709</v>
      </c>
      <c r="G106">
        <v>1803.0753050837036</v>
      </c>
      <c r="H106">
        <v>97306.767513126106</v>
      </c>
      <c r="I106">
        <v>1754.5142952043886</v>
      </c>
    </row>
    <row r="107" spans="1:9" x14ac:dyDescent="0.3">
      <c r="A107">
        <v>120642.35342294743</v>
      </c>
      <c r="B107">
        <v>-357.55426895861945</v>
      </c>
      <c r="C107">
        <v>121848.55649025185</v>
      </c>
      <c r="D107">
        <v>-435.67471539535052</v>
      </c>
      <c r="E107">
        <v>-5.505542689586195E-3</v>
      </c>
      <c r="F107">
        <v>99946.353422947417</v>
      </c>
      <c r="G107">
        <v>-550.55426895861945</v>
      </c>
      <c r="H107">
        <v>99049.281808330488</v>
      </c>
      <c r="I107">
        <v>-545.32004936861676</v>
      </c>
    </row>
    <row r="108" spans="1:9" x14ac:dyDescent="0.3">
      <c r="A108">
        <v>120278.79915398882</v>
      </c>
      <c r="B108">
        <v>-231.20180188244032</v>
      </c>
      <c r="C108">
        <v>121406.88177485651</v>
      </c>
      <c r="D108">
        <v>-280.69489827275231</v>
      </c>
      <c r="E108">
        <v>-4.2420180188244032E-3</v>
      </c>
      <c r="F108">
        <v>99383.799153988803</v>
      </c>
      <c r="G108">
        <v>-424.20180188244029</v>
      </c>
      <c r="H108">
        <v>98491.961758961872</v>
      </c>
      <c r="I108">
        <v>-417.8046764908803</v>
      </c>
    </row>
    <row r="109" spans="1:9" x14ac:dyDescent="0.3">
      <c r="A109">
        <v>120041.59735210637</v>
      </c>
      <c r="B109">
        <v>509.90741154896642</v>
      </c>
      <c r="C109">
        <v>121120.18687658376</v>
      </c>
      <c r="D109">
        <v>617.60080976565916</v>
      </c>
      <c r="E109">
        <v>3.1690741154896639E-3</v>
      </c>
      <c r="F109">
        <v>98947.597352106357</v>
      </c>
      <c r="G109">
        <v>316.90741154896637</v>
      </c>
      <c r="H109">
        <v>98062.157082470992</v>
      </c>
      <c r="I109">
        <v>310.76624371914022</v>
      </c>
    </row>
    <row r="110" spans="1:9" x14ac:dyDescent="0.3">
      <c r="A110">
        <v>120545.50476365534</v>
      </c>
      <c r="B110">
        <v>-2462.2668536361093</v>
      </c>
      <c r="C110">
        <v>121731.78768634942</v>
      </c>
      <c r="D110">
        <v>-2997.3614585396645</v>
      </c>
      <c r="E110">
        <v>-2.6552668536361092E-2</v>
      </c>
      <c r="F110">
        <v>99252.504763655321</v>
      </c>
      <c r="G110">
        <v>-2655.2668536361093</v>
      </c>
      <c r="H110">
        <v>98360.923326190139</v>
      </c>
      <c r="I110">
        <v>-2611.7449940107549</v>
      </c>
    </row>
    <row r="111" spans="1:9" x14ac:dyDescent="0.3">
      <c r="A111">
        <v>118077.23791001922</v>
      </c>
      <c r="B111">
        <v>381.1904872139184</v>
      </c>
      <c r="C111">
        <v>118728.42622780974</v>
      </c>
      <c r="D111">
        <v>452.58146639920568</v>
      </c>
      <c r="E111">
        <v>1.8819048721391842E-3</v>
      </c>
      <c r="F111">
        <v>96585.237910019205</v>
      </c>
      <c r="G111">
        <v>188.19048721391843</v>
      </c>
      <c r="H111">
        <v>95737.178332179377</v>
      </c>
      <c r="I111">
        <v>180.16826234818632</v>
      </c>
    </row>
    <row r="112" spans="1:9" x14ac:dyDescent="0.3">
      <c r="A112">
        <v>118452.42839723313</v>
      </c>
      <c r="B112">
        <v>649.73056197075095</v>
      </c>
      <c r="C112">
        <v>119175.00769420895</v>
      </c>
      <c r="D112">
        <v>774.31644722026954</v>
      </c>
      <c r="E112">
        <v>4.5673056197075091E-3</v>
      </c>
      <c r="F112">
        <v>96761.428397233118</v>
      </c>
      <c r="G112">
        <v>456.7305619707509</v>
      </c>
      <c r="H112">
        <v>95905.346594527568</v>
      </c>
      <c r="I112">
        <v>438.02902846118218</v>
      </c>
    </row>
    <row r="113" spans="1:9" x14ac:dyDescent="0.3">
      <c r="A113">
        <v>119096.15895920388</v>
      </c>
      <c r="B113">
        <v>1058.064123253042</v>
      </c>
      <c r="C113">
        <v>119943.32414142921</v>
      </c>
      <c r="D113">
        <v>1269.0772809775674</v>
      </c>
      <c r="E113">
        <v>8.6506412325304208E-3</v>
      </c>
      <c r="F113">
        <v>97206.158959203865</v>
      </c>
      <c r="G113">
        <v>865.06412325304211</v>
      </c>
      <c r="H113">
        <v>96331.375622988751</v>
      </c>
      <c r="I113">
        <v>833.32816995060239</v>
      </c>
    </row>
    <row r="114" spans="1:9" x14ac:dyDescent="0.3">
      <c r="A114">
        <v>120148.22308245693</v>
      </c>
      <c r="B114">
        <v>-20.933640360056575</v>
      </c>
      <c r="C114">
        <v>121206.40142240678</v>
      </c>
      <c r="D114">
        <v>-25.37291216713313</v>
      </c>
      <c r="E114">
        <v>-2.1393364036005657E-3</v>
      </c>
      <c r="F114">
        <v>98059.223082456912</v>
      </c>
      <c r="G114">
        <v>-213.93364036005656</v>
      </c>
      <c r="H114">
        <v>97152.703792939355</v>
      </c>
      <c r="I114">
        <v>-207.84231593245792</v>
      </c>
    </row>
    <row r="115" spans="1:9" x14ac:dyDescent="0.3">
      <c r="A115">
        <v>120121.28944209687</v>
      </c>
      <c r="B115">
        <v>891.36156975353504</v>
      </c>
      <c r="C115">
        <v>121175.02851023964</v>
      </c>
      <c r="D115">
        <v>1080.1076362781657</v>
      </c>
      <c r="E115">
        <v>6.9836156975353501E-3</v>
      </c>
      <c r="F115">
        <v>97833.289442096851</v>
      </c>
      <c r="G115">
        <v>698.36156975353504</v>
      </c>
      <c r="H115">
        <v>96932.861477006896</v>
      </c>
      <c r="I115">
        <v>676.94185301784501</v>
      </c>
    </row>
    <row r="116" spans="1:9" x14ac:dyDescent="0.3">
      <c r="A116">
        <v>121006.65101185039</v>
      </c>
      <c r="B116">
        <v>3184.647302904566</v>
      </c>
      <c r="C116">
        <v>122249.13614651781</v>
      </c>
      <c r="D116">
        <v>3893.2038171142103</v>
      </c>
      <c r="E116">
        <v>2.9916473029045661E-2</v>
      </c>
      <c r="F116">
        <v>98519.651011850379</v>
      </c>
      <c r="G116">
        <v>2991.647302904566</v>
      </c>
      <c r="H116">
        <v>97597.803330024748</v>
      </c>
      <c r="I116">
        <v>2919.782051016788</v>
      </c>
    </row>
    <row r="117" spans="1:9" x14ac:dyDescent="0.3">
      <c r="A117">
        <v>124185.29831475495</v>
      </c>
      <c r="B117">
        <v>2524.3685521166858</v>
      </c>
      <c r="C117">
        <v>126136.33996363201</v>
      </c>
      <c r="D117">
        <v>3184.1460988329177</v>
      </c>
      <c r="E117">
        <v>2.3313685521166857E-2</v>
      </c>
      <c r="F117">
        <v>101499.29831475494</v>
      </c>
      <c r="G117">
        <v>2331.3685521166858</v>
      </c>
      <c r="H117">
        <v>100505.58538104154</v>
      </c>
      <c r="I117">
        <v>2343.1556106943876</v>
      </c>
    </row>
    <row r="118" spans="1:9" x14ac:dyDescent="0.3">
      <c r="A118">
        <v>126703.66686687164</v>
      </c>
      <c r="B118">
        <v>347.76970572199252</v>
      </c>
      <c r="C118">
        <v>129314.48606246493</v>
      </c>
      <c r="D118">
        <v>449.71660763534135</v>
      </c>
      <c r="E118">
        <v>1.5476970572199254E-3</v>
      </c>
      <c r="F118">
        <v>103818.66686687163</v>
      </c>
      <c r="G118">
        <v>154.76970572199255</v>
      </c>
      <c r="H118">
        <v>102836.74099173593</v>
      </c>
      <c r="I118">
        <v>159.16012140699738</v>
      </c>
    </row>
    <row r="119" spans="1:9" x14ac:dyDescent="0.3">
      <c r="A119">
        <v>127045.43657259364</v>
      </c>
      <c r="B119">
        <v>-780.92461474385675</v>
      </c>
      <c r="C119">
        <v>129758.20267010028</v>
      </c>
      <c r="D119">
        <v>-1013.3137443000334</v>
      </c>
      <c r="E119">
        <v>-9.7392461474385666E-3</v>
      </c>
      <c r="F119">
        <v>103961.43657259362</v>
      </c>
      <c r="G119">
        <v>-973.92461474385664</v>
      </c>
      <c r="H119">
        <v>102983.90111314293</v>
      </c>
      <c r="I119">
        <v>-1002.9855621643716</v>
      </c>
    </row>
    <row r="120" spans="1:9" x14ac:dyDescent="0.3">
      <c r="A120">
        <v>126258.51195784978</v>
      </c>
      <c r="B120">
        <v>1705.5749389796651</v>
      </c>
      <c r="C120">
        <v>128738.88892580025</v>
      </c>
      <c r="D120">
        <v>2195.7382262393166</v>
      </c>
      <c r="E120">
        <v>1.5125749389796652E-2</v>
      </c>
      <c r="F120">
        <v>102975.51195784977</v>
      </c>
      <c r="G120">
        <v>1512.5749389796651</v>
      </c>
      <c r="H120">
        <v>101968.91555097856</v>
      </c>
      <c r="I120">
        <v>1542.3562621734404</v>
      </c>
    </row>
    <row r="121" spans="1:9" x14ac:dyDescent="0.3">
      <c r="A121">
        <v>127958.08689682945</v>
      </c>
      <c r="B121">
        <v>-167.42155851533022</v>
      </c>
      <c r="C121">
        <v>130928.62715203957</v>
      </c>
      <c r="D121">
        <v>-219.20274812067044</v>
      </c>
      <c r="E121">
        <v>-3.6042155851533021E-3</v>
      </c>
      <c r="F121">
        <v>104476.08689682944</v>
      </c>
      <c r="G121">
        <v>-360.42155851533022</v>
      </c>
      <c r="H121">
        <v>103499.27181315201</v>
      </c>
      <c r="I121">
        <v>-373.03368852098032</v>
      </c>
    </row>
    <row r="122" spans="1:9" x14ac:dyDescent="0.3">
      <c r="A122">
        <v>127784.66533831412</v>
      </c>
      <c r="B122">
        <v>1502.3291344007869</v>
      </c>
      <c r="C122">
        <v>130703.42440391889</v>
      </c>
      <c r="D122">
        <v>1963.5956244795816</v>
      </c>
      <c r="E122">
        <v>1.3093291344007869E-2</v>
      </c>
      <c r="F122">
        <v>104103.66533831411</v>
      </c>
      <c r="G122">
        <v>1309.3291344007869</v>
      </c>
      <c r="H122">
        <v>103114.23812463103</v>
      </c>
      <c r="I122">
        <v>1350.1047614811976</v>
      </c>
    </row>
    <row r="123" spans="1:9" x14ac:dyDescent="0.3">
      <c r="A123">
        <v>129280.99447271491</v>
      </c>
      <c r="B123">
        <v>-746.69557101135638</v>
      </c>
      <c r="C123">
        <v>132661.02002839849</v>
      </c>
      <c r="D123">
        <v>-990.57396101053996</v>
      </c>
      <c r="E123">
        <v>-9.3969557101135637E-3</v>
      </c>
      <c r="F123">
        <v>105400.9944727149</v>
      </c>
      <c r="G123">
        <v>-939.69557101135638</v>
      </c>
      <c r="H123">
        <v>104452.34288611222</v>
      </c>
      <c r="I123">
        <v>-981.53403991839207</v>
      </c>
    </row>
    <row r="124" spans="1:9" x14ac:dyDescent="0.3">
      <c r="A124">
        <v>128528.29890170356</v>
      </c>
      <c r="B124">
        <v>424.53958383160699</v>
      </c>
      <c r="C124">
        <v>131664.44606738794</v>
      </c>
      <c r="D124">
        <v>558.96769138867944</v>
      </c>
      <c r="E124">
        <v>2.3153958383160698E-3</v>
      </c>
      <c r="F124">
        <v>104449.29890170354</v>
      </c>
      <c r="G124">
        <v>231.53958383160699</v>
      </c>
      <c r="H124">
        <v>103458.80884619383</v>
      </c>
      <c r="I124">
        <v>239.548095439615</v>
      </c>
    </row>
    <row r="125" spans="1:9" x14ac:dyDescent="0.3">
      <c r="A125">
        <v>128946.83848553516</v>
      </c>
      <c r="B125">
        <v>77.66062307715012</v>
      </c>
      <c r="C125">
        <v>132217.41375877662</v>
      </c>
      <c r="D125">
        <v>102.68086734155953</v>
      </c>
      <c r="E125">
        <v>-1.153393769228499E-3</v>
      </c>
      <c r="F125">
        <v>104668.83848553515</v>
      </c>
      <c r="G125">
        <v>-115.33937692284989</v>
      </c>
      <c r="H125">
        <v>103686.35694163345</v>
      </c>
      <c r="I125">
        <v>-119.59119805048215</v>
      </c>
    </row>
    <row r="126" spans="1:9" x14ac:dyDescent="0.3">
      <c r="A126">
        <v>129018.4991086123</v>
      </c>
      <c r="B126">
        <v>729.77573828733091</v>
      </c>
      <c r="C126">
        <v>132314.09462611817</v>
      </c>
      <c r="D126">
        <v>965.59616091595149</v>
      </c>
      <c r="E126">
        <v>5.3677573828733085E-3</v>
      </c>
      <c r="F126">
        <v>104541.49910861229</v>
      </c>
      <c r="G126">
        <v>536.7757382873308</v>
      </c>
      <c r="H126">
        <v>103554.76574358298</v>
      </c>
      <c r="I126">
        <v>555.85685835183347</v>
      </c>
    </row>
    <row r="127" spans="1:9" x14ac:dyDescent="0.3">
      <c r="A127">
        <v>129742.27484689963</v>
      </c>
      <c r="B127">
        <v>228.55626170428573</v>
      </c>
      <c r="C127">
        <v>133273.69078703411</v>
      </c>
      <c r="D127">
        <v>304.60536549817425</v>
      </c>
      <c r="E127">
        <v>3.5556261704285737E-4</v>
      </c>
      <c r="F127">
        <v>105066.27484689961</v>
      </c>
      <c r="G127">
        <v>35.556261704285738</v>
      </c>
      <c r="H127">
        <v>104098.62260193481</v>
      </c>
      <c r="I127">
        <v>37.013578682900686</v>
      </c>
    </row>
    <row r="128" spans="1:9" x14ac:dyDescent="0.3">
      <c r="A128">
        <v>129964.83110860392</v>
      </c>
      <c r="B128">
        <v>-913.05126215909843</v>
      </c>
      <c r="C128">
        <v>133572.29615253228</v>
      </c>
      <c r="D128">
        <v>-1219.5835359155847</v>
      </c>
      <c r="E128">
        <v>-1.1060512621590983E-2</v>
      </c>
      <c r="F128">
        <v>105089.8311086039</v>
      </c>
      <c r="G128">
        <v>-1106.0512621590983</v>
      </c>
      <c r="H128">
        <v>104123.63618061772</v>
      </c>
      <c r="I128">
        <v>-1151.6607921816699</v>
      </c>
    </row>
    <row r="129" spans="1:9" x14ac:dyDescent="0.3">
      <c r="A129">
        <v>129045.77984644481</v>
      </c>
      <c r="B129">
        <v>-1133.5348506401103</v>
      </c>
      <c r="C129">
        <v>132346.71261661669</v>
      </c>
      <c r="D129">
        <v>-1500.196111185862</v>
      </c>
      <c r="E129">
        <v>-1.3265348506401103E-2</v>
      </c>
      <c r="F129">
        <v>103971.7798464448</v>
      </c>
      <c r="G129">
        <v>-1326.5348506401103</v>
      </c>
      <c r="H129">
        <v>102959.97538843604</v>
      </c>
      <c r="I129">
        <v>-1365.7999557380845</v>
      </c>
    </row>
    <row r="130" spans="1:9" x14ac:dyDescent="0.3">
      <c r="A130">
        <v>127906.24499580471</v>
      </c>
      <c r="B130">
        <v>846.90936893489254</v>
      </c>
      <c r="C130">
        <v>130840.51650543082</v>
      </c>
      <c r="D130">
        <v>1108.1005926472981</v>
      </c>
      <c r="E130">
        <v>6.5390936893489253E-3</v>
      </c>
      <c r="F130">
        <v>102633.24499580469</v>
      </c>
      <c r="G130">
        <v>653.90936893489254</v>
      </c>
      <c r="H130">
        <v>101582.17543269796</v>
      </c>
      <c r="I130">
        <v>664.25536232229069</v>
      </c>
    </row>
    <row r="131" spans="1:9" x14ac:dyDescent="0.3">
      <c r="A131">
        <v>128747.1543647396</v>
      </c>
      <c r="B131">
        <v>842.608500784341</v>
      </c>
      <c r="C131">
        <v>131942.6170980781</v>
      </c>
      <c r="D131">
        <v>1111.7597078257395</v>
      </c>
      <c r="E131">
        <v>6.4960850078434095E-3</v>
      </c>
      <c r="F131">
        <v>103275.15436473959</v>
      </c>
      <c r="G131">
        <v>649.608500784341</v>
      </c>
      <c r="H131">
        <v>102234.43079502025</v>
      </c>
      <c r="I131">
        <v>664.12355317293566</v>
      </c>
    </row>
    <row r="132" spans="1:9" x14ac:dyDescent="0.3">
      <c r="A132">
        <v>129583.76286552394</v>
      </c>
      <c r="B132">
        <v>-407.75027560898951</v>
      </c>
      <c r="C132">
        <v>133048.37680590386</v>
      </c>
      <c r="D132">
        <v>-542.50512311935984</v>
      </c>
      <c r="E132">
        <v>-6.0075027560898952E-3</v>
      </c>
      <c r="F132">
        <v>103912.76286552392</v>
      </c>
      <c r="G132">
        <v>-600.75027560898957</v>
      </c>
      <c r="H132">
        <v>102886.55434819318</v>
      </c>
      <c r="I132">
        <v>-618.09125881136333</v>
      </c>
    </row>
    <row r="133" spans="1:9" x14ac:dyDescent="0.3">
      <c r="A133">
        <v>129170.01258991494</v>
      </c>
      <c r="B133">
        <v>-237.6531748978868</v>
      </c>
      <c r="C133">
        <v>132499.87168278449</v>
      </c>
      <c r="D133">
        <v>-314.89015178976342</v>
      </c>
      <c r="E133">
        <v>-4.3065317489788682E-3</v>
      </c>
      <c r="F133">
        <v>103300.01258991493</v>
      </c>
      <c r="G133">
        <v>-430.6531748978868</v>
      </c>
      <c r="H133">
        <v>102256.46308938182</v>
      </c>
      <c r="I133">
        <v>-440.37070483270861</v>
      </c>
    </row>
    <row r="134" spans="1:9" x14ac:dyDescent="0.3">
      <c r="A134">
        <v>128926.35941501705</v>
      </c>
      <c r="B134">
        <v>-918.82261128208279</v>
      </c>
      <c r="C134">
        <v>132178.98153099473</v>
      </c>
      <c r="D134">
        <v>-1214.4903696691476</v>
      </c>
      <c r="E134">
        <v>-1.1118226112820827E-2</v>
      </c>
      <c r="F134">
        <v>102857.35941501704</v>
      </c>
      <c r="G134">
        <v>-1111.8226112820828</v>
      </c>
      <c r="H134">
        <v>101804.09238454912</v>
      </c>
      <c r="I134">
        <v>-1131.880918341918</v>
      </c>
    </row>
    <row r="135" spans="1:9" x14ac:dyDescent="0.3">
      <c r="A135">
        <v>128001.53680373497</v>
      </c>
      <c r="B135">
        <v>653.00251708018175</v>
      </c>
      <c r="C135">
        <v>130958.49116132558</v>
      </c>
      <c r="D135">
        <v>855.16224361368336</v>
      </c>
      <c r="E135">
        <v>4.6000251708018169E-3</v>
      </c>
      <c r="F135">
        <v>101733.53680373495</v>
      </c>
      <c r="G135">
        <v>460.00251708018169</v>
      </c>
      <c r="H135">
        <v>100660.2114662072</v>
      </c>
      <c r="I135">
        <v>463.03950644278677</v>
      </c>
    </row>
    <row r="136" spans="1:9" x14ac:dyDescent="0.3">
      <c r="A136">
        <v>128648.53932081515</v>
      </c>
      <c r="B136">
        <v>15.908137735550875</v>
      </c>
      <c r="C136">
        <v>131807.65340493928</v>
      </c>
      <c r="D136">
        <v>20.968143049655254</v>
      </c>
      <c r="E136">
        <v>-1.7709186226444913E-3</v>
      </c>
      <c r="F136">
        <v>102181.53932081514</v>
      </c>
      <c r="G136">
        <v>-177.09186226444913</v>
      </c>
      <c r="H136">
        <v>101111.25097264998</v>
      </c>
      <c r="I136">
        <v>-179.05979730634678</v>
      </c>
    </row>
    <row r="137" spans="1:9" x14ac:dyDescent="0.3">
      <c r="A137">
        <v>128658.4474585507</v>
      </c>
      <c r="B137">
        <v>-3992.7719551861233</v>
      </c>
      <c r="C137">
        <v>131822.62154798894</v>
      </c>
      <c r="D137">
        <v>-5263.3766637592416</v>
      </c>
      <c r="E137">
        <v>-4.1857719551861232E-2</v>
      </c>
      <c r="F137">
        <v>101992.44745855068</v>
      </c>
      <c r="G137">
        <v>-4185.7719551861228</v>
      </c>
      <c r="H137">
        <v>100920.19117534364</v>
      </c>
      <c r="I137">
        <v>-4224.2890593377551</v>
      </c>
    </row>
    <row r="138" spans="1:9" x14ac:dyDescent="0.3">
      <c r="A138">
        <v>124659.67550336457</v>
      </c>
      <c r="B138">
        <v>1814.0589569161004</v>
      </c>
      <c r="C138">
        <v>126553.2448842297</v>
      </c>
      <c r="D138">
        <v>2295.7504740903355</v>
      </c>
      <c r="E138">
        <v>1.6210589569161004E-2</v>
      </c>
      <c r="F138">
        <v>97794.67550336456</v>
      </c>
      <c r="G138">
        <v>1621.0589569161004</v>
      </c>
      <c r="H138">
        <v>96683.902116005891</v>
      </c>
      <c r="I138">
        <v>1567.3030551475085</v>
      </c>
    </row>
    <row r="139" spans="1:9" x14ac:dyDescent="0.3">
      <c r="A139">
        <v>126467.73446028067</v>
      </c>
      <c r="B139">
        <v>1914.3491354324201</v>
      </c>
      <c r="C139">
        <v>128842.99535832004</v>
      </c>
      <c r="D139">
        <v>2466.504767707233</v>
      </c>
      <c r="E139">
        <v>1.7213491354324199E-2</v>
      </c>
      <c r="F139">
        <v>99403.734460280655</v>
      </c>
      <c r="G139">
        <v>1721.3491354324199</v>
      </c>
      <c r="H139">
        <v>98239.2051711534</v>
      </c>
      <c r="I139">
        <v>1691.0397088693303</v>
      </c>
    </row>
    <row r="140" spans="1:9" x14ac:dyDescent="0.3">
      <c r="A140">
        <v>128376.08359571309</v>
      </c>
      <c r="B140">
        <v>1585.0288512478255</v>
      </c>
      <c r="C140">
        <v>131303.50012602727</v>
      </c>
      <c r="D140">
        <v>2081.1983596957571</v>
      </c>
      <c r="E140">
        <v>1.3920288512478255E-2</v>
      </c>
      <c r="F140">
        <v>101113.08359571308</v>
      </c>
      <c r="G140">
        <v>1392.0288512478255</v>
      </c>
      <c r="H140">
        <v>99918.244880022728</v>
      </c>
      <c r="I140">
        <v>1390.8907963903696</v>
      </c>
    </row>
    <row r="141" spans="1:9" x14ac:dyDescent="0.3">
      <c r="A141">
        <v>129955.11244696092</v>
      </c>
      <c r="B141">
        <v>198.05129094746647</v>
      </c>
      <c r="C141">
        <v>133378.69848572303</v>
      </c>
      <c r="D141">
        <v>264.15823419990335</v>
      </c>
      <c r="E141">
        <v>5.0512909474664585E-5</v>
      </c>
      <c r="F141">
        <v>102493.11244696091</v>
      </c>
      <c r="G141">
        <v>5.0512909474664589</v>
      </c>
      <c r="H141">
        <v>101297.13567641311</v>
      </c>
      <c r="I141">
        <v>5.1168130444654718</v>
      </c>
    </row>
    <row r="142" spans="1:9" x14ac:dyDescent="0.3">
      <c r="A142">
        <v>130147.16373790838</v>
      </c>
      <c r="B142">
        <v>-1041.051707008023</v>
      </c>
      <c r="C142">
        <v>133636.85671992294</v>
      </c>
      <c r="D142">
        <v>-1391.2287780746235</v>
      </c>
      <c r="E142">
        <v>-1.2340517070080229E-2</v>
      </c>
      <c r="F142">
        <v>102486.16373790837</v>
      </c>
      <c r="G142">
        <v>-1234.051707008023</v>
      </c>
      <c r="H142">
        <v>101290.25248945758</v>
      </c>
      <c r="I142">
        <v>-1249.9740898788875</v>
      </c>
    </row>
    <row r="143" spans="1:9" x14ac:dyDescent="0.3">
      <c r="A143">
        <v>129100.11203090036</v>
      </c>
      <c r="B143">
        <v>1038.1585497994013</v>
      </c>
      <c r="C143">
        <v>132239.62794184833</v>
      </c>
      <c r="D143">
        <v>1372.8570037012164</v>
      </c>
      <c r="E143">
        <v>8.4515854979940134E-3</v>
      </c>
      <c r="F143">
        <v>101240.11203090035</v>
      </c>
      <c r="G143">
        <v>845.15854979940138</v>
      </c>
      <c r="H143">
        <v>100028.27839957869</v>
      </c>
      <c r="I143">
        <v>845.39754711118701</v>
      </c>
    </row>
    <row r="144" spans="1:9" x14ac:dyDescent="0.3">
      <c r="A144">
        <v>130132.27058069975</v>
      </c>
      <c r="B144">
        <v>2845.5165119285466</v>
      </c>
      <c r="C144">
        <v>133606.48494554954</v>
      </c>
      <c r="D144">
        <v>3801.7945901329404</v>
      </c>
      <c r="E144">
        <v>2.6525165119285467E-2</v>
      </c>
      <c r="F144">
        <v>102073.27058069974</v>
      </c>
      <c r="G144">
        <v>2652.5165119285466</v>
      </c>
      <c r="H144">
        <v>100861.67594668988</v>
      </c>
      <c r="I144">
        <v>2675.3726086938123</v>
      </c>
    </row>
    <row r="145" spans="1:9" x14ac:dyDescent="0.3">
      <c r="A145">
        <v>132971.78709262831</v>
      </c>
      <c r="B145">
        <v>-1401.1058996298545</v>
      </c>
      <c r="C145">
        <v>137402.27953568249</v>
      </c>
      <c r="D145">
        <v>-1925.1514448003518</v>
      </c>
      <c r="E145">
        <v>-1.5941058996298545E-2</v>
      </c>
      <c r="F145">
        <v>104713.78709262829</v>
      </c>
      <c r="G145">
        <v>-1594.1058996298545</v>
      </c>
      <c r="H145">
        <v>103525.04855538369</v>
      </c>
      <c r="I145">
        <v>-1650.2989066160428</v>
      </c>
    </row>
    <row r="146" spans="1:9" x14ac:dyDescent="0.3">
      <c r="A146">
        <v>131564.68119299845</v>
      </c>
      <c r="B146">
        <v>313.04709059078567</v>
      </c>
      <c r="C146">
        <v>135471.12809088215</v>
      </c>
      <c r="D146">
        <v>424.08842507902312</v>
      </c>
      <c r="E146">
        <v>1.2004709059078567E-3</v>
      </c>
      <c r="F146">
        <v>103107.68119299844</v>
      </c>
      <c r="G146">
        <v>120.04709059078567</v>
      </c>
      <c r="H146">
        <v>101862.74964876765</v>
      </c>
      <c r="I146">
        <v>122.28326734912132</v>
      </c>
    </row>
    <row r="147" spans="1:9" x14ac:dyDescent="0.3">
      <c r="A147">
        <v>131871.72828358924</v>
      </c>
      <c r="B147">
        <v>-383.45617856822184</v>
      </c>
      <c r="C147">
        <v>135889.21651596116</v>
      </c>
      <c r="D147">
        <v>-521.0755967384016</v>
      </c>
      <c r="E147">
        <v>-5.7645617856822186E-3</v>
      </c>
      <c r="F147">
        <v>103215.72828358923</v>
      </c>
      <c r="G147">
        <v>-576.45617856822184</v>
      </c>
      <c r="H147">
        <v>101973.03291611678</v>
      </c>
      <c r="I147">
        <v>-587.82984871836175</v>
      </c>
    </row>
    <row r="148" spans="1:9" x14ac:dyDescent="0.3">
      <c r="A148">
        <v>131482.27210502102</v>
      </c>
      <c r="B148">
        <v>1737.0694827793509</v>
      </c>
      <c r="C148">
        <v>135362.14091922276</v>
      </c>
      <c r="D148">
        <v>2351.3344411445992</v>
      </c>
      <c r="E148">
        <v>1.544069482779351E-2</v>
      </c>
      <c r="F148">
        <v>102627.27210502101</v>
      </c>
      <c r="G148">
        <v>1544.0694827793511</v>
      </c>
      <c r="H148">
        <v>101373.20306739841</v>
      </c>
      <c r="I148">
        <v>1565.2726922796398</v>
      </c>
    </row>
    <row r="149" spans="1:9" x14ac:dyDescent="0.3">
      <c r="A149">
        <v>133213.34158780039</v>
      </c>
      <c r="B149">
        <v>200.89559563242935</v>
      </c>
      <c r="C149">
        <v>137707.47536036736</v>
      </c>
      <c r="D149">
        <v>276.6482528555909</v>
      </c>
      <c r="E149">
        <v>7.895595632429332E-5</v>
      </c>
      <c r="F149">
        <v>104159.34158780036</v>
      </c>
      <c r="G149">
        <v>7.8955956324293322</v>
      </c>
      <c r="H149">
        <v>102926.47575967805</v>
      </c>
      <c r="I149">
        <v>8.1266583246945761</v>
      </c>
    </row>
    <row r="150" spans="1:9" x14ac:dyDescent="0.3">
      <c r="A150">
        <v>133408.23718343282</v>
      </c>
      <c r="B150">
        <v>1248.6444149897525</v>
      </c>
      <c r="C150">
        <v>137978.12361322294</v>
      </c>
      <c r="D150">
        <v>1722.856134404165</v>
      </c>
      <c r="E150">
        <v>1.0556444149897525E-2</v>
      </c>
      <c r="F150">
        <v>104155.23718343279</v>
      </c>
      <c r="G150">
        <v>1055.6444149897525</v>
      </c>
      <c r="H150">
        <v>102922.60241800275</v>
      </c>
      <c r="I150">
        <v>1086.4967041877539</v>
      </c>
    </row>
    <row r="151" spans="1:9" x14ac:dyDescent="0.3">
      <c r="A151">
        <v>134650.88159842257</v>
      </c>
      <c r="B151">
        <v>-370.92213675472635</v>
      </c>
      <c r="C151">
        <v>139694.97974762711</v>
      </c>
      <c r="D151">
        <v>-518.15960381898071</v>
      </c>
      <c r="E151">
        <v>-5.6392213675472633E-3</v>
      </c>
      <c r="F151">
        <v>105198.88159842255</v>
      </c>
      <c r="G151">
        <v>-563.92213675472635</v>
      </c>
      <c r="H151">
        <v>103997.0991221905</v>
      </c>
      <c r="I151">
        <v>-586.46266353278736</v>
      </c>
    </row>
    <row r="152" spans="1:9" x14ac:dyDescent="0.3">
      <c r="A152">
        <v>134273.95946166784</v>
      </c>
      <c r="B152">
        <v>305.69354222392053</v>
      </c>
      <c r="C152">
        <v>139170.82014380812</v>
      </c>
      <c r="D152">
        <v>425.43620983968856</v>
      </c>
      <c r="E152">
        <v>1.1269354222392051E-3</v>
      </c>
      <c r="F152">
        <v>104622.95946166782</v>
      </c>
      <c r="G152">
        <v>112.69354222392052</v>
      </c>
      <c r="H152">
        <v>103398.63645865771</v>
      </c>
      <c r="I152">
        <v>116.5235860364955</v>
      </c>
    </row>
    <row r="153" spans="1:9" x14ac:dyDescent="0.3">
      <c r="A153">
        <v>134573.65300389176</v>
      </c>
      <c r="B153">
        <v>1300.0336875631483</v>
      </c>
      <c r="C153">
        <v>139590.2563536478</v>
      </c>
      <c r="D153">
        <v>1814.7203571531795</v>
      </c>
      <c r="E153">
        <v>1.1070336875631484E-2</v>
      </c>
      <c r="F153">
        <v>104723.65300389174</v>
      </c>
      <c r="G153">
        <v>1107.0336875631483</v>
      </c>
      <c r="H153">
        <v>103503.1600446942</v>
      </c>
      <c r="I153">
        <v>1145.8148493871654</v>
      </c>
    </row>
    <row r="154" spans="1:9" x14ac:dyDescent="0.3">
      <c r="A154">
        <v>135867.6866914549</v>
      </c>
      <c r="B154">
        <v>-956.79106994999779</v>
      </c>
      <c r="C154">
        <v>141398.97671080098</v>
      </c>
      <c r="D154">
        <v>-1352.8927821696209</v>
      </c>
      <c r="E154">
        <v>-1.1497910699499977E-2</v>
      </c>
      <c r="F154">
        <v>105818.68669145489</v>
      </c>
      <c r="G154">
        <v>-1149.7910699499978</v>
      </c>
      <c r="H154">
        <v>104636.97489408137</v>
      </c>
      <c r="I154">
        <v>-1203.1065931979688</v>
      </c>
    </row>
    <row r="155" spans="1:9" x14ac:dyDescent="0.3">
      <c r="A155">
        <v>134904.8956215049</v>
      </c>
      <c r="B155">
        <v>279.51280449720133</v>
      </c>
      <c r="C155">
        <v>140040.08392863136</v>
      </c>
      <c r="D155">
        <v>391.42996600915205</v>
      </c>
      <c r="E155">
        <v>8.6512804497201347E-4</v>
      </c>
      <c r="F155">
        <v>104656.8956215049</v>
      </c>
      <c r="G155">
        <v>86.512804497201344</v>
      </c>
      <c r="H155">
        <v>103421.86830088341</v>
      </c>
      <c r="I155">
        <v>89.473158730496309</v>
      </c>
    </row>
    <row r="156" spans="1:9" x14ac:dyDescent="0.3">
      <c r="A156">
        <v>135178.4084260021</v>
      </c>
      <c r="B156">
        <v>808.93562739179413</v>
      </c>
      <c r="C156">
        <v>140425.51389464052</v>
      </c>
      <c r="D156">
        <v>1135.9520118417613</v>
      </c>
      <c r="E156">
        <v>6.1593562739179408E-3</v>
      </c>
      <c r="F156">
        <v>104731.4084260021</v>
      </c>
      <c r="G156">
        <v>615.93562739179413</v>
      </c>
      <c r="H156">
        <v>103499.3414596139</v>
      </c>
      <c r="I156">
        <v>637.48931816564811</v>
      </c>
    </row>
    <row r="157" spans="1:9" x14ac:dyDescent="0.3">
      <c r="A157">
        <v>135981.3440533939</v>
      </c>
      <c r="B157">
        <v>-325.10759513267834</v>
      </c>
      <c r="C157">
        <v>141555.46590648228</v>
      </c>
      <c r="D157">
        <v>-460.20757098742291</v>
      </c>
      <c r="E157">
        <v>-5.1810759513267832E-3</v>
      </c>
      <c r="F157">
        <v>105335.3440533939</v>
      </c>
      <c r="G157">
        <v>-518.10759513267828</v>
      </c>
      <c r="H157">
        <v>104124.83077777956</v>
      </c>
      <c r="I157">
        <v>-539.47865667872452</v>
      </c>
    </row>
    <row r="158" spans="1:9" x14ac:dyDescent="0.3">
      <c r="A158">
        <v>135650.23645826124</v>
      </c>
      <c r="B158">
        <v>-158.92801495792799</v>
      </c>
      <c r="C158">
        <v>141089.25833549484</v>
      </c>
      <c r="D158">
        <v>-224.23035759146492</v>
      </c>
      <c r="E158">
        <v>-3.51928014957928E-3</v>
      </c>
      <c r="F158">
        <v>104805.23645826122</v>
      </c>
      <c r="G158">
        <v>-351.92801495792799</v>
      </c>
      <c r="H158">
        <v>103573.35212110083</v>
      </c>
      <c r="I158">
        <v>-364.50364214517521</v>
      </c>
    </row>
    <row r="159" spans="1:9" x14ac:dyDescent="0.3">
      <c r="A159">
        <v>135485.30844330331</v>
      </c>
      <c r="B159">
        <v>-1225.2151141040051</v>
      </c>
      <c r="C159">
        <v>140859.02797790337</v>
      </c>
      <c r="D159">
        <v>-1725.8261003652615</v>
      </c>
      <c r="E159">
        <v>-1.4182151141040052E-2</v>
      </c>
      <c r="F159">
        <v>104441.30844330329</v>
      </c>
      <c r="G159">
        <v>-1418.2151141040051</v>
      </c>
      <c r="H159">
        <v>103196.84847895565</v>
      </c>
      <c r="I159">
        <v>-1463.5533024075582</v>
      </c>
    </row>
    <row r="160" spans="1:9" x14ac:dyDescent="0.3">
      <c r="A160">
        <v>134254.0933291993</v>
      </c>
      <c r="B160">
        <v>693.29601831828234</v>
      </c>
      <c r="C160">
        <v>139127.20187753811</v>
      </c>
      <c r="D160">
        <v>964.56335101461025</v>
      </c>
      <c r="E160">
        <v>5.0029601831828229E-3</v>
      </c>
      <c r="F160">
        <v>103011.09332919928</v>
      </c>
      <c r="G160">
        <v>500.29601831828228</v>
      </c>
      <c r="H160">
        <v>101721.2951765481</v>
      </c>
      <c r="I160">
        <v>508.90758955005708</v>
      </c>
    </row>
    <row r="161" spans="1:9" x14ac:dyDescent="0.3">
      <c r="A161">
        <v>134941.38934751757</v>
      </c>
      <c r="B161">
        <v>1267.8338288266946</v>
      </c>
      <c r="C161">
        <v>140085.76522855271</v>
      </c>
      <c r="D161">
        <v>1776.0547209383342</v>
      </c>
      <c r="E161">
        <v>1.0748338288266946E-2</v>
      </c>
      <c r="F161">
        <v>103499.38934751757</v>
      </c>
      <c r="G161">
        <v>1074.8338288266946</v>
      </c>
      <c r="H161">
        <v>102218.20276609815</v>
      </c>
      <c r="I161">
        <v>1098.6758225486872</v>
      </c>
    </row>
    <row r="162" spans="1:9" x14ac:dyDescent="0.3">
      <c r="A162">
        <v>136203.22317634427</v>
      </c>
      <c r="B162">
        <v>-935.5700986266063</v>
      </c>
      <c r="C162">
        <v>141855.81994949104</v>
      </c>
      <c r="D162">
        <v>-1327.1606346090343</v>
      </c>
      <c r="E162">
        <v>-1.1285700986266063E-2</v>
      </c>
      <c r="F162">
        <v>104562.22317634427</v>
      </c>
      <c r="G162">
        <v>-1128.5700986266063</v>
      </c>
      <c r="H162">
        <v>103304.87858864684</v>
      </c>
      <c r="I162">
        <v>-1165.8679701739875</v>
      </c>
    </row>
    <row r="163" spans="1:9" x14ac:dyDescent="0.3">
      <c r="A163">
        <v>135261.65307771767</v>
      </c>
      <c r="B163">
        <v>986.61355319838594</v>
      </c>
      <c r="C163">
        <v>140522.65931488201</v>
      </c>
      <c r="D163">
        <v>1386.4156021154201</v>
      </c>
      <c r="E163">
        <v>7.9361355319838602E-3</v>
      </c>
      <c r="F163">
        <v>103421.65307771767</v>
      </c>
      <c r="G163">
        <v>793.61355319838606</v>
      </c>
      <c r="H163">
        <v>102127.01061847285</v>
      </c>
      <c r="I163">
        <v>810.49379774455542</v>
      </c>
    </row>
    <row r="164" spans="1:9" x14ac:dyDescent="0.3">
      <c r="A164">
        <v>136242.26663091604</v>
      </c>
      <c r="B164">
        <v>3853.9553752535467</v>
      </c>
      <c r="C164">
        <v>141903.07491699743</v>
      </c>
      <c r="D164">
        <v>5468.8811834136905</v>
      </c>
      <c r="E164">
        <v>3.6609553752535468E-2</v>
      </c>
      <c r="F164">
        <v>104203.26663091606</v>
      </c>
      <c r="G164">
        <v>3660.9553752535467</v>
      </c>
      <c r="H164">
        <v>102925.5044162174</v>
      </c>
      <c r="I164">
        <v>3768.0567864323375</v>
      </c>
    </row>
    <row r="165" spans="1:9" x14ac:dyDescent="0.3">
      <c r="A165">
        <v>140090.22200616958</v>
      </c>
      <c r="B165">
        <v>463.49581609479952</v>
      </c>
      <c r="C165">
        <v>147365.95610041113</v>
      </c>
      <c r="D165">
        <v>683.03504087350461</v>
      </c>
      <c r="E165">
        <v>2.7049581609479949E-3</v>
      </c>
      <c r="F165">
        <v>107852.2220061696</v>
      </c>
      <c r="G165">
        <v>270.49581609479947</v>
      </c>
      <c r="H165">
        <v>106681.56120264974</v>
      </c>
      <c r="I165">
        <v>288.56915959778041</v>
      </c>
    </row>
    <row r="166" spans="1:9" x14ac:dyDescent="0.3">
      <c r="A166">
        <v>140547.71782226439</v>
      </c>
      <c r="B166">
        <v>-516.11317624650758</v>
      </c>
      <c r="C166">
        <v>148042.99114128464</v>
      </c>
      <c r="D166">
        <v>-764.06938378962002</v>
      </c>
      <c r="E166">
        <v>-7.091131762465076E-3</v>
      </c>
      <c r="F166">
        <v>108110.7178222644</v>
      </c>
      <c r="G166">
        <v>-709.11317624650758</v>
      </c>
      <c r="H166">
        <v>106958.13036224752</v>
      </c>
      <c r="I166">
        <v>-758.45419546561368</v>
      </c>
    </row>
    <row r="167" spans="1:9" x14ac:dyDescent="0.3">
      <c r="A167">
        <v>140025.60464601789</v>
      </c>
      <c r="B167">
        <v>1960.9060845534002</v>
      </c>
      <c r="C167">
        <v>147272.92175749503</v>
      </c>
      <c r="D167">
        <v>2887.8836836422884</v>
      </c>
      <c r="E167">
        <v>1.7679060845534E-2</v>
      </c>
      <c r="F167">
        <v>107389.60464601789</v>
      </c>
      <c r="G167">
        <v>1767.9060845534</v>
      </c>
      <c r="H167">
        <v>106187.67616678191</v>
      </c>
      <c r="I167">
        <v>1877.2983879983981</v>
      </c>
    </row>
    <row r="168" spans="1:9" x14ac:dyDescent="0.3">
      <c r="A168">
        <v>141980.51073057129</v>
      </c>
      <c r="B168">
        <v>57.819299473539374</v>
      </c>
      <c r="C168">
        <v>150154.80544113732</v>
      </c>
      <c r="D168">
        <v>86.818456631921578</v>
      </c>
      <c r="E168">
        <v>-1.3518070052646065E-3</v>
      </c>
      <c r="F168">
        <v>109145.51073057129</v>
      </c>
      <c r="G168">
        <v>-135.18070052646064</v>
      </c>
      <c r="H168">
        <v>108052.9745547803</v>
      </c>
      <c r="I168">
        <v>-146.0667679428303</v>
      </c>
    </row>
    <row r="169" spans="1:9" x14ac:dyDescent="0.3">
      <c r="A169">
        <v>142032.33003004483</v>
      </c>
      <c r="B169">
        <v>-388.86272841888706</v>
      </c>
      <c r="C169">
        <v>150235.62389776923</v>
      </c>
      <c r="D169">
        <v>-584.21034614600285</v>
      </c>
      <c r="E169">
        <v>-5.8186272841888702E-3</v>
      </c>
      <c r="F169">
        <v>108998.33003004483</v>
      </c>
      <c r="G169">
        <v>-581.86272841888706</v>
      </c>
      <c r="H169">
        <v>107894.90778683747</v>
      </c>
      <c r="I169">
        <v>-627.80025427353473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2E5-F4FA-4A74-8A23-1A912CCAB4F4}">
  <sheetPr>
    <tabColor rgb="FFFFFF00"/>
  </sheetPr>
  <dimension ref="A1:I169"/>
  <sheetViews>
    <sheetView topLeftCell="A142" workbookViewId="0">
      <selection activeCell="H3" sqref="H3:H169"/>
    </sheetView>
  </sheetViews>
  <sheetFormatPr baseColWidth="10" defaultRowHeight="14.4" x14ac:dyDescent="0.3"/>
  <sheetData>
    <row r="1" spans="1:9" x14ac:dyDescent="0.3">
      <c r="A1" t="s">
        <v>9</v>
      </c>
      <c r="C1" t="s">
        <v>10</v>
      </c>
      <c r="F1" t="s">
        <v>9</v>
      </c>
      <c r="H1" t="s">
        <v>10</v>
      </c>
    </row>
    <row r="2" spans="1:9" x14ac:dyDescent="0.3">
      <c r="A2" t="s">
        <v>12</v>
      </c>
      <c r="B2" t="s">
        <v>13</v>
      </c>
      <c r="C2" t="s">
        <v>12</v>
      </c>
      <c r="D2" t="s">
        <v>13</v>
      </c>
      <c r="F2" t="s">
        <v>12</v>
      </c>
      <c r="G2" t="s">
        <v>13</v>
      </c>
      <c r="H2" t="s">
        <v>12</v>
      </c>
      <c r="I2" t="s">
        <v>13</v>
      </c>
    </row>
    <row r="3" spans="1:9" x14ac:dyDescent="0.3">
      <c r="A3">
        <v>100000</v>
      </c>
      <c r="B3">
        <v>1407.0599851888487</v>
      </c>
      <c r="C3">
        <v>100000</v>
      </c>
      <c r="D3">
        <v>1407.0599851888487</v>
      </c>
      <c r="E3">
        <v>1.2140599851888489E-2</v>
      </c>
      <c r="F3">
        <v>100000</v>
      </c>
      <c r="G3">
        <v>1214.0599851888489</v>
      </c>
      <c r="H3">
        <v>100000</v>
      </c>
      <c r="I3">
        <v>1214.0599851888489</v>
      </c>
    </row>
    <row r="4" spans="1:9" x14ac:dyDescent="0.3">
      <c r="A4">
        <v>101401.05998518885</v>
      </c>
      <c r="B4">
        <v>1532.7400146179964</v>
      </c>
      <c r="C4">
        <v>101401.05998518885</v>
      </c>
      <c r="D4">
        <v>1554.2146216397869</v>
      </c>
      <c r="E4">
        <v>1.3397400146179964E-2</v>
      </c>
      <c r="F4">
        <v>101202.05998518885</v>
      </c>
      <c r="G4">
        <v>1339.7400146179964</v>
      </c>
      <c r="H4">
        <v>101202.05998518885</v>
      </c>
      <c r="I4">
        <v>1355.8444932392827</v>
      </c>
    </row>
    <row r="5" spans="1:9" x14ac:dyDescent="0.3">
      <c r="A5">
        <v>102927.79999980686</v>
      </c>
      <c r="B5">
        <v>2113.327169462415</v>
      </c>
      <c r="C5">
        <v>102949.27460682864</v>
      </c>
      <c r="D5">
        <v>2175.6549910305803</v>
      </c>
      <c r="E5">
        <v>1.9203271694624147E-2</v>
      </c>
      <c r="F5">
        <v>102529.79999980686</v>
      </c>
      <c r="G5">
        <v>1920.3271694624148</v>
      </c>
      <c r="H5">
        <v>102545.90447842814</v>
      </c>
      <c r="I5">
        <v>1969.2168648702307</v>
      </c>
    </row>
    <row r="6" spans="1:9" x14ac:dyDescent="0.3">
      <c r="A6">
        <v>105035.12716926927</v>
      </c>
      <c r="B6">
        <v>-739.24731182795949</v>
      </c>
      <c r="C6">
        <v>105118.92959785921</v>
      </c>
      <c r="D6">
        <v>-777.08886127449955</v>
      </c>
      <c r="E6">
        <v>-9.3224731182795957E-3</v>
      </c>
      <c r="F6">
        <v>104438.12716926927</v>
      </c>
      <c r="G6">
        <v>-932.24731182795961</v>
      </c>
      <c r="H6">
        <v>104503.12134329838</v>
      </c>
      <c r="I6">
        <v>-974.2275394992098</v>
      </c>
    </row>
    <row r="7" spans="1:9" x14ac:dyDescent="0.3">
      <c r="A7">
        <v>104289.87985744131</v>
      </c>
      <c r="B7">
        <v>-99.162626707798282</v>
      </c>
      <c r="C7">
        <v>104335.84073658471</v>
      </c>
      <c r="D7">
        <v>-103.46216027206242</v>
      </c>
      <c r="E7">
        <v>-2.9216262670779831E-3</v>
      </c>
      <c r="F7">
        <v>103493.87985744131</v>
      </c>
      <c r="G7">
        <v>-292.16262670779832</v>
      </c>
      <c r="H7">
        <v>103516.89380379918</v>
      </c>
      <c r="I7">
        <v>-302.43767602350181</v>
      </c>
    </row>
    <row r="8" spans="1:9" x14ac:dyDescent="0.3">
      <c r="A8">
        <v>104184.71723073351</v>
      </c>
      <c r="B8">
        <v>-454.25618293137728</v>
      </c>
      <c r="C8">
        <v>104226.37857631265</v>
      </c>
      <c r="D8">
        <v>-473.45476892836462</v>
      </c>
      <c r="E8">
        <v>-6.472561829313773E-3</v>
      </c>
      <c r="F8">
        <v>103189.71723073351</v>
      </c>
      <c r="G8">
        <v>-647.25618293137734</v>
      </c>
      <c r="H8">
        <v>103202.45612777567</v>
      </c>
      <c r="I8">
        <v>-667.98427822407007</v>
      </c>
    </row>
    <row r="9" spans="1:9" x14ac:dyDescent="0.3">
      <c r="A9">
        <v>103724.46104780213</v>
      </c>
      <c r="B9">
        <v>-1748.70466321244</v>
      </c>
      <c r="C9">
        <v>103746.92380738429</v>
      </c>
      <c r="D9">
        <v>-1814.2272945591862</v>
      </c>
      <c r="E9">
        <v>-1.9417046632124402E-2</v>
      </c>
      <c r="F9">
        <v>102530.46104780213</v>
      </c>
      <c r="G9">
        <v>-1941.7046632124402</v>
      </c>
      <c r="H9">
        <v>102522.4718495516</v>
      </c>
      <c r="I9">
        <v>-1990.6836167434046</v>
      </c>
    </row>
    <row r="10" spans="1:9" x14ac:dyDescent="0.3">
      <c r="A10">
        <v>101969.75638458969</v>
      </c>
      <c r="B10">
        <v>-1254.3509635792445</v>
      </c>
      <c r="C10">
        <v>101926.6965128251</v>
      </c>
      <c r="D10">
        <v>-1278.5184998531138</v>
      </c>
      <c r="E10">
        <v>-1.4473509635792444E-2</v>
      </c>
      <c r="F10">
        <v>100576.75638458969</v>
      </c>
      <c r="G10">
        <v>-1447.3509635792443</v>
      </c>
      <c r="H10">
        <v>100519.78823280819</v>
      </c>
      <c r="I10">
        <v>-1454.8741235753653</v>
      </c>
    </row>
    <row r="11" spans="1:9" x14ac:dyDescent="0.3">
      <c r="A11">
        <v>100709.40542101045</v>
      </c>
      <c r="B11">
        <v>898.48775652247082</v>
      </c>
      <c r="C11">
        <v>100642.17801297198</v>
      </c>
      <c r="D11">
        <v>904.25764734410336</v>
      </c>
      <c r="E11">
        <v>7.0548775652247075E-3</v>
      </c>
      <c r="F11">
        <v>99117.405421010451</v>
      </c>
      <c r="G11">
        <v>705.4877565224707</v>
      </c>
      <c r="H11">
        <v>99052.914109232821</v>
      </c>
      <c r="I11">
        <v>698.80618151935653</v>
      </c>
    </row>
    <row r="12" spans="1:9" x14ac:dyDescent="0.3">
      <c r="A12">
        <v>101601.89317753293</v>
      </c>
      <c r="B12">
        <v>1018.8861578538313</v>
      </c>
      <c r="C12">
        <v>101540.43566031608</v>
      </c>
      <c r="D12">
        <v>1034.5814435674363</v>
      </c>
      <c r="E12">
        <v>8.2588615785383138E-3</v>
      </c>
      <c r="F12">
        <v>99810.893177532926</v>
      </c>
      <c r="G12">
        <v>825.88615785383138</v>
      </c>
      <c r="H12">
        <v>99739.720290752171</v>
      </c>
      <c r="I12">
        <v>823.73654376345132</v>
      </c>
    </row>
    <row r="13" spans="1:9" x14ac:dyDescent="0.3">
      <c r="A13">
        <v>102614.77933538676</v>
      </c>
      <c r="B13">
        <v>2453.0487300405421</v>
      </c>
      <c r="C13">
        <v>102569.01710388353</v>
      </c>
      <c r="D13">
        <v>2516.0679714818816</v>
      </c>
      <c r="E13">
        <v>2.2600487300405422E-2</v>
      </c>
      <c r="F13">
        <v>100624.77933538676</v>
      </c>
      <c r="G13">
        <v>2260.0487300405421</v>
      </c>
      <c r="H13">
        <v>100551.45683451563</v>
      </c>
      <c r="I13">
        <v>2272.5119232257343</v>
      </c>
    </row>
    <row r="14" spans="1:9" x14ac:dyDescent="0.3">
      <c r="A14">
        <v>105061.8280654273</v>
      </c>
      <c r="B14">
        <v>-1070.7734311676084</v>
      </c>
      <c r="C14">
        <v>105079.08507536541</v>
      </c>
      <c r="D14">
        <v>-1125.1589247010206</v>
      </c>
      <c r="E14">
        <v>-1.2637734311676084E-2</v>
      </c>
      <c r="F14">
        <v>102872.8280654273</v>
      </c>
      <c r="G14">
        <v>-1263.7734311676084</v>
      </c>
      <c r="H14">
        <v>102811.96875774136</v>
      </c>
      <c r="I14">
        <v>-1299.3103452206774</v>
      </c>
    </row>
    <row r="15" spans="1:9" x14ac:dyDescent="0.3">
      <c r="A15">
        <v>103985.05463425969</v>
      </c>
      <c r="B15">
        <v>2204.8182514684631</v>
      </c>
      <c r="C15">
        <v>103947.92615066438</v>
      </c>
      <c r="D15">
        <v>2291.8628477928078</v>
      </c>
      <c r="E15">
        <v>2.011818251468463E-2</v>
      </c>
      <c r="F15">
        <v>101597.05463425969</v>
      </c>
      <c r="G15">
        <v>2011.8182514684629</v>
      </c>
      <c r="H15">
        <v>101500.65841252069</v>
      </c>
      <c r="I15">
        <v>2042.008771303751</v>
      </c>
    </row>
    <row r="16" spans="1:9" x14ac:dyDescent="0.3">
      <c r="A16">
        <v>106183.87288572815</v>
      </c>
      <c r="B16">
        <v>670.30526905597321</v>
      </c>
      <c r="C16">
        <v>106233.7889984572</v>
      </c>
      <c r="D16">
        <v>712.09068517446337</v>
      </c>
      <c r="E16">
        <v>4.7730526905597316E-3</v>
      </c>
      <c r="F16">
        <v>103596.87288572815</v>
      </c>
      <c r="G16">
        <v>477.30526905597316</v>
      </c>
      <c r="H16">
        <v>103530.66718382444</v>
      </c>
      <c r="I16">
        <v>494.15732955719733</v>
      </c>
    </row>
    <row r="17" spans="1:9" x14ac:dyDescent="0.3">
      <c r="A17">
        <v>106848.17815478412</v>
      </c>
      <c r="B17">
        <v>-374.49330233132224</v>
      </c>
      <c r="C17">
        <v>106939.87968363166</v>
      </c>
      <c r="D17">
        <v>-400.48268693637499</v>
      </c>
      <c r="E17">
        <v>-5.6749330233132229E-3</v>
      </c>
      <c r="F17">
        <v>104062.17815478412</v>
      </c>
      <c r="G17">
        <v>-567.4933023313223</v>
      </c>
      <c r="H17">
        <v>104012.82451338164</v>
      </c>
      <c r="I17">
        <v>-590.26581267907261</v>
      </c>
    </row>
    <row r="18" spans="1:9" x14ac:dyDescent="0.3">
      <c r="A18">
        <v>106467.6848524528</v>
      </c>
      <c r="B18">
        <v>2839.3795667222194</v>
      </c>
      <c r="C18">
        <v>106533.39699669529</v>
      </c>
      <c r="D18">
        <v>3024.8875060592286</v>
      </c>
      <c r="E18">
        <v>2.6463795667222192E-2</v>
      </c>
      <c r="F18">
        <v>103482.6848524528</v>
      </c>
      <c r="G18">
        <v>2646.3795667222194</v>
      </c>
      <c r="H18">
        <v>103410.55870070256</v>
      </c>
      <c r="I18">
        <v>2736.6358952886785</v>
      </c>
    </row>
    <row r="19" spans="1:9" x14ac:dyDescent="0.3">
      <c r="A19">
        <v>109301.06441917502</v>
      </c>
      <c r="B19">
        <v>1688.8360558299589</v>
      </c>
      <c r="C19">
        <v>109552.28450275451</v>
      </c>
      <c r="D19">
        <v>1850.1584806679346</v>
      </c>
      <c r="E19">
        <v>1.4958360558299589E-2</v>
      </c>
      <c r="F19">
        <v>106117.06441917502</v>
      </c>
      <c r="G19">
        <v>1495.8360558299589</v>
      </c>
      <c r="H19">
        <v>106135.19459599124</v>
      </c>
      <c r="I19">
        <v>1587.6085086921271</v>
      </c>
    </row>
    <row r="20" spans="1:9" x14ac:dyDescent="0.3">
      <c r="A20">
        <v>110983.90047500498</v>
      </c>
      <c r="B20">
        <v>-209.04102430101176</v>
      </c>
      <c r="C20">
        <v>111396.44298342244</v>
      </c>
      <c r="D20">
        <v>-232.86426544743884</v>
      </c>
      <c r="E20">
        <v>-4.0204102430101175E-3</v>
      </c>
      <c r="F20">
        <v>107600.90047500498</v>
      </c>
      <c r="G20">
        <v>-402.04102430101176</v>
      </c>
      <c r="H20">
        <v>107710.80310468336</v>
      </c>
      <c r="I20">
        <v>-433.04161608491495</v>
      </c>
    </row>
    <row r="21" spans="1:9" x14ac:dyDescent="0.3">
      <c r="A21">
        <v>110768.85945070397</v>
      </c>
      <c r="B21">
        <v>-593.56898704381717</v>
      </c>
      <c r="C21">
        <v>111157.578717975</v>
      </c>
      <c r="D21">
        <v>-659.79691401871787</v>
      </c>
      <c r="E21">
        <v>-7.8656898704381716E-3</v>
      </c>
      <c r="F21">
        <v>107186.85945070397</v>
      </c>
      <c r="G21">
        <v>-786.56898704381717</v>
      </c>
      <c r="H21">
        <v>107265.76148859845</v>
      </c>
      <c r="I21">
        <v>-843.7192135857058</v>
      </c>
    </row>
    <row r="22" spans="1:9" x14ac:dyDescent="0.3">
      <c r="A22">
        <v>110169.29046366015</v>
      </c>
      <c r="B22">
        <v>1746.8593480581308</v>
      </c>
      <c r="C22">
        <v>110491.78180395628</v>
      </c>
      <c r="D22">
        <v>1930.1360192784032</v>
      </c>
      <c r="E22">
        <v>1.5538593480581309E-2</v>
      </c>
      <c r="F22">
        <v>106388.29046366015</v>
      </c>
      <c r="G22">
        <v>1553.859348058131</v>
      </c>
      <c r="H22">
        <v>106410.04227501275</v>
      </c>
      <c r="I22">
        <v>1653.4623891628946</v>
      </c>
    </row>
    <row r="23" spans="1:9" x14ac:dyDescent="0.3">
      <c r="A23">
        <v>111910.14981171828</v>
      </c>
      <c r="B23">
        <v>1956.6313666162357</v>
      </c>
      <c r="C23">
        <v>112415.91782323469</v>
      </c>
      <c r="D23">
        <v>2199.5651091989412</v>
      </c>
      <c r="E23">
        <v>1.7636313666162355E-2</v>
      </c>
      <c r="F23">
        <v>107930.14981171828</v>
      </c>
      <c r="G23">
        <v>1763.6313666162355</v>
      </c>
      <c r="H23">
        <v>108051.50466417565</v>
      </c>
      <c r="I23">
        <v>1905.6302283582065</v>
      </c>
    </row>
    <row r="24" spans="1:9" x14ac:dyDescent="0.3">
      <c r="A24">
        <v>113860.78117833451</v>
      </c>
      <c r="B24">
        <v>-2106.6846725185605</v>
      </c>
      <c r="C24">
        <v>114609.48293243363</v>
      </c>
      <c r="D24">
        <v>-2414.4604101903551</v>
      </c>
      <c r="E24">
        <v>-2.2996846725185607E-2</v>
      </c>
      <c r="F24">
        <v>109681.78117833451</v>
      </c>
      <c r="G24">
        <v>-2299.6846725185605</v>
      </c>
      <c r="H24">
        <v>109945.13489253385</v>
      </c>
      <c r="I24">
        <v>-2528.3914153034571</v>
      </c>
    </row>
    <row r="25" spans="1:9" x14ac:dyDescent="0.3">
      <c r="A25">
        <v>111748.09650581595</v>
      </c>
      <c r="B25">
        <v>466.13760690345163</v>
      </c>
      <c r="C25">
        <v>112189.02252224328</v>
      </c>
      <c r="D25">
        <v>522.95522479355918</v>
      </c>
      <c r="E25">
        <v>2.7313760690345157E-3</v>
      </c>
      <c r="F25">
        <v>107370.09650581595</v>
      </c>
      <c r="G25">
        <v>273.13760690345157</v>
      </c>
      <c r="H25">
        <v>107404.7434772304</v>
      </c>
      <c r="I25">
        <v>293.36274603449812</v>
      </c>
    </row>
    <row r="26" spans="1:9" x14ac:dyDescent="0.3">
      <c r="A26">
        <v>112208.23411271939</v>
      </c>
      <c r="B26">
        <v>48.678855852172042</v>
      </c>
      <c r="C26">
        <v>112705.97774703684</v>
      </c>
      <c r="D26">
        <v>54.863980444261166</v>
      </c>
      <c r="E26">
        <v>-1.4432114414782795E-3</v>
      </c>
      <c r="F26">
        <v>107631.23411271939</v>
      </c>
      <c r="G26">
        <v>-144.32114414782797</v>
      </c>
      <c r="H26">
        <v>107686.1062232649</v>
      </c>
      <c r="I26">
        <v>-155.41382058966127</v>
      </c>
    </row>
    <row r="27" spans="1:9" x14ac:dyDescent="0.3">
      <c r="A27">
        <v>112250.91296857156</v>
      </c>
      <c r="B27">
        <v>-2733.415233415235</v>
      </c>
      <c r="C27">
        <v>112754.84172748111</v>
      </c>
      <c r="D27">
        <v>-3082.0580201922062</v>
      </c>
      <c r="E27">
        <v>-2.926415233415235E-2</v>
      </c>
      <c r="F27">
        <v>107474.91296857156</v>
      </c>
      <c r="G27">
        <v>-2926.415233415235</v>
      </c>
      <c r="H27">
        <v>107518.69240267524</v>
      </c>
      <c r="I27">
        <v>-3146.4433932407569</v>
      </c>
    </row>
    <row r="28" spans="1:9" x14ac:dyDescent="0.3">
      <c r="A28">
        <v>109511.49773515633</v>
      </c>
      <c r="B28">
        <v>2249.0430578194487</v>
      </c>
      <c r="C28">
        <v>109666.78370728889</v>
      </c>
      <c r="D28">
        <v>2466.4531857026514</v>
      </c>
      <c r="E28">
        <v>2.0560430578194486E-2</v>
      </c>
      <c r="F28">
        <v>104536.49773515633</v>
      </c>
      <c r="G28">
        <v>2056.0430578194487</v>
      </c>
      <c r="H28">
        <v>104360.24900943448</v>
      </c>
      <c r="I28">
        <v>2145.6916548815675</v>
      </c>
    </row>
    <row r="29" spans="1:9" x14ac:dyDescent="0.3">
      <c r="A29">
        <v>111754.54079297578</v>
      </c>
      <c r="B29">
        <v>3744.3405871184441</v>
      </c>
      <c r="C29">
        <v>112127.23689299154</v>
      </c>
      <c r="D29">
        <v>4198.4256401987286</v>
      </c>
      <c r="E29">
        <v>3.5513405871184442E-2</v>
      </c>
      <c r="F29">
        <v>106580.54079297578</v>
      </c>
      <c r="G29">
        <v>3551.3405871184441</v>
      </c>
      <c r="H29">
        <v>106493.94066431605</v>
      </c>
      <c r="I29">
        <v>3781.962537633689</v>
      </c>
    </row>
    <row r="30" spans="1:9" x14ac:dyDescent="0.3">
      <c r="A30">
        <v>115492.88138009422</v>
      </c>
      <c r="B30">
        <v>-462.02604146780578</v>
      </c>
      <c r="C30">
        <v>116319.66253319026</v>
      </c>
      <c r="D30">
        <v>-537.42713225080934</v>
      </c>
      <c r="E30">
        <v>-6.550260414678058E-3</v>
      </c>
      <c r="F30">
        <v>110119.88138009422</v>
      </c>
      <c r="G30">
        <v>-655.02604146780584</v>
      </c>
      <c r="H30">
        <v>110263.90320194974</v>
      </c>
      <c r="I30">
        <v>-722.25728031162453</v>
      </c>
    </row>
    <row r="31" spans="1:9" x14ac:dyDescent="0.3">
      <c r="A31">
        <v>115024.85533862641</v>
      </c>
      <c r="B31">
        <v>-1431.6954189484854</v>
      </c>
      <c r="C31">
        <v>115776.23540093945</v>
      </c>
      <c r="D31">
        <v>-1657.5630584662647</v>
      </c>
      <c r="E31">
        <v>-1.6246954189484856E-2</v>
      </c>
      <c r="F31">
        <v>109452.85533862641</v>
      </c>
      <c r="G31">
        <v>-1624.6954189484857</v>
      </c>
      <c r="H31">
        <v>109529.64592163812</v>
      </c>
      <c r="I31">
        <v>-1779.5231396793513</v>
      </c>
    </row>
    <row r="32" spans="1:9" x14ac:dyDescent="0.3">
      <c r="A32">
        <v>113587.15991967793</v>
      </c>
      <c r="B32">
        <v>95.433856996032489</v>
      </c>
      <c r="C32">
        <v>114112.67234247319</v>
      </c>
      <c r="D32">
        <v>108.90212453766698</v>
      </c>
      <c r="E32">
        <v>-9.7566143003967516E-4</v>
      </c>
      <c r="F32">
        <v>107816.15991967793</v>
      </c>
      <c r="G32">
        <v>-97.566143003967511</v>
      </c>
      <c r="H32">
        <v>107738.12278195877</v>
      </c>
      <c r="I32">
        <v>-105.11593094323599</v>
      </c>
    </row>
    <row r="33" spans="1:9" x14ac:dyDescent="0.3">
      <c r="A33">
        <v>113676.59377667397</v>
      </c>
      <c r="B33">
        <v>-228.82869474624539</v>
      </c>
      <c r="C33">
        <v>114215.57446701085</v>
      </c>
      <c r="D33">
        <v>-261.35800824978685</v>
      </c>
      <c r="E33">
        <v>-4.2182869474624539E-3</v>
      </c>
      <c r="F33">
        <v>107706.59377667397</v>
      </c>
      <c r="G33">
        <v>-421.82869474624539</v>
      </c>
      <c r="H33">
        <v>107621.00685101553</v>
      </c>
      <c r="I33">
        <v>-453.97628847240611</v>
      </c>
    </row>
    <row r="34" spans="1:9" x14ac:dyDescent="0.3">
      <c r="A34">
        <v>113441.76508192772</v>
      </c>
      <c r="B34">
        <v>694.97045902137404</v>
      </c>
      <c r="C34">
        <v>113948.21645876106</v>
      </c>
      <c r="D34">
        <v>791.90644297012068</v>
      </c>
      <c r="E34">
        <v>5.0197045902137406E-3</v>
      </c>
      <c r="F34">
        <v>107272.76508192772</v>
      </c>
      <c r="G34">
        <v>501.97045902137404</v>
      </c>
      <c r="H34">
        <v>107155.03056254312</v>
      </c>
      <c r="I34">
        <v>537.88659877929138</v>
      </c>
    </row>
    <row r="35" spans="1:9" x14ac:dyDescent="0.3">
      <c r="A35">
        <v>114130.7355409491</v>
      </c>
      <c r="B35">
        <v>-553.05044899217717</v>
      </c>
      <c r="C35">
        <v>114734.12290173119</v>
      </c>
      <c r="D35">
        <v>-634.53758185526067</v>
      </c>
      <c r="E35">
        <v>-7.4605044899217722E-3</v>
      </c>
      <c r="F35">
        <v>107762.7355409491</v>
      </c>
      <c r="G35">
        <v>-746.05044899217717</v>
      </c>
      <c r="H35">
        <v>107680.91716132242</v>
      </c>
      <c r="I35">
        <v>-803.35396596094029</v>
      </c>
    </row>
    <row r="36" spans="1:9" x14ac:dyDescent="0.3">
      <c r="A36">
        <v>113571.68509195693</v>
      </c>
      <c r="B36">
        <v>666.15575075163326</v>
      </c>
      <c r="C36">
        <v>114093.58531987593</v>
      </c>
      <c r="D36">
        <v>760.04097984707471</v>
      </c>
      <c r="E36">
        <v>4.7315575075163319E-3</v>
      </c>
      <c r="F36">
        <v>107004.68509195693</v>
      </c>
      <c r="G36">
        <v>473.15575075163321</v>
      </c>
      <c r="H36">
        <v>106865.56319536148</v>
      </c>
      <c r="I36">
        <v>505.64055783197364</v>
      </c>
    </row>
    <row r="37" spans="1:9" x14ac:dyDescent="0.3">
      <c r="A37">
        <v>114231.84084270855</v>
      </c>
      <c r="B37">
        <v>925.14221601086331</v>
      </c>
      <c r="C37">
        <v>114847.62629972301</v>
      </c>
      <c r="D37">
        <v>1062.5038749851326</v>
      </c>
      <c r="E37">
        <v>7.3214221601086331E-3</v>
      </c>
      <c r="F37">
        <v>107465.84084270855</v>
      </c>
      <c r="G37">
        <v>732.14221601086331</v>
      </c>
      <c r="H37">
        <v>107359.20375319345</v>
      </c>
      <c r="I37">
        <v>786.02205345024845</v>
      </c>
    </row>
    <row r="38" spans="1:9" x14ac:dyDescent="0.3">
      <c r="A38">
        <v>115150.98305871942</v>
      </c>
      <c r="B38">
        <v>299.39533882550393</v>
      </c>
      <c r="C38">
        <v>115904.13017470815</v>
      </c>
      <c r="D38">
        <v>347.0115632493206</v>
      </c>
      <c r="E38">
        <v>1.0639533882550393E-3</v>
      </c>
      <c r="F38">
        <v>108185.98305871942</v>
      </c>
      <c r="G38">
        <v>106.39533882550393</v>
      </c>
      <c r="H38">
        <v>108133.22580664369</v>
      </c>
      <c r="I38">
        <v>115.04871197992581</v>
      </c>
    </row>
    <row r="39" spans="1:9" x14ac:dyDescent="0.3">
      <c r="A39">
        <v>115444.37839754492</v>
      </c>
      <c r="B39">
        <v>-200.19619226842306</v>
      </c>
      <c r="C39">
        <v>116245.14173795747</v>
      </c>
      <c r="D39">
        <v>-232.71834745642226</v>
      </c>
      <c r="E39">
        <v>-3.9319619226842305E-3</v>
      </c>
      <c r="F39">
        <v>108280.37839754492</v>
      </c>
      <c r="G39">
        <v>-393.19619226842303</v>
      </c>
      <c r="H39">
        <v>108236.27451862361</v>
      </c>
      <c r="I39">
        <v>-425.58091006042548</v>
      </c>
    </row>
    <row r="40" spans="1:9" x14ac:dyDescent="0.3">
      <c r="A40">
        <v>115238.18220527649</v>
      </c>
      <c r="B40">
        <v>-1024.8699127475629</v>
      </c>
      <c r="C40">
        <v>116006.42339050105</v>
      </c>
      <c r="D40">
        <v>-1188.9149301837965</v>
      </c>
      <c r="E40">
        <v>-1.2178699127475628E-2</v>
      </c>
      <c r="F40">
        <v>107875.18220527649</v>
      </c>
      <c r="G40">
        <v>-1217.8699127475629</v>
      </c>
      <c r="H40">
        <v>107798.69360856319</v>
      </c>
      <c r="I40">
        <v>-1312.8478557936212</v>
      </c>
    </row>
    <row r="41" spans="1:9" x14ac:dyDescent="0.3">
      <c r="A41">
        <v>114207.31229252892</v>
      </c>
      <c r="B41">
        <v>216.97639377197069</v>
      </c>
      <c r="C41">
        <v>114811.50846031726</v>
      </c>
      <c r="D41">
        <v>249.11387069239743</v>
      </c>
      <c r="E41">
        <v>2.3976393771970683E-4</v>
      </c>
      <c r="F41">
        <v>106645.31229252892</v>
      </c>
      <c r="G41">
        <v>23.976393771970685</v>
      </c>
      <c r="H41">
        <v>106473.84575276957</v>
      </c>
      <c r="I41">
        <v>25.528588521844714</v>
      </c>
    </row>
    <row r="42" spans="1:9" x14ac:dyDescent="0.3">
      <c r="A42">
        <v>114418.28868630089</v>
      </c>
      <c r="B42">
        <v>-1841.1509185828734</v>
      </c>
      <c r="C42">
        <v>115054.62233100965</v>
      </c>
      <c r="D42">
        <v>-2118.3292359194402</v>
      </c>
      <c r="E42">
        <v>-2.0341509185828735E-2</v>
      </c>
      <c r="F42">
        <v>106657.28868630089</v>
      </c>
      <c r="G42">
        <v>-2034.1509185828736</v>
      </c>
      <c r="H42">
        <v>106487.37434129142</v>
      </c>
      <c r="I42">
        <v>-2166.1139033381623</v>
      </c>
    </row>
    <row r="43" spans="1:9" x14ac:dyDescent="0.3">
      <c r="A43">
        <v>112571.13776771801</v>
      </c>
      <c r="B43">
        <v>1852.1523917718171</v>
      </c>
      <c r="C43">
        <v>112930.29309509021</v>
      </c>
      <c r="D43">
        <v>2091.6411245956365</v>
      </c>
      <c r="E43">
        <v>1.6591523917718169E-2</v>
      </c>
      <c r="F43">
        <v>104611.13776771801</v>
      </c>
      <c r="G43">
        <v>1659.1523917718168</v>
      </c>
      <c r="H43">
        <v>104309.26043795326</v>
      </c>
      <c r="I43">
        <v>1730.6495893957951</v>
      </c>
    </row>
    <row r="44" spans="1:9" x14ac:dyDescent="0.3">
      <c r="A44">
        <v>114417.29015948983</v>
      </c>
      <c r="B44">
        <v>1238.7766832497573</v>
      </c>
      <c r="C44">
        <v>115015.93421968585</v>
      </c>
      <c r="D44">
        <v>1424.7905751353469</v>
      </c>
      <c r="E44">
        <v>1.0457766832497573E-2</v>
      </c>
      <c r="F44">
        <v>106258.29015948983</v>
      </c>
      <c r="G44">
        <v>1045.7766832497573</v>
      </c>
      <c r="H44">
        <v>106027.91002734905</v>
      </c>
      <c r="I44">
        <v>1108.8151608030478</v>
      </c>
    </row>
    <row r="45" spans="1:9" x14ac:dyDescent="0.3">
      <c r="A45">
        <v>115650.06684273959</v>
      </c>
      <c r="B45">
        <v>183.28588698669049</v>
      </c>
      <c r="C45">
        <v>116434.7247948212</v>
      </c>
      <c r="D45">
        <v>213.40841810070009</v>
      </c>
      <c r="E45">
        <v>-9.7141130133095079E-5</v>
      </c>
      <c r="F45">
        <v>107292.06684273959</v>
      </c>
      <c r="G45">
        <v>-9.7141130133095075</v>
      </c>
      <c r="H45">
        <v>107124.72518815209</v>
      </c>
      <c r="I45">
        <v>-10.406216869974331</v>
      </c>
    </row>
    <row r="46" spans="1:9" x14ac:dyDescent="0.3">
      <c r="A46">
        <v>115827.35272972628</v>
      </c>
      <c r="B46">
        <v>-763.12040127252283</v>
      </c>
      <c r="C46">
        <v>116642.13321292191</v>
      </c>
      <c r="D46">
        <v>-890.11991502728029</v>
      </c>
      <c r="E46">
        <v>-9.5612040127252274E-3</v>
      </c>
      <c r="F46">
        <v>107270.35272972628</v>
      </c>
      <c r="G46">
        <v>-956.12040127252271</v>
      </c>
      <c r="H46">
        <v>107102.31897128212</v>
      </c>
      <c r="I46">
        <v>-1024.0271219203998</v>
      </c>
    </row>
    <row r="47" spans="1:9" x14ac:dyDescent="0.3">
      <c r="A47">
        <v>115058.23232845376</v>
      </c>
      <c r="B47">
        <v>-125.93962769097296</v>
      </c>
      <c r="C47">
        <v>115746.01329789463</v>
      </c>
      <c r="D47">
        <v>-145.77009821451256</v>
      </c>
      <c r="E47">
        <v>-3.1893962769097297E-3</v>
      </c>
      <c r="F47">
        <v>106302.23232845376</v>
      </c>
      <c r="G47">
        <v>-318.93962769097294</v>
      </c>
      <c r="H47">
        <v>106066.29184936172</v>
      </c>
      <c r="I47">
        <v>-338.28743632997509</v>
      </c>
    </row>
    <row r="48" spans="1:9" x14ac:dyDescent="0.3">
      <c r="A48">
        <v>114926.29270076279</v>
      </c>
      <c r="B48">
        <v>1416.4029226741686</v>
      </c>
      <c r="C48">
        <v>115594.24319968012</v>
      </c>
      <c r="D48">
        <v>1637.2802391233556</v>
      </c>
      <c r="E48">
        <v>1.2234029226741687E-2</v>
      </c>
      <c r="F48">
        <v>105971.29270076279</v>
      </c>
      <c r="G48">
        <v>1223.4029226741686</v>
      </c>
      <c r="H48">
        <v>105716.00441303174</v>
      </c>
      <c r="I48">
        <v>1293.3326877233835</v>
      </c>
    </row>
    <row r="49" spans="1:9" x14ac:dyDescent="0.3">
      <c r="A49">
        <v>116336.69562343696</v>
      </c>
      <c r="B49">
        <v>-955.94678562893557</v>
      </c>
      <c r="C49">
        <v>117225.52343880347</v>
      </c>
      <c r="D49">
        <v>-1120.6136232499362</v>
      </c>
      <c r="E49">
        <v>-1.1489467856289355E-2</v>
      </c>
      <c r="F49">
        <v>107182.69562343696</v>
      </c>
      <c r="G49">
        <v>-1148.9467856289355</v>
      </c>
      <c r="H49">
        <v>106997.33710075512</v>
      </c>
      <c r="I49">
        <v>-1229.3424653276825</v>
      </c>
    </row>
    <row r="50" spans="1:9" x14ac:dyDescent="0.3">
      <c r="A50">
        <v>115374.74883780802</v>
      </c>
      <c r="B50">
        <v>2622.5930939728887</v>
      </c>
      <c r="C50">
        <v>116098.90981555353</v>
      </c>
      <c r="D50">
        <v>3044.8019910005191</v>
      </c>
      <c r="E50">
        <v>2.4295930939728885E-2</v>
      </c>
      <c r="F50">
        <v>106021.74883780802</v>
      </c>
      <c r="G50">
        <v>2429.5930939728887</v>
      </c>
      <c r="H50">
        <v>105755.99463542743</v>
      </c>
      <c r="I50">
        <v>2569.4403421246834</v>
      </c>
    </row>
    <row r="51" spans="1:9" x14ac:dyDescent="0.3">
      <c r="A51">
        <v>117991.3419317809</v>
      </c>
      <c r="B51">
        <v>1387.4294609846265</v>
      </c>
      <c r="C51">
        <v>119137.71180655406</v>
      </c>
      <c r="D51">
        <v>1652.9517127470908</v>
      </c>
      <c r="E51">
        <v>1.1944294609846267E-2</v>
      </c>
      <c r="F51">
        <v>108439.3419317809</v>
      </c>
      <c r="G51">
        <v>1194.4294609846268</v>
      </c>
      <c r="H51">
        <v>108313.43497755211</v>
      </c>
      <c r="I51">
        <v>1293.7275775763098</v>
      </c>
    </row>
    <row r="52" spans="1:9" x14ac:dyDescent="0.3">
      <c r="A52">
        <v>119372.77139276553</v>
      </c>
      <c r="B52">
        <v>2065.5270655270688</v>
      </c>
      <c r="C52">
        <v>120784.66351930115</v>
      </c>
      <c r="D52">
        <v>2494.8399159969649</v>
      </c>
      <c r="E52">
        <v>1.8725270655270687E-2</v>
      </c>
      <c r="F52">
        <v>109621.77139276553</v>
      </c>
      <c r="G52">
        <v>1872.5270655270688</v>
      </c>
      <c r="H52">
        <v>109595.16255512842</v>
      </c>
      <c r="I52">
        <v>2052.199081353167</v>
      </c>
    </row>
    <row r="53" spans="1:9" x14ac:dyDescent="0.3">
      <c r="A53">
        <v>121432.2984582926</v>
      </c>
      <c r="B53">
        <v>-4160.6913729337975</v>
      </c>
      <c r="C53">
        <v>123273.50343529812</v>
      </c>
      <c r="D53">
        <v>-5129.0300225456967</v>
      </c>
      <c r="E53">
        <v>-4.3536913729337975E-2</v>
      </c>
      <c r="F53">
        <v>111482.2984582926</v>
      </c>
      <c r="G53">
        <v>-4353.6913729337975</v>
      </c>
      <c r="H53">
        <v>111635.3616364816</v>
      </c>
      <c r="I53">
        <v>-4860.2591087109458</v>
      </c>
    </row>
    <row r="54" spans="1:9" x14ac:dyDescent="0.3">
      <c r="A54">
        <v>117265.6070853588</v>
      </c>
      <c r="B54">
        <v>-418.74090182054186</v>
      </c>
      <c r="C54">
        <v>118138.47341275241</v>
      </c>
      <c r="D54">
        <v>-494.69410896558054</v>
      </c>
      <c r="E54">
        <v>-6.1174090182054188E-3</v>
      </c>
      <c r="F54">
        <v>107116.6070853588</v>
      </c>
      <c r="G54">
        <v>-611.74090182054192</v>
      </c>
      <c r="H54">
        <v>106763.10252777065</v>
      </c>
      <c r="I54">
        <v>-653.11356621497396</v>
      </c>
    </row>
    <row r="55" spans="1:9" x14ac:dyDescent="0.3">
      <c r="A55">
        <v>116840.86618353827</v>
      </c>
      <c r="B55">
        <v>1832.8432522143996</v>
      </c>
      <c r="C55">
        <v>117637.77930378684</v>
      </c>
      <c r="D55">
        <v>2156.1161000243246</v>
      </c>
      <c r="E55">
        <v>1.6398432522143996E-2</v>
      </c>
      <c r="F55">
        <v>106492.86618353827</v>
      </c>
      <c r="G55">
        <v>1639.8432522143996</v>
      </c>
      <c r="H55">
        <v>106097.98896155567</v>
      </c>
      <c r="I55">
        <v>1739.8407127212492</v>
      </c>
    </row>
    <row r="56" spans="1:9" x14ac:dyDescent="0.3">
      <c r="A56">
        <v>118667.70943575267</v>
      </c>
      <c r="B56">
        <v>436.75274335316504</v>
      </c>
      <c r="C56">
        <v>119787.89540381117</v>
      </c>
      <c r="D56">
        <v>523.17691938116513</v>
      </c>
      <c r="E56">
        <v>2.4375274335316499E-3</v>
      </c>
      <c r="F56">
        <v>108120.70943575267</v>
      </c>
      <c r="G56">
        <v>243.75274335316499</v>
      </c>
      <c r="H56">
        <v>107825.82967427693</v>
      </c>
      <c r="I56">
        <v>262.82841787436109</v>
      </c>
    </row>
    <row r="57" spans="1:9" x14ac:dyDescent="0.3">
      <c r="A57">
        <v>119098.46217910583</v>
      </c>
      <c r="B57">
        <v>-491.67443475718858</v>
      </c>
      <c r="C57">
        <v>120305.07232319233</v>
      </c>
      <c r="D57">
        <v>-591.50928432928288</v>
      </c>
      <c r="E57">
        <v>-6.8467443475718863E-3</v>
      </c>
      <c r="F57">
        <v>108352.46217910583</v>
      </c>
      <c r="G57">
        <v>-684.67443475718858</v>
      </c>
      <c r="H57">
        <v>108076.65809215129</v>
      </c>
      <c r="I57">
        <v>-739.97324789689628</v>
      </c>
    </row>
    <row r="58" spans="1:9" x14ac:dyDescent="0.3">
      <c r="A58">
        <v>118600.78774434864</v>
      </c>
      <c r="B58">
        <v>57.594355753145202</v>
      </c>
      <c r="C58">
        <v>119707.56303886305</v>
      </c>
      <c r="D58">
        <v>68.94479972002334</v>
      </c>
      <c r="E58">
        <v>-1.3540564424685481E-3</v>
      </c>
      <c r="F58">
        <v>107655.78774434864</v>
      </c>
      <c r="G58">
        <v>-135.40564424685482</v>
      </c>
      <c r="H58">
        <v>107324.6848442544</v>
      </c>
      <c r="I58">
        <v>-145.3236809492692</v>
      </c>
    </row>
    <row r="59" spans="1:9" x14ac:dyDescent="0.3">
      <c r="A59">
        <v>118652.38210010178</v>
      </c>
      <c r="B59">
        <v>1121.1247296323049</v>
      </c>
      <c r="C59">
        <v>119770.50783858307</v>
      </c>
      <c r="D59">
        <v>1342.7767821845532</v>
      </c>
      <c r="E59">
        <v>9.2812472963230506E-3</v>
      </c>
      <c r="F59">
        <v>107508.38210010178</v>
      </c>
      <c r="G59">
        <v>928.12472963230505</v>
      </c>
      <c r="H59">
        <v>107167.36116330513</v>
      </c>
      <c r="I59">
        <v>994.64678105100165</v>
      </c>
    </row>
    <row r="60" spans="1:9" x14ac:dyDescent="0.3">
      <c r="A60">
        <v>119767.50682973408</v>
      </c>
      <c r="B60">
        <v>1500.5702879954304</v>
      </c>
      <c r="C60">
        <v>121107.28462076762</v>
      </c>
      <c r="D60">
        <v>1817.2999296172982</v>
      </c>
      <c r="E60">
        <v>1.3075702879954304E-2</v>
      </c>
      <c r="F60">
        <v>108424.50682973408</v>
      </c>
      <c r="G60">
        <v>1307.5702879954304</v>
      </c>
      <c r="H60">
        <v>108150.00794435614</v>
      </c>
      <c r="I60">
        <v>1414.1373703450984</v>
      </c>
    </row>
    <row r="61" spans="1:9" x14ac:dyDescent="0.3">
      <c r="A61">
        <v>121262.07711772951</v>
      </c>
      <c r="B61">
        <v>-175.8520667149746</v>
      </c>
      <c r="C61">
        <v>122918.58455038491</v>
      </c>
      <c r="D61">
        <v>-216.15487130864534</v>
      </c>
      <c r="E61">
        <v>-3.6885206671497459E-3</v>
      </c>
      <c r="F61">
        <v>109720.07711772951</v>
      </c>
      <c r="G61">
        <v>-368.85206671497457</v>
      </c>
      <c r="H61">
        <v>109552.14531470124</v>
      </c>
      <c r="I61">
        <v>-404.08535212386772</v>
      </c>
    </row>
    <row r="62" spans="1:9" x14ac:dyDescent="0.3">
      <c r="A62">
        <v>121080.22505101454</v>
      </c>
      <c r="B62">
        <v>-469.18090326277797</v>
      </c>
      <c r="C62">
        <v>122696.42967907626</v>
      </c>
      <c r="D62">
        <v>-575.66821703946914</v>
      </c>
      <c r="E62">
        <v>-6.62180903262778E-3</v>
      </c>
      <c r="F62">
        <v>109339.22505101454</v>
      </c>
      <c r="G62">
        <v>-662.18090326277797</v>
      </c>
      <c r="H62">
        <v>109136.05996257738</v>
      </c>
      <c r="I62">
        <v>-722.67814764560194</v>
      </c>
    </row>
    <row r="63" spans="1:9" x14ac:dyDescent="0.3">
      <c r="A63">
        <v>120605.04414775176</v>
      </c>
      <c r="B63">
        <v>-14.081284213127441</v>
      </c>
      <c r="C63">
        <v>122114.7614620368</v>
      </c>
      <c r="D63">
        <v>-17.195326627652019</v>
      </c>
      <c r="E63">
        <v>-2.0708128421312744E-3</v>
      </c>
      <c r="F63">
        <v>108665.04414775176</v>
      </c>
      <c r="G63">
        <v>-207.08128421312745</v>
      </c>
      <c r="H63">
        <v>108401.38181493177</v>
      </c>
      <c r="I63">
        <v>-224.47897356713631</v>
      </c>
    </row>
    <row r="64" spans="1:9" x14ac:dyDescent="0.3">
      <c r="A64">
        <v>120584.96286353863</v>
      </c>
      <c r="B64">
        <v>-1611.0552940969078</v>
      </c>
      <c r="C64">
        <v>122091.56613540914</v>
      </c>
      <c r="D64">
        <v>-1966.9626398703363</v>
      </c>
      <c r="E64">
        <v>-1.8040552940969078E-2</v>
      </c>
      <c r="F64">
        <v>108445.96286353863</v>
      </c>
      <c r="G64">
        <v>-1804.0552940969078</v>
      </c>
      <c r="H64">
        <v>108164.90284136463</v>
      </c>
      <c r="I64">
        <v>-1951.3546560644154</v>
      </c>
    </row>
    <row r="65" spans="1:9" x14ac:dyDescent="0.3">
      <c r="A65">
        <v>118967.90756944173</v>
      </c>
      <c r="B65">
        <v>-274.10174936276582</v>
      </c>
      <c r="C65">
        <v>120118.6034955388</v>
      </c>
      <c r="D65">
        <v>-329.24719349139627</v>
      </c>
      <c r="E65">
        <v>-4.6710174936276582E-3</v>
      </c>
      <c r="F65">
        <v>106629.90756944173</v>
      </c>
      <c r="G65">
        <v>-467.10174936276582</v>
      </c>
      <c r="H65">
        <v>106201.54818530021</v>
      </c>
      <c r="I65">
        <v>-496.06928942387799</v>
      </c>
    </row>
    <row r="66" spans="1:9" x14ac:dyDescent="0.3">
      <c r="A66">
        <v>118687.80582007897</v>
      </c>
      <c r="B66">
        <v>134.16270276864697</v>
      </c>
      <c r="C66">
        <v>119783.35630204741</v>
      </c>
      <c r="D66">
        <v>160.70458828182521</v>
      </c>
      <c r="E66">
        <v>-5.8837297231353045E-4</v>
      </c>
      <c r="F66">
        <v>106150.80582007897</v>
      </c>
      <c r="G66">
        <v>-58.837297231353048</v>
      </c>
      <c r="H66">
        <v>105693.47889587634</v>
      </c>
      <c r="I66">
        <v>-62.187186332124163</v>
      </c>
    </row>
    <row r="67" spans="1:9" x14ac:dyDescent="0.3">
      <c r="A67">
        <v>118815.96852284762</v>
      </c>
      <c r="B67">
        <v>-529.93336481451854</v>
      </c>
      <c r="C67">
        <v>119938.06089032923</v>
      </c>
      <c r="D67">
        <v>-635.59180176940788</v>
      </c>
      <c r="E67">
        <v>-7.2293336481451861E-3</v>
      </c>
      <c r="F67">
        <v>106079.96852284762</v>
      </c>
      <c r="G67">
        <v>-722.93336481451865</v>
      </c>
      <c r="H67">
        <v>105619.29170954421</v>
      </c>
      <c r="I67">
        <v>-763.55709944906982</v>
      </c>
    </row>
    <row r="68" spans="1:9" x14ac:dyDescent="0.3">
      <c r="A68">
        <v>118280.03515803309</v>
      </c>
      <c r="B68">
        <v>3153.1451826948687</v>
      </c>
      <c r="C68">
        <v>119296.46908855982</v>
      </c>
      <c r="D68">
        <v>3761.5908681909968</v>
      </c>
      <c r="E68">
        <v>2.9601451826948684E-2</v>
      </c>
      <c r="F68">
        <v>105345.03515803309</v>
      </c>
      <c r="G68">
        <v>2960.1451826948683</v>
      </c>
      <c r="H68">
        <v>104843.73461009514</v>
      </c>
      <c r="I68">
        <v>3103.5267594181237</v>
      </c>
    </row>
    <row r="69" spans="1:9" x14ac:dyDescent="0.3">
      <c r="A69">
        <v>121427.18034072797</v>
      </c>
      <c r="B69">
        <v>77.826395254307556</v>
      </c>
      <c r="C69">
        <v>123052.05995675082</v>
      </c>
      <c r="D69">
        <v>95.766982550508416</v>
      </c>
      <c r="E69">
        <v>-1.1517360474569245E-3</v>
      </c>
      <c r="F69">
        <v>108293.18034072795</v>
      </c>
      <c r="G69">
        <v>-115.17360474569244</v>
      </c>
      <c r="H69">
        <v>107935.26136951326</v>
      </c>
      <c r="I69">
        <v>-124.31293131095327</v>
      </c>
    </row>
    <row r="70" spans="1:9" x14ac:dyDescent="0.3">
      <c r="A70">
        <v>121499.00673598227</v>
      </c>
      <c r="B70">
        <v>-981.73036539269447</v>
      </c>
      <c r="C70">
        <v>123141.82693930133</v>
      </c>
      <c r="D70">
        <v>-1208.9207075624424</v>
      </c>
      <c r="E70">
        <v>-1.1747303653926944E-2</v>
      </c>
      <c r="F70">
        <v>108166.00673598226</v>
      </c>
      <c r="G70">
        <v>-1174.7303653926945</v>
      </c>
      <c r="H70">
        <v>107798.94843820231</v>
      </c>
      <c r="I70">
        <v>-1266.3469808775762</v>
      </c>
    </row>
    <row r="71" spans="1:9" x14ac:dyDescent="0.3">
      <c r="A71">
        <v>120511.27637058958</v>
      </c>
      <c r="B71">
        <v>-396.88114638945359</v>
      </c>
      <c r="C71">
        <v>121926.90623173889</v>
      </c>
      <c r="D71">
        <v>-483.90490320971941</v>
      </c>
      <c r="E71">
        <v>-5.898811463894536E-3</v>
      </c>
      <c r="F71">
        <v>106979.27637058956</v>
      </c>
      <c r="G71">
        <v>-589.88114638945365</v>
      </c>
      <c r="H71">
        <v>106520.60145732474</v>
      </c>
      <c r="I71">
        <v>-628.34494501740812</v>
      </c>
    </row>
    <row r="72" spans="1:9" x14ac:dyDescent="0.3">
      <c r="A72">
        <v>120108.39522420013</v>
      </c>
      <c r="B72">
        <v>2218.8122828368214</v>
      </c>
      <c r="C72">
        <v>121437.00132852916</v>
      </c>
      <c r="D72">
        <v>2694.4591013861191</v>
      </c>
      <c r="E72">
        <v>2.0258122828368214E-2</v>
      </c>
      <c r="F72">
        <v>106377.39522420011</v>
      </c>
      <c r="G72">
        <v>2025.8122828368214</v>
      </c>
      <c r="H72">
        <v>105880.25651230733</v>
      </c>
      <c r="I72">
        <v>2144.9352415254552</v>
      </c>
    </row>
    <row r="73" spans="1:9" x14ac:dyDescent="0.3">
      <c r="A73">
        <v>122321.20750703695</v>
      </c>
      <c r="B73">
        <v>277.02761564600735</v>
      </c>
      <c r="C73">
        <v>124125.46042991529</v>
      </c>
      <c r="D73">
        <v>343.86180343862264</v>
      </c>
      <c r="E73">
        <v>8.4027615646007346E-4</v>
      </c>
      <c r="F73">
        <v>108391.20750703693</v>
      </c>
      <c r="G73">
        <v>84.027615646007348</v>
      </c>
      <c r="H73">
        <v>108013.19175383278</v>
      </c>
      <c r="I73">
        <v>90.760909613895507</v>
      </c>
    </row>
    <row r="74" spans="1:9" x14ac:dyDescent="0.3">
      <c r="A74">
        <v>122592.23512268295</v>
      </c>
      <c r="B74">
        <v>429.31774685770603</v>
      </c>
      <c r="C74">
        <v>124463.3222333539</v>
      </c>
      <c r="D74">
        <v>534.34313067648122</v>
      </c>
      <c r="E74">
        <v>2.3631774685770601E-3</v>
      </c>
      <c r="F74">
        <v>108463.23512268293</v>
      </c>
      <c r="G74">
        <v>236.31774685770603</v>
      </c>
      <c r="H74">
        <v>108091.95266344667</v>
      </c>
      <c r="I74">
        <v>255.44046706875531</v>
      </c>
    </row>
    <row r="75" spans="1:9" x14ac:dyDescent="0.3">
      <c r="A75">
        <v>123015.55286954065</v>
      </c>
      <c r="B75">
        <v>1068.8489714687696</v>
      </c>
      <c r="C75">
        <v>124991.66536403038</v>
      </c>
      <c r="D75">
        <v>1335.9721296651253</v>
      </c>
      <c r="E75">
        <v>8.7584897146876974E-3</v>
      </c>
      <c r="F75">
        <v>108687.55286954064</v>
      </c>
      <c r="G75">
        <v>875.84897146876972</v>
      </c>
      <c r="H75">
        <v>108335.39313051543</v>
      </c>
      <c r="I75">
        <v>948.85442647026764</v>
      </c>
    </row>
    <row r="76" spans="1:9" x14ac:dyDescent="0.3">
      <c r="A76">
        <v>124078.40184100943</v>
      </c>
      <c r="B76">
        <v>895.62159987405403</v>
      </c>
      <c r="C76">
        <v>126321.63749369551</v>
      </c>
      <c r="D76">
        <v>1131.3638707081386</v>
      </c>
      <c r="E76">
        <v>7.0262159987405396E-3</v>
      </c>
      <c r="F76">
        <v>109551.40184100941</v>
      </c>
      <c r="G76">
        <v>702.62159987405391</v>
      </c>
      <c r="H76">
        <v>109272.24755698569</v>
      </c>
      <c r="I76">
        <v>767.77041400322969</v>
      </c>
    </row>
    <row r="77" spans="1:9" x14ac:dyDescent="0.3">
      <c r="A77">
        <v>124968.02344088348</v>
      </c>
      <c r="B77">
        <v>327.82861750990583</v>
      </c>
      <c r="C77">
        <v>127447.00136440365</v>
      </c>
      <c r="D77">
        <v>417.80774263075529</v>
      </c>
      <c r="E77">
        <v>1.3482861750990581E-3</v>
      </c>
      <c r="F77">
        <v>110242.02344088347</v>
      </c>
      <c r="G77">
        <v>134.8286175099058</v>
      </c>
      <c r="H77">
        <v>110028.01797098892</v>
      </c>
      <c r="I77">
        <v>148.34925550383508</v>
      </c>
    </row>
    <row r="78" spans="1:9" x14ac:dyDescent="0.3">
      <c r="A78">
        <v>125289.85205839339</v>
      </c>
      <c r="B78">
        <v>322.97700544144601</v>
      </c>
      <c r="C78">
        <v>127858.80910703441</v>
      </c>
      <c r="D78">
        <v>412.9545528469946</v>
      </c>
      <c r="E78">
        <v>1.2997700544144601E-3</v>
      </c>
      <c r="F78">
        <v>110364.85205839337</v>
      </c>
      <c r="G78">
        <v>129.97700544144601</v>
      </c>
      <c r="H78">
        <v>110164.36722649276</v>
      </c>
      <c r="I78">
        <v>143.18834558451306</v>
      </c>
    </row>
    <row r="79" spans="1:9" x14ac:dyDescent="0.3">
      <c r="A79">
        <v>125606.82906383483</v>
      </c>
      <c r="B79">
        <v>60.287963685373398</v>
      </c>
      <c r="C79">
        <v>128265.7636598814</v>
      </c>
      <c r="D79">
        <v>77.328817016036169</v>
      </c>
      <c r="E79">
        <v>-1.3271203631462661E-3</v>
      </c>
      <c r="F79">
        <v>110482.82906383481</v>
      </c>
      <c r="G79">
        <v>-132.7120363146266</v>
      </c>
      <c r="H79">
        <v>110295.55557207727</v>
      </c>
      <c r="I79">
        <v>-146.37547776423435</v>
      </c>
    </row>
    <row r="80" spans="1:9" x14ac:dyDescent="0.3">
      <c r="A80">
        <v>125661.1170275202</v>
      </c>
      <c r="B80">
        <v>1222.874740385291</v>
      </c>
      <c r="C80">
        <v>128337.09247689744</v>
      </c>
      <c r="D80">
        <v>1569.4018864448906</v>
      </c>
      <c r="E80">
        <v>1.0298747403852912E-2</v>
      </c>
      <c r="F80">
        <v>110338.11702752019</v>
      </c>
      <c r="G80">
        <v>1029.8747403852913</v>
      </c>
      <c r="H80">
        <v>110137.18009431304</v>
      </c>
      <c r="I80">
        <v>1134.274997563987</v>
      </c>
    </row>
    <row r="81" spans="1:9" x14ac:dyDescent="0.3">
      <c r="A81">
        <v>126877.99176790549</v>
      </c>
      <c r="B81">
        <v>389.50527771219532</v>
      </c>
      <c r="C81">
        <v>129900.49436334232</v>
      </c>
      <c r="D81">
        <v>505.96928131945111</v>
      </c>
      <c r="E81">
        <v>1.9650527771219528E-3</v>
      </c>
      <c r="F81">
        <v>111355.99176790548</v>
      </c>
      <c r="G81">
        <v>196.50527771219529</v>
      </c>
      <c r="H81">
        <v>111259.45509187703</v>
      </c>
      <c r="I81">
        <v>218.63070120936814</v>
      </c>
    </row>
    <row r="82" spans="1:9" x14ac:dyDescent="0.3">
      <c r="A82">
        <v>127261.49704561768</v>
      </c>
      <c r="B82">
        <v>-2887.830580605902</v>
      </c>
      <c r="C82">
        <v>130400.46364466178</v>
      </c>
      <c r="D82">
        <v>-3765.7444663824244</v>
      </c>
      <c r="E82">
        <v>-3.0808305806059023E-2</v>
      </c>
      <c r="F82">
        <v>111540.49704561767</v>
      </c>
      <c r="G82">
        <v>-3080.8305806059025</v>
      </c>
      <c r="H82">
        <v>111466.0857930864</v>
      </c>
      <c r="I82">
        <v>-3434.081258117817</v>
      </c>
    </row>
    <row r="83" spans="1:9" x14ac:dyDescent="0.3">
      <c r="A83">
        <v>124367.66646501177</v>
      </c>
      <c r="B83">
        <v>-1145.3773491755319</v>
      </c>
      <c r="C83">
        <v>126628.71917827935</v>
      </c>
      <c r="D83">
        <v>-1450.3766670191044</v>
      </c>
      <c r="E83">
        <v>-1.3383773491755319E-2</v>
      </c>
      <c r="F83">
        <v>108447.66646501176</v>
      </c>
      <c r="G83">
        <v>-1338.3773491755319</v>
      </c>
      <c r="H83">
        <v>108020.00453496858</v>
      </c>
      <c r="I83">
        <v>-1445.7152732744019</v>
      </c>
    </row>
    <row r="84" spans="1:9" x14ac:dyDescent="0.3">
      <c r="A84">
        <v>123216.28911583625</v>
      </c>
      <c r="B84">
        <v>378.24442415547963</v>
      </c>
      <c r="C84">
        <v>125172.34251126024</v>
      </c>
      <c r="D84">
        <v>473.45740613364092</v>
      </c>
      <c r="E84">
        <v>1.8524442415547963E-3</v>
      </c>
      <c r="F84">
        <v>107097.28911583623</v>
      </c>
      <c r="G84">
        <v>185.24442415547963</v>
      </c>
      <c r="H84">
        <v>106562.28926169418</v>
      </c>
      <c r="I84">
        <v>197.4006991097219</v>
      </c>
    </row>
    <row r="85" spans="1:9" x14ac:dyDescent="0.3">
      <c r="A85">
        <v>123588.53353999172</v>
      </c>
      <c r="B85">
        <v>790.78981553650374</v>
      </c>
      <c r="C85">
        <v>125639.79991739389</v>
      </c>
      <c r="D85">
        <v>993.54674200719148</v>
      </c>
      <c r="E85">
        <v>5.9778981553650365E-3</v>
      </c>
      <c r="F85">
        <v>107270.53353999171</v>
      </c>
      <c r="G85">
        <v>597.78981553650362</v>
      </c>
      <c r="H85">
        <v>106747.68996080391</v>
      </c>
      <c r="I85">
        <v>638.12681890616852</v>
      </c>
    </row>
    <row r="86" spans="1:9" x14ac:dyDescent="0.3">
      <c r="A86">
        <v>124373.32335552823</v>
      </c>
      <c r="B86">
        <v>837.40632127728679</v>
      </c>
      <c r="C86">
        <v>126627.34665940108</v>
      </c>
      <c r="D86">
        <v>1060.3854053915279</v>
      </c>
      <c r="E86">
        <v>6.4440632127728678E-3</v>
      </c>
      <c r="F86">
        <v>107856.32335552821</v>
      </c>
      <c r="G86">
        <v>644.40632127728679</v>
      </c>
      <c r="H86">
        <v>107373.81677971008</v>
      </c>
      <c r="I86">
        <v>691.9236627251438</v>
      </c>
    </row>
    <row r="87" spans="1:9" x14ac:dyDescent="0.3">
      <c r="A87">
        <v>125204.72967680552</v>
      </c>
      <c r="B87">
        <v>264.39051458228005</v>
      </c>
      <c r="C87">
        <v>127681.73206479261</v>
      </c>
      <c r="D87">
        <v>337.57838843367324</v>
      </c>
      <c r="E87">
        <v>7.1390514582280015E-4</v>
      </c>
      <c r="F87">
        <v>108488.72967680549</v>
      </c>
      <c r="G87">
        <v>71.390514582280019</v>
      </c>
      <c r="H87">
        <v>108053.74044243521</v>
      </c>
      <c r="I87">
        <v>77.140121327255713</v>
      </c>
    </row>
    <row r="88" spans="1:9" x14ac:dyDescent="0.3">
      <c r="A88">
        <v>125463.1201913878</v>
      </c>
      <c r="B88">
        <v>-1707.400919999337</v>
      </c>
      <c r="C88">
        <v>128013.31045322628</v>
      </c>
      <c r="D88">
        <v>-2185.7004403999931</v>
      </c>
      <c r="E88">
        <v>-1.9004009199993371E-2</v>
      </c>
      <c r="F88">
        <v>108548.12019138777</v>
      </c>
      <c r="G88">
        <v>-1900.4009199993372</v>
      </c>
      <c r="H88">
        <v>108118.88056376248</v>
      </c>
      <c r="I88">
        <v>-2054.6922009267264</v>
      </c>
    </row>
    <row r="89" spans="1:9" x14ac:dyDescent="0.3">
      <c r="A89">
        <v>123749.71927138847</v>
      </c>
      <c r="B89">
        <v>466.06137818703513</v>
      </c>
      <c r="C89">
        <v>125821.61001282629</v>
      </c>
      <c r="D89">
        <v>586.40592968289479</v>
      </c>
      <c r="E89">
        <v>2.7306137818703512E-3</v>
      </c>
      <c r="F89">
        <v>106635.71927138844</v>
      </c>
      <c r="G89">
        <v>273.06137818703513</v>
      </c>
      <c r="H89">
        <v>106052.18836283575</v>
      </c>
      <c r="I89">
        <v>289.58756714106977</v>
      </c>
    </row>
    <row r="90" spans="1:9" x14ac:dyDescent="0.3">
      <c r="A90">
        <v>124209.78064957551</v>
      </c>
      <c r="B90">
        <v>279.36136692166951</v>
      </c>
      <c r="C90">
        <v>126402.01594250918</v>
      </c>
      <c r="D90">
        <v>353.11839955354031</v>
      </c>
      <c r="E90">
        <v>8.6361366921669535E-4</v>
      </c>
      <c r="F90">
        <v>106896.78064957548</v>
      </c>
      <c r="G90">
        <v>86.361366921669529</v>
      </c>
      <c r="H90">
        <v>106329.77592997682</v>
      </c>
      <c r="I90">
        <v>91.827847937876342</v>
      </c>
    </row>
    <row r="91" spans="1:9" x14ac:dyDescent="0.3">
      <c r="A91">
        <v>124483.14201649718</v>
      </c>
      <c r="B91">
        <v>-1069.7697001083986</v>
      </c>
      <c r="C91">
        <v>126749.13434206272</v>
      </c>
      <c r="D91">
        <v>-1355.9238343410757</v>
      </c>
      <c r="E91">
        <v>-1.2627697001083986E-2</v>
      </c>
      <c r="F91">
        <v>106971.14201649715</v>
      </c>
      <c r="G91">
        <v>-1262.7697001083986</v>
      </c>
      <c r="H91">
        <v>106409.6037779147</v>
      </c>
      <c r="I91">
        <v>-1343.7082345129086</v>
      </c>
    </row>
    <row r="92" spans="1:9" x14ac:dyDescent="0.3">
      <c r="A92">
        <v>123407.37231638878</v>
      </c>
      <c r="B92">
        <v>40.30502845535009</v>
      </c>
      <c r="C92">
        <v>125387.21050772165</v>
      </c>
      <c r="D92">
        <v>50.537350874506927</v>
      </c>
      <c r="E92">
        <v>-1.5269497154464992E-3</v>
      </c>
      <c r="F92">
        <v>105696.37231638875</v>
      </c>
      <c r="G92">
        <v>-152.69497154464992</v>
      </c>
      <c r="H92">
        <v>105053.8955434018</v>
      </c>
      <c r="I92">
        <v>-160.41201590654364</v>
      </c>
    </row>
    <row r="93" spans="1:9" x14ac:dyDescent="0.3">
      <c r="A93">
        <v>123441.67734484412</v>
      </c>
      <c r="B93">
        <v>417.35823517089636</v>
      </c>
      <c r="C93">
        <v>125431.74785859617</v>
      </c>
      <c r="D93">
        <v>523.4997292066455</v>
      </c>
      <c r="E93">
        <v>2.2435823517089632E-3</v>
      </c>
      <c r="F93">
        <v>105531.67734484409</v>
      </c>
      <c r="G93">
        <v>224.35823517089631</v>
      </c>
      <c r="H93">
        <v>104881.48352749525</v>
      </c>
      <c r="I93">
        <v>235.31024546334268</v>
      </c>
    </row>
    <row r="94" spans="1:9" x14ac:dyDescent="0.3">
      <c r="A94">
        <v>123853.03558001501</v>
      </c>
      <c r="B94">
        <v>-142.36717789425927</v>
      </c>
      <c r="C94">
        <v>125949.24758780281</v>
      </c>
      <c r="D94">
        <v>-179.31038936980829</v>
      </c>
      <c r="E94">
        <v>-3.3536717789425926E-3</v>
      </c>
      <c r="F94">
        <v>105744.03558001498</v>
      </c>
      <c r="G94">
        <v>-335.36717789425927</v>
      </c>
      <c r="H94">
        <v>105104.7937729586</v>
      </c>
      <c r="I94">
        <v>-352.4869807079524</v>
      </c>
    </row>
    <row r="95" spans="1:9" x14ac:dyDescent="0.3">
      <c r="A95">
        <v>123704.66840212075</v>
      </c>
      <c r="B95">
        <v>-569.38238947045386</v>
      </c>
      <c r="C95">
        <v>125763.93719843299</v>
      </c>
      <c r="D95">
        <v>-716.07771071255877</v>
      </c>
      <c r="E95">
        <v>-7.6238238947045388E-3</v>
      </c>
      <c r="F95">
        <v>105396.66840212072</v>
      </c>
      <c r="G95">
        <v>-762.38238947045386</v>
      </c>
      <c r="H95">
        <v>104740.30679225065</v>
      </c>
      <c r="I95">
        <v>-798.52165366144459</v>
      </c>
    </row>
    <row r="96" spans="1:9" x14ac:dyDescent="0.3">
      <c r="A96">
        <v>123129.28601265029</v>
      </c>
      <c r="B96">
        <v>-619.9141410905371</v>
      </c>
      <c r="C96">
        <v>125041.85948772043</v>
      </c>
      <c r="D96">
        <v>-775.15216924693834</v>
      </c>
      <c r="E96">
        <v>-8.1291414109053699E-3</v>
      </c>
      <c r="F96">
        <v>104622.28601265026</v>
      </c>
      <c r="G96">
        <v>-812.91414109053699</v>
      </c>
      <c r="H96">
        <v>103929.7851385892</v>
      </c>
      <c r="I96">
        <v>-844.85992019660296</v>
      </c>
    </row>
    <row r="97" spans="1:9" x14ac:dyDescent="0.3">
      <c r="A97">
        <v>122503.37187155975</v>
      </c>
      <c r="B97">
        <v>-1255.6025302775186</v>
      </c>
      <c r="C97">
        <v>124260.70731847349</v>
      </c>
      <c r="D97">
        <v>-1560.2205852314949</v>
      </c>
      <c r="E97">
        <v>-1.4486025302775185E-2</v>
      </c>
      <c r="F97">
        <v>103797.37187155972</v>
      </c>
      <c r="G97">
        <v>-1448.6025302775186</v>
      </c>
      <c r="H97">
        <v>103072.9252183926</v>
      </c>
      <c r="I97">
        <v>-1493.1170027446897</v>
      </c>
    </row>
    <row r="98" spans="1:9" x14ac:dyDescent="0.3">
      <c r="A98">
        <v>121241.76934128223</v>
      </c>
      <c r="B98">
        <v>-433.82236945890514</v>
      </c>
      <c r="C98">
        <v>122694.486733242</v>
      </c>
      <c r="D98">
        <v>-532.27612954159247</v>
      </c>
      <c r="E98">
        <v>-6.2682236945890519E-3</v>
      </c>
      <c r="F98">
        <v>102336.7693412822</v>
      </c>
      <c r="G98">
        <v>-626.8223694589052</v>
      </c>
      <c r="H98">
        <v>101567.80821564791</v>
      </c>
      <c r="I98">
        <v>-636.64974206480076</v>
      </c>
    </row>
    <row r="99" spans="1:9" x14ac:dyDescent="0.3">
      <c r="A99">
        <v>120801.94697182332</v>
      </c>
      <c r="B99">
        <v>-934.79968578162527</v>
      </c>
      <c r="C99">
        <v>122156.2106037004</v>
      </c>
      <c r="D99">
        <v>-1141.9158728861316</v>
      </c>
      <c r="E99">
        <v>-1.1277996857816252E-2</v>
      </c>
      <c r="F99">
        <v>101697.94697182329</v>
      </c>
      <c r="G99">
        <v>-1127.7996857816252</v>
      </c>
      <c r="H99">
        <v>100919.15847358311</v>
      </c>
      <c r="I99">
        <v>-1138.1659521585307</v>
      </c>
    </row>
    <row r="100" spans="1:9" x14ac:dyDescent="0.3">
      <c r="A100">
        <v>119861.14728604168</v>
      </c>
      <c r="B100">
        <v>-1467.0499640658668</v>
      </c>
      <c r="C100">
        <v>121008.29473081426</v>
      </c>
      <c r="D100">
        <v>-1775.252144365129</v>
      </c>
      <c r="E100">
        <v>-1.660049964065867E-2</v>
      </c>
      <c r="F100">
        <v>100558.14728604167</v>
      </c>
      <c r="G100">
        <v>-1660.049964065867</v>
      </c>
      <c r="H100">
        <v>99768.992521424589</v>
      </c>
      <c r="I100">
        <v>-1656.2151245007865</v>
      </c>
    </row>
    <row r="101" spans="1:9" x14ac:dyDescent="0.3">
      <c r="A101">
        <v>118388.09732197582</v>
      </c>
      <c r="B101">
        <v>190.8032818164364</v>
      </c>
      <c r="C101">
        <v>119227.04258644913</v>
      </c>
      <c r="D101">
        <v>227.48911006762518</v>
      </c>
      <c r="E101">
        <v>-2.1967181835636082E-5</v>
      </c>
      <c r="F101">
        <v>98886.097321975802</v>
      </c>
      <c r="G101">
        <v>-2.196718183563608</v>
      </c>
      <c r="H101">
        <v>98100.777396923804</v>
      </c>
      <c r="I101">
        <v>-2.1549976152954833</v>
      </c>
    </row>
    <row r="102" spans="1:9" x14ac:dyDescent="0.3">
      <c r="A102">
        <v>118572.90060379225</v>
      </c>
      <c r="B102">
        <v>769.69444058051931</v>
      </c>
      <c r="C102">
        <v>119448.53169651676</v>
      </c>
      <c r="D102">
        <v>919.38870782314893</v>
      </c>
      <c r="E102">
        <v>5.7669444058051928E-3</v>
      </c>
      <c r="F102">
        <v>98871.900603792237</v>
      </c>
      <c r="G102">
        <v>576.69444058051931</v>
      </c>
      <c r="H102">
        <v>98086.622399308515</v>
      </c>
      <c r="I102">
        <v>565.66009833001851</v>
      </c>
    </row>
    <row r="103" spans="1:9" x14ac:dyDescent="0.3">
      <c r="A103">
        <v>119336.59504437278</v>
      </c>
      <c r="B103">
        <v>2738.0346035714851</v>
      </c>
      <c r="C103">
        <v>120361.92040433991</v>
      </c>
      <c r="D103">
        <v>3295.5510301939948</v>
      </c>
      <c r="E103">
        <v>2.545034603571485E-2</v>
      </c>
      <c r="F103">
        <v>99436.595044372763</v>
      </c>
      <c r="G103">
        <v>2545.0346035714851</v>
      </c>
      <c r="H103">
        <v>98640.282497638531</v>
      </c>
      <c r="I103">
        <v>2510.4293226255677</v>
      </c>
    </row>
    <row r="104" spans="1:9" x14ac:dyDescent="0.3">
      <c r="A104">
        <v>122068.62964794427</v>
      </c>
      <c r="B104">
        <v>1281.4399809274082</v>
      </c>
      <c r="C104">
        <v>123651.4714345339</v>
      </c>
      <c r="D104">
        <v>1584.5193919671508</v>
      </c>
      <c r="E104">
        <v>1.0884399809274083E-2</v>
      </c>
      <c r="F104">
        <v>101969.62964794425</v>
      </c>
      <c r="G104">
        <v>1088.4399809274082</v>
      </c>
      <c r="H104">
        <v>101138.7118202641</v>
      </c>
      <c r="I104">
        <v>1100.8341756467089</v>
      </c>
    </row>
    <row r="105" spans="1:9" x14ac:dyDescent="0.3">
      <c r="A105">
        <v>123344.06962887167</v>
      </c>
      <c r="B105">
        <v>-1053.4077741493732</v>
      </c>
      <c r="C105">
        <v>125229.99082650105</v>
      </c>
      <c r="D105">
        <v>-1319.182458932909</v>
      </c>
      <c r="E105">
        <v>-1.2464077741493731E-2</v>
      </c>
      <c r="F105">
        <v>103046.06962887166</v>
      </c>
      <c r="G105">
        <v>-1246.4077741493732</v>
      </c>
      <c r="H105">
        <v>102227.54599591081</v>
      </c>
      <c r="I105">
        <v>-1274.1720806151586</v>
      </c>
    </row>
    <row r="106" spans="1:9" x14ac:dyDescent="0.3">
      <c r="A106">
        <v>122284.6618547223</v>
      </c>
      <c r="B106">
        <v>1996.0753050837038</v>
      </c>
      <c r="C106">
        <v>123904.80836756814</v>
      </c>
      <c r="D106">
        <v>2473.2332816363141</v>
      </c>
      <c r="E106">
        <v>1.8030753050837036E-2</v>
      </c>
      <c r="F106">
        <v>101787.66185472229</v>
      </c>
      <c r="G106">
        <v>1803.0753050837036</v>
      </c>
      <c r="H106">
        <v>100941.37391529566</v>
      </c>
      <c r="I106">
        <v>1820.048985678899</v>
      </c>
    </row>
    <row r="107" spans="1:9" x14ac:dyDescent="0.3">
      <c r="A107">
        <v>124274.73715980601</v>
      </c>
      <c r="B107">
        <v>357.55426895861945</v>
      </c>
      <c r="C107">
        <v>126372.04164920446</v>
      </c>
      <c r="D107">
        <v>451.84862968689515</v>
      </c>
      <c r="E107">
        <v>1.6455426895861946E-3</v>
      </c>
      <c r="F107">
        <v>103578.737159806</v>
      </c>
      <c r="G107">
        <v>164.55426895861947</v>
      </c>
      <c r="H107">
        <v>102749.42290097455</v>
      </c>
      <c r="I107">
        <v>169.07856171389901</v>
      </c>
    </row>
    <row r="108" spans="1:9" x14ac:dyDescent="0.3">
      <c r="A108">
        <v>124626.29142876463</v>
      </c>
      <c r="B108">
        <v>231.20180188244032</v>
      </c>
      <c r="C108">
        <v>126817.89027889135</v>
      </c>
      <c r="D108">
        <v>293.20524743409294</v>
      </c>
      <c r="E108">
        <v>3.8201801882440322E-4</v>
      </c>
      <c r="F108">
        <v>103731.29142876461</v>
      </c>
      <c r="G108">
        <v>38.201801882440321</v>
      </c>
      <c r="H108">
        <v>102906.50146268845</v>
      </c>
      <c r="I108">
        <v>39.312137812926792</v>
      </c>
    </row>
    <row r="109" spans="1:9" x14ac:dyDescent="0.3">
      <c r="A109">
        <v>124851.49323064707</v>
      </c>
      <c r="B109">
        <v>-509.90741154896642</v>
      </c>
      <c r="C109">
        <v>127105.09552632544</v>
      </c>
      <c r="D109">
        <v>-648.11830254512722</v>
      </c>
      <c r="E109">
        <v>-7.0290741154896644E-3</v>
      </c>
      <c r="F109">
        <v>103757.49323064706</v>
      </c>
      <c r="G109">
        <v>-702.90741154896648</v>
      </c>
      <c r="H109">
        <v>102933.81360050138</v>
      </c>
      <c r="I109">
        <v>-723.5294047879222</v>
      </c>
    </row>
    <row r="110" spans="1:9" x14ac:dyDescent="0.3">
      <c r="A110">
        <v>124335.58581909811</v>
      </c>
      <c r="B110">
        <v>-2462.2668536361093</v>
      </c>
      <c r="C110">
        <v>126450.97722378031</v>
      </c>
      <c r="D110">
        <v>-3113.5604982800883</v>
      </c>
      <c r="E110">
        <v>-2.6552668536361092E-2</v>
      </c>
      <c r="F110">
        <v>103042.58581909809</v>
      </c>
      <c r="G110">
        <v>-2655.2668536361093</v>
      </c>
      <c r="H110">
        <v>102198.28419571345</v>
      </c>
      <c r="I110">
        <v>-2713.6371652336097</v>
      </c>
    </row>
    <row r="111" spans="1:9" x14ac:dyDescent="0.3">
      <c r="A111">
        <v>121867.31896546199</v>
      </c>
      <c r="B111">
        <v>381.1904872139184</v>
      </c>
      <c r="C111">
        <v>123331.41672550022</v>
      </c>
      <c r="D111">
        <v>470.12762830376238</v>
      </c>
      <c r="E111">
        <v>1.8819048721391842E-3</v>
      </c>
      <c r="F111">
        <v>100375.31896546198</v>
      </c>
      <c r="G111">
        <v>188.19048721391843</v>
      </c>
      <c r="H111">
        <v>99472.647030479842</v>
      </c>
      <c r="I111">
        <v>187.19805909124136</v>
      </c>
    </row>
    <row r="112" spans="1:9" x14ac:dyDescent="0.3">
      <c r="A112">
        <v>122242.50945267591</v>
      </c>
      <c r="B112">
        <v>649.73056197075095</v>
      </c>
      <c r="C112">
        <v>123795.54435380398</v>
      </c>
      <c r="D112">
        <v>804.33748602472087</v>
      </c>
      <c r="E112">
        <v>4.5673056197075091E-3</v>
      </c>
      <c r="F112">
        <v>100551.50945267589</v>
      </c>
      <c r="G112">
        <v>456.7305619707509</v>
      </c>
      <c r="H112">
        <v>99647.845089571085</v>
      </c>
      <c r="I112">
        <v>455.12216286934131</v>
      </c>
    </row>
    <row r="113" spans="1:9" x14ac:dyDescent="0.3">
      <c r="A113">
        <v>122886.24001464665</v>
      </c>
      <c r="B113">
        <v>1058.064123253042</v>
      </c>
      <c r="C113">
        <v>124593.88183982871</v>
      </c>
      <c r="D113">
        <v>1318.2831635155148</v>
      </c>
      <c r="E113">
        <v>8.6506412325304208E-3</v>
      </c>
      <c r="F113">
        <v>100996.24001464664</v>
      </c>
      <c r="G113">
        <v>865.06412325304211</v>
      </c>
      <c r="H113">
        <v>100090.96725244043</v>
      </c>
      <c r="I113">
        <v>865.85104831781325</v>
      </c>
    </row>
    <row r="114" spans="1:9" x14ac:dyDescent="0.3">
      <c r="A114">
        <v>123938.3041378997</v>
      </c>
      <c r="B114">
        <v>-20.933640360056575</v>
      </c>
      <c r="C114">
        <v>125906.16500334423</v>
      </c>
      <c r="D114">
        <v>-26.356743772939492</v>
      </c>
      <c r="E114">
        <v>-2.1393364036005657E-3</v>
      </c>
      <c r="F114">
        <v>101849.30413789969</v>
      </c>
      <c r="G114">
        <v>-213.93364036005656</v>
      </c>
      <c r="H114">
        <v>100944.81830075824</v>
      </c>
      <c r="I114">
        <v>-215.9549245456567</v>
      </c>
    </row>
    <row r="115" spans="1:9" x14ac:dyDescent="0.3">
      <c r="A115">
        <v>123911.37049753964</v>
      </c>
      <c r="B115">
        <v>891.36156975353504</v>
      </c>
      <c r="C115">
        <v>125873.80825957129</v>
      </c>
      <c r="D115">
        <v>1121.9907532110694</v>
      </c>
      <c r="E115">
        <v>6.9836156975353501E-3</v>
      </c>
      <c r="F115">
        <v>101623.37049753962</v>
      </c>
      <c r="G115">
        <v>698.36156975353504</v>
      </c>
      <c r="H115">
        <v>100716.86337621258</v>
      </c>
      <c r="I115">
        <v>703.36786808064141</v>
      </c>
    </row>
    <row r="116" spans="1:9" x14ac:dyDescent="0.3">
      <c r="A116">
        <v>124796.73206729317</v>
      </c>
      <c r="B116">
        <v>3184.647302904566</v>
      </c>
      <c r="C116">
        <v>126989.79901278236</v>
      </c>
      <c r="D116">
        <v>4044.1772092245028</v>
      </c>
      <c r="E116">
        <v>2.9916473029045661E-2</v>
      </c>
      <c r="F116">
        <v>102309.73206729315</v>
      </c>
      <c r="G116">
        <v>2991.647302904566</v>
      </c>
      <c r="H116">
        <v>101408.23124429323</v>
      </c>
      <c r="I116">
        <v>3033.7766149431241</v>
      </c>
    </row>
    <row r="117" spans="1:9" x14ac:dyDescent="0.3">
      <c r="A117">
        <v>127975.37937019773</v>
      </c>
      <c r="B117">
        <v>2524.3685521166858</v>
      </c>
      <c r="C117">
        <v>131027.97622200687</v>
      </c>
      <c r="D117">
        <v>3307.6290262232701</v>
      </c>
      <c r="E117">
        <v>2.3313685521166857E-2</v>
      </c>
      <c r="F117">
        <v>105289.37937019771</v>
      </c>
      <c r="G117">
        <v>2331.3685521166858</v>
      </c>
      <c r="H117">
        <v>104430.00785923636</v>
      </c>
      <c r="I117">
        <v>2434.6483622032197</v>
      </c>
    </row>
    <row r="118" spans="1:9" x14ac:dyDescent="0.3">
      <c r="A118">
        <v>130493.74792231442</v>
      </c>
      <c r="B118">
        <v>347.76970572199252</v>
      </c>
      <c r="C118">
        <v>134329.60524823013</v>
      </c>
      <c r="D118">
        <v>467.15767286928417</v>
      </c>
      <c r="E118">
        <v>1.5476970572199254E-3</v>
      </c>
      <c r="F118">
        <v>107608.7479223144</v>
      </c>
      <c r="G118">
        <v>154.76970572199255</v>
      </c>
      <c r="H118">
        <v>106852.65622143958</v>
      </c>
      <c r="I118">
        <v>165.37554159005438</v>
      </c>
    </row>
    <row r="119" spans="1:9" x14ac:dyDescent="0.3">
      <c r="A119">
        <v>130835.51762803641</v>
      </c>
      <c r="B119">
        <v>-780.92461474385675</v>
      </c>
      <c r="C119">
        <v>134790.76292109941</v>
      </c>
      <c r="D119">
        <v>-1052.6142460519009</v>
      </c>
      <c r="E119">
        <v>-9.7392461474385666E-3</v>
      </c>
      <c r="F119">
        <v>107751.5176280364</v>
      </c>
      <c r="G119">
        <v>-973.92461474385664</v>
      </c>
      <c r="H119">
        <v>107006.03176302963</v>
      </c>
      <c r="I119">
        <v>-1042.1580826007753</v>
      </c>
    </row>
    <row r="120" spans="1:9" x14ac:dyDescent="0.3">
      <c r="A120">
        <v>130048.59301329256</v>
      </c>
      <c r="B120">
        <v>1705.5749389796651</v>
      </c>
      <c r="C120">
        <v>133732.1486750475</v>
      </c>
      <c r="D120">
        <v>2280.9020131606367</v>
      </c>
      <c r="E120">
        <v>1.5125749389796652E-2</v>
      </c>
      <c r="F120">
        <v>106765.59301329254</v>
      </c>
      <c r="G120">
        <v>1512.5749389796651</v>
      </c>
      <c r="H120">
        <v>105951.87368042886</v>
      </c>
      <c r="I120">
        <v>1602.6014886695589</v>
      </c>
    </row>
    <row r="121" spans="1:9" x14ac:dyDescent="0.3">
      <c r="A121">
        <v>131748.16795227223</v>
      </c>
      <c r="B121">
        <v>-167.42155851533022</v>
      </c>
      <c r="C121">
        <v>136007.05068820814</v>
      </c>
      <c r="D121">
        <v>-227.70512395293321</v>
      </c>
      <c r="E121">
        <v>-3.6042155851533021E-3</v>
      </c>
      <c r="F121">
        <v>108266.16795227221</v>
      </c>
      <c r="G121">
        <v>-360.42155851533022</v>
      </c>
      <c r="H121">
        <v>107542.47516909843</v>
      </c>
      <c r="I121">
        <v>-387.60626507042656</v>
      </c>
    </row>
    <row r="122" spans="1:9" x14ac:dyDescent="0.3">
      <c r="A122">
        <v>131574.74639375688</v>
      </c>
      <c r="B122">
        <v>1502.3291344007869</v>
      </c>
      <c r="C122">
        <v>135773.3455642552</v>
      </c>
      <c r="D122">
        <v>2039.7625271624643</v>
      </c>
      <c r="E122">
        <v>1.3093291344007869E-2</v>
      </c>
      <c r="F122">
        <v>107893.74639375688</v>
      </c>
      <c r="G122">
        <v>1309.3291344007869</v>
      </c>
      <c r="H122">
        <v>107142.868904028</v>
      </c>
      <c r="I122">
        <v>1402.8527979932796</v>
      </c>
    </row>
    <row r="123" spans="1:9" x14ac:dyDescent="0.3">
      <c r="A123">
        <v>133071.07552815767</v>
      </c>
      <c r="B123">
        <v>-746.69557101135638</v>
      </c>
      <c r="C123">
        <v>137807.10809141767</v>
      </c>
      <c r="D123">
        <v>-1028.9995726574484</v>
      </c>
      <c r="E123">
        <v>-9.3969557101135637E-3</v>
      </c>
      <c r="F123">
        <v>109191.07552815767</v>
      </c>
      <c r="G123">
        <v>-939.69557101135638</v>
      </c>
      <c r="H123">
        <v>108533.72170202128</v>
      </c>
      <c r="I123">
        <v>-1019.8865758876854</v>
      </c>
    </row>
    <row r="124" spans="1:9" x14ac:dyDescent="0.3">
      <c r="A124">
        <v>132318.3799571463</v>
      </c>
      <c r="B124">
        <v>424.53958383160699</v>
      </c>
      <c r="C124">
        <v>136772.10851876021</v>
      </c>
      <c r="D124">
        <v>580.65174030325852</v>
      </c>
      <c r="E124">
        <v>2.3153958383160698E-3</v>
      </c>
      <c r="F124">
        <v>108239.37995714632</v>
      </c>
      <c r="G124">
        <v>231.53958383160699</v>
      </c>
      <c r="H124">
        <v>107501.83512613361</v>
      </c>
      <c r="I124">
        <v>248.90930166239005</v>
      </c>
    </row>
    <row r="125" spans="1:9" x14ac:dyDescent="0.3">
      <c r="A125">
        <v>132736.91954097792</v>
      </c>
      <c r="B125">
        <v>77.66062307715012</v>
      </c>
      <c r="C125">
        <v>137346.76025906348</v>
      </c>
      <c r="D125">
        <v>106.6643497934683</v>
      </c>
      <c r="E125">
        <v>-1.153393769228499E-3</v>
      </c>
      <c r="F125">
        <v>108458.91954097792</v>
      </c>
      <c r="G125">
        <v>-115.33937692284989</v>
      </c>
      <c r="H125">
        <v>107738.744427796</v>
      </c>
      <c r="I125">
        <v>-124.26519652752157</v>
      </c>
    </row>
    <row r="126" spans="1:9" x14ac:dyDescent="0.3">
      <c r="A126">
        <v>132808.58016405508</v>
      </c>
      <c r="B126">
        <v>729.77573828733091</v>
      </c>
      <c r="C126">
        <v>137447.42460885693</v>
      </c>
      <c r="D126">
        <v>1003.0579576962082</v>
      </c>
      <c r="E126">
        <v>5.3677573828733085E-3</v>
      </c>
      <c r="F126">
        <v>108331.58016405506</v>
      </c>
      <c r="G126">
        <v>536.7757382873308</v>
      </c>
      <c r="H126">
        <v>107602.47923126849</v>
      </c>
      <c r="I126">
        <v>577.58400230911332</v>
      </c>
    </row>
    <row r="127" spans="1:9" x14ac:dyDescent="0.3">
      <c r="A127">
        <v>133532.35590234242</v>
      </c>
      <c r="B127">
        <v>228.55626170428573</v>
      </c>
      <c r="C127">
        <v>138444.48256655314</v>
      </c>
      <c r="D127">
        <v>316.42353388995542</v>
      </c>
      <c r="E127">
        <v>3.5556261704285737E-4</v>
      </c>
      <c r="F127">
        <v>108856.35590234239</v>
      </c>
      <c r="G127">
        <v>35.556261704285738</v>
      </c>
      <c r="H127">
        <v>108168.0632335776</v>
      </c>
      <c r="I127">
        <v>38.460519643788132</v>
      </c>
    </row>
    <row r="128" spans="1:9" x14ac:dyDescent="0.3">
      <c r="A128">
        <v>133754.91216404669</v>
      </c>
      <c r="B128">
        <v>-913.05126215909843</v>
      </c>
      <c r="C128">
        <v>138754.9061004431</v>
      </c>
      <c r="D128">
        <v>-1266.9034214577675</v>
      </c>
      <c r="E128">
        <v>-1.1060512621590983E-2</v>
      </c>
      <c r="F128">
        <v>108879.91216404668</v>
      </c>
      <c r="G128">
        <v>-1106.0512621590983</v>
      </c>
      <c r="H128">
        <v>108194.52375322139</v>
      </c>
      <c r="I128">
        <v>-1196.6868955595307</v>
      </c>
    </row>
    <row r="129" spans="1:9" x14ac:dyDescent="0.3">
      <c r="A129">
        <v>132835.86090188759</v>
      </c>
      <c r="B129">
        <v>-1133.5348506401103</v>
      </c>
      <c r="C129">
        <v>137482.00267898533</v>
      </c>
      <c r="D129">
        <v>-1558.406413724269</v>
      </c>
      <c r="E129">
        <v>-1.3265348506401103E-2</v>
      </c>
      <c r="F129">
        <v>107761.86090188757</v>
      </c>
      <c r="G129">
        <v>-1326.5348506401103</v>
      </c>
      <c r="H129">
        <v>106985.83685766187</v>
      </c>
      <c r="I129">
        <v>-1419.204411165857</v>
      </c>
    </row>
    <row r="130" spans="1:9" x14ac:dyDescent="0.3">
      <c r="A130">
        <v>131696.32605124748</v>
      </c>
      <c r="B130">
        <v>846.90936893489254</v>
      </c>
      <c r="C130">
        <v>135917.59626526106</v>
      </c>
      <c r="D130">
        <v>1151.0988568015975</v>
      </c>
      <c r="E130">
        <v>6.5390936893489253E-3</v>
      </c>
      <c r="F130">
        <v>106423.32605124747</v>
      </c>
      <c r="G130">
        <v>653.90936893489254</v>
      </c>
      <c r="H130">
        <v>105554.63244649601</v>
      </c>
      <c r="I130">
        <v>690.23163091242736</v>
      </c>
    </row>
    <row r="131" spans="1:9" x14ac:dyDescent="0.3">
      <c r="A131">
        <v>132537.23542018238</v>
      </c>
      <c r="B131">
        <v>842.608500784341</v>
      </c>
      <c r="C131">
        <v>137062.69512206267</v>
      </c>
      <c r="D131">
        <v>1154.9019205026243</v>
      </c>
      <c r="E131">
        <v>6.4960850078434095E-3</v>
      </c>
      <c r="F131">
        <v>107065.23542018236</v>
      </c>
      <c r="G131">
        <v>649.608500784341</v>
      </c>
      <c r="H131">
        <v>106232.86407740843</v>
      </c>
      <c r="I131">
        <v>690.09771567351959</v>
      </c>
    </row>
    <row r="132" spans="1:9" x14ac:dyDescent="0.3">
      <c r="A132">
        <v>133373.84392096673</v>
      </c>
      <c r="B132">
        <v>-407.75027560898951</v>
      </c>
      <c r="C132">
        <v>138211.59704256529</v>
      </c>
      <c r="D132">
        <v>-563.55816786464595</v>
      </c>
      <c r="E132">
        <v>-6.0075027560898952E-3</v>
      </c>
      <c r="F132">
        <v>107702.8439209667</v>
      </c>
      <c r="G132">
        <v>-600.75027560898957</v>
      </c>
      <c r="H132">
        <v>106910.96179308195</v>
      </c>
      <c r="I132">
        <v>-642.26789762816134</v>
      </c>
    </row>
    <row r="133" spans="1:9" x14ac:dyDescent="0.3">
      <c r="A133">
        <v>132960.09364535773</v>
      </c>
      <c r="B133">
        <v>-237.6531748978868</v>
      </c>
      <c r="C133">
        <v>137642.03887470064</v>
      </c>
      <c r="D133">
        <v>-327.11067537990965</v>
      </c>
      <c r="E133">
        <v>-4.3065317489788682E-3</v>
      </c>
      <c r="F133">
        <v>107090.0936453577</v>
      </c>
      <c r="G133">
        <v>-430.6531748978868</v>
      </c>
      <c r="H133">
        <v>106256.69389545379</v>
      </c>
      <c r="I133">
        <v>-457.59782580230086</v>
      </c>
    </row>
    <row r="134" spans="1:9" x14ac:dyDescent="0.3">
      <c r="A134">
        <v>132716.44047045984</v>
      </c>
      <c r="B134">
        <v>-918.82261128208279</v>
      </c>
      <c r="C134">
        <v>137308.92819932074</v>
      </c>
      <c r="D134">
        <v>-1261.6254796044391</v>
      </c>
      <c r="E134">
        <v>-1.1118226112820827E-2</v>
      </c>
      <c r="F134">
        <v>106647.44047045981</v>
      </c>
      <c r="G134">
        <v>-1111.8226112820828</v>
      </c>
      <c r="H134">
        <v>105787.0960696515</v>
      </c>
      <c r="I134">
        <v>-1176.1648539210848</v>
      </c>
    </row>
    <row r="135" spans="1:9" x14ac:dyDescent="0.3">
      <c r="A135">
        <v>131791.61785917776</v>
      </c>
      <c r="B135">
        <v>653.00251708018175</v>
      </c>
      <c r="C135">
        <v>136041.3027197163</v>
      </c>
      <c r="D135">
        <v>888.35313102841712</v>
      </c>
      <c r="E135">
        <v>4.6000251708018169E-3</v>
      </c>
      <c r="F135">
        <v>105523.61785917773</v>
      </c>
      <c r="G135">
        <v>460.00251708018169</v>
      </c>
      <c r="H135">
        <v>104598.93121573041</v>
      </c>
      <c r="I135">
        <v>481.15771643132774</v>
      </c>
    </row>
    <row r="136" spans="1:9" x14ac:dyDescent="0.3">
      <c r="A136">
        <v>132438.62037625792</v>
      </c>
      <c r="B136">
        <v>15.908137735550875</v>
      </c>
      <c r="C136">
        <v>136923.65585074472</v>
      </c>
      <c r="D136">
        <v>21.782003765288135</v>
      </c>
      <c r="E136">
        <v>-1.7709186226444913E-3</v>
      </c>
      <c r="F136">
        <v>105971.62037625791</v>
      </c>
      <c r="G136">
        <v>-177.09186226444913</v>
      </c>
      <c r="H136">
        <v>105068.08893216174</v>
      </c>
      <c r="I136">
        <v>-186.0670353356328</v>
      </c>
    </row>
    <row r="137" spans="1:9" x14ac:dyDescent="0.3">
      <c r="A137">
        <v>132448.52851399349</v>
      </c>
      <c r="B137">
        <v>-3992.7719551861233</v>
      </c>
      <c r="C137">
        <v>136939.43785451</v>
      </c>
      <c r="D137">
        <v>-5467.6794702444049</v>
      </c>
      <c r="E137">
        <v>-4.1857719551861232E-2</v>
      </c>
      <c r="F137">
        <v>105782.52851399346</v>
      </c>
      <c r="G137">
        <v>-4185.7719551861228</v>
      </c>
      <c r="H137">
        <v>104870.0218968261</v>
      </c>
      <c r="I137">
        <v>-4389.6199659548938</v>
      </c>
    </row>
    <row r="138" spans="1:9" x14ac:dyDescent="0.3">
      <c r="A138">
        <v>128449.75655880736</v>
      </c>
      <c r="B138">
        <v>1814.0589569161004</v>
      </c>
      <c r="C138">
        <v>131465.75838426559</v>
      </c>
      <c r="D138">
        <v>2384.8663652474493</v>
      </c>
      <c r="E138">
        <v>1.6210589569161004E-2</v>
      </c>
      <c r="F138">
        <v>101584.75655880733</v>
      </c>
      <c r="G138">
        <v>1621.0589569161004</v>
      </c>
      <c r="H138">
        <v>100468.40193087122</v>
      </c>
      <c r="I138">
        <v>1628.6520283708562</v>
      </c>
    </row>
    <row r="139" spans="1:9" x14ac:dyDescent="0.3">
      <c r="A139">
        <v>130257.81551572346</v>
      </c>
      <c r="B139">
        <v>1914.3491354324201</v>
      </c>
      <c r="C139">
        <v>133844.62474951302</v>
      </c>
      <c r="D139">
        <v>2562.2534167150693</v>
      </c>
      <c r="E139">
        <v>1.7213491354324199E-2</v>
      </c>
      <c r="F139">
        <v>103193.81551572343</v>
      </c>
      <c r="G139">
        <v>1721.3491354324199</v>
      </c>
      <c r="H139">
        <v>102085.05395924207</v>
      </c>
      <c r="I139">
        <v>1757.2401937331326</v>
      </c>
    </row>
    <row r="140" spans="1:9" x14ac:dyDescent="0.3">
      <c r="A140">
        <v>132166.16465115588</v>
      </c>
      <c r="B140">
        <v>1585.0288512478255</v>
      </c>
      <c r="C140">
        <v>136400.8781662281</v>
      </c>
      <c r="D140">
        <v>2161.9932722901112</v>
      </c>
      <c r="E140">
        <v>1.3920288512478255E-2</v>
      </c>
      <c r="F140">
        <v>104903.16465115585</v>
      </c>
      <c r="G140">
        <v>1392.0288512478255</v>
      </c>
      <c r="H140">
        <v>103830.2941529752</v>
      </c>
      <c r="I140">
        <v>1445.3476509448988</v>
      </c>
    </row>
    <row r="141" spans="1:9" x14ac:dyDescent="0.3">
      <c r="A141">
        <v>133745.19350240371</v>
      </c>
      <c r="B141">
        <v>198.05129094746647</v>
      </c>
      <c r="C141">
        <v>138556.8714385182</v>
      </c>
      <c r="D141">
        <v>274.41367258040674</v>
      </c>
      <c r="E141">
        <v>5.0512909474664585E-5</v>
      </c>
      <c r="F141">
        <v>106283.19350240368</v>
      </c>
      <c r="G141">
        <v>5.0512909474664589</v>
      </c>
      <c r="H141">
        <v>105263.64180392009</v>
      </c>
      <c r="I141">
        <v>5.3171728094149344</v>
      </c>
    </row>
    <row r="142" spans="1:9" x14ac:dyDescent="0.3">
      <c r="A142">
        <v>133937.24479335119</v>
      </c>
      <c r="B142">
        <v>-1041.051707008023</v>
      </c>
      <c r="C142">
        <v>138825.28511109861</v>
      </c>
      <c r="D142">
        <v>-1445.2430004078467</v>
      </c>
      <c r="E142">
        <v>-1.2340517070080229E-2</v>
      </c>
      <c r="F142">
        <v>106276.24479335114</v>
      </c>
      <c r="G142">
        <v>-1234.051707008023</v>
      </c>
      <c r="H142">
        <v>105256.95897672951</v>
      </c>
      <c r="I142">
        <v>-1298.9252989970648</v>
      </c>
    </row>
    <row r="143" spans="1:9" x14ac:dyDescent="0.3">
      <c r="A143">
        <v>132890.19308634318</v>
      </c>
      <c r="B143">
        <v>1038.1585497994013</v>
      </c>
      <c r="C143">
        <v>137374.04211069076</v>
      </c>
      <c r="D143">
        <v>1426.160363377166</v>
      </c>
      <c r="E143">
        <v>8.4515854979940134E-3</v>
      </c>
      <c r="F143">
        <v>105030.19308634312</v>
      </c>
      <c r="G143">
        <v>845.15854979940138</v>
      </c>
      <c r="H143">
        <v>103946.03367773244</v>
      </c>
      <c r="I143">
        <v>878.50879080472077</v>
      </c>
    </row>
    <row r="144" spans="1:9" x14ac:dyDescent="0.3">
      <c r="A144">
        <v>133922.35163614259</v>
      </c>
      <c r="B144">
        <v>2845.5165119285466</v>
      </c>
      <c r="C144">
        <v>138794.20247406792</v>
      </c>
      <c r="D144">
        <v>3949.4119489991422</v>
      </c>
      <c r="E144">
        <v>2.6525165119285467E-2</v>
      </c>
      <c r="F144">
        <v>105863.35163614251</v>
      </c>
      <c r="G144">
        <v>2652.5165119285466</v>
      </c>
      <c r="H144">
        <v>104812.54246853717</v>
      </c>
      <c r="I144">
        <v>2780.169995550069</v>
      </c>
    </row>
    <row r="145" spans="1:9" x14ac:dyDescent="0.3">
      <c r="A145">
        <v>136761.86814807114</v>
      </c>
      <c r="B145">
        <v>-1401.1058996298545</v>
      </c>
      <c r="C145">
        <v>142737.61442306705</v>
      </c>
      <c r="D145">
        <v>-1999.9051366725066</v>
      </c>
      <c r="E145">
        <v>-1.5941058996298545E-2</v>
      </c>
      <c r="F145">
        <v>108503.86814807107</v>
      </c>
      <c r="G145">
        <v>-1594.1058996298545</v>
      </c>
      <c r="H145">
        <v>107580.71246408724</v>
      </c>
      <c r="I145">
        <v>-1714.9504842538447</v>
      </c>
    </row>
    <row r="146" spans="1:9" x14ac:dyDescent="0.3">
      <c r="A146">
        <v>135354.76224844129</v>
      </c>
      <c r="B146">
        <v>313.04709059078567</v>
      </c>
      <c r="C146">
        <v>140731.70928639453</v>
      </c>
      <c r="D146">
        <v>440.55652145974062</v>
      </c>
      <c r="E146">
        <v>1.2004709059078567E-3</v>
      </c>
      <c r="F146">
        <v>106897.76224844121</v>
      </c>
      <c r="G146">
        <v>120.04709059078567</v>
      </c>
      <c r="H146">
        <v>105853.76197983339</v>
      </c>
      <c r="I146">
        <v>127.07436153768522</v>
      </c>
    </row>
    <row r="147" spans="1:9" x14ac:dyDescent="0.3">
      <c r="A147">
        <v>135661.80933903207</v>
      </c>
      <c r="B147">
        <v>-383.45617856822184</v>
      </c>
      <c r="C147">
        <v>141166.26580785427</v>
      </c>
      <c r="D147">
        <v>-541.31076829425638</v>
      </c>
      <c r="E147">
        <v>-5.7645617856822186E-3</v>
      </c>
      <c r="F147">
        <v>107005.809339032</v>
      </c>
      <c r="G147">
        <v>-576.45617856822184</v>
      </c>
      <c r="H147">
        <v>105968.83634137108</v>
      </c>
      <c r="I147">
        <v>-610.86390444668086</v>
      </c>
    </row>
    <row r="148" spans="1:9" x14ac:dyDescent="0.3">
      <c r="A148">
        <v>135272.35316046386</v>
      </c>
      <c r="B148">
        <v>1737.0694827793509</v>
      </c>
      <c r="C148">
        <v>140618.95503956001</v>
      </c>
      <c r="D148">
        <v>2442.6489549954131</v>
      </c>
      <c r="E148">
        <v>1.544069482779351E-2</v>
      </c>
      <c r="F148">
        <v>106417.35316046378</v>
      </c>
      <c r="G148">
        <v>1544.0694827793511</v>
      </c>
      <c r="H148">
        <v>105345.97243692439</v>
      </c>
      <c r="I148">
        <v>1626.6150117356963</v>
      </c>
    </row>
    <row r="149" spans="1:9" x14ac:dyDescent="0.3">
      <c r="A149">
        <v>137003.42264324322</v>
      </c>
      <c r="B149">
        <v>200.89559563242935</v>
      </c>
      <c r="C149">
        <v>143055.60399455542</v>
      </c>
      <c r="D149">
        <v>287.3924077304315</v>
      </c>
      <c r="E149">
        <v>7.895595632429332E-5</v>
      </c>
      <c r="F149">
        <v>107949.42264324313</v>
      </c>
      <c r="G149">
        <v>7.8955956324293322</v>
      </c>
      <c r="H149">
        <v>106960.5874486601</v>
      </c>
      <c r="I149">
        <v>8.445175471017162</v>
      </c>
    </row>
    <row r="150" spans="1:9" x14ac:dyDescent="0.3">
      <c r="A150">
        <v>137198.31823887565</v>
      </c>
      <c r="B150">
        <v>1248.6444149897525</v>
      </c>
      <c r="C150">
        <v>143336.99640228585</v>
      </c>
      <c r="D150">
        <v>1789.7694001912046</v>
      </c>
      <c r="E150">
        <v>1.0556444149897525E-2</v>
      </c>
      <c r="F150">
        <v>107945.31823887557</v>
      </c>
      <c r="G150">
        <v>1055.6444149897525</v>
      </c>
      <c r="H150">
        <v>106957.03262413111</v>
      </c>
      <c r="I150">
        <v>1129.0859413354076</v>
      </c>
    </row>
    <row r="151" spans="1:9" x14ac:dyDescent="0.3">
      <c r="A151">
        <v>138440.9626538654</v>
      </c>
      <c r="B151">
        <v>-370.92213675472635</v>
      </c>
      <c r="C151">
        <v>145120.76580247705</v>
      </c>
      <c r="D151">
        <v>-538.28504538937011</v>
      </c>
      <c r="E151">
        <v>-5.6392213675472633E-3</v>
      </c>
      <c r="F151">
        <v>108988.96265386532</v>
      </c>
      <c r="G151">
        <v>-563.92213675472635</v>
      </c>
      <c r="H151">
        <v>108074.11856546652</v>
      </c>
      <c r="I151">
        <v>-609.45387869321519</v>
      </c>
    </row>
    <row r="152" spans="1:9" x14ac:dyDescent="0.3">
      <c r="A152">
        <v>138064.04051711067</v>
      </c>
      <c r="B152">
        <v>305.69354222392053</v>
      </c>
      <c r="C152">
        <v>144576.48075708767</v>
      </c>
      <c r="D152">
        <v>441.96096524902612</v>
      </c>
      <c r="E152">
        <v>1.1269354222392051E-3</v>
      </c>
      <c r="F152">
        <v>108413.0405171106</v>
      </c>
      <c r="G152">
        <v>112.69354222392052</v>
      </c>
      <c r="H152">
        <v>107452.66468677331</v>
      </c>
      <c r="I152">
        <v>121.0922140495166</v>
      </c>
    </row>
    <row r="153" spans="1:9" x14ac:dyDescent="0.3">
      <c r="A153">
        <v>138363.73405933459</v>
      </c>
      <c r="B153">
        <v>1300.0336875631483</v>
      </c>
      <c r="C153">
        <v>145012.44172233669</v>
      </c>
      <c r="D153">
        <v>1885.2105935482552</v>
      </c>
      <c r="E153">
        <v>1.1070336875631484E-2</v>
      </c>
      <c r="F153">
        <v>108513.73405933451</v>
      </c>
      <c r="G153">
        <v>1107.0336875631483</v>
      </c>
      <c r="H153">
        <v>107561.75690082282</v>
      </c>
      <c r="I153">
        <v>1190.7448838268881</v>
      </c>
    </row>
    <row r="154" spans="1:9" x14ac:dyDescent="0.3">
      <c r="A154">
        <v>139657.76774689773</v>
      </c>
      <c r="B154">
        <v>-956.79106994999779</v>
      </c>
      <c r="C154">
        <v>146891.65231588494</v>
      </c>
      <c r="D154">
        <v>-1405.4462118603863</v>
      </c>
      <c r="E154">
        <v>-1.1497910699499977E-2</v>
      </c>
      <c r="F154">
        <v>109608.76774689766</v>
      </c>
      <c r="G154">
        <v>-1149.7910699499978</v>
      </c>
      <c r="H154">
        <v>108740.50178464971</v>
      </c>
      <c r="I154">
        <v>-1250.2885789387203</v>
      </c>
    </row>
    <row r="155" spans="1:9" x14ac:dyDescent="0.3">
      <c r="A155">
        <v>138694.97667694773</v>
      </c>
      <c r="B155">
        <v>279.51280449720133</v>
      </c>
      <c r="C155">
        <v>145480.20610402455</v>
      </c>
      <c r="D155">
        <v>406.6358040696677</v>
      </c>
      <c r="E155">
        <v>8.6512804497201347E-4</v>
      </c>
      <c r="F155">
        <v>108446.97667694767</v>
      </c>
      <c r="G155">
        <v>86.512804497201344</v>
      </c>
      <c r="H155">
        <v>107478.21320571098</v>
      </c>
      <c r="I155">
        <v>92.982416467741984</v>
      </c>
    </row>
    <row r="156" spans="1:9" x14ac:dyDescent="0.3">
      <c r="A156">
        <v>138968.48948144494</v>
      </c>
      <c r="B156">
        <v>808.93562739179413</v>
      </c>
      <c r="C156">
        <v>145880.84190809421</v>
      </c>
      <c r="D156">
        <v>1180.0821037336732</v>
      </c>
      <c r="E156">
        <v>6.1593562739179408E-3</v>
      </c>
      <c r="F156">
        <v>108521.48948144488</v>
      </c>
      <c r="G156">
        <v>615.93562739179413</v>
      </c>
      <c r="H156">
        <v>107559.19562217873</v>
      </c>
      <c r="I156">
        <v>662.49540637303369</v>
      </c>
    </row>
    <row r="157" spans="1:9" x14ac:dyDescent="0.3">
      <c r="A157">
        <v>139771.42510883673</v>
      </c>
      <c r="B157">
        <v>-325.10759513267834</v>
      </c>
      <c r="C157">
        <v>147054.92401182788</v>
      </c>
      <c r="D157">
        <v>-478.0867269790412</v>
      </c>
      <c r="E157">
        <v>-5.1810759513267832E-3</v>
      </c>
      <c r="F157">
        <v>109125.42510883667</v>
      </c>
      <c r="G157">
        <v>-518.10759513267828</v>
      </c>
      <c r="H157">
        <v>108209.69102855177</v>
      </c>
      <c r="I157">
        <v>-560.64262788853114</v>
      </c>
    </row>
    <row r="158" spans="1:9" x14ac:dyDescent="0.3">
      <c r="A158">
        <v>139440.31751370407</v>
      </c>
      <c r="B158">
        <v>-158.92801495792799</v>
      </c>
      <c r="C158">
        <v>146570.83728484885</v>
      </c>
      <c r="D158">
        <v>-232.94212220402488</v>
      </c>
      <c r="E158">
        <v>-3.51928014957928E-3</v>
      </c>
      <c r="F158">
        <v>108595.31751370399</v>
      </c>
      <c r="G158">
        <v>-351.92801495792799</v>
      </c>
      <c r="H158">
        <v>107637.04840066323</v>
      </c>
      <c r="I158">
        <v>-378.80492779575832</v>
      </c>
    </row>
    <row r="159" spans="1:9" x14ac:dyDescent="0.3">
      <c r="A159">
        <v>139275.38949874614</v>
      </c>
      <c r="B159">
        <v>-1225.2151141040051</v>
      </c>
      <c r="C159">
        <v>146331.89516264483</v>
      </c>
      <c r="D159">
        <v>-1792.8804962875522</v>
      </c>
      <c r="E159">
        <v>-1.4182151141040052E-2</v>
      </c>
      <c r="F159">
        <v>108231.38949874607</v>
      </c>
      <c r="G159">
        <v>-1418.2151141040051</v>
      </c>
      <c r="H159">
        <v>107246.24347286747</v>
      </c>
      <c r="I159">
        <v>-1520.9824342409865</v>
      </c>
    </row>
    <row r="160" spans="1:9" x14ac:dyDescent="0.3">
      <c r="A160">
        <v>138044.17438464213</v>
      </c>
      <c r="B160">
        <v>693.29601831828234</v>
      </c>
      <c r="C160">
        <v>144533.01466635728</v>
      </c>
      <c r="D160">
        <v>1002.041635837234</v>
      </c>
      <c r="E160">
        <v>5.0029601831828229E-3</v>
      </c>
      <c r="F160">
        <v>106801.17438464206</v>
      </c>
      <c r="G160">
        <v>500.29601831828228</v>
      </c>
      <c r="H160">
        <v>105713.26103862649</v>
      </c>
      <c r="I160">
        <v>528.87923581066036</v>
      </c>
    </row>
    <row r="161" spans="1:9" x14ac:dyDescent="0.3">
      <c r="A161">
        <v>138731.4704029604</v>
      </c>
      <c r="B161">
        <v>1267.8338288266946</v>
      </c>
      <c r="C161">
        <v>145529.05630219451</v>
      </c>
      <c r="D161">
        <v>1845.0666065714688</v>
      </c>
      <c r="E161">
        <v>1.0748338288266946E-2</v>
      </c>
      <c r="F161">
        <v>107289.47040296035</v>
      </c>
      <c r="G161">
        <v>1074.8338288266946</v>
      </c>
      <c r="H161">
        <v>106230.14027443714</v>
      </c>
      <c r="I161">
        <v>1141.7974840797012</v>
      </c>
    </row>
    <row r="162" spans="1:9" x14ac:dyDescent="0.3">
      <c r="A162">
        <v>139993.3042317871</v>
      </c>
      <c r="B162">
        <v>-935.5700986266063</v>
      </c>
      <c r="C162">
        <v>147368.12290876597</v>
      </c>
      <c r="D162">
        <v>-1378.7320928417203</v>
      </c>
      <c r="E162">
        <v>-1.1285700986266063E-2</v>
      </c>
      <c r="F162">
        <v>108352.30423178704</v>
      </c>
      <c r="G162">
        <v>-1128.5700986266063</v>
      </c>
      <c r="H162">
        <v>107359.93775851684</v>
      </c>
      <c r="I162">
        <v>-1211.6321554467565</v>
      </c>
    </row>
    <row r="163" spans="1:9" x14ac:dyDescent="0.3">
      <c r="A163">
        <v>139051.7341331605</v>
      </c>
      <c r="B163">
        <v>986.61355319838594</v>
      </c>
      <c r="C163">
        <v>145983.39081592424</v>
      </c>
      <c r="D163">
        <v>1440.2919192084764</v>
      </c>
      <c r="E163">
        <v>7.9361355319838602E-3</v>
      </c>
      <c r="F163">
        <v>107211.73413316044</v>
      </c>
      <c r="G163">
        <v>793.61355319838606</v>
      </c>
      <c r="H163">
        <v>106136.30560307008</v>
      </c>
      <c r="I163">
        <v>842.31210613002213</v>
      </c>
    </row>
    <row r="164" spans="1:9" x14ac:dyDescent="0.3">
      <c r="A164">
        <v>140032.34768635887</v>
      </c>
      <c r="B164">
        <v>3853.9553752535467</v>
      </c>
      <c r="C164">
        <v>147417.68273513272</v>
      </c>
      <c r="D164">
        <v>5681.4117078448671</v>
      </c>
      <c r="E164">
        <v>3.6609553752535468E-2</v>
      </c>
      <c r="F164">
        <v>107993.34768635883</v>
      </c>
      <c r="G164">
        <v>3660.9553752535467</v>
      </c>
      <c r="H164">
        <v>106966.6177092001</v>
      </c>
      <c r="I164">
        <v>3916.0001407518735</v>
      </c>
    </row>
    <row r="165" spans="1:9" x14ac:dyDescent="0.3">
      <c r="A165">
        <v>143880.30306161242</v>
      </c>
      <c r="B165">
        <v>463.49581609479952</v>
      </c>
      <c r="C165">
        <v>153093.0944429776</v>
      </c>
      <c r="D165">
        <v>709.58008747326119</v>
      </c>
      <c r="E165">
        <v>2.7049581609479949E-3</v>
      </c>
      <c r="F165">
        <v>111642.30306161237</v>
      </c>
      <c r="G165">
        <v>270.49581609479947</v>
      </c>
      <c r="H165">
        <v>110870.61784995197</v>
      </c>
      <c r="I165">
        <v>299.90038256257401</v>
      </c>
    </row>
    <row r="166" spans="1:9" x14ac:dyDescent="0.3">
      <c r="A166">
        <v>144337.79887770722</v>
      </c>
      <c r="B166">
        <v>-516.11317624650758</v>
      </c>
      <c r="C166">
        <v>153796.67453045087</v>
      </c>
      <c r="D166">
        <v>-793.76490188061348</v>
      </c>
      <c r="E166">
        <v>-7.091131762465076E-3</v>
      </c>
      <c r="F166">
        <v>111900.79887770717</v>
      </c>
      <c r="G166">
        <v>-709.11317624650758</v>
      </c>
      <c r="H166">
        <v>111158.51823251454</v>
      </c>
      <c r="I166">
        <v>-788.23969930713713</v>
      </c>
    </row>
    <row r="167" spans="1:9" x14ac:dyDescent="0.3">
      <c r="A167">
        <v>143815.68570146072</v>
      </c>
      <c r="B167">
        <v>1960.9060845534002</v>
      </c>
      <c r="C167">
        <v>152996.90962857025</v>
      </c>
      <c r="D167">
        <v>3000.1257100853009</v>
      </c>
      <c r="E167">
        <v>1.7679060845534E-2</v>
      </c>
      <c r="F167">
        <v>111179.68570146066</v>
      </c>
      <c r="G167">
        <v>1767.9060845534</v>
      </c>
      <c r="H167">
        <v>110358.27853320741</v>
      </c>
      <c r="I167">
        <v>1951.0307209969626</v>
      </c>
    </row>
    <row r="168" spans="1:9" x14ac:dyDescent="0.3">
      <c r="A168">
        <v>145770.59178601412</v>
      </c>
      <c r="B168">
        <v>57.819299473539374</v>
      </c>
      <c r="C168">
        <v>155991.03533865555</v>
      </c>
      <c r="D168">
        <v>90.192923874331882</v>
      </c>
      <c r="E168">
        <v>-1.3518070052646065E-3</v>
      </c>
      <c r="F168">
        <v>112935.59178601406</v>
      </c>
      <c r="G168">
        <v>-135.18070052646064</v>
      </c>
      <c r="H168">
        <v>112297.30925420437</v>
      </c>
      <c r="I168">
        <v>-151.80428932219939</v>
      </c>
    </row>
    <row r="169" spans="1:9" x14ac:dyDescent="0.3">
      <c r="A169">
        <v>145822.41108548766</v>
      </c>
      <c r="B169">
        <v>-388.86272841888706</v>
      </c>
      <c r="C169">
        <v>156075.22826252988</v>
      </c>
      <c r="D169">
        <v>-606.91839100767959</v>
      </c>
      <c r="E169">
        <v>-5.8186272841888702E-3</v>
      </c>
      <c r="F169">
        <v>112788.41108548761</v>
      </c>
      <c r="G169">
        <v>-581.86272841888706</v>
      </c>
      <c r="H169">
        <v>112133.50496488217</v>
      </c>
      <c r="I169">
        <v>-652.46307146039157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0AC30-A057-4F2C-9C26-A805C0A96268}">
  <dimension ref="A1:G168"/>
  <sheetViews>
    <sheetView zoomScale="63" workbookViewId="0">
      <selection activeCell="L32" sqref="L32"/>
    </sheetView>
  </sheetViews>
  <sheetFormatPr baseColWidth="10" defaultRowHeight="14.4" x14ac:dyDescent="0.3"/>
  <sheetData>
    <row r="1" spans="1:7" x14ac:dyDescent="0.3">
      <c r="A1" t="s">
        <v>350</v>
      </c>
      <c r="B1" t="s">
        <v>213</v>
      </c>
      <c r="C1" t="s">
        <v>222</v>
      </c>
      <c r="D1" t="s">
        <v>215</v>
      </c>
      <c r="E1" t="s">
        <v>223</v>
      </c>
      <c r="F1" t="s">
        <v>220</v>
      </c>
    </row>
    <row r="2" spans="1:7" x14ac:dyDescent="0.3">
      <c r="A2">
        <v>239.64</v>
      </c>
      <c r="B2">
        <v>241.06536476084119</v>
      </c>
      <c r="C2">
        <v>250.8457427075839</v>
      </c>
      <c r="D2">
        <v>238.21859372822431</v>
      </c>
      <c r="E2">
        <v>239.75</v>
      </c>
      <c r="F2">
        <v>239.75</v>
      </c>
      <c r="G2" t="s">
        <v>14</v>
      </c>
    </row>
    <row r="3" spans="1:7" x14ac:dyDescent="0.3">
      <c r="A3">
        <v>229.02500000000001</v>
      </c>
      <c r="B3">
        <v>231.0569825410081</v>
      </c>
      <c r="C3">
        <v>185.02332046257581</v>
      </c>
      <c r="D3">
        <v>234.75260202476659</v>
      </c>
      <c r="E3">
        <v>225.45500000000001</v>
      </c>
      <c r="F3">
        <v>229.15</v>
      </c>
      <c r="G3" t="s">
        <v>15</v>
      </c>
    </row>
    <row r="4" spans="1:7" x14ac:dyDescent="0.3">
      <c r="A4">
        <v>222.33</v>
      </c>
      <c r="B4">
        <v>229.2301136569499</v>
      </c>
      <c r="C4">
        <v>185.38433399878011</v>
      </c>
      <c r="D4">
        <v>233.38327732818519</v>
      </c>
      <c r="E4">
        <v>225.45500000000001</v>
      </c>
      <c r="F4">
        <v>225.45500000000001</v>
      </c>
      <c r="G4" t="s">
        <v>16</v>
      </c>
    </row>
    <row r="5" spans="1:7" x14ac:dyDescent="0.3">
      <c r="A5">
        <v>224.85</v>
      </c>
      <c r="B5">
        <v>226.9750280063235</v>
      </c>
      <c r="C5">
        <v>184.0458899487806</v>
      </c>
      <c r="D5">
        <v>232.24516196133791</v>
      </c>
      <c r="E5">
        <v>214.255</v>
      </c>
      <c r="F5">
        <v>221.46</v>
      </c>
      <c r="G5" t="s">
        <v>17</v>
      </c>
    </row>
    <row r="6" spans="1:7" x14ac:dyDescent="0.3">
      <c r="A6">
        <v>227.125</v>
      </c>
      <c r="B6">
        <v>228.78130089702239</v>
      </c>
      <c r="C6">
        <v>210.4856853780951</v>
      </c>
      <c r="D6">
        <v>229.5934789976184</v>
      </c>
      <c r="E6">
        <v>214.255</v>
      </c>
      <c r="F6">
        <v>221.46</v>
      </c>
      <c r="G6" t="s">
        <v>18</v>
      </c>
    </row>
    <row r="7" spans="1:7" x14ac:dyDescent="0.3">
      <c r="A7">
        <v>228.88</v>
      </c>
      <c r="B7">
        <v>229.2913432276263</v>
      </c>
      <c r="C7">
        <v>218.161287523688</v>
      </c>
      <c r="D7">
        <v>229.2373367052474</v>
      </c>
      <c r="E7">
        <v>214.255</v>
      </c>
      <c r="F7">
        <v>221.46</v>
      </c>
      <c r="G7" t="s">
        <v>19</v>
      </c>
    </row>
    <row r="8" spans="1:7" x14ac:dyDescent="0.3">
      <c r="A8">
        <v>235.65</v>
      </c>
      <c r="B8">
        <v>232.82777780044341</v>
      </c>
      <c r="C8">
        <v>234.98664332707099</v>
      </c>
      <c r="D8">
        <v>231.50930971767721</v>
      </c>
      <c r="E8">
        <v>227.97</v>
      </c>
      <c r="F8">
        <v>230.785</v>
      </c>
      <c r="G8" t="s">
        <v>20</v>
      </c>
    </row>
    <row r="9" spans="1:7" x14ac:dyDescent="0.3">
      <c r="A9">
        <v>238.535</v>
      </c>
      <c r="B9">
        <v>234.14944007778891</v>
      </c>
      <c r="C9">
        <v>237.09962157060741</v>
      </c>
      <c r="D9">
        <v>232.5391723896935</v>
      </c>
      <c r="E9">
        <v>227.97</v>
      </c>
      <c r="F9">
        <v>230.785</v>
      </c>
      <c r="G9" t="s">
        <v>21</v>
      </c>
    </row>
    <row r="10" spans="1:7" x14ac:dyDescent="0.3">
      <c r="A10">
        <v>239.19499999999999</v>
      </c>
      <c r="B10">
        <v>235.7228892632892</v>
      </c>
      <c r="C10">
        <v>239.71911372566291</v>
      </c>
      <c r="D10">
        <v>233.93992841448741</v>
      </c>
      <c r="E10">
        <v>230.745</v>
      </c>
      <c r="F10">
        <v>241.61500000000001</v>
      </c>
      <c r="G10" t="s">
        <v>22</v>
      </c>
    </row>
    <row r="11" spans="1:7" x14ac:dyDescent="0.3">
      <c r="A11">
        <v>240.43</v>
      </c>
      <c r="B11">
        <v>238.52485858261929</v>
      </c>
      <c r="C11">
        <v>244.69445004030121</v>
      </c>
      <c r="D11">
        <v>237.09056766382071</v>
      </c>
      <c r="E11">
        <v>230.745</v>
      </c>
      <c r="F11">
        <v>241.61500000000001</v>
      </c>
      <c r="G11" t="s">
        <v>23</v>
      </c>
    </row>
    <row r="12" spans="1:7" x14ac:dyDescent="0.3">
      <c r="A12">
        <v>235.81</v>
      </c>
      <c r="B12">
        <v>240.34457587553189</v>
      </c>
      <c r="C12">
        <v>246.91379615801461</v>
      </c>
      <c r="D12">
        <v>238.75289480171131</v>
      </c>
      <c r="E12">
        <v>230.745</v>
      </c>
      <c r="F12">
        <v>230.745</v>
      </c>
      <c r="G12" t="s">
        <v>24</v>
      </c>
    </row>
    <row r="13" spans="1:7" x14ac:dyDescent="0.3">
      <c r="A13">
        <v>231.9</v>
      </c>
      <c r="B13">
        <v>237.87976760270649</v>
      </c>
      <c r="C13">
        <v>242.14162330117469</v>
      </c>
      <c r="D13">
        <v>236.17053456188401</v>
      </c>
      <c r="E13">
        <v>237.125</v>
      </c>
      <c r="F13">
        <v>237.125</v>
      </c>
      <c r="G13" t="s">
        <v>25</v>
      </c>
    </row>
    <row r="14" spans="1:7" x14ac:dyDescent="0.3">
      <c r="A14">
        <v>240.12</v>
      </c>
      <c r="B14">
        <v>238.0722099093631</v>
      </c>
      <c r="C14">
        <v>243.0501378143536</v>
      </c>
      <c r="D14">
        <v>236.82662274162519</v>
      </c>
      <c r="E14">
        <v>242.10499999999999</v>
      </c>
      <c r="F14">
        <v>242.10499999999999</v>
      </c>
      <c r="G14" t="s">
        <v>26</v>
      </c>
    </row>
    <row r="15" spans="1:7" x14ac:dyDescent="0.3">
      <c r="A15">
        <v>242.55</v>
      </c>
      <c r="B15">
        <v>240.1392849271061</v>
      </c>
      <c r="C15">
        <v>246.6338380796609</v>
      </c>
      <c r="D15">
        <v>239.24757854033851</v>
      </c>
      <c r="E15">
        <v>249.03</v>
      </c>
      <c r="F15">
        <v>247.28</v>
      </c>
      <c r="G15" t="s">
        <v>27</v>
      </c>
    </row>
    <row r="16" spans="1:7" x14ac:dyDescent="0.3">
      <c r="A16">
        <v>242.08500000000001</v>
      </c>
      <c r="B16">
        <v>239.99612522440569</v>
      </c>
      <c r="C16">
        <v>244.98675513294529</v>
      </c>
      <c r="D16">
        <v>239.01506955246811</v>
      </c>
      <c r="E16">
        <v>241.98</v>
      </c>
      <c r="F16">
        <v>247.28</v>
      </c>
      <c r="G16" t="s">
        <v>28</v>
      </c>
    </row>
    <row r="17" spans="1:7" x14ac:dyDescent="0.3">
      <c r="A17">
        <v>240.67500000000001</v>
      </c>
      <c r="B17">
        <v>239.50514944829621</v>
      </c>
      <c r="C17">
        <v>245.9804029693089</v>
      </c>
      <c r="D17">
        <v>239.28249383135679</v>
      </c>
      <c r="E17">
        <v>241.98</v>
      </c>
      <c r="F17">
        <v>247.28</v>
      </c>
      <c r="G17" t="s">
        <v>29</v>
      </c>
    </row>
    <row r="18" spans="1:7" x14ac:dyDescent="0.3">
      <c r="A18">
        <v>248.07499999999999</v>
      </c>
      <c r="B18">
        <v>245.24244206488569</v>
      </c>
      <c r="C18">
        <v>249.69496614890801</v>
      </c>
      <c r="D18">
        <v>245.53729186288081</v>
      </c>
      <c r="E18">
        <v>254.89</v>
      </c>
      <c r="F18">
        <v>254.89</v>
      </c>
      <c r="G18" t="s">
        <v>30</v>
      </c>
    </row>
    <row r="19" spans="1:7" x14ac:dyDescent="0.3">
      <c r="A19">
        <v>248.23500000000001</v>
      </c>
      <c r="B19">
        <v>249.37713139194301</v>
      </c>
      <c r="C19">
        <v>247.53428952858289</v>
      </c>
      <c r="D19">
        <v>248.9302416129253</v>
      </c>
      <c r="E19">
        <v>254.89</v>
      </c>
      <c r="F19">
        <v>254.89</v>
      </c>
      <c r="G19" t="s">
        <v>31</v>
      </c>
    </row>
    <row r="20" spans="1:7" x14ac:dyDescent="0.3">
      <c r="A20">
        <v>242.83500000000001</v>
      </c>
      <c r="B20">
        <v>247.10629261983871</v>
      </c>
      <c r="C20">
        <v>253.74348255268589</v>
      </c>
      <c r="D20">
        <v>247.47954957199539</v>
      </c>
      <c r="E20">
        <v>254.89</v>
      </c>
      <c r="F20">
        <v>254.89</v>
      </c>
      <c r="G20" t="s">
        <v>32</v>
      </c>
    </row>
    <row r="21" spans="1:7" x14ac:dyDescent="0.3">
      <c r="A21">
        <v>247.83500000000001</v>
      </c>
      <c r="B21">
        <v>246.82095888459961</v>
      </c>
      <c r="C21">
        <v>254.74777781144479</v>
      </c>
      <c r="D21">
        <v>247.4448996661319</v>
      </c>
      <c r="E21">
        <v>254.89</v>
      </c>
      <c r="F21">
        <v>254.89</v>
      </c>
      <c r="G21" t="s">
        <v>33</v>
      </c>
    </row>
    <row r="22" spans="1:7" x14ac:dyDescent="0.3">
      <c r="A22">
        <v>252.72499999999999</v>
      </c>
      <c r="B22">
        <v>247.85167124353151</v>
      </c>
      <c r="C22">
        <v>256.14312514853759</v>
      </c>
      <c r="D22">
        <v>248.45565300587401</v>
      </c>
      <c r="E22">
        <v>254.89</v>
      </c>
      <c r="F22">
        <v>254.89</v>
      </c>
      <c r="G22" t="s">
        <v>34</v>
      </c>
    </row>
    <row r="23" spans="1:7" x14ac:dyDescent="0.3">
      <c r="A23">
        <v>264.63499999999999</v>
      </c>
      <c r="B23">
        <v>251.96219149008249</v>
      </c>
      <c r="C23">
        <v>258.66594307661092</v>
      </c>
      <c r="D23">
        <v>252.03927969793551</v>
      </c>
      <c r="E23">
        <v>254.89</v>
      </c>
      <c r="F23">
        <v>254.89</v>
      </c>
      <c r="G23" t="s">
        <v>35</v>
      </c>
    </row>
    <row r="24" spans="1:7" x14ac:dyDescent="0.3">
      <c r="A24">
        <v>258.37</v>
      </c>
      <c r="B24">
        <v>253.90037878815841</v>
      </c>
      <c r="C24">
        <v>261.1232548162659</v>
      </c>
      <c r="D24">
        <v>254.03044653554039</v>
      </c>
      <c r="E24">
        <v>256.98500000000001</v>
      </c>
      <c r="F24">
        <v>256.98500000000001</v>
      </c>
      <c r="G24" t="s">
        <v>36</v>
      </c>
    </row>
    <row r="25" spans="1:7" x14ac:dyDescent="0.3">
      <c r="A25">
        <v>256.91000000000003</v>
      </c>
      <c r="B25">
        <v>253.88567501589151</v>
      </c>
      <c r="C25">
        <v>261.71820083894471</v>
      </c>
      <c r="D25">
        <v>254.3707374511728</v>
      </c>
      <c r="E25">
        <v>256.98500000000001</v>
      </c>
      <c r="F25">
        <v>256.98500000000001</v>
      </c>
      <c r="G25" t="s">
        <v>37</v>
      </c>
    </row>
    <row r="26" spans="1:7" x14ac:dyDescent="0.3">
      <c r="A26">
        <v>267.60000000000002</v>
      </c>
      <c r="B26">
        <v>255.39687850933589</v>
      </c>
      <c r="C26">
        <v>263.07081047327722</v>
      </c>
      <c r="D26">
        <v>256.01918290353501</v>
      </c>
      <c r="E26">
        <v>259.54500000000002</v>
      </c>
      <c r="F26">
        <v>258.43</v>
      </c>
      <c r="G26" t="s">
        <v>38</v>
      </c>
    </row>
    <row r="27" spans="1:7" x14ac:dyDescent="0.3">
      <c r="A27">
        <v>266.86500000000001</v>
      </c>
      <c r="B27">
        <v>263.36610195657488</v>
      </c>
      <c r="C27">
        <v>267.36742316668528</v>
      </c>
      <c r="D27">
        <v>262.8767513799487</v>
      </c>
      <c r="E27">
        <v>257.82499999999999</v>
      </c>
      <c r="F27">
        <v>261.005</v>
      </c>
      <c r="G27" t="s">
        <v>39</v>
      </c>
    </row>
    <row r="28" spans="1:7" x14ac:dyDescent="0.3">
      <c r="A28">
        <v>263.625</v>
      </c>
      <c r="B28">
        <v>266.14376804016553</v>
      </c>
      <c r="C28">
        <v>271.09438301855272</v>
      </c>
      <c r="D28">
        <v>266.06168017054603</v>
      </c>
      <c r="E28">
        <v>257.82499999999999</v>
      </c>
      <c r="F28">
        <v>261.04500000000002</v>
      </c>
      <c r="G28" t="s">
        <v>40</v>
      </c>
    </row>
    <row r="29" spans="1:7" x14ac:dyDescent="0.3">
      <c r="A29">
        <v>263.10000000000002</v>
      </c>
      <c r="B29">
        <v>261.31377368882858</v>
      </c>
      <c r="C29">
        <v>267.0853944858813</v>
      </c>
      <c r="D29">
        <v>262.50413827595793</v>
      </c>
      <c r="E29">
        <v>258.64499999999998</v>
      </c>
      <c r="F29">
        <v>261.04500000000002</v>
      </c>
      <c r="G29" t="s">
        <v>41</v>
      </c>
    </row>
    <row r="30" spans="1:7" x14ac:dyDescent="0.3">
      <c r="A30">
        <v>271.34500000000003</v>
      </c>
      <c r="B30">
        <v>262.95234015991127</v>
      </c>
      <c r="C30">
        <v>269.66298791163928</v>
      </c>
      <c r="D30">
        <v>264.42045700558361</v>
      </c>
      <c r="E30">
        <v>258.64499999999998</v>
      </c>
      <c r="F30">
        <v>261.67500000000001</v>
      </c>
      <c r="G30" t="s">
        <v>42</v>
      </c>
    </row>
    <row r="31" spans="1:7" x14ac:dyDescent="0.3">
      <c r="A31">
        <v>272.18</v>
      </c>
      <c r="B31">
        <v>268.16428790968803</v>
      </c>
      <c r="C31">
        <v>275.56463308967773</v>
      </c>
      <c r="D31">
        <v>269.57524182992017</v>
      </c>
      <c r="E31">
        <v>258.64499999999998</v>
      </c>
      <c r="F31">
        <v>261.99</v>
      </c>
      <c r="G31" t="s">
        <v>43</v>
      </c>
    </row>
    <row r="32" spans="1:7" x14ac:dyDescent="0.3">
      <c r="A32">
        <v>269.375</v>
      </c>
      <c r="B32">
        <v>266.22604401228068</v>
      </c>
      <c r="C32">
        <v>273.91503128308511</v>
      </c>
      <c r="D32">
        <v>268.06107731567448</v>
      </c>
      <c r="E32">
        <v>258.64499999999998</v>
      </c>
      <c r="F32">
        <v>261.99</v>
      </c>
      <c r="G32" t="s">
        <v>44</v>
      </c>
    </row>
    <row r="33" spans="1:7" x14ac:dyDescent="0.3">
      <c r="A33">
        <v>262.20499999999998</v>
      </c>
      <c r="B33">
        <v>263.64137430655131</v>
      </c>
      <c r="C33">
        <v>269.69088352987802</v>
      </c>
      <c r="D33">
        <v>265.07192452337688</v>
      </c>
      <c r="E33">
        <v>258.64499999999998</v>
      </c>
      <c r="F33">
        <v>261.99</v>
      </c>
      <c r="G33" t="s">
        <v>45</v>
      </c>
    </row>
    <row r="34" spans="1:7" x14ac:dyDescent="0.3">
      <c r="A34">
        <v>258.03500000000003</v>
      </c>
      <c r="B34">
        <v>262.77043325000568</v>
      </c>
      <c r="C34">
        <v>270.48623423636428</v>
      </c>
      <c r="D34">
        <v>264.26179941126378</v>
      </c>
      <c r="E34">
        <v>258.64499999999998</v>
      </c>
      <c r="F34">
        <v>261.99</v>
      </c>
      <c r="G34" t="s">
        <v>46</v>
      </c>
    </row>
    <row r="35" spans="1:7" x14ac:dyDescent="0.3">
      <c r="A35">
        <v>252.75</v>
      </c>
      <c r="B35">
        <v>260.10381701232478</v>
      </c>
      <c r="C35">
        <v>268.44544463444942</v>
      </c>
      <c r="D35">
        <v>261.14264794650472</v>
      </c>
      <c r="E35">
        <v>252.45</v>
      </c>
      <c r="F35">
        <v>252.45</v>
      </c>
      <c r="G35" t="s">
        <v>47</v>
      </c>
    </row>
    <row r="36" spans="1:7" x14ac:dyDescent="0.3">
      <c r="A36">
        <v>251.66499999999999</v>
      </c>
      <c r="B36">
        <v>257.99928808330208</v>
      </c>
      <c r="C36">
        <v>267.00477451073613</v>
      </c>
      <c r="D36">
        <v>258.46412168866181</v>
      </c>
      <c r="E36">
        <v>252.45</v>
      </c>
      <c r="F36">
        <v>252.45</v>
      </c>
      <c r="G36" t="s">
        <v>48</v>
      </c>
    </row>
    <row r="37" spans="1:7" x14ac:dyDescent="0.3">
      <c r="A37">
        <v>254.75</v>
      </c>
      <c r="B37">
        <v>254.94567742825899</v>
      </c>
      <c r="C37">
        <v>259.71575179208247</v>
      </c>
      <c r="D37">
        <v>254.2759381339942</v>
      </c>
      <c r="E37">
        <v>268.60500000000002</v>
      </c>
      <c r="F37">
        <v>251.745</v>
      </c>
      <c r="G37" t="s">
        <v>49</v>
      </c>
    </row>
    <row r="38" spans="1:7" x14ac:dyDescent="0.3">
      <c r="A38">
        <v>249.255</v>
      </c>
      <c r="B38">
        <v>252.16842432496429</v>
      </c>
      <c r="C38">
        <v>255.18289464471869</v>
      </c>
      <c r="D38">
        <v>250.94801346052861</v>
      </c>
      <c r="E38">
        <v>268.60500000000002</v>
      </c>
      <c r="F38">
        <v>251.745</v>
      </c>
      <c r="G38" t="s">
        <v>50</v>
      </c>
    </row>
    <row r="39" spans="1:7" x14ac:dyDescent="0.3">
      <c r="A39">
        <v>250.125</v>
      </c>
      <c r="B39">
        <v>253.41580035323071</v>
      </c>
      <c r="C39">
        <v>262.84131008232538</v>
      </c>
      <c r="D39">
        <v>251.8089638764167</v>
      </c>
      <c r="E39">
        <v>268.60500000000002</v>
      </c>
      <c r="F39">
        <v>254.405</v>
      </c>
      <c r="G39" t="s">
        <v>51</v>
      </c>
    </row>
    <row r="40" spans="1:7" x14ac:dyDescent="0.3">
      <c r="A40">
        <v>249.41499999999999</v>
      </c>
      <c r="B40">
        <v>250.638872084518</v>
      </c>
      <c r="C40">
        <v>256.36245789393979</v>
      </c>
      <c r="D40">
        <v>248.23610296640291</v>
      </c>
      <c r="E40">
        <v>268.60500000000002</v>
      </c>
      <c r="F40">
        <v>267.77999999999997</v>
      </c>
      <c r="G40" t="s">
        <v>52</v>
      </c>
    </row>
    <row r="41" spans="1:7" x14ac:dyDescent="0.3">
      <c r="A41">
        <v>246.31</v>
      </c>
      <c r="B41">
        <v>246.63222096856919</v>
      </c>
      <c r="C41">
        <v>235.3369759984931</v>
      </c>
      <c r="D41">
        <v>244.62050142838839</v>
      </c>
      <c r="E41">
        <v>268.60500000000002</v>
      </c>
      <c r="F41">
        <v>267.77999999999997</v>
      </c>
      <c r="G41" t="s">
        <v>53</v>
      </c>
    </row>
    <row r="42" spans="1:7" x14ac:dyDescent="0.3">
      <c r="A42">
        <v>251.035</v>
      </c>
      <c r="B42">
        <v>244.65864119964019</v>
      </c>
      <c r="C42">
        <v>228.5212691493191</v>
      </c>
      <c r="D42">
        <v>242.9758988785469</v>
      </c>
      <c r="E42">
        <v>268.60500000000002</v>
      </c>
      <c r="F42">
        <v>267.77999999999997</v>
      </c>
      <c r="G42" t="s">
        <v>54</v>
      </c>
    </row>
    <row r="43" spans="1:7" x14ac:dyDescent="0.3">
      <c r="A43">
        <v>255.39</v>
      </c>
      <c r="B43">
        <v>250.0657713798191</v>
      </c>
      <c r="C43">
        <v>258.46943854560789</v>
      </c>
      <c r="D43">
        <v>245.63617533826579</v>
      </c>
      <c r="E43">
        <v>268.60500000000002</v>
      </c>
      <c r="F43">
        <v>267.77999999999997</v>
      </c>
      <c r="G43" t="s">
        <v>55</v>
      </c>
    </row>
    <row r="44" spans="1:7" x14ac:dyDescent="0.3">
      <c r="A44">
        <v>256.89999999999998</v>
      </c>
      <c r="B44">
        <v>250.55770570171109</v>
      </c>
      <c r="C44">
        <v>255.87836556919311</v>
      </c>
      <c r="D44">
        <v>245.3664171655729</v>
      </c>
      <c r="E44">
        <v>268.60500000000002</v>
      </c>
      <c r="F44">
        <v>267.77999999999997</v>
      </c>
      <c r="G44" t="s">
        <v>56</v>
      </c>
    </row>
    <row r="45" spans="1:7" x14ac:dyDescent="0.3">
      <c r="A45">
        <v>254.23</v>
      </c>
      <c r="B45">
        <v>249.07650091895201</v>
      </c>
      <c r="C45">
        <v>243.67290642468831</v>
      </c>
      <c r="D45">
        <v>243.82487838283919</v>
      </c>
      <c r="E45">
        <v>268.60500000000002</v>
      </c>
      <c r="F45">
        <v>267.77999999999997</v>
      </c>
      <c r="G45" t="s">
        <v>57</v>
      </c>
    </row>
    <row r="46" spans="1:7" x14ac:dyDescent="0.3">
      <c r="A46">
        <v>253.77</v>
      </c>
      <c r="B46">
        <v>249.7437923942648</v>
      </c>
      <c r="C46">
        <v>246.52350319609309</v>
      </c>
      <c r="D46">
        <v>243.9621793625324</v>
      </c>
      <c r="E46">
        <v>268.60500000000002</v>
      </c>
      <c r="F46">
        <v>267.77999999999997</v>
      </c>
      <c r="G46" t="s">
        <v>58</v>
      </c>
    </row>
    <row r="47" spans="1:7" x14ac:dyDescent="0.3">
      <c r="A47">
        <v>252.30500000000001</v>
      </c>
      <c r="B47">
        <v>252.5514987598537</v>
      </c>
      <c r="C47">
        <v>258.28101683527461</v>
      </c>
      <c r="D47">
        <v>246.15030263769719</v>
      </c>
      <c r="E47">
        <v>252.42</v>
      </c>
      <c r="F47">
        <v>252.42</v>
      </c>
      <c r="G47" t="s">
        <v>59</v>
      </c>
    </row>
    <row r="48" spans="1:7" x14ac:dyDescent="0.3">
      <c r="A48">
        <v>248.66</v>
      </c>
      <c r="B48">
        <v>251.93309077148189</v>
      </c>
      <c r="C48">
        <v>258.54463242560149</v>
      </c>
      <c r="D48">
        <v>245.57913941506209</v>
      </c>
      <c r="E48">
        <v>252.42</v>
      </c>
      <c r="F48">
        <v>252.42</v>
      </c>
      <c r="G48" t="s">
        <v>60</v>
      </c>
    </row>
    <row r="49" spans="1:7" x14ac:dyDescent="0.3">
      <c r="A49">
        <v>253.95500000000001</v>
      </c>
      <c r="B49">
        <v>251.38431885382479</v>
      </c>
      <c r="C49">
        <v>261.05125563224033</v>
      </c>
      <c r="D49">
        <v>245.15798058681639</v>
      </c>
      <c r="E49">
        <v>252.42</v>
      </c>
      <c r="F49">
        <v>252.42</v>
      </c>
      <c r="G49" t="s">
        <v>61</v>
      </c>
    </row>
    <row r="50" spans="1:7" x14ac:dyDescent="0.3">
      <c r="A50">
        <v>260.51499999999999</v>
      </c>
      <c r="B50">
        <v>256.17285778985138</v>
      </c>
      <c r="C50">
        <v>270.4138510431037</v>
      </c>
      <c r="D50">
        <v>250.43573998897591</v>
      </c>
      <c r="E50">
        <v>262.58999999999997</v>
      </c>
      <c r="F50">
        <v>262.97000000000003</v>
      </c>
      <c r="G50" t="s">
        <v>62</v>
      </c>
    </row>
    <row r="51" spans="1:7" x14ac:dyDescent="0.3">
      <c r="A51">
        <v>265.10500000000002</v>
      </c>
      <c r="B51">
        <v>257.69217396735343</v>
      </c>
      <c r="C51">
        <v>271.14975539086811</v>
      </c>
      <c r="D51">
        <v>251.80905706355259</v>
      </c>
      <c r="E51">
        <v>262.58999999999997</v>
      </c>
      <c r="F51">
        <v>262.97000000000003</v>
      </c>
      <c r="G51" t="s">
        <v>63</v>
      </c>
    </row>
    <row r="52" spans="1:7" x14ac:dyDescent="0.3">
      <c r="A52">
        <v>276.005</v>
      </c>
      <c r="B52">
        <v>263.26380697875601</v>
      </c>
      <c r="C52">
        <v>272.6746391615556</v>
      </c>
      <c r="D52">
        <v>257.38099316027848</v>
      </c>
      <c r="E52">
        <v>262.58999999999997</v>
      </c>
      <c r="F52">
        <v>262.97000000000003</v>
      </c>
      <c r="G52" t="s">
        <v>64</v>
      </c>
    </row>
    <row r="53" spans="1:7" x14ac:dyDescent="0.3">
      <c r="A53">
        <v>279.38</v>
      </c>
      <c r="B53">
        <v>269.0420312862426</v>
      </c>
      <c r="C53">
        <v>273.41379882069992</v>
      </c>
      <c r="D53">
        <v>262.67329614889002</v>
      </c>
      <c r="E53">
        <v>266.64</v>
      </c>
      <c r="F53">
        <v>266.24</v>
      </c>
      <c r="G53" t="s">
        <v>65</v>
      </c>
    </row>
    <row r="54" spans="1:7" x14ac:dyDescent="0.3">
      <c r="A54">
        <v>272.08499999999998</v>
      </c>
      <c r="B54">
        <v>272.92261093136102</v>
      </c>
      <c r="C54">
        <v>274.36477268991268</v>
      </c>
      <c r="D54">
        <v>266.52692829952912</v>
      </c>
      <c r="E54">
        <v>265.08499999999998</v>
      </c>
      <c r="F54">
        <v>264.66500000000002</v>
      </c>
      <c r="G54" t="s">
        <v>66</v>
      </c>
    </row>
    <row r="55" spans="1:7" x14ac:dyDescent="0.3">
      <c r="A55">
        <v>273.55500000000001</v>
      </c>
      <c r="B55">
        <v>273.23937087453322</v>
      </c>
      <c r="C55">
        <v>276.382016385577</v>
      </c>
      <c r="D55">
        <v>267.50549089777752</v>
      </c>
      <c r="E55">
        <v>253.75</v>
      </c>
      <c r="F55">
        <v>258.815</v>
      </c>
      <c r="G55" t="s">
        <v>67</v>
      </c>
    </row>
    <row r="56" spans="1:7" x14ac:dyDescent="0.3">
      <c r="A56">
        <v>272.20999999999998</v>
      </c>
      <c r="B56">
        <v>275.79974618357562</v>
      </c>
      <c r="C56">
        <v>276.71274848238852</v>
      </c>
      <c r="D56">
        <v>270.37886794802421</v>
      </c>
      <c r="E56">
        <v>277.61</v>
      </c>
      <c r="F56">
        <v>277.61</v>
      </c>
      <c r="G56" t="s">
        <v>68</v>
      </c>
    </row>
    <row r="57" spans="1:7" x14ac:dyDescent="0.3">
      <c r="A57">
        <v>277.64499999999998</v>
      </c>
      <c r="B57">
        <v>277.14904029453379</v>
      </c>
      <c r="C57">
        <v>277.9852220741339</v>
      </c>
      <c r="D57">
        <v>272.20851851062741</v>
      </c>
      <c r="E57">
        <v>277.61</v>
      </c>
      <c r="F57">
        <v>277.61</v>
      </c>
      <c r="G57" t="s">
        <v>69</v>
      </c>
    </row>
    <row r="58" spans="1:7" x14ac:dyDescent="0.3">
      <c r="A58">
        <v>280.51</v>
      </c>
      <c r="B58">
        <v>277.34309048813719</v>
      </c>
      <c r="C58">
        <v>278.82356260590092</v>
      </c>
      <c r="D58">
        <v>272.85070892872727</v>
      </c>
      <c r="E58">
        <v>277.87</v>
      </c>
      <c r="F58">
        <v>286.185</v>
      </c>
      <c r="G58" t="s">
        <v>70</v>
      </c>
    </row>
    <row r="59" spans="1:7" x14ac:dyDescent="0.3">
      <c r="A59">
        <v>276.35000000000002</v>
      </c>
      <c r="B59">
        <v>279.55313594231581</v>
      </c>
      <c r="C59">
        <v>279.79731544873857</v>
      </c>
      <c r="D59">
        <v>275.45070470149727</v>
      </c>
      <c r="E59">
        <v>277.87</v>
      </c>
      <c r="F59">
        <v>277.11</v>
      </c>
      <c r="G59" t="s">
        <v>71</v>
      </c>
    </row>
    <row r="60" spans="1:7" x14ac:dyDescent="0.3">
      <c r="A60">
        <v>275.31500000000011</v>
      </c>
      <c r="B60">
        <v>278.66906782843591</v>
      </c>
      <c r="C60">
        <v>279.77589804591003</v>
      </c>
      <c r="D60">
        <v>274.91520181158808</v>
      </c>
      <c r="E60">
        <v>277.87</v>
      </c>
      <c r="F60">
        <v>277.11</v>
      </c>
      <c r="G60" t="s">
        <v>72</v>
      </c>
    </row>
    <row r="61" spans="1:7" x14ac:dyDescent="0.3">
      <c r="A61">
        <v>280.52</v>
      </c>
      <c r="B61">
        <v>279.82751490780362</v>
      </c>
      <c r="C61">
        <v>280.3526753762124</v>
      </c>
      <c r="D61">
        <v>276.44639271137203</v>
      </c>
      <c r="E61">
        <v>277.11</v>
      </c>
      <c r="F61">
        <v>277.11</v>
      </c>
      <c r="G61" t="s">
        <v>73</v>
      </c>
    </row>
    <row r="62" spans="1:7" x14ac:dyDescent="0.3">
      <c r="A62">
        <v>284.10500000000002</v>
      </c>
      <c r="B62">
        <v>284.35501891262612</v>
      </c>
      <c r="C62">
        <v>281.63243721582592</v>
      </c>
      <c r="D62">
        <v>281.33484213023252</v>
      </c>
      <c r="E62">
        <v>281.05500000000001</v>
      </c>
      <c r="F62">
        <v>280.82499999999999</v>
      </c>
      <c r="G62" t="s">
        <v>74</v>
      </c>
    </row>
    <row r="63" spans="1:7" x14ac:dyDescent="0.3">
      <c r="A63">
        <v>288.23500000000001</v>
      </c>
      <c r="B63">
        <v>287.18765080896537</v>
      </c>
      <c r="C63">
        <v>282.40743485273367</v>
      </c>
      <c r="D63">
        <v>284.09656066535649</v>
      </c>
      <c r="E63">
        <v>282.85500000000002</v>
      </c>
      <c r="F63">
        <v>277.31</v>
      </c>
      <c r="G63" t="s">
        <v>75</v>
      </c>
    </row>
    <row r="64" spans="1:7" x14ac:dyDescent="0.3">
      <c r="A64">
        <v>287.17500000000001</v>
      </c>
      <c r="B64">
        <v>287.82823182162127</v>
      </c>
      <c r="C64">
        <v>283.51691840059289</v>
      </c>
      <c r="D64">
        <v>285.02587312215542</v>
      </c>
      <c r="E64">
        <v>282.85500000000002</v>
      </c>
      <c r="F64">
        <v>282.85500000000002</v>
      </c>
      <c r="G64" t="s">
        <v>76</v>
      </c>
    </row>
    <row r="65" spans="1:7" x14ac:dyDescent="0.3">
      <c r="A65">
        <v>287.35000000000002</v>
      </c>
      <c r="B65">
        <v>288.87962099332179</v>
      </c>
      <c r="C65">
        <v>284.30246178565483</v>
      </c>
      <c r="D65">
        <v>286.11099455263007</v>
      </c>
      <c r="E65">
        <v>293.53500000000003</v>
      </c>
      <c r="F65">
        <v>293.53500000000003</v>
      </c>
      <c r="G65" t="s">
        <v>77</v>
      </c>
    </row>
    <row r="66" spans="1:7" x14ac:dyDescent="0.3">
      <c r="A66">
        <v>284.37</v>
      </c>
      <c r="B66">
        <v>288.22625387598453</v>
      </c>
      <c r="C66">
        <v>284.12523128341621</v>
      </c>
      <c r="D66">
        <v>285.23022237303769</v>
      </c>
      <c r="E66">
        <v>291.33999999999997</v>
      </c>
      <c r="F66">
        <v>291.77499999999998</v>
      </c>
      <c r="G66" t="s">
        <v>78</v>
      </c>
    </row>
    <row r="67" spans="1:7" x14ac:dyDescent="0.3">
      <c r="A67">
        <v>291.48500000000001</v>
      </c>
      <c r="B67">
        <v>282.0663152261821</v>
      </c>
      <c r="C67">
        <v>279.5024104027957</v>
      </c>
      <c r="D67">
        <v>276.71580964136359</v>
      </c>
      <c r="E67">
        <v>290.27</v>
      </c>
      <c r="F67">
        <v>290.27</v>
      </c>
      <c r="G67" t="s">
        <v>79</v>
      </c>
    </row>
    <row r="68" spans="1:7" x14ac:dyDescent="0.3">
      <c r="A68">
        <v>289.33</v>
      </c>
      <c r="B68">
        <v>286.66635370370233</v>
      </c>
      <c r="C68">
        <v>282.8186749834781</v>
      </c>
      <c r="D68">
        <v>282.33238531107509</v>
      </c>
      <c r="E68">
        <v>290.27</v>
      </c>
      <c r="F68">
        <v>290.27</v>
      </c>
      <c r="G68" t="s">
        <v>80</v>
      </c>
    </row>
    <row r="69" spans="1:7" x14ac:dyDescent="0.3">
      <c r="A69">
        <v>282.91500000000002</v>
      </c>
      <c r="B69">
        <v>286.57279503278062</v>
      </c>
      <c r="C69">
        <v>282.4785852919685</v>
      </c>
      <c r="D69">
        <v>282.02303698186518</v>
      </c>
      <c r="E69">
        <v>290.27</v>
      </c>
      <c r="F69">
        <v>290.27</v>
      </c>
      <c r="G69" t="s">
        <v>81</v>
      </c>
    </row>
    <row r="70" spans="1:7" x14ac:dyDescent="0.3">
      <c r="A70">
        <v>283.58999999999997</v>
      </c>
      <c r="B70">
        <v>286.93516789746087</v>
      </c>
      <c r="C70">
        <v>282.43895638078533</v>
      </c>
      <c r="D70">
        <v>282.55281519078773</v>
      </c>
      <c r="E70">
        <v>290.27</v>
      </c>
      <c r="F70">
        <v>290.27</v>
      </c>
      <c r="G70" t="s">
        <v>82</v>
      </c>
    </row>
    <row r="71" spans="1:7" x14ac:dyDescent="0.3">
      <c r="A71">
        <v>289.77499999999998</v>
      </c>
      <c r="B71">
        <v>284.63706812211831</v>
      </c>
      <c r="C71">
        <v>280.91022748660811</v>
      </c>
      <c r="D71">
        <v>279.59898430249609</v>
      </c>
      <c r="E71">
        <v>289.03500000000003</v>
      </c>
      <c r="F71">
        <v>289.03500000000003</v>
      </c>
      <c r="G71" t="s">
        <v>83</v>
      </c>
    </row>
    <row r="72" spans="1:7" x14ac:dyDescent="0.3">
      <c r="A72">
        <v>286.17999999999989</v>
      </c>
      <c r="B72">
        <v>286.85703675216268</v>
      </c>
      <c r="C72">
        <v>281.95182872981349</v>
      </c>
      <c r="D72">
        <v>282.25175196016602</v>
      </c>
      <c r="E72">
        <v>286.495</v>
      </c>
      <c r="F72">
        <v>285.09500000000003</v>
      </c>
      <c r="G72" t="s">
        <v>84</v>
      </c>
    </row>
    <row r="73" spans="1:7" x14ac:dyDescent="0.3">
      <c r="A73">
        <v>288.75</v>
      </c>
      <c r="B73">
        <v>287.86210853506992</v>
      </c>
      <c r="C73">
        <v>282.2062180602282</v>
      </c>
      <c r="D73">
        <v>282.98110070134328</v>
      </c>
      <c r="E73">
        <v>286.495</v>
      </c>
      <c r="F73">
        <v>284.85000000000002</v>
      </c>
      <c r="G73" t="s">
        <v>85</v>
      </c>
    </row>
    <row r="74" spans="1:7" x14ac:dyDescent="0.3">
      <c r="A74">
        <v>288.32</v>
      </c>
      <c r="B74">
        <v>292.51534541990588</v>
      </c>
      <c r="C74">
        <v>283.97873794544688</v>
      </c>
      <c r="D74">
        <v>288.51432815789889</v>
      </c>
      <c r="E74">
        <v>286.495</v>
      </c>
      <c r="F74">
        <v>284.85000000000002</v>
      </c>
      <c r="G74" t="s">
        <v>86</v>
      </c>
    </row>
    <row r="75" spans="1:7" x14ac:dyDescent="0.3">
      <c r="A75">
        <v>288.39499999999998</v>
      </c>
      <c r="B75">
        <v>287.74731711035162</v>
      </c>
      <c r="C75">
        <v>281.82983183647588</v>
      </c>
      <c r="D75">
        <v>282.5127546493764</v>
      </c>
      <c r="E75">
        <v>286.495</v>
      </c>
      <c r="F75">
        <v>288.33499999999998</v>
      </c>
      <c r="G75" t="s">
        <v>87</v>
      </c>
    </row>
    <row r="76" spans="1:7" x14ac:dyDescent="0.3">
      <c r="A76">
        <v>286.14499999999998</v>
      </c>
      <c r="B76">
        <v>285.13082911117891</v>
      </c>
      <c r="C76">
        <v>280.54673505093172</v>
      </c>
      <c r="D76">
        <v>279.77388101538253</v>
      </c>
      <c r="E76">
        <v>286.495</v>
      </c>
      <c r="F76">
        <v>288.33499999999998</v>
      </c>
      <c r="G76" t="s">
        <v>88</v>
      </c>
    </row>
    <row r="77" spans="1:7" x14ac:dyDescent="0.3">
      <c r="A77">
        <v>285.77</v>
      </c>
      <c r="B77">
        <v>285.07859489581989</v>
      </c>
      <c r="C77">
        <v>280.57836253847972</v>
      </c>
      <c r="D77">
        <v>279.99032365254311</v>
      </c>
      <c r="E77">
        <v>286.495</v>
      </c>
      <c r="F77">
        <v>288.33499999999998</v>
      </c>
      <c r="G77" t="s">
        <v>89</v>
      </c>
    </row>
    <row r="78" spans="1:7" x14ac:dyDescent="0.3">
      <c r="A78">
        <v>281.81</v>
      </c>
      <c r="B78">
        <v>281.59347347324342</v>
      </c>
      <c r="C78">
        <v>278.76115878352482</v>
      </c>
      <c r="D78">
        <v>276.96266832195278</v>
      </c>
      <c r="E78">
        <v>268.22500000000002</v>
      </c>
      <c r="F78">
        <v>268.22500000000002</v>
      </c>
      <c r="G78" t="s">
        <v>90</v>
      </c>
    </row>
    <row r="79" spans="1:7" x14ac:dyDescent="0.3">
      <c r="A79">
        <v>275.84500000000003</v>
      </c>
      <c r="B79">
        <v>279.27696900740801</v>
      </c>
      <c r="C79">
        <v>277.55447108085991</v>
      </c>
      <c r="D79">
        <v>275.25561688102982</v>
      </c>
      <c r="E79">
        <v>268.22500000000002</v>
      </c>
      <c r="F79">
        <v>268.22500000000002</v>
      </c>
      <c r="G79" t="s">
        <v>91</v>
      </c>
    </row>
    <row r="80" spans="1:7" x14ac:dyDescent="0.3">
      <c r="A80">
        <v>295.375</v>
      </c>
      <c r="B80">
        <v>289.23276435732078</v>
      </c>
      <c r="C80">
        <v>281.66595315991498</v>
      </c>
      <c r="D80">
        <v>284.1245643969516</v>
      </c>
      <c r="E80">
        <v>289.42500000000001</v>
      </c>
      <c r="F80">
        <v>288.33499999999998</v>
      </c>
      <c r="G80" t="s">
        <v>92</v>
      </c>
    </row>
    <row r="81" spans="1:7" x14ac:dyDescent="0.3">
      <c r="A81">
        <v>304.62</v>
      </c>
      <c r="B81">
        <v>292.33023980751813</v>
      </c>
      <c r="C81">
        <v>282.41380435411412</v>
      </c>
      <c r="D81">
        <v>286.64836117067739</v>
      </c>
      <c r="E81">
        <v>290.91000000000003</v>
      </c>
      <c r="F81">
        <v>290.91000000000003</v>
      </c>
      <c r="G81" t="s">
        <v>93</v>
      </c>
    </row>
    <row r="82" spans="1:7" x14ac:dyDescent="0.3">
      <c r="A82">
        <v>307.31</v>
      </c>
      <c r="B82">
        <v>295.48926920576088</v>
      </c>
      <c r="C82">
        <v>283.48520833809772</v>
      </c>
      <c r="D82">
        <v>288.94777331021021</v>
      </c>
      <c r="E82">
        <v>290.91000000000003</v>
      </c>
      <c r="F82">
        <v>290.91000000000003</v>
      </c>
      <c r="G82" t="s">
        <v>94</v>
      </c>
    </row>
    <row r="83" spans="1:7" x14ac:dyDescent="0.3">
      <c r="A83">
        <v>305.52</v>
      </c>
      <c r="B83">
        <v>300.56631741588347</v>
      </c>
      <c r="C83">
        <v>286.02085395705672</v>
      </c>
      <c r="D83">
        <v>293.99502958572248</v>
      </c>
      <c r="E83">
        <v>301.91000000000003</v>
      </c>
      <c r="F83">
        <v>302.01499999999999</v>
      </c>
      <c r="G83" t="s">
        <v>95</v>
      </c>
    </row>
    <row r="84" spans="1:7" x14ac:dyDescent="0.3">
      <c r="A84">
        <v>305.48500000000001</v>
      </c>
      <c r="B84">
        <v>303.74944071492962</v>
      </c>
      <c r="C84">
        <v>288.25214085845943</v>
      </c>
      <c r="D84">
        <v>297.21229460682417</v>
      </c>
      <c r="E84">
        <v>301.91000000000003</v>
      </c>
      <c r="F84">
        <v>302.01499999999999</v>
      </c>
      <c r="G84" t="s">
        <v>96</v>
      </c>
    </row>
    <row r="85" spans="1:7" x14ac:dyDescent="0.3">
      <c r="A85">
        <v>304.33</v>
      </c>
      <c r="B85">
        <v>305.61469978942978</v>
      </c>
      <c r="C85">
        <v>289.70619529413131</v>
      </c>
      <c r="D85">
        <v>299.18382302702008</v>
      </c>
      <c r="E85">
        <v>302.01499999999999</v>
      </c>
      <c r="F85">
        <v>302.01499999999999</v>
      </c>
      <c r="G85" t="s">
        <v>97</v>
      </c>
    </row>
    <row r="86" spans="1:7" x14ac:dyDescent="0.3">
      <c r="A86">
        <v>305.55500000000001</v>
      </c>
      <c r="B86">
        <v>305.90722815409629</v>
      </c>
      <c r="C86">
        <v>289.81715626027562</v>
      </c>
      <c r="D86">
        <v>299.25289014001493</v>
      </c>
      <c r="E86">
        <v>301.91000000000003</v>
      </c>
      <c r="F86">
        <v>301.91000000000003</v>
      </c>
      <c r="G86" t="s">
        <v>98</v>
      </c>
    </row>
    <row r="87" spans="1:7" x14ac:dyDescent="0.3">
      <c r="A87">
        <v>310.64999999999998</v>
      </c>
      <c r="B87">
        <v>305.55537221213649</v>
      </c>
      <c r="C87">
        <v>289.64692450002849</v>
      </c>
      <c r="D87">
        <v>298.66885276264111</v>
      </c>
      <c r="E87">
        <v>301.23</v>
      </c>
      <c r="F87">
        <v>301.91000000000003</v>
      </c>
      <c r="G87" t="s">
        <v>99</v>
      </c>
    </row>
    <row r="88" spans="1:7" x14ac:dyDescent="0.3">
      <c r="A88">
        <v>308.60000000000002</v>
      </c>
      <c r="B88">
        <v>307.84130431299042</v>
      </c>
      <c r="C88">
        <v>291.50056705932877</v>
      </c>
      <c r="D88">
        <v>301.43512568441218</v>
      </c>
      <c r="E88">
        <v>301.91000000000003</v>
      </c>
      <c r="F88">
        <v>301.91000000000003</v>
      </c>
      <c r="G88" t="s">
        <v>100</v>
      </c>
    </row>
    <row r="89" spans="1:7" x14ac:dyDescent="0.3">
      <c r="A89">
        <v>306.98500000000001</v>
      </c>
      <c r="B89">
        <v>310.5496812940662</v>
      </c>
      <c r="C89">
        <v>294.21008535566449</v>
      </c>
      <c r="D89">
        <v>305.3679300342219</v>
      </c>
      <c r="E89">
        <v>302.01499999999999</v>
      </c>
      <c r="F89">
        <v>301.23</v>
      </c>
      <c r="G89" t="s">
        <v>101</v>
      </c>
    </row>
    <row r="90" spans="1:7" x14ac:dyDescent="0.3">
      <c r="A90">
        <v>312.25</v>
      </c>
      <c r="B90">
        <v>312.00302129195592</v>
      </c>
      <c r="C90">
        <v>295.95892168518799</v>
      </c>
      <c r="D90">
        <v>307.45070067447728</v>
      </c>
      <c r="E90">
        <v>310.70999999999998</v>
      </c>
      <c r="F90">
        <v>304.7</v>
      </c>
      <c r="G90" t="s">
        <v>102</v>
      </c>
    </row>
    <row r="91" spans="1:7" x14ac:dyDescent="0.3">
      <c r="A91">
        <v>310.01</v>
      </c>
      <c r="B91">
        <v>313.38406821212499</v>
      </c>
      <c r="C91">
        <v>297.81070220774097</v>
      </c>
      <c r="D91">
        <v>309.21644186113099</v>
      </c>
      <c r="E91">
        <v>310.70999999999998</v>
      </c>
      <c r="F91">
        <v>304.7</v>
      </c>
      <c r="G91" t="s">
        <v>103</v>
      </c>
    </row>
    <row r="92" spans="1:7" x14ac:dyDescent="0.3">
      <c r="A92">
        <v>308.99</v>
      </c>
      <c r="B92">
        <v>316.12255582115131</v>
      </c>
      <c r="C92">
        <v>303.50591225905788</v>
      </c>
      <c r="D92">
        <v>312.3251498224119</v>
      </c>
      <c r="E92">
        <v>315.42849999999999</v>
      </c>
      <c r="F92">
        <v>302.69499999999999</v>
      </c>
      <c r="G92" t="s">
        <v>104</v>
      </c>
    </row>
    <row r="93" spans="1:7" x14ac:dyDescent="0.3">
      <c r="A93">
        <v>309.5</v>
      </c>
      <c r="B93">
        <v>317.78056567966752</v>
      </c>
      <c r="C93">
        <v>308.02753180391022</v>
      </c>
      <c r="D93">
        <v>313.80129303159782</v>
      </c>
      <c r="E93">
        <v>315.42849999999999</v>
      </c>
      <c r="F93">
        <v>302.69499999999999</v>
      </c>
      <c r="G93" t="s">
        <v>105</v>
      </c>
    </row>
    <row r="94" spans="1:7" x14ac:dyDescent="0.3">
      <c r="A94">
        <v>311.75</v>
      </c>
      <c r="B94">
        <v>315.12150490212758</v>
      </c>
      <c r="C94">
        <v>299.02667661151389</v>
      </c>
      <c r="D94">
        <v>311.14773743510602</v>
      </c>
      <c r="E94">
        <v>299.875</v>
      </c>
      <c r="F94">
        <v>299.875</v>
      </c>
      <c r="G94" t="s">
        <v>106</v>
      </c>
    </row>
    <row r="95" spans="1:7" x14ac:dyDescent="0.3">
      <c r="A95">
        <v>314.07499999999999</v>
      </c>
      <c r="B95">
        <v>317.36763520418327</v>
      </c>
      <c r="C95">
        <v>303.00294291799429</v>
      </c>
      <c r="D95">
        <v>313.28546816661111</v>
      </c>
      <c r="E95">
        <v>310.70999999999998</v>
      </c>
      <c r="F95">
        <v>302.69499999999999</v>
      </c>
      <c r="G95" t="s">
        <v>107</v>
      </c>
    </row>
    <row r="96" spans="1:7" x14ac:dyDescent="0.3">
      <c r="A96">
        <v>318.54000000000002</v>
      </c>
      <c r="B96">
        <v>316.89874028384861</v>
      </c>
      <c r="C96">
        <v>299.99893915260782</v>
      </c>
      <c r="D96">
        <v>312.41639780203838</v>
      </c>
      <c r="E96">
        <v>299.875</v>
      </c>
      <c r="F96">
        <v>299.875</v>
      </c>
      <c r="G96" t="s">
        <v>108</v>
      </c>
    </row>
    <row r="97" spans="1:7" x14ac:dyDescent="0.3">
      <c r="A97">
        <v>318.32499999999999</v>
      </c>
      <c r="B97">
        <v>318.22021529550659</v>
      </c>
      <c r="C97">
        <v>301.2247214880245</v>
      </c>
      <c r="D97">
        <v>313.47305108931221</v>
      </c>
      <c r="E97">
        <v>301.09500000000003</v>
      </c>
      <c r="F97">
        <v>301.09500000000003</v>
      </c>
      <c r="G97" t="s">
        <v>109</v>
      </c>
    </row>
    <row r="98" spans="1:7" x14ac:dyDescent="0.3">
      <c r="A98">
        <v>321.22500000000002</v>
      </c>
      <c r="B98">
        <v>319.71034121111637</v>
      </c>
      <c r="C98">
        <v>303.0874709138202</v>
      </c>
      <c r="D98">
        <v>314.75318914641838</v>
      </c>
      <c r="E98">
        <v>301.09500000000003</v>
      </c>
      <c r="F98">
        <v>301.09500000000003</v>
      </c>
      <c r="G98" t="s">
        <v>110</v>
      </c>
    </row>
    <row r="99" spans="1:7" x14ac:dyDescent="0.3">
      <c r="A99">
        <v>315.33499999999998</v>
      </c>
      <c r="B99">
        <v>323.14401174834251</v>
      </c>
      <c r="C99">
        <v>310.36589511536079</v>
      </c>
      <c r="D99">
        <v>318.07608016879482</v>
      </c>
      <c r="E99">
        <v>331.59500000000003</v>
      </c>
      <c r="F99">
        <v>331.59500000000003</v>
      </c>
      <c r="G99" t="s">
        <v>111</v>
      </c>
    </row>
    <row r="100" spans="1:7" x14ac:dyDescent="0.3">
      <c r="A100">
        <v>313.86</v>
      </c>
      <c r="B100">
        <v>318.11018427246393</v>
      </c>
      <c r="C100">
        <v>300.79507551287747</v>
      </c>
      <c r="D100">
        <v>313.31346365817689</v>
      </c>
      <c r="E100">
        <v>301.09500000000003</v>
      </c>
      <c r="F100">
        <v>301.09500000000003</v>
      </c>
      <c r="G100" t="s">
        <v>112</v>
      </c>
    </row>
    <row r="101" spans="1:7" x14ac:dyDescent="0.3">
      <c r="A101">
        <v>325.995</v>
      </c>
      <c r="B101">
        <v>323.73127711089921</v>
      </c>
      <c r="C101">
        <v>309.66094100397612</v>
      </c>
      <c r="D101">
        <v>318.9223302888808</v>
      </c>
      <c r="E101">
        <v>332.51</v>
      </c>
      <c r="F101">
        <v>332.51</v>
      </c>
      <c r="G101" t="s">
        <v>113</v>
      </c>
    </row>
    <row r="102" spans="1:7" x14ac:dyDescent="0.3">
      <c r="A102">
        <v>332.82499999999999</v>
      </c>
      <c r="B102">
        <v>323.98027449109111</v>
      </c>
      <c r="C102">
        <v>309.16356523819331</v>
      </c>
      <c r="D102">
        <v>319.09496230192809</v>
      </c>
      <c r="E102">
        <v>332.51</v>
      </c>
      <c r="F102">
        <v>339.21499999999997</v>
      </c>
      <c r="G102" t="s">
        <v>114</v>
      </c>
    </row>
    <row r="103" spans="1:7" x14ac:dyDescent="0.3">
      <c r="A103">
        <v>331.26</v>
      </c>
      <c r="B103">
        <v>331.43317093053008</v>
      </c>
      <c r="C103">
        <v>329.69705138454168</v>
      </c>
      <c r="D103">
        <v>324.20252509860302</v>
      </c>
      <c r="E103">
        <v>337.005</v>
      </c>
      <c r="F103">
        <v>333.95499999999998</v>
      </c>
      <c r="G103" t="s">
        <v>115</v>
      </c>
    </row>
    <row r="104" spans="1:7" x14ac:dyDescent="0.3">
      <c r="A104">
        <v>328.755</v>
      </c>
      <c r="B104">
        <v>330.84770405983119</v>
      </c>
      <c r="C104">
        <v>323.83400578563078</v>
      </c>
      <c r="D104">
        <v>323.99246349651048</v>
      </c>
      <c r="E104">
        <v>337.005</v>
      </c>
      <c r="F104">
        <v>336.79</v>
      </c>
      <c r="G104" t="s">
        <v>116</v>
      </c>
    </row>
    <row r="105" spans="1:7" x14ac:dyDescent="0.3">
      <c r="A105">
        <v>332.65</v>
      </c>
      <c r="B105">
        <v>327.53937398750418</v>
      </c>
      <c r="C105">
        <v>317.40186984610779</v>
      </c>
      <c r="D105">
        <v>321.48981028423509</v>
      </c>
      <c r="E105">
        <v>332.51</v>
      </c>
      <c r="F105">
        <v>339.23</v>
      </c>
      <c r="G105" t="s">
        <v>117</v>
      </c>
    </row>
    <row r="106" spans="1:7" x14ac:dyDescent="0.3">
      <c r="A106">
        <v>335.41</v>
      </c>
      <c r="B106">
        <v>331.04165854714188</v>
      </c>
      <c r="C106">
        <v>324.23394254363689</v>
      </c>
      <c r="D106">
        <v>324.35920344262689</v>
      </c>
      <c r="E106">
        <v>332.51</v>
      </c>
      <c r="F106">
        <v>339.23</v>
      </c>
      <c r="G106" t="s">
        <v>118</v>
      </c>
    </row>
    <row r="107" spans="1:7" x14ac:dyDescent="0.3">
      <c r="A107">
        <v>335.98</v>
      </c>
      <c r="B107">
        <v>333.38463718429591</v>
      </c>
      <c r="C107">
        <v>330.26895872937939</v>
      </c>
      <c r="D107">
        <v>325.92424861883069</v>
      </c>
      <c r="E107">
        <v>332.51</v>
      </c>
      <c r="F107">
        <v>339.23</v>
      </c>
      <c r="G107" t="s">
        <v>119</v>
      </c>
    </row>
    <row r="108" spans="1:7" x14ac:dyDescent="0.3">
      <c r="A108">
        <v>333.64499999999998</v>
      </c>
      <c r="B108">
        <v>334.56329153287959</v>
      </c>
      <c r="C108">
        <v>333.70244146533332</v>
      </c>
      <c r="D108">
        <v>326.67719471511379</v>
      </c>
      <c r="E108">
        <v>332.51</v>
      </c>
      <c r="F108">
        <v>339.23</v>
      </c>
      <c r="G108" t="s">
        <v>120</v>
      </c>
    </row>
    <row r="109" spans="1:7" x14ac:dyDescent="0.3">
      <c r="A109">
        <v>323.44</v>
      </c>
      <c r="B109">
        <v>332.86625043057518</v>
      </c>
      <c r="C109">
        <v>330.96258102117417</v>
      </c>
      <c r="D109">
        <v>326.07083744621139</v>
      </c>
      <c r="E109">
        <v>332.51</v>
      </c>
      <c r="F109">
        <v>339.23</v>
      </c>
      <c r="G109" t="s">
        <v>121</v>
      </c>
    </row>
    <row r="110" spans="1:7" x14ac:dyDescent="0.3">
      <c r="A110">
        <v>325.22000000000003</v>
      </c>
      <c r="B110">
        <v>328.48227140423961</v>
      </c>
      <c r="C110">
        <v>327.77098464626812</v>
      </c>
      <c r="D110">
        <v>324.13439887736411</v>
      </c>
      <c r="E110">
        <v>332.51</v>
      </c>
      <c r="F110">
        <v>339.21499999999997</v>
      </c>
      <c r="G110" t="s">
        <v>122</v>
      </c>
    </row>
    <row r="111" spans="1:7" x14ac:dyDescent="0.3">
      <c r="A111">
        <v>326.86</v>
      </c>
      <c r="B111">
        <v>327.58327703204702</v>
      </c>
      <c r="C111">
        <v>326.0267224883832</v>
      </c>
      <c r="D111">
        <v>325.19155687703528</v>
      </c>
      <c r="E111">
        <v>332.51</v>
      </c>
      <c r="F111">
        <v>339.21499999999997</v>
      </c>
      <c r="G111" t="s">
        <v>123</v>
      </c>
    </row>
    <row r="112" spans="1:7" x14ac:dyDescent="0.3">
      <c r="A112">
        <v>331.90499999999997</v>
      </c>
      <c r="B112">
        <v>328.5128881510438</v>
      </c>
      <c r="C112">
        <v>325.86080140054821</v>
      </c>
      <c r="D112">
        <v>326.81364192603093</v>
      </c>
      <c r="E112">
        <v>339.52499999999998</v>
      </c>
      <c r="F112">
        <v>339.21499999999997</v>
      </c>
      <c r="G112" t="s">
        <v>124</v>
      </c>
    </row>
    <row r="113" spans="1:7" x14ac:dyDescent="0.3">
      <c r="A113">
        <v>334.32</v>
      </c>
      <c r="B113">
        <v>330.83195776984712</v>
      </c>
      <c r="C113">
        <v>328.71950213693458</v>
      </c>
      <c r="D113">
        <v>328.420520184895</v>
      </c>
      <c r="E113">
        <v>339.52499999999998</v>
      </c>
      <c r="F113">
        <v>339.21499999999997</v>
      </c>
      <c r="G113" t="s">
        <v>125</v>
      </c>
    </row>
    <row r="114" spans="1:7" x14ac:dyDescent="0.3">
      <c r="A114">
        <v>337.3</v>
      </c>
      <c r="B114">
        <v>333.98485240853842</v>
      </c>
      <c r="C114">
        <v>333.80615499342377</v>
      </c>
      <c r="D114">
        <v>330.45054719841733</v>
      </c>
      <c r="E114">
        <v>339.52499999999998</v>
      </c>
      <c r="F114">
        <v>339.21499999999997</v>
      </c>
      <c r="G114" t="s">
        <v>126</v>
      </c>
    </row>
    <row r="115" spans="1:7" x14ac:dyDescent="0.3">
      <c r="A115">
        <v>348.14499999999998</v>
      </c>
      <c r="B115">
        <v>334.20941149534139</v>
      </c>
      <c r="C115">
        <v>335.12210966739582</v>
      </c>
      <c r="D115">
        <v>330.29000932392529</v>
      </c>
      <c r="E115">
        <v>339.52499999999998</v>
      </c>
      <c r="F115">
        <v>339.21499999999997</v>
      </c>
      <c r="G115" t="s">
        <v>127</v>
      </c>
    </row>
    <row r="116" spans="1:7" x14ac:dyDescent="0.3">
      <c r="A116">
        <v>342.505</v>
      </c>
      <c r="B116">
        <v>340.61874815039221</v>
      </c>
      <c r="C116">
        <v>349.71659764073928</v>
      </c>
      <c r="D116">
        <v>331.61461978675533</v>
      </c>
      <c r="E116">
        <v>339.21499999999997</v>
      </c>
      <c r="F116">
        <v>339.21499999999997</v>
      </c>
      <c r="G116" t="s">
        <v>128</v>
      </c>
    </row>
    <row r="117" spans="1:7" x14ac:dyDescent="0.3">
      <c r="A117">
        <v>338.125</v>
      </c>
      <c r="B117">
        <v>335.2370883803585</v>
      </c>
      <c r="C117">
        <v>349.67168081755472</v>
      </c>
      <c r="D117">
        <v>327.20161462325638</v>
      </c>
      <c r="E117">
        <v>339.21499999999997</v>
      </c>
      <c r="F117">
        <v>339.21499999999997</v>
      </c>
      <c r="G117" t="s">
        <v>129</v>
      </c>
    </row>
    <row r="118" spans="1:7" x14ac:dyDescent="0.3">
      <c r="A118">
        <v>333.51499999999999</v>
      </c>
      <c r="B118">
        <v>335.48532889257689</v>
      </c>
      <c r="C118">
        <v>349.60717881560021</v>
      </c>
      <c r="D118">
        <v>328.49613618651949</v>
      </c>
      <c r="E118">
        <v>339.21499999999997</v>
      </c>
      <c r="F118">
        <v>339.21499999999997</v>
      </c>
      <c r="G118" t="s">
        <v>130</v>
      </c>
    </row>
    <row r="119" spans="1:7" x14ac:dyDescent="0.3">
      <c r="A119">
        <v>339.6</v>
      </c>
      <c r="B119">
        <v>336.4421930494953</v>
      </c>
      <c r="C119">
        <v>347.19364276093251</v>
      </c>
      <c r="D119">
        <v>331.02832959754312</v>
      </c>
      <c r="E119">
        <v>339.21499999999997</v>
      </c>
      <c r="F119">
        <v>339.21499999999997</v>
      </c>
      <c r="G119" t="s">
        <v>131</v>
      </c>
    </row>
    <row r="120" spans="1:7" x14ac:dyDescent="0.3">
      <c r="A120">
        <v>335.04500000000002</v>
      </c>
      <c r="B120">
        <v>334.34037964241139</v>
      </c>
      <c r="C120">
        <v>349.52550658827539</v>
      </c>
      <c r="D120">
        <v>329.8071203086505</v>
      </c>
      <c r="E120">
        <v>326.44</v>
      </c>
      <c r="F120">
        <v>326.44</v>
      </c>
      <c r="G120" t="s">
        <v>132</v>
      </c>
    </row>
    <row r="121" spans="1:7" x14ac:dyDescent="0.3">
      <c r="A121">
        <v>328.8</v>
      </c>
      <c r="B121">
        <v>333.70781694761109</v>
      </c>
      <c r="C121">
        <v>349.66134910963632</v>
      </c>
      <c r="D121">
        <v>330.16710678628152</v>
      </c>
      <c r="E121">
        <v>326.44</v>
      </c>
      <c r="F121">
        <v>326.44</v>
      </c>
      <c r="G121" t="s">
        <v>133</v>
      </c>
    </row>
    <row r="122" spans="1:7" x14ac:dyDescent="0.3">
      <c r="A122">
        <v>334.61</v>
      </c>
      <c r="B122">
        <v>332.78544033305258</v>
      </c>
      <c r="C122">
        <v>349.25000659772252</v>
      </c>
      <c r="D122">
        <v>330.34613518906588</v>
      </c>
      <c r="E122">
        <v>326.44</v>
      </c>
      <c r="F122">
        <v>326.44</v>
      </c>
      <c r="G122" t="s">
        <v>134</v>
      </c>
    </row>
    <row r="123" spans="1:7" x14ac:dyDescent="0.3">
      <c r="A123">
        <v>335.9</v>
      </c>
      <c r="B123">
        <v>334.8263998304505</v>
      </c>
      <c r="C123">
        <v>346.58818570081303</v>
      </c>
      <c r="D123">
        <v>333.01412542861749</v>
      </c>
      <c r="E123">
        <v>337.86</v>
      </c>
      <c r="F123">
        <v>337.86</v>
      </c>
      <c r="G123" t="s">
        <v>135</v>
      </c>
    </row>
    <row r="124" spans="1:7" x14ac:dyDescent="0.3">
      <c r="A124">
        <v>335.05</v>
      </c>
      <c r="B124">
        <v>338.03927058901468</v>
      </c>
      <c r="C124">
        <v>350.08759243772619</v>
      </c>
      <c r="D124">
        <v>335.05971354603662</v>
      </c>
      <c r="E124">
        <v>337.86</v>
      </c>
      <c r="F124">
        <v>338.05</v>
      </c>
      <c r="G124" t="s">
        <v>136</v>
      </c>
    </row>
    <row r="125" spans="1:7" x14ac:dyDescent="0.3">
      <c r="A125">
        <v>340.24</v>
      </c>
      <c r="B125">
        <v>339.39610930258891</v>
      </c>
      <c r="C125">
        <v>353.84741116463829</v>
      </c>
      <c r="D125">
        <v>335.34866348171442</v>
      </c>
      <c r="E125">
        <v>337.86</v>
      </c>
      <c r="F125">
        <v>338.05</v>
      </c>
      <c r="G125" t="s">
        <v>137</v>
      </c>
    </row>
    <row r="126" spans="1:7" x14ac:dyDescent="0.3">
      <c r="A126">
        <v>338.31</v>
      </c>
      <c r="B126">
        <v>339.65185361493673</v>
      </c>
      <c r="C126">
        <v>354.47265158709308</v>
      </c>
      <c r="D126">
        <v>335.35359844560361</v>
      </c>
      <c r="E126">
        <v>336.26</v>
      </c>
      <c r="F126">
        <v>336.26</v>
      </c>
      <c r="G126" t="s">
        <v>138</v>
      </c>
    </row>
    <row r="127" spans="1:7" x14ac:dyDescent="0.3">
      <c r="A127">
        <v>338.2</v>
      </c>
      <c r="B127">
        <v>336.14966967996918</v>
      </c>
      <c r="C127">
        <v>351.10438838846341</v>
      </c>
      <c r="D127">
        <v>333.60673054134583</v>
      </c>
      <c r="E127">
        <v>326.44</v>
      </c>
      <c r="F127">
        <v>326.44</v>
      </c>
      <c r="G127" t="s">
        <v>139</v>
      </c>
    </row>
    <row r="128" spans="1:7" x14ac:dyDescent="0.3">
      <c r="A128">
        <v>341.26499999999999</v>
      </c>
      <c r="B128">
        <v>337.52469707549591</v>
      </c>
      <c r="C128">
        <v>352.14268664933849</v>
      </c>
      <c r="D128">
        <v>334.46957673510713</v>
      </c>
      <c r="E128">
        <v>336.26</v>
      </c>
      <c r="F128">
        <v>336.26</v>
      </c>
      <c r="G128" t="s">
        <v>140</v>
      </c>
    </row>
    <row r="129" spans="1:7" x14ac:dyDescent="0.3">
      <c r="A129">
        <v>337.18</v>
      </c>
      <c r="B129">
        <v>338.2494831674652</v>
      </c>
      <c r="C129">
        <v>354.19550904036498</v>
      </c>
      <c r="D129">
        <v>334.44591399528292</v>
      </c>
      <c r="E129">
        <v>336.26</v>
      </c>
      <c r="F129">
        <v>336.26</v>
      </c>
      <c r="G129" t="s">
        <v>141</v>
      </c>
    </row>
    <row r="130" spans="1:7" x14ac:dyDescent="0.3">
      <c r="A130">
        <v>331.85500000000002</v>
      </c>
      <c r="B130">
        <v>329.62229840607648</v>
      </c>
      <c r="C130">
        <v>378.70427110375778</v>
      </c>
      <c r="D130">
        <v>321.36808862470423</v>
      </c>
      <c r="E130">
        <v>326.44</v>
      </c>
      <c r="F130">
        <v>326.44</v>
      </c>
      <c r="G130" t="s">
        <v>142</v>
      </c>
    </row>
    <row r="131" spans="1:7" x14ac:dyDescent="0.3">
      <c r="A131">
        <v>332.435</v>
      </c>
      <c r="B131">
        <v>331.57991885023227</v>
      </c>
      <c r="C131">
        <v>360.54715312802358</v>
      </c>
      <c r="D131">
        <v>327.48492863443289</v>
      </c>
      <c r="E131">
        <v>326.44</v>
      </c>
      <c r="F131">
        <v>326.44</v>
      </c>
      <c r="G131" t="s">
        <v>143</v>
      </c>
    </row>
    <row r="132" spans="1:7" x14ac:dyDescent="0.3">
      <c r="A132">
        <v>337.42500000000001</v>
      </c>
      <c r="B132">
        <v>336.63107589512452</v>
      </c>
      <c r="C132">
        <v>352.5075730613155</v>
      </c>
      <c r="D132">
        <v>334.08974206595587</v>
      </c>
      <c r="E132">
        <v>326.44</v>
      </c>
      <c r="F132">
        <v>326.44</v>
      </c>
      <c r="G132" t="s">
        <v>144</v>
      </c>
    </row>
    <row r="133" spans="1:7" x14ac:dyDescent="0.3">
      <c r="A133">
        <v>342.685</v>
      </c>
      <c r="B133">
        <v>339.93238921667779</v>
      </c>
      <c r="C133">
        <v>358.60108317475152</v>
      </c>
      <c r="D133">
        <v>335.44261856743032</v>
      </c>
      <c r="E133">
        <v>336.26</v>
      </c>
      <c r="F133">
        <v>336.26</v>
      </c>
      <c r="G133" t="s">
        <v>145</v>
      </c>
    </row>
    <row r="134" spans="1:7" x14ac:dyDescent="0.3">
      <c r="A134">
        <v>345.35500000000002</v>
      </c>
      <c r="B134">
        <v>344.49970667156089</v>
      </c>
      <c r="C134">
        <v>373.222564697113</v>
      </c>
      <c r="D134">
        <v>335.72213709155233</v>
      </c>
      <c r="E134">
        <v>336.26</v>
      </c>
      <c r="F134">
        <v>336.26</v>
      </c>
      <c r="G134" t="s">
        <v>146</v>
      </c>
    </row>
    <row r="135" spans="1:7" x14ac:dyDescent="0.3">
      <c r="A135">
        <v>345.68</v>
      </c>
      <c r="B135">
        <v>345.03510515278941</v>
      </c>
      <c r="C135">
        <v>373.61872625637977</v>
      </c>
      <c r="D135">
        <v>335.96907219648062</v>
      </c>
      <c r="E135">
        <v>336.26</v>
      </c>
      <c r="F135">
        <v>336.26</v>
      </c>
      <c r="G135" t="s">
        <v>147</v>
      </c>
    </row>
    <row r="136" spans="1:7" x14ac:dyDescent="0.3">
      <c r="A136">
        <v>359.685</v>
      </c>
      <c r="B136">
        <v>346.94743995230311</v>
      </c>
      <c r="C136">
        <v>381.76185389883352</v>
      </c>
      <c r="D136">
        <v>335.74737170399737</v>
      </c>
      <c r="E136">
        <v>336.26</v>
      </c>
      <c r="F136">
        <v>336.26</v>
      </c>
      <c r="G136" t="s">
        <v>148</v>
      </c>
    </row>
    <row r="137" spans="1:7" x14ac:dyDescent="0.3">
      <c r="A137">
        <v>355.06</v>
      </c>
      <c r="B137">
        <v>353.3623842672655</v>
      </c>
      <c r="C137">
        <v>409.91532499630591</v>
      </c>
      <c r="D137">
        <v>333.591595553714</v>
      </c>
      <c r="E137">
        <v>336.26</v>
      </c>
      <c r="F137">
        <v>332.51</v>
      </c>
      <c r="G137" t="s">
        <v>149</v>
      </c>
    </row>
    <row r="138" spans="1:7" x14ac:dyDescent="0.3">
      <c r="A138">
        <v>346.875</v>
      </c>
      <c r="B138">
        <v>351.27618687796598</v>
      </c>
      <c r="C138">
        <v>393.70032921747583</v>
      </c>
      <c r="D138">
        <v>334.9703601185642</v>
      </c>
      <c r="E138">
        <v>336.26</v>
      </c>
      <c r="F138">
        <v>336.26</v>
      </c>
      <c r="G138" t="s">
        <v>150</v>
      </c>
    </row>
    <row r="139" spans="1:7" x14ac:dyDescent="0.3">
      <c r="A139">
        <v>343.67</v>
      </c>
      <c r="B139">
        <v>349.36611957262011</v>
      </c>
      <c r="C139">
        <v>390.03578165872801</v>
      </c>
      <c r="D139">
        <v>334.45853713826261</v>
      </c>
      <c r="E139">
        <v>336.26</v>
      </c>
      <c r="F139">
        <v>336.26</v>
      </c>
      <c r="G139" t="s">
        <v>151</v>
      </c>
    </row>
    <row r="140" spans="1:7" x14ac:dyDescent="0.3">
      <c r="A140">
        <v>345.185</v>
      </c>
      <c r="B140">
        <v>347.63897737456159</v>
      </c>
      <c r="C140">
        <v>389.24365361536172</v>
      </c>
      <c r="D140">
        <v>333.87903713822072</v>
      </c>
      <c r="E140">
        <v>336.26</v>
      </c>
      <c r="F140">
        <v>336.26</v>
      </c>
      <c r="G140" t="s">
        <v>152</v>
      </c>
    </row>
    <row r="141" spans="1:7" x14ac:dyDescent="0.3">
      <c r="A141">
        <v>350.86</v>
      </c>
      <c r="B141">
        <v>349.13029443832681</v>
      </c>
      <c r="C141">
        <v>394.41153813129051</v>
      </c>
      <c r="D141">
        <v>334.51235391287628</v>
      </c>
      <c r="E141">
        <v>336.26</v>
      </c>
      <c r="F141">
        <v>336.26</v>
      </c>
      <c r="G141" t="s">
        <v>153</v>
      </c>
    </row>
    <row r="142" spans="1:7" x14ac:dyDescent="0.3">
      <c r="A142">
        <v>337.92500000000001</v>
      </c>
      <c r="B142">
        <v>345.7429423859308</v>
      </c>
      <c r="C142">
        <v>389.04233385571939</v>
      </c>
      <c r="D142">
        <v>333.73923606959153</v>
      </c>
      <c r="E142">
        <v>336.26</v>
      </c>
      <c r="F142">
        <v>336.26</v>
      </c>
      <c r="G142" t="s">
        <v>154</v>
      </c>
    </row>
    <row r="143" spans="1:7" x14ac:dyDescent="0.3">
      <c r="A143">
        <v>330.67500000000001</v>
      </c>
      <c r="B143">
        <v>343.74609018882052</v>
      </c>
      <c r="C143">
        <v>386.85279867594249</v>
      </c>
      <c r="D143">
        <v>333.14304054928948</v>
      </c>
      <c r="E143">
        <v>326.44</v>
      </c>
      <c r="F143">
        <v>326.44</v>
      </c>
      <c r="G143" t="s">
        <v>155</v>
      </c>
    </row>
    <row r="144" spans="1:7" x14ac:dyDescent="0.3">
      <c r="A144">
        <v>338.34</v>
      </c>
      <c r="B144">
        <v>341.47995770421278</v>
      </c>
      <c r="C144">
        <v>382.21864916918071</v>
      </c>
      <c r="D144">
        <v>332.86944279339139</v>
      </c>
      <c r="E144">
        <v>326.44</v>
      </c>
      <c r="F144">
        <v>326.44</v>
      </c>
      <c r="G144" t="s">
        <v>156</v>
      </c>
    </row>
    <row r="145" spans="1:7" x14ac:dyDescent="0.3">
      <c r="A145">
        <v>335.95499999999998</v>
      </c>
      <c r="B145">
        <v>342.47338183000488</v>
      </c>
      <c r="C145">
        <v>383.773961932492</v>
      </c>
      <c r="D145">
        <v>333.75712826860803</v>
      </c>
      <c r="E145">
        <v>336.26</v>
      </c>
      <c r="F145">
        <v>336.26</v>
      </c>
      <c r="G145" t="s">
        <v>157</v>
      </c>
    </row>
    <row r="146" spans="1:7" x14ac:dyDescent="0.3">
      <c r="A146">
        <v>336.39499999999998</v>
      </c>
      <c r="B146">
        <v>339.52879127896381</v>
      </c>
      <c r="C146">
        <v>377.34283213358498</v>
      </c>
      <c r="D146">
        <v>331.98969395838247</v>
      </c>
      <c r="E146">
        <v>326.44</v>
      </c>
      <c r="F146">
        <v>326.44</v>
      </c>
      <c r="G146" t="s">
        <v>317</v>
      </c>
    </row>
    <row r="147" spans="1:7" x14ac:dyDescent="0.3">
      <c r="A147">
        <v>327.52999999999997</v>
      </c>
      <c r="B147">
        <v>337.21576711640222</v>
      </c>
      <c r="C147">
        <v>372.94993703148242</v>
      </c>
      <c r="D147">
        <v>330.04850836270128</v>
      </c>
      <c r="E147">
        <v>326.44</v>
      </c>
      <c r="F147">
        <v>326.44</v>
      </c>
      <c r="G147" t="s">
        <v>318</v>
      </c>
    </row>
    <row r="148" spans="1:7" x14ac:dyDescent="0.3">
      <c r="A148">
        <v>326.69499999999999</v>
      </c>
      <c r="B148">
        <v>330.79774319705791</v>
      </c>
      <c r="C148">
        <v>372.38210109792311</v>
      </c>
      <c r="D148">
        <v>321.88624806902448</v>
      </c>
      <c r="E148">
        <v>326.44</v>
      </c>
      <c r="F148">
        <v>326.44</v>
      </c>
      <c r="G148" t="s">
        <v>319</v>
      </c>
    </row>
    <row r="149" spans="1:7" x14ac:dyDescent="0.3">
      <c r="A149">
        <v>327.815</v>
      </c>
      <c r="B149">
        <v>332.89617861103108</v>
      </c>
      <c r="C149">
        <v>363.75179479280888</v>
      </c>
      <c r="D149">
        <v>325.44155055673701</v>
      </c>
      <c r="E149">
        <v>326.44</v>
      </c>
      <c r="F149">
        <v>326.44</v>
      </c>
      <c r="G149" t="s">
        <v>320</v>
      </c>
    </row>
    <row r="150" spans="1:7" x14ac:dyDescent="0.3">
      <c r="A150">
        <v>330.13</v>
      </c>
      <c r="B150">
        <v>331.38394982793812</v>
      </c>
      <c r="C150">
        <v>359.93553940961789</v>
      </c>
      <c r="D150">
        <v>323.48259062559038</v>
      </c>
      <c r="E150">
        <v>326.44</v>
      </c>
      <c r="F150">
        <v>326.44</v>
      </c>
      <c r="G150" t="s">
        <v>321</v>
      </c>
    </row>
    <row r="151" spans="1:7" x14ac:dyDescent="0.3">
      <c r="A151">
        <v>326.125</v>
      </c>
      <c r="B151">
        <v>323.51123070551569</v>
      </c>
      <c r="C151">
        <v>378.97788556136658</v>
      </c>
      <c r="D151">
        <v>309.93662110094442</v>
      </c>
      <c r="E151">
        <v>326.44</v>
      </c>
      <c r="F151">
        <v>326.44</v>
      </c>
      <c r="G151" t="s">
        <v>322</v>
      </c>
    </row>
    <row r="152" spans="1:7" x14ac:dyDescent="0.3">
      <c r="A152">
        <v>322.28500000000003</v>
      </c>
      <c r="B152">
        <v>323.65710103565561</v>
      </c>
      <c r="C152">
        <v>366.80868226471438</v>
      </c>
      <c r="D152">
        <v>311.43438890295272</v>
      </c>
      <c r="E152">
        <v>326.44</v>
      </c>
      <c r="F152">
        <v>326.44</v>
      </c>
      <c r="G152" t="s">
        <v>323</v>
      </c>
    </row>
    <row r="153" spans="1:7" x14ac:dyDescent="0.3">
      <c r="A153">
        <v>322.97000000000003</v>
      </c>
      <c r="B153">
        <v>323.50879489306362</v>
      </c>
      <c r="C153">
        <v>358.35472321345111</v>
      </c>
      <c r="D153">
        <v>312.13316317178982</v>
      </c>
      <c r="E153">
        <v>326.44</v>
      </c>
      <c r="F153">
        <v>326.44</v>
      </c>
      <c r="G153" t="s">
        <v>324</v>
      </c>
    </row>
    <row r="154" spans="1:7" x14ac:dyDescent="0.3">
      <c r="A154">
        <v>321.09500000000003</v>
      </c>
      <c r="B154">
        <v>321.27538502808522</v>
      </c>
      <c r="C154">
        <v>352.16100578313501</v>
      </c>
      <c r="D154">
        <v>309.96900323289219</v>
      </c>
      <c r="E154">
        <v>326.44</v>
      </c>
      <c r="F154">
        <v>326.44</v>
      </c>
      <c r="G154" t="s">
        <v>325</v>
      </c>
    </row>
    <row r="155" spans="1:7" x14ac:dyDescent="0.3">
      <c r="A155">
        <v>324.01</v>
      </c>
      <c r="B155">
        <v>319.94861289146581</v>
      </c>
      <c r="C155">
        <v>346.68458587657238</v>
      </c>
      <c r="D155">
        <v>308.81836415863779</v>
      </c>
      <c r="E155">
        <v>326.44</v>
      </c>
      <c r="F155">
        <v>326.44</v>
      </c>
      <c r="G155" t="s">
        <v>326</v>
      </c>
    </row>
    <row r="156" spans="1:7" x14ac:dyDescent="0.3">
      <c r="A156">
        <v>321.92</v>
      </c>
      <c r="B156">
        <v>321.333320621393</v>
      </c>
      <c r="C156">
        <v>336.61031366863699</v>
      </c>
      <c r="D156">
        <v>311.74725606997669</v>
      </c>
      <c r="E156">
        <v>326.44</v>
      </c>
      <c r="F156">
        <v>326.44</v>
      </c>
      <c r="G156" t="s">
        <v>327</v>
      </c>
    </row>
    <row r="157" spans="1:7" x14ac:dyDescent="0.3">
      <c r="A157">
        <v>320.39</v>
      </c>
      <c r="B157">
        <v>320.0712065111469</v>
      </c>
      <c r="C157">
        <v>333.08922939517868</v>
      </c>
      <c r="D157">
        <v>310.58679726007063</v>
      </c>
      <c r="E157">
        <v>326.44</v>
      </c>
      <c r="F157">
        <v>326.44</v>
      </c>
      <c r="G157" t="s">
        <v>328</v>
      </c>
    </row>
    <row r="158" spans="1:7" x14ac:dyDescent="0.3">
      <c r="A158">
        <v>316.83</v>
      </c>
      <c r="B158">
        <v>320.97752486513411</v>
      </c>
      <c r="C158">
        <v>327.22109354702673</v>
      </c>
      <c r="D158">
        <v>312.46376324083531</v>
      </c>
      <c r="E158">
        <v>326.44</v>
      </c>
      <c r="F158">
        <v>326.44</v>
      </c>
      <c r="G158" t="s">
        <v>329</v>
      </c>
    </row>
    <row r="159" spans="1:7" x14ac:dyDescent="0.3">
      <c r="A159">
        <v>316.62</v>
      </c>
      <c r="B159">
        <v>315.1623530682283</v>
      </c>
      <c r="C159">
        <v>328.54751029466229</v>
      </c>
      <c r="D159">
        <v>305.30634244379002</v>
      </c>
      <c r="E159">
        <v>326.44</v>
      </c>
      <c r="F159">
        <v>326.44</v>
      </c>
      <c r="G159" t="s">
        <v>330</v>
      </c>
    </row>
    <row r="160" spans="1:7" x14ac:dyDescent="0.3">
      <c r="A160">
        <v>321.89499999999998</v>
      </c>
      <c r="B160">
        <v>316.99771206325232</v>
      </c>
      <c r="C160">
        <v>319.3464299059288</v>
      </c>
      <c r="D160">
        <v>308.52102107028782</v>
      </c>
      <c r="E160">
        <v>326.44</v>
      </c>
      <c r="F160">
        <v>326.44</v>
      </c>
      <c r="G160" t="s">
        <v>331</v>
      </c>
    </row>
    <row r="161" spans="1:7" x14ac:dyDescent="0.3">
      <c r="A161">
        <v>322.42500000000001</v>
      </c>
      <c r="B161">
        <v>322.10326548363929</v>
      </c>
      <c r="C161">
        <v>321.26050326122009</v>
      </c>
      <c r="D161">
        <v>314.77785206698769</v>
      </c>
      <c r="E161">
        <v>326.44</v>
      </c>
      <c r="F161">
        <v>326.44</v>
      </c>
      <c r="G161" t="s">
        <v>332</v>
      </c>
    </row>
    <row r="162" spans="1:7" x14ac:dyDescent="0.3">
      <c r="A162">
        <v>327.02999999999997</v>
      </c>
      <c r="B162">
        <v>324.22007234150118</v>
      </c>
      <c r="C162">
        <v>325.75853842107858</v>
      </c>
      <c r="D162">
        <v>316.95335216639882</v>
      </c>
      <c r="E162">
        <v>326.44</v>
      </c>
      <c r="F162">
        <v>326.44</v>
      </c>
      <c r="G162" t="s">
        <v>333</v>
      </c>
    </row>
    <row r="163" spans="1:7" x14ac:dyDescent="0.3">
      <c r="A163">
        <v>319.95</v>
      </c>
      <c r="B163">
        <v>327.0219269393483</v>
      </c>
      <c r="C163">
        <v>331.46729005453659</v>
      </c>
      <c r="D163">
        <v>320.23567804611798</v>
      </c>
      <c r="E163">
        <v>326.44</v>
      </c>
      <c r="F163">
        <v>326.44</v>
      </c>
      <c r="G163" t="s">
        <v>334</v>
      </c>
    </row>
    <row r="164" spans="1:7" x14ac:dyDescent="0.3">
      <c r="A164">
        <v>322.95999999999998</v>
      </c>
      <c r="B164">
        <v>323.25338017434689</v>
      </c>
      <c r="C164">
        <v>322.24300062477693</v>
      </c>
      <c r="D164">
        <v>318.21757962469519</v>
      </c>
      <c r="E164">
        <v>326.44</v>
      </c>
      <c r="F164">
        <v>326.44</v>
      </c>
      <c r="G164" t="s">
        <v>335</v>
      </c>
    </row>
    <row r="165" spans="1:7" x14ac:dyDescent="0.3">
      <c r="A165">
        <v>323.83</v>
      </c>
      <c r="B165">
        <v>325.25878665508242</v>
      </c>
      <c r="C165">
        <v>326.42213371488799</v>
      </c>
      <c r="D165">
        <v>320.32988281642457</v>
      </c>
      <c r="E165">
        <v>326.44</v>
      </c>
      <c r="F165">
        <v>326.44</v>
      </c>
      <c r="G165" t="s">
        <v>336</v>
      </c>
    </row>
    <row r="166" spans="1:7" x14ac:dyDescent="0.3">
      <c r="A166">
        <v>328.36</v>
      </c>
      <c r="B166">
        <v>323.66452054863811</v>
      </c>
      <c r="C166">
        <v>323.10384677566691</v>
      </c>
      <c r="D166">
        <v>319.66192706350643</v>
      </c>
      <c r="E166">
        <v>326.44</v>
      </c>
      <c r="F166">
        <v>326.44</v>
      </c>
      <c r="G166" t="s">
        <v>337</v>
      </c>
    </row>
    <row r="167" spans="1:7" x14ac:dyDescent="0.3">
      <c r="A167">
        <v>328.8</v>
      </c>
      <c r="B167">
        <v>326.31310487623318</v>
      </c>
      <c r="C167">
        <v>329.58896034781418</v>
      </c>
      <c r="D167">
        <v>322.05875837588832</v>
      </c>
      <c r="E167">
        <v>339.52499999999998</v>
      </c>
      <c r="F167">
        <v>339.52499999999998</v>
      </c>
      <c r="G167" t="s">
        <v>338</v>
      </c>
    </row>
    <row r="168" spans="1:7" x14ac:dyDescent="0.3">
      <c r="A168">
        <v>327.88499999999999</v>
      </c>
      <c r="B168">
        <v>328.81680388020709</v>
      </c>
      <c r="C168">
        <v>338.56250780026488</v>
      </c>
      <c r="D168">
        <v>323.40660894999479</v>
      </c>
      <c r="E168">
        <v>339.52499999999998</v>
      </c>
      <c r="F168">
        <v>339.52499999999998</v>
      </c>
      <c r="G168" t="s">
        <v>339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18EE-B546-4E84-BF01-0FE00E3C6ACB}">
  <sheetPr codeName="Hoja6"/>
  <dimension ref="A1:G171"/>
  <sheetViews>
    <sheetView zoomScale="78" workbookViewId="0">
      <selection activeCell="S5" sqref="S5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222</v>
      </c>
      <c r="G1" t="s">
        <v>213</v>
      </c>
    </row>
    <row r="2" spans="1:7" x14ac:dyDescent="0.3">
      <c r="C2" t="s">
        <v>9</v>
      </c>
      <c r="D2" t="s">
        <v>9</v>
      </c>
      <c r="E2" t="s">
        <v>9</v>
      </c>
      <c r="F2" t="s">
        <v>9</v>
      </c>
      <c r="G2" t="s">
        <v>9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101401.05998518885</v>
      </c>
      <c r="D5">
        <v>101401.05998518885</v>
      </c>
      <c r="E5">
        <v>101401.05998518885</v>
      </c>
      <c r="F5">
        <v>98586.940014811145</v>
      </c>
      <c r="G5">
        <v>101401.05998518885</v>
      </c>
    </row>
    <row r="6" spans="1:7" x14ac:dyDescent="0.3">
      <c r="A6">
        <v>100000</v>
      </c>
      <c r="B6" t="s">
        <v>16</v>
      </c>
      <c r="C6">
        <v>102927.79999980686</v>
      </c>
      <c r="D6">
        <v>102927.79999980686</v>
      </c>
      <c r="E6">
        <v>99862.319970570854</v>
      </c>
      <c r="F6">
        <v>100113.68002942915</v>
      </c>
      <c r="G6">
        <v>102927.79999980686</v>
      </c>
    </row>
    <row r="7" spans="1:7" x14ac:dyDescent="0.3">
      <c r="A7">
        <v>100000</v>
      </c>
      <c r="B7" t="s">
        <v>17</v>
      </c>
      <c r="C7">
        <v>105035.12716926927</v>
      </c>
      <c r="D7">
        <v>105035.12716926927</v>
      </c>
      <c r="E7">
        <v>97742.992801108441</v>
      </c>
      <c r="F7">
        <v>102221.00719889156</v>
      </c>
      <c r="G7">
        <v>100808.47283034444</v>
      </c>
    </row>
    <row r="8" spans="1:7" x14ac:dyDescent="0.3">
      <c r="A8">
        <v>100000</v>
      </c>
      <c r="B8" t="s">
        <v>18</v>
      </c>
      <c r="C8">
        <v>104289.87985744131</v>
      </c>
      <c r="D8">
        <v>104289.87985744131</v>
      </c>
      <c r="E8">
        <v>98476.240112936401</v>
      </c>
      <c r="F8">
        <v>101475.7598870636</v>
      </c>
      <c r="G8">
        <v>101541.7201421724</v>
      </c>
    </row>
    <row r="9" spans="1:7" x14ac:dyDescent="0.3">
      <c r="A9">
        <v>100000</v>
      </c>
      <c r="B9" t="s">
        <v>19</v>
      </c>
      <c r="C9">
        <v>104184.71723073351</v>
      </c>
      <c r="D9">
        <v>104184.71723073351</v>
      </c>
      <c r="E9">
        <v>98569.402739644196</v>
      </c>
      <c r="F9">
        <v>101370.5972603558</v>
      </c>
      <c r="G9">
        <v>101634.8827688802</v>
      </c>
    </row>
    <row r="10" spans="1:7" x14ac:dyDescent="0.3">
      <c r="A10">
        <v>100000</v>
      </c>
      <c r="B10" t="s">
        <v>20</v>
      </c>
      <c r="C10">
        <v>103724.46104780213</v>
      </c>
      <c r="D10">
        <v>103724.46104780213</v>
      </c>
      <c r="E10">
        <v>99017.658922575574</v>
      </c>
      <c r="F10">
        <v>100910.34107742443</v>
      </c>
      <c r="G10">
        <v>102083.13895181158</v>
      </c>
    </row>
    <row r="11" spans="1:7" x14ac:dyDescent="0.3">
      <c r="A11">
        <v>100000</v>
      </c>
      <c r="B11" t="s">
        <v>21</v>
      </c>
      <c r="C11">
        <v>101969.75638458969</v>
      </c>
      <c r="D11">
        <v>101969.75638458969</v>
      </c>
      <c r="E11">
        <v>97262.954259363134</v>
      </c>
      <c r="F11">
        <v>102653.04574063687</v>
      </c>
      <c r="G11">
        <v>103825.84361502402</v>
      </c>
    </row>
    <row r="12" spans="1:7" x14ac:dyDescent="0.3">
      <c r="A12">
        <v>100000</v>
      </c>
      <c r="B12" t="s">
        <v>22</v>
      </c>
      <c r="C12">
        <v>100709.40542101045</v>
      </c>
      <c r="D12">
        <v>100709.40542101045</v>
      </c>
      <c r="E12">
        <v>96002.603295783891</v>
      </c>
      <c r="F12">
        <v>103901.39670421611</v>
      </c>
      <c r="G12">
        <v>102565.49265144477</v>
      </c>
    </row>
    <row r="13" spans="1:7" x14ac:dyDescent="0.3">
      <c r="A13">
        <v>100000</v>
      </c>
      <c r="B13" t="s">
        <v>23</v>
      </c>
      <c r="C13">
        <v>101601.89317753293</v>
      </c>
      <c r="D13">
        <v>99804.917664487977</v>
      </c>
      <c r="E13">
        <v>95098.115539261416</v>
      </c>
      <c r="F13">
        <v>104793.88446073858</v>
      </c>
      <c r="G13">
        <v>101661.0048949223</v>
      </c>
    </row>
    <row r="14" spans="1:7" x14ac:dyDescent="0.3">
      <c r="A14">
        <v>100000</v>
      </c>
      <c r="B14" t="s">
        <v>24</v>
      </c>
      <c r="C14">
        <v>102614.77933538676</v>
      </c>
      <c r="D14">
        <v>98780.031506634143</v>
      </c>
      <c r="E14">
        <v>94073.229381407582</v>
      </c>
      <c r="F14">
        <v>105806.77061859242</v>
      </c>
      <c r="G14">
        <v>102673.89105277613</v>
      </c>
    </row>
    <row r="15" spans="1:7" x14ac:dyDescent="0.3">
      <c r="A15">
        <v>100000</v>
      </c>
      <c r="B15" t="s">
        <v>25</v>
      </c>
      <c r="C15">
        <v>105061.8280654273</v>
      </c>
      <c r="D15">
        <v>101227.08023667468</v>
      </c>
      <c r="E15">
        <v>96520.278111448119</v>
      </c>
      <c r="F15">
        <v>103347.72188855188</v>
      </c>
      <c r="G15">
        <v>105120.93978281667</v>
      </c>
    </row>
    <row r="16" spans="1:7" x14ac:dyDescent="0.3">
      <c r="A16">
        <v>100000</v>
      </c>
      <c r="B16" t="s">
        <v>26</v>
      </c>
      <c r="C16">
        <v>103985.05463425969</v>
      </c>
      <c r="D16">
        <v>100150.30680550708</v>
      </c>
      <c r="E16">
        <v>95443.504680280515</v>
      </c>
      <c r="F16">
        <v>102270.94845738428</v>
      </c>
      <c r="G16">
        <v>104044.16635164907</v>
      </c>
    </row>
    <row r="17" spans="1:7" x14ac:dyDescent="0.3">
      <c r="A17">
        <v>100000</v>
      </c>
      <c r="B17" t="s">
        <v>27</v>
      </c>
      <c r="C17">
        <v>106183.87288572815</v>
      </c>
      <c r="D17">
        <v>102349.12505697554</v>
      </c>
      <c r="E17">
        <v>97642.322931748975</v>
      </c>
      <c r="F17">
        <v>104469.76670885274</v>
      </c>
      <c r="G17">
        <v>106242.98460311753</v>
      </c>
    </row>
    <row r="18" spans="1:7" x14ac:dyDescent="0.3">
      <c r="A18">
        <v>100000</v>
      </c>
      <c r="B18" t="s">
        <v>28</v>
      </c>
      <c r="C18">
        <v>106848.17815478412</v>
      </c>
      <c r="D18">
        <v>103013.43032603151</v>
      </c>
      <c r="E18">
        <v>96966.017662693004</v>
      </c>
      <c r="F18">
        <v>105134.07197790871</v>
      </c>
      <c r="G18">
        <v>105566.67933406155</v>
      </c>
    </row>
    <row r="19" spans="1:7" x14ac:dyDescent="0.3">
      <c r="A19">
        <v>100000</v>
      </c>
      <c r="B19" t="s">
        <v>29</v>
      </c>
      <c r="C19">
        <v>106467.6848524528</v>
      </c>
      <c r="D19">
        <v>103381.92362836283</v>
      </c>
      <c r="E19">
        <v>97334.510965024325</v>
      </c>
      <c r="F19">
        <v>104753.57867557739</v>
      </c>
      <c r="G19">
        <v>105935.17263639288</v>
      </c>
    </row>
    <row r="20" spans="1:7" x14ac:dyDescent="0.3">
      <c r="A20">
        <v>100000</v>
      </c>
      <c r="B20" t="s">
        <v>30</v>
      </c>
      <c r="C20">
        <v>109301.06441917502</v>
      </c>
      <c r="D20">
        <v>106215.30319508504</v>
      </c>
      <c r="E20">
        <v>100167.89053174654</v>
      </c>
      <c r="F20">
        <v>107586.9582422996</v>
      </c>
      <c r="G20">
        <v>108768.55220311509</v>
      </c>
    </row>
    <row r="21" spans="1:7" x14ac:dyDescent="0.3">
      <c r="A21">
        <v>100000</v>
      </c>
      <c r="B21" t="s">
        <v>31</v>
      </c>
      <c r="C21">
        <v>110983.90047500498</v>
      </c>
      <c r="D21">
        <v>107898.139250915</v>
      </c>
      <c r="E21">
        <v>101850.7265875765</v>
      </c>
      <c r="F21">
        <v>109269.79429812956</v>
      </c>
      <c r="G21">
        <v>110451.38825894505</v>
      </c>
    </row>
    <row r="22" spans="1:7" x14ac:dyDescent="0.3">
      <c r="A22">
        <v>100000</v>
      </c>
      <c r="B22" t="s">
        <v>32</v>
      </c>
      <c r="C22">
        <v>110768.85945070397</v>
      </c>
      <c r="D22">
        <v>107683.09822661399</v>
      </c>
      <c r="E22">
        <v>101635.68556327549</v>
      </c>
      <c r="F22">
        <v>109472.83532243058</v>
      </c>
      <c r="G22">
        <v>110236.34723464404</v>
      </c>
    </row>
    <row r="23" spans="1:7" x14ac:dyDescent="0.3">
      <c r="A23">
        <v>100000</v>
      </c>
      <c r="B23" t="s">
        <v>33</v>
      </c>
      <c r="C23">
        <v>110169.29046366015</v>
      </c>
      <c r="D23">
        <v>107083.52923957017</v>
      </c>
      <c r="E23">
        <v>101036.11657623167</v>
      </c>
      <c r="F23">
        <v>108873.26633538675</v>
      </c>
      <c r="G23">
        <v>109636.77824760022</v>
      </c>
    </row>
    <row r="24" spans="1:7" x14ac:dyDescent="0.3">
      <c r="A24">
        <v>100000</v>
      </c>
      <c r="B24" t="s">
        <v>34</v>
      </c>
      <c r="C24">
        <v>111910.14981171828</v>
      </c>
      <c r="D24">
        <v>108824.3885876283</v>
      </c>
      <c r="E24">
        <v>102776.9759242898</v>
      </c>
      <c r="F24">
        <v>110614.12568344489</v>
      </c>
      <c r="G24">
        <v>111377.63759565835</v>
      </c>
    </row>
    <row r="25" spans="1:7" x14ac:dyDescent="0.3">
      <c r="A25">
        <v>100000</v>
      </c>
      <c r="B25" t="s">
        <v>35</v>
      </c>
      <c r="C25">
        <v>113860.78117833451</v>
      </c>
      <c r="D25">
        <v>110775.01995424453</v>
      </c>
      <c r="E25">
        <v>104727.60729090603</v>
      </c>
      <c r="F25">
        <v>112564.75705006112</v>
      </c>
      <c r="G25">
        <v>109415.00622904212</v>
      </c>
    </row>
    <row r="26" spans="1:7" x14ac:dyDescent="0.3">
      <c r="A26">
        <v>100000</v>
      </c>
      <c r="B26" t="s">
        <v>36</v>
      </c>
      <c r="C26">
        <v>111748.09650581595</v>
      </c>
      <c r="D26">
        <v>108662.33528172597</v>
      </c>
      <c r="E26">
        <v>102614.92261838747</v>
      </c>
      <c r="F26">
        <v>110452.07237754256</v>
      </c>
      <c r="G26">
        <v>107302.32155652356</v>
      </c>
    </row>
    <row r="27" spans="1:7" x14ac:dyDescent="0.3">
      <c r="A27">
        <v>100000</v>
      </c>
      <c r="B27" t="s">
        <v>37</v>
      </c>
      <c r="C27">
        <v>112208.23411271939</v>
      </c>
      <c r="D27">
        <v>109122.47288862942</v>
      </c>
      <c r="E27">
        <v>103075.06022529092</v>
      </c>
      <c r="F27">
        <v>109979.93477063911</v>
      </c>
      <c r="G27">
        <v>107762.459163427</v>
      </c>
    </row>
    <row r="28" spans="1:7" x14ac:dyDescent="0.3">
      <c r="A28">
        <v>100000</v>
      </c>
      <c r="B28" t="s">
        <v>38</v>
      </c>
      <c r="C28">
        <v>112250.91296857156</v>
      </c>
      <c r="D28">
        <v>109165.15174448158</v>
      </c>
      <c r="E28">
        <v>103020.38136943875</v>
      </c>
      <c r="F28">
        <v>110022.61362649128</v>
      </c>
      <c r="G28">
        <v>107707.78030757484</v>
      </c>
    </row>
    <row r="29" spans="1:7" x14ac:dyDescent="0.3">
      <c r="A29">
        <v>100000</v>
      </c>
      <c r="B29" t="s">
        <v>39</v>
      </c>
      <c r="C29">
        <v>109511.49773515633</v>
      </c>
      <c r="D29">
        <v>106425.73651106635</v>
      </c>
      <c r="E29">
        <v>100280.96613602352</v>
      </c>
      <c r="F29">
        <v>112750.02885990651</v>
      </c>
      <c r="G29">
        <v>104968.36507415961</v>
      </c>
    </row>
    <row r="30" spans="1:7" x14ac:dyDescent="0.3">
      <c r="A30">
        <v>100000</v>
      </c>
      <c r="B30" t="s">
        <v>40</v>
      </c>
      <c r="C30">
        <v>111754.54079297578</v>
      </c>
      <c r="D30">
        <v>108668.7795688858</v>
      </c>
      <c r="E30">
        <v>102524.00919384297</v>
      </c>
      <c r="F30">
        <v>114993.07191772596</v>
      </c>
      <c r="G30">
        <v>107211.40813197906</v>
      </c>
    </row>
    <row r="31" spans="1:7" x14ac:dyDescent="0.3">
      <c r="A31">
        <v>100000</v>
      </c>
      <c r="B31" t="s">
        <v>41</v>
      </c>
      <c r="C31">
        <v>115492.88138009422</v>
      </c>
      <c r="D31">
        <v>112407.12015600424</v>
      </c>
      <c r="E31">
        <v>106262.34978096141</v>
      </c>
      <c r="F31">
        <v>118731.4125048444</v>
      </c>
      <c r="G31">
        <v>110949.74871909749</v>
      </c>
    </row>
    <row r="32" spans="1:7" x14ac:dyDescent="0.3">
      <c r="A32">
        <v>100000</v>
      </c>
      <c r="B32" t="s">
        <v>42</v>
      </c>
      <c r="C32">
        <v>115024.85533862641</v>
      </c>
      <c r="D32">
        <v>111939.09411453643</v>
      </c>
      <c r="E32">
        <v>106718.37582242921</v>
      </c>
      <c r="F32">
        <v>119187.4385463122</v>
      </c>
      <c r="G32">
        <v>110481.72267762969</v>
      </c>
    </row>
    <row r="33" spans="1:7" x14ac:dyDescent="0.3">
      <c r="A33">
        <v>100000</v>
      </c>
      <c r="B33" t="s">
        <v>43</v>
      </c>
      <c r="C33">
        <v>113587.15991967793</v>
      </c>
      <c r="D33">
        <v>110501.39869558795</v>
      </c>
      <c r="E33">
        <v>105280.68040348073</v>
      </c>
      <c r="F33">
        <v>120613.13396526068</v>
      </c>
      <c r="G33">
        <v>109044.02725868121</v>
      </c>
    </row>
    <row r="34" spans="1:7" x14ac:dyDescent="0.3">
      <c r="A34">
        <v>100000</v>
      </c>
      <c r="B34" t="s">
        <v>44</v>
      </c>
      <c r="C34">
        <v>113676.59377667397</v>
      </c>
      <c r="D34">
        <v>110590.83255258399</v>
      </c>
      <c r="E34">
        <v>105370.11426047677</v>
      </c>
      <c r="F34">
        <v>120511.70010826465</v>
      </c>
      <c r="G34">
        <v>109133.46111567724</v>
      </c>
    </row>
    <row r="35" spans="1:7" x14ac:dyDescent="0.3">
      <c r="A35">
        <v>100000</v>
      </c>
      <c r="B35" t="s">
        <v>45</v>
      </c>
      <c r="C35">
        <v>113441.76508192772</v>
      </c>
      <c r="D35">
        <v>110356.00385783774</v>
      </c>
      <c r="E35">
        <v>105135.28556573052</v>
      </c>
      <c r="F35">
        <v>120734.52880301089</v>
      </c>
      <c r="G35">
        <v>108898.632420931</v>
      </c>
    </row>
    <row r="36" spans="1:7" x14ac:dyDescent="0.3">
      <c r="A36">
        <v>100000</v>
      </c>
      <c r="B36" t="s">
        <v>46</v>
      </c>
      <c r="C36">
        <v>114130.7355409491</v>
      </c>
      <c r="D36">
        <v>111044.97431685912</v>
      </c>
      <c r="E36">
        <v>104434.31510670914</v>
      </c>
      <c r="F36">
        <v>120033.55834398951</v>
      </c>
      <c r="G36">
        <v>109587.60287995238</v>
      </c>
    </row>
    <row r="37" spans="1:7" x14ac:dyDescent="0.3">
      <c r="A37">
        <v>100000</v>
      </c>
      <c r="B37" t="s">
        <v>47</v>
      </c>
      <c r="C37">
        <v>113571.68509195693</v>
      </c>
      <c r="D37">
        <v>111592.0247658513</v>
      </c>
      <c r="E37">
        <v>103875.26465771697</v>
      </c>
      <c r="F37">
        <v>119474.50789499734</v>
      </c>
      <c r="G37">
        <v>109028.5524309602</v>
      </c>
    </row>
    <row r="38" spans="1:7" x14ac:dyDescent="0.3">
      <c r="A38">
        <v>100000</v>
      </c>
      <c r="B38" t="s">
        <v>48</v>
      </c>
      <c r="C38">
        <v>114231.84084270855</v>
      </c>
      <c r="D38">
        <v>112252.18051660292</v>
      </c>
      <c r="E38">
        <v>103203.10890696534</v>
      </c>
      <c r="F38">
        <v>118802.35214424571</v>
      </c>
      <c r="G38">
        <v>108356.39668020858</v>
      </c>
    </row>
    <row r="39" spans="1:7" x14ac:dyDescent="0.3">
      <c r="A39">
        <v>100000</v>
      </c>
      <c r="B39" t="s">
        <v>49</v>
      </c>
      <c r="C39">
        <v>115150.98305871942</v>
      </c>
      <c r="D39">
        <v>113171.32273261379</v>
      </c>
      <c r="E39">
        <v>102271.96669095448</v>
      </c>
      <c r="F39">
        <v>117871.20992823485</v>
      </c>
      <c r="G39">
        <v>107425.25446419771</v>
      </c>
    </row>
    <row r="40" spans="1:7" x14ac:dyDescent="0.3">
      <c r="A40">
        <v>100000</v>
      </c>
      <c r="B40" t="s">
        <v>50</v>
      </c>
      <c r="C40">
        <v>115444.37839754492</v>
      </c>
      <c r="D40">
        <v>112865.92739378828</v>
      </c>
      <c r="E40">
        <v>102565.36202977998</v>
      </c>
      <c r="F40">
        <v>117565.81458940935</v>
      </c>
      <c r="G40">
        <v>107718.64980302322</v>
      </c>
    </row>
    <row r="41" spans="1:7" x14ac:dyDescent="0.3">
      <c r="A41">
        <v>100000</v>
      </c>
      <c r="B41" t="s">
        <v>51</v>
      </c>
      <c r="C41">
        <v>115238.18220527649</v>
      </c>
      <c r="D41">
        <v>112659.73120151985</v>
      </c>
      <c r="E41">
        <v>102359.16583751155</v>
      </c>
      <c r="F41">
        <v>117359.61839714092</v>
      </c>
      <c r="G41">
        <v>107512.45361075479</v>
      </c>
    </row>
    <row r="42" spans="1:7" x14ac:dyDescent="0.3">
      <c r="A42">
        <v>100000</v>
      </c>
      <c r="B42" t="s">
        <v>52</v>
      </c>
      <c r="C42">
        <v>114207.31229252892</v>
      </c>
      <c r="D42">
        <v>111628.86128877228</v>
      </c>
      <c r="E42">
        <v>103378.03575025912</v>
      </c>
      <c r="F42">
        <v>116328.74848439335</v>
      </c>
      <c r="G42">
        <v>106481.58369800722</v>
      </c>
    </row>
    <row r="43" spans="1:7" x14ac:dyDescent="0.3">
      <c r="A43">
        <v>100000</v>
      </c>
      <c r="B43" t="s">
        <v>53</v>
      </c>
      <c r="C43">
        <v>114418.28868630089</v>
      </c>
      <c r="D43">
        <v>111839.83768254425</v>
      </c>
      <c r="E43">
        <v>103155.05935648715</v>
      </c>
      <c r="F43">
        <v>116539.72487816532</v>
      </c>
      <c r="G43">
        <v>106692.56009177919</v>
      </c>
    </row>
    <row r="44" spans="1:7" x14ac:dyDescent="0.3">
      <c r="A44">
        <v>100000</v>
      </c>
      <c r="B44" t="s">
        <v>54</v>
      </c>
      <c r="C44">
        <v>112571.13776771801</v>
      </c>
      <c r="D44">
        <v>109992.68676396138</v>
      </c>
      <c r="E44">
        <v>104990.21027507003</v>
      </c>
      <c r="F44">
        <v>118374.87579674819</v>
      </c>
      <c r="G44">
        <v>108527.71101036207</v>
      </c>
    </row>
    <row r="45" spans="1:7" x14ac:dyDescent="0.3">
      <c r="A45">
        <v>100000</v>
      </c>
      <c r="B45" t="s">
        <v>55</v>
      </c>
      <c r="C45">
        <v>114417.29015948983</v>
      </c>
      <c r="D45">
        <v>111838.83915573319</v>
      </c>
      <c r="E45">
        <v>103132.05788329821</v>
      </c>
      <c r="F45">
        <v>116516.72340497638</v>
      </c>
      <c r="G45">
        <v>106669.55861859025</v>
      </c>
    </row>
    <row r="46" spans="1:7" x14ac:dyDescent="0.3">
      <c r="A46">
        <v>100000</v>
      </c>
      <c r="B46" t="s">
        <v>56</v>
      </c>
      <c r="C46">
        <v>115650.06684273959</v>
      </c>
      <c r="D46">
        <v>113071.61583898295</v>
      </c>
      <c r="E46">
        <v>101887.28120004846</v>
      </c>
      <c r="F46">
        <v>117749.50008822614</v>
      </c>
      <c r="G46">
        <v>105424.78193534049</v>
      </c>
    </row>
    <row r="47" spans="1:7" x14ac:dyDescent="0.3">
      <c r="A47">
        <v>100000</v>
      </c>
      <c r="B47" t="s">
        <v>57</v>
      </c>
      <c r="C47">
        <v>115827.35272972628</v>
      </c>
      <c r="D47">
        <v>113248.90172596964</v>
      </c>
      <c r="E47">
        <v>101697.99531306177</v>
      </c>
      <c r="F47">
        <v>117560.21420123945</v>
      </c>
      <c r="G47">
        <v>105235.4960483538</v>
      </c>
    </row>
    <row r="48" spans="1:7" x14ac:dyDescent="0.3">
      <c r="A48">
        <v>100000</v>
      </c>
      <c r="B48" t="s">
        <v>58</v>
      </c>
      <c r="C48">
        <v>115058.23232845376</v>
      </c>
      <c r="D48">
        <v>112479.78132469712</v>
      </c>
      <c r="E48">
        <v>102455.11571433429</v>
      </c>
      <c r="F48">
        <v>118317.33460251197</v>
      </c>
      <c r="G48">
        <v>105992.61644962632</v>
      </c>
    </row>
    <row r="49" spans="1:7" x14ac:dyDescent="0.3">
      <c r="A49">
        <v>100000</v>
      </c>
      <c r="B49" t="s">
        <v>59</v>
      </c>
      <c r="C49">
        <v>114926.29270076279</v>
      </c>
      <c r="D49">
        <v>112347.84169700615</v>
      </c>
      <c r="E49">
        <v>102575.05534202525</v>
      </c>
      <c r="F49">
        <v>118437.27423020294</v>
      </c>
      <c r="G49">
        <v>106112.55607731729</v>
      </c>
    </row>
    <row r="50" spans="1:7" x14ac:dyDescent="0.3">
      <c r="A50">
        <v>100000</v>
      </c>
      <c r="B50" t="s">
        <v>60</v>
      </c>
      <c r="C50">
        <v>116336.69562343696</v>
      </c>
      <c r="D50">
        <v>113758.24461968032</v>
      </c>
      <c r="E50">
        <v>103985.45826469942</v>
      </c>
      <c r="F50">
        <v>117014.87130752877</v>
      </c>
      <c r="G50">
        <v>107522.95899999146</v>
      </c>
    </row>
    <row r="51" spans="1:7" x14ac:dyDescent="0.3">
      <c r="A51">
        <v>100000</v>
      </c>
      <c r="B51" t="s">
        <v>61</v>
      </c>
      <c r="C51">
        <v>115374.74883780802</v>
      </c>
      <c r="D51">
        <v>112796.29783405138</v>
      </c>
      <c r="E51">
        <v>104935.40505032837</v>
      </c>
      <c r="F51">
        <v>116052.92452189983</v>
      </c>
      <c r="G51">
        <v>106561.01221436252</v>
      </c>
    </row>
    <row r="52" spans="1:7" x14ac:dyDescent="0.3">
      <c r="A52">
        <v>100000</v>
      </c>
      <c r="B52" t="s">
        <v>62</v>
      </c>
      <c r="C52">
        <v>117991.3419317809</v>
      </c>
      <c r="D52">
        <v>115412.89092802427</v>
      </c>
      <c r="E52">
        <v>102306.81195635548</v>
      </c>
      <c r="F52">
        <v>118669.51761587271</v>
      </c>
      <c r="G52">
        <v>109177.60530833541</v>
      </c>
    </row>
    <row r="53" spans="1:7" x14ac:dyDescent="0.3">
      <c r="A53">
        <v>100000</v>
      </c>
      <c r="B53" t="s">
        <v>63</v>
      </c>
      <c r="C53">
        <v>119372.77139276553</v>
      </c>
      <c r="D53">
        <v>116794.32038900889</v>
      </c>
      <c r="E53">
        <v>100913.38249537085</v>
      </c>
      <c r="F53">
        <v>120050.94707685734</v>
      </c>
      <c r="G53">
        <v>107784.17584735078</v>
      </c>
    </row>
    <row r="54" spans="1:7" x14ac:dyDescent="0.3">
      <c r="A54">
        <v>100000</v>
      </c>
      <c r="B54" t="s">
        <v>64</v>
      </c>
      <c r="C54">
        <v>121432.2984582926</v>
      </c>
      <c r="D54">
        <v>118853.84745453596</v>
      </c>
      <c r="E54">
        <v>98841.855429843781</v>
      </c>
      <c r="F54">
        <v>122110.47414238441</v>
      </c>
      <c r="G54">
        <v>105712.64878182371</v>
      </c>
    </row>
    <row r="55" spans="1:7" x14ac:dyDescent="0.3">
      <c r="A55">
        <v>100000</v>
      </c>
      <c r="B55" t="s">
        <v>65</v>
      </c>
      <c r="C55">
        <v>117265.6070853588</v>
      </c>
      <c r="D55">
        <v>114687.15608160217</v>
      </c>
      <c r="E55">
        <v>94675.164056909984</v>
      </c>
      <c r="F55">
        <v>126265.16551531821</v>
      </c>
      <c r="G55">
        <v>101545.95740888991</v>
      </c>
    </row>
    <row r="56" spans="1:7" x14ac:dyDescent="0.3">
      <c r="A56">
        <v>100000</v>
      </c>
      <c r="B56" t="s">
        <v>66</v>
      </c>
      <c r="C56">
        <v>116840.86618353827</v>
      </c>
      <c r="D56">
        <v>114262.41517978163</v>
      </c>
      <c r="E56">
        <v>94250.423155089447</v>
      </c>
      <c r="F56">
        <v>125840.42461349767</v>
      </c>
      <c r="G56">
        <v>101121.21650706937</v>
      </c>
    </row>
    <row r="57" spans="1:7" x14ac:dyDescent="0.3">
      <c r="A57">
        <v>100000</v>
      </c>
      <c r="B57" t="s">
        <v>67</v>
      </c>
      <c r="C57">
        <v>118667.70943575267</v>
      </c>
      <c r="D57">
        <v>116089.25843199603</v>
      </c>
      <c r="E57">
        <v>96077.266407303847</v>
      </c>
      <c r="F57">
        <v>127667.26786571207</v>
      </c>
      <c r="G57">
        <v>102948.05975928377</v>
      </c>
    </row>
    <row r="58" spans="1:7" x14ac:dyDescent="0.3">
      <c r="A58">
        <v>100000</v>
      </c>
      <c r="B58" t="s">
        <v>68</v>
      </c>
      <c r="C58">
        <v>119098.46217910583</v>
      </c>
      <c r="D58">
        <v>116520.01117534919</v>
      </c>
      <c r="E58">
        <v>96508.019150657012</v>
      </c>
      <c r="F58">
        <v>127224.51512235891</v>
      </c>
      <c r="G58">
        <v>103378.81250263694</v>
      </c>
    </row>
    <row r="59" spans="1:7" x14ac:dyDescent="0.3">
      <c r="A59">
        <v>100000</v>
      </c>
      <c r="B59" t="s">
        <v>69</v>
      </c>
      <c r="C59">
        <v>118600.78774434864</v>
      </c>
      <c r="D59">
        <v>116022.336740592</v>
      </c>
      <c r="E59">
        <v>96993.693585414207</v>
      </c>
      <c r="F59">
        <v>126726.84068760171</v>
      </c>
      <c r="G59">
        <v>102881.13806787974</v>
      </c>
    </row>
    <row r="60" spans="1:7" x14ac:dyDescent="0.3">
      <c r="A60">
        <v>100000</v>
      </c>
      <c r="B60" t="s">
        <v>70</v>
      </c>
      <c r="C60">
        <v>118652.38210010178</v>
      </c>
      <c r="D60">
        <v>116073.93109634514</v>
      </c>
      <c r="E60">
        <v>97045.287941167349</v>
      </c>
      <c r="F60">
        <v>126663.24633184857</v>
      </c>
      <c r="G60">
        <v>102932.73242363289</v>
      </c>
    </row>
    <row r="61" spans="1:7" x14ac:dyDescent="0.3">
      <c r="A61">
        <v>100000</v>
      </c>
      <c r="B61" t="s">
        <v>71</v>
      </c>
      <c r="C61">
        <v>119767.50682973408</v>
      </c>
      <c r="D61">
        <v>117189.05582597744</v>
      </c>
      <c r="E61">
        <v>95918.163211535051</v>
      </c>
      <c r="F61">
        <v>127778.37106148087</v>
      </c>
      <c r="G61">
        <v>101805.60769400059</v>
      </c>
    </row>
    <row r="62" spans="1:7" x14ac:dyDescent="0.3">
      <c r="A62">
        <v>100000</v>
      </c>
      <c r="B62" t="s">
        <v>72</v>
      </c>
      <c r="C62">
        <v>121262.07711772951</v>
      </c>
      <c r="D62">
        <v>118683.62611397287</v>
      </c>
      <c r="E62">
        <v>97412.733499530485</v>
      </c>
      <c r="F62">
        <v>129272.9413494763</v>
      </c>
      <c r="G62">
        <v>103300.17798199602</v>
      </c>
    </row>
    <row r="63" spans="1:7" x14ac:dyDescent="0.3">
      <c r="A63">
        <v>100000</v>
      </c>
      <c r="B63" t="s">
        <v>73</v>
      </c>
      <c r="C63">
        <v>121080.22505101454</v>
      </c>
      <c r="D63">
        <v>118501.7740472579</v>
      </c>
      <c r="E63">
        <v>97582.585566245456</v>
      </c>
      <c r="F63">
        <v>129091.08928276133</v>
      </c>
      <c r="G63">
        <v>103118.32591528105</v>
      </c>
    </row>
    <row r="64" spans="1:7" x14ac:dyDescent="0.3">
      <c r="A64">
        <v>100000</v>
      </c>
      <c r="B64" t="s">
        <v>74</v>
      </c>
      <c r="C64">
        <v>120605.04414775176</v>
      </c>
      <c r="D64">
        <v>118026.59314399512</v>
      </c>
      <c r="E64">
        <v>97107.404662982677</v>
      </c>
      <c r="F64">
        <v>129554.27018602411</v>
      </c>
      <c r="G64">
        <v>103581.50681854383</v>
      </c>
    </row>
    <row r="65" spans="1:7" x14ac:dyDescent="0.3">
      <c r="A65">
        <v>100000</v>
      </c>
      <c r="B65" t="s">
        <v>75</v>
      </c>
      <c r="C65">
        <v>120584.96286353863</v>
      </c>
      <c r="D65">
        <v>118006.511859782</v>
      </c>
      <c r="E65">
        <v>97087.32337876955</v>
      </c>
      <c r="F65">
        <v>129534.18890181098</v>
      </c>
      <c r="G65">
        <v>103589.58810275696</v>
      </c>
    </row>
    <row r="66" spans="1:7" x14ac:dyDescent="0.3">
      <c r="A66">
        <v>100000</v>
      </c>
      <c r="B66" t="s">
        <v>76</v>
      </c>
      <c r="C66">
        <v>118967.90756944173</v>
      </c>
      <c r="D66">
        <v>116389.45656568509</v>
      </c>
      <c r="E66">
        <v>98692.378672866456</v>
      </c>
      <c r="F66">
        <v>127917.13360771407</v>
      </c>
      <c r="G66">
        <v>105194.64339685386</v>
      </c>
    </row>
    <row r="67" spans="1:7" x14ac:dyDescent="0.3">
      <c r="A67">
        <v>100000</v>
      </c>
      <c r="B67" t="s">
        <v>77</v>
      </c>
      <c r="C67">
        <v>118687.80582007897</v>
      </c>
      <c r="D67">
        <v>116109.35481632233</v>
      </c>
      <c r="E67">
        <v>98412.276923503698</v>
      </c>
      <c r="F67">
        <v>127637.03185835131</v>
      </c>
      <c r="G67">
        <v>105462.74514621662</v>
      </c>
    </row>
    <row r="68" spans="1:7" x14ac:dyDescent="0.3">
      <c r="A68">
        <v>100000</v>
      </c>
      <c r="B68" t="s">
        <v>78</v>
      </c>
      <c r="C68">
        <v>118815.96852284762</v>
      </c>
      <c r="D68">
        <v>116237.51751909098</v>
      </c>
      <c r="E68">
        <v>98272.114220735049</v>
      </c>
      <c r="F68">
        <v>127496.86915558267</v>
      </c>
      <c r="G68">
        <v>105590.90784898527</v>
      </c>
    </row>
    <row r="69" spans="1:7" x14ac:dyDescent="0.3">
      <c r="A69">
        <v>100000</v>
      </c>
      <c r="B69" t="s">
        <v>79</v>
      </c>
      <c r="C69">
        <v>118280.03515803309</v>
      </c>
      <c r="D69">
        <v>115701.58415427645</v>
      </c>
      <c r="E69">
        <v>98796.047585549575</v>
      </c>
      <c r="F69">
        <v>128020.80252039719</v>
      </c>
      <c r="G69">
        <v>105054.97448417074</v>
      </c>
    </row>
    <row r="70" spans="1:7" x14ac:dyDescent="0.3">
      <c r="A70">
        <v>100000</v>
      </c>
      <c r="B70" t="s">
        <v>80</v>
      </c>
      <c r="C70">
        <v>121427.18034072797</v>
      </c>
      <c r="D70">
        <v>118848.72933697133</v>
      </c>
      <c r="E70">
        <v>95636.902402854699</v>
      </c>
      <c r="F70">
        <v>124861.65733770232</v>
      </c>
      <c r="G70">
        <v>101895.82930147587</v>
      </c>
    </row>
    <row r="71" spans="1:7" x14ac:dyDescent="0.3">
      <c r="A71">
        <v>100000</v>
      </c>
      <c r="B71" t="s">
        <v>81</v>
      </c>
      <c r="C71">
        <v>121499.00673598227</v>
      </c>
      <c r="D71">
        <v>118920.55573222564</v>
      </c>
      <c r="E71">
        <v>95553.076007600393</v>
      </c>
      <c r="F71">
        <v>124777.83094244801</v>
      </c>
      <c r="G71">
        <v>101812.00290622156</v>
      </c>
    </row>
    <row r="72" spans="1:7" x14ac:dyDescent="0.3">
      <c r="A72">
        <v>100000</v>
      </c>
      <c r="B72" t="s">
        <v>82</v>
      </c>
      <c r="C72">
        <v>120511.27637058958</v>
      </c>
      <c r="D72">
        <v>117932.82536683294</v>
      </c>
      <c r="E72">
        <v>96528.806372993087</v>
      </c>
      <c r="F72">
        <v>125753.5613078407</v>
      </c>
      <c r="G72">
        <v>100824.27254082887</v>
      </c>
    </row>
    <row r="73" spans="1:7" x14ac:dyDescent="0.3">
      <c r="A73">
        <v>100000</v>
      </c>
      <c r="B73" t="s">
        <v>83</v>
      </c>
      <c r="C73">
        <v>120108.39522420013</v>
      </c>
      <c r="D73">
        <v>117529.94422044349</v>
      </c>
      <c r="E73">
        <v>96919.68751938254</v>
      </c>
      <c r="F73">
        <v>126144.44245423016</v>
      </c>
      <c r="G73">
        <v>100421.39139443942</v>
      </c>
    </row>
    <row r="74" spans="1:7" x14ac:dyDescent="0.3">
      <c r="A74">
        <v>100000</v>
      </c>
      <c r="B74" t="s">
        <v>84</v>
      </c>
      <c r="C74">
        <v>122321.20750703695</v>
      </c>
      <c r="D74">
        <v>119742.75650328031</v>
      </c>
      <c r="E74">
        <v>94694.875236545719</v>
      </c>
      <c r="F74">
        <v>123919.63017139334</v>
      </c>
      <c r="G74">
        <v>102634.20367727624</v>
      </c>
    </row>
    <row r="75" spans="1:7" x14ac:dyDescent="0.3">
      <c r="A75">
        <v>100000</v>
      </c>
      <c r="B75" t="s">
        <v>85</v>
      </c>
      <c r="C75">
        <v>122592.23512268295</v>
      </c>
      <c r="D75">
        <v>120013.78411892631</v>
      </c>
      <c r="E75">
        <v>94965.902852191721</v>
      </c>
      <c r="F75">
        <v>124190.65778703934</v>
      </c>
      <c r="G75">
        <v>102905.23129292224</v>
      </c>
    </row>
    <row r="76" spans="1:7" x14ac:dyDescent="0.3">
      <c r="A76">
        <v>100000</v>
      </c>
      <c r="B76" t="s">
        <v>86</v>
      </c>
      <c r="C76">
        <v>123015.55286954065</v>
      </c>
      <c r="D76">
        <v>120437.10186578402</v>
      </c>
      <c r="E76">
        <v>95389.220599049426</v>
      </c>
      <c r="F76">
        <v>124613.97553389704</v>
      </c>
      <c r="G76">
        <v>103328.54903977994</v>
      </c>
    </row>
    <row r="77" spans="1:7" x14ac:dyDescent="0.3">
      <c r="A77">
        <v>100000</v>
      </c>
      <c r="B77" t="s">
        <v>87</v>
      </c>
      <c r="C77">
        <v>124078.40184100943</v>
      </c>
      <c r="D77">
        <v>121499.95083725279</v>
      </c>
      <c r="E77">
        <v>96452.069570518201</v>
      </c>
      <c r="F77">
        <v>125676.82450536582</v>
      </c>
      <c r="G77">
        <v>102253.70006831117</v>
      </c>
    </row>
    <row r="78" spans="1:7" x14ac:dyDescent="0.3">
      <c r="A78">
        <v>100000</v>
      </c>
      <c r="B78" t="s">
        <v>88</v>
      </c>
      <c r="C78">
        <v>124968.02344088348</v>
      </c>
      <c r="D78">
        <v>122389.57243712684</v>
      </c>
      <c r="E78">
        <v>95550.447970644149</v>
      </c>
      <c r="F78">
        <v>124775.20290549177</v>
      </c>
      <c r="G78">
        <v>103143.32166818522</v>
      </c>
    </row>
    <row r="79" spans="1:7" x14ac:dyDescent="0.3">
      <c r="A79">
        <v>100000</v>
      </c>
      <c r="B79" t="s">
        <v>89</v>
      </c>
      <c r="C79">
        <v>125289.85205839339</v>
      </c>
      <c r="D79">
        <v>122711.40105463675</v>
      </c>
      <c r="E79">
        <v>95216.619353134243</v>
      </c>
      <c r="F79">
        <v>124441.37428798186</v>
      </c>
      <c r="G79">
        <v>102809.49305067532</v>
      </c>
    </row>
    <row r="80" spans="1:7" x14ac:dyDescent="0.3">
      <c r="A80">
        <v>100000</v>
      </c>
      <c r="B80" t="s">
        <v>90</v>
      </c>
      <c r="C80">
        <v>125606.82906383483</v>
      </c>
      <c r="D80">
        <v>123028.37806007819</v>
      </c>
      <c r="E80">
        <v>94887.642347692803</v>
      </c>
      <c r="F80">
        <v>124112.39728254042</v>
      </c>
      <c r="G80">
        <v>103126.47005611676</v>
      </c>
    </row>
    <row r="81" spans="1:7" x14ac:dyDescent="0.3">
      <c r="A81">
        <v>100000</v>
      </c>
      <c r="B81" t="s">
        <v>91</v>
      </c>
      <c r="C81">
        <v>125661.1170275202</v>
      </c>
      <c r="D81">
        <v>123082.66602376357</v>
      </c>
      <c r="E81">
        <v>94941.930311378179</v>
      </c>
      <c r="F81">
        <v>124166.6852462258</v>
      </c>
      <c r="G81">
        <v>103180.75801980213</v>
      </c>
    </row>
    <row r="82" spans="1:7" x14ac:dyDescent="0.3">
      <c r="A82">
        <v>100000</v>
      </c>
      <c r="B82" t="s">
        <v>92</v>
      </c>
      <c r="C82">
        <v>126877.99176790549</v>
      </c>
      <c r="D82">
        <v>124299.54076414886</v>
      </c>
      <c r="E82">
        <v>96158.805051763469</v>
      </c>
      <c r="F82">
        <v>125383.55998661109</v>
      </c>
      <c r="G82">
        <v>101951.88327941684</v>
      </c>
    </row>
    <row r="83" spans="1:7" x14ac:dyDescent="0.3">
      <c r="A83">
        <v>100000</v>
      </c>
      <c r="B83" t="s">
        <v>93</v>
      </c>
      <c r="C83">
        <v>127261.49704561768</v>
      </c>
      <c r="D83">
        <v>124683.04604186105</v>
      </c>
      <c r="E83">
        <v>96542.310329475658</v>
      </c>
      <c r="F83">
        <v>125767.06526432328</v>
      </c>
      <c r="G83">
        <v>102335.38855712903</v>
      </c>
    </row>
    <row r="84" spans="1:7" x14ac:dyDescent="0.3">
      <c r="A84">
        <v>100000</v>
      </c>
      <c r="B84" t="s">
        <v>94</v>
      </c>
      <c r="C84">
        <v>124367.66646501177</v>
      </c>
      <c r="D84">
        <v>121789.21546125514</v>
      </c>
      <c r="E84">
        <v>93648.479748869751</v>
      </c>
      <c r="F84">
        <v>122873.23468371737</v>
      </c>
      <c r="G84">
        <v>99441.557976523123</v>
      </c>
    </row>
    <row r="85" spans="1:7" x14ac:dyDescent="0.3">
      <c r="A85">
        <v>100000</v>
      </c>
      <c r="B85" t="s">
        <v>95</v>
      </c>
      <c r="C85">
        <v>123216.28911583625</v>
      </c>
      <c r="D85">
        <v>120637.83811207961</v>
      </c>
      <c r="E85">
        <v>92497.102399694224</v>
      </c>
      <c r="F85">
        <v>121721.85733454184</v>
      </c>
      <c r="G85">
        <v>98290.180627347596</v>
      </c>
    </row>
    <row r="86" spans="1:7" x14ac:dyDescent="0.3">
      <c r="A86">
        <v>100000</v>
      </c>
      <c r="B86" t="s">
        <v>96</v>
      </c>
      <c r="C86">
        <v>123588.53353999172</v>
      </c>
      <c r="D86">
        <v>121010.08253623509</v>
      </c>
      <c r="E86">
        <v>92869.346823849701</v>
      </c>
      <c r="F86">
        <v>122094.10175869732</v>
      </c>
      <c r="G86">
        <v>98662.425051503073</v>
      </c>
    </row>
    <row r="87" spans="1:7" x14ac:dyDescent="0.3">
      <c r="A87">
        <v>100000</v>
      </c>
      <c r="B87" t="s">
        <v>97</v>
      </c>
      <c r="C87">
        <v>124373.32335552823</v>
      </c>
      <c r="D87">
        <v>121794.8723517716</v>
      </c>
      <c r="E87">
        <v>93654.136639386212</v>
      </c>
      <c r="F87">
        <v>122878.89157423383</v>
      </c>
      <c r="G87">
        <v>99447.214867039584</v>
      </c>
    </row>
    <row r="88" spans="1:7" x14ac:dyDescent="0.3">
      <c r="A88">
        <v>100000</v>
      </c>
      <c r="B88" t="s">
        <v>98</v>
      </c>
      <c r="C88">
        <v>125204.72967680552</v>
      </c>
      <c r="D88">
        <v>122626.27867304889</v>
      </c>
      <c r="E88">
        <v>94485.542960663501</v>
      </c>
      <c r="F88">
        <v>123710.29789551112</v>
      </c>
      <c r="G88">
        <v>100278.62118831687</v>
      </c>
    </row>
    <row r="89" spans="1:7" x14ac:dyDescent="0.3">
      <c r="A89">
        <v>100000</v>
      </c>
      <c r="B89" t="s">
        <v>99</v>
      </c>
      <c r="C89">
        <v>125463.1201913878</v>
      </c>
      <c r="D89">
        <v>122884.66918763117</v>
      </c>
      <c r="E89">
        <v>94743.93347524578</v>
      </c>
      <c r="F89">
        <v>123968.6884100934</v>
      </c>
      <c r="G89">
        <v>100537.01170289915</v>
      </c>
    </row>
    <row r="90" spans="1:7" x14ac:dyDescent="0.3">
      <c r="A90">
        <v>100000</v>
      </c>
      <c r="B90" t="s">
        <v>100</v>
      </c>
      <c r="C90">
        <v>123749.71927138847</v>
      </c>
      <c r="D90">
        <v>121171.26826763184</v>
      </c>
      <c r="E90">
        <v>93030.532555246449</v>
      </c>
      <c r="F90">
        <v>122255.28749009407</v>
      </c>
      <c r="G90">
        <v>102238.41262289848</v>
      </c>
    </row>
    <row r="91" spans="1:7" x14ac:dyDescent="0.3">
      <c r="A91">
        <v>100000</v>
      </c>
      <c r="B91" t="s">
        <v>101</v>
      </c>
      <c r="C91">
        <v>124209.78064957551</v>
      </c>
      <c r="D91">
        <v>121631.32964581887</v>
      </c>
      <c r="E91">
        <v>93490.593933433483</v>
      </c>
      <c r="F91">
        <v>122715.3488682811</v>
      </c>
      <c r="G91">
        <v>102698.47400108552</v>
      </c>
    </row>
    <row r="92" spans="1:7" x14ac:dyDescent="0.3">
      <c r="A92">
        <v>100000</v>
      </c>
      <c r="B92" t="s">
        <v>102</v>
      </c>
      <c r="C92">
        <v>124483.14201649718</v>
      </c>
      <c r="D92">
        <v>121904.69101274054</v>
      </c>
      <c r="E92">
        <v>93763.955300355155</v>
      </c>
      <c r="F92">
        <v>122988.71023520277</v>
      </c>
      <c r="G92">
        <v>102413.11263416384</v>
      </c>
    </row>
    <row r="93" spans="1:7" x14ac:dyDescent="0.3">
      <c r="A93">
        <v>100000</v>
      </c>
      <c r="B93" t="s">
        <v>103</v>
      </c>
      <c r="C93">
        <v>123407.37231638878</v>
      </c>
      <c r="D93">
        <v>122968.46071284894</v>
      </c>
      <c r="E93">
        <v>92688.185600246754</v>
      </c>
      <c r="F93">
        <v>121912.94053509437</v>
      </c>
      <c r="G93">
        <v>103476.88233427225</v>
      </c>
    </row>
    <row r="94" spans="1:7" x14ac:dyDescent="0.3">
      <c r="A94">
        <v>100000</v>
      </c>
      <c r="B94" t="s">
        <v>104</v>
      </c>
      <c r="C94">
        <v>123441.67734484412</v>
      </c>
      <c r="D94">
        <v>122922.1556843936</v>
      </c>
      <c r="E94">
        <v>92722.4906287021</v>
      </c>
      <c r="F94">
        <v>121947.24556354972</v>
      </c>
      <c r="G94">
        <v>103430.5773058169</v>
      </c>
    </row>
    <row r="95" spans="1:7" x14ac:dyDescent="0.3">
      <c r="A95">
        <v>100000</v>
      </c>
      <c r="B95" t="s">
        <v>105</v>
      </c>
      <c r="C95">
        <v>123853.03558001501</v>
      </c>
      <c r="D95">
        <v>122498.79744922271</v>
      </c>
      <c r="E95">
        <v>92299.13239353121</v>
      </c>
      <c r="F95">
        <v>122358.60379872061</v>
      </c>
      <c r="G95">
        <v>103007.21907064601</v>
      </c>
    </row>
    <row r="96" spans="1:7" x14ac:dyDescent="0.3">
      <c r="A96">
        <v>100000</v>
      </c>
      <c r="B96" t="s">
        <v>106</v>
      </c>
      <c r="C96">
        <v>123704.66840212075</v>
      </c>
      <c r="D96">
        <v>122635.16462711697</v>
      </c>
      <c r="E96">
        <v>92435.499571425476</v>
      </c>
      <c r="F96">
        <v>122210.23662082634</v>
      </c>
      <c r="G96">
        <v>103143.58624854028</v>
      </c>
    </row>
    <row r="97" spans="1:7" x14ac:dyDescent="0.3">
      <c r="A97">
        <v>100000</v>
      </c>
      <c r="B97" t="s">
        <v>107</v>
      </c>
      <c r="C97">
        <v>123129.28601265029</v>
      </c>
      <c r="D97">
        <v>122059.78223764652</v>
      </c>
      <c r="E97">
        <v>92998.881960895931</v>
      </c>
      <c r="F97">
        <v>121634.85423135589</v>
      </c>
      <c r="G97">
        <v>103706.96863801073</v>
      </c>
    </row>
    <row r="98" spans="1:7" x14ac:dyDescent="0.3">
      <c r="A98">
        <v>100000</v>
      </c>
      <c r="B98" t="s">
        <v>108</v>
      </c>
      <c r="C98">
        <v>122503.37187155975</v>
      </c>
      <c r="D98">
        <v>121433.86809655598</v>
      </c>
      <c r="E98">
        <v>93612.796101986474</v>
      </c>
      <c r="F98">
        <v>121008.94009026534</v>
      </c>
      <c r="G98">
        <v>104320.88277910127</v>
      </c>
    </row>
    <row r="99" spans="1:7" x14ac:dyDescent="0.3">
      <c r="A99">
        <v>100000</v>
      </c>
      <c r="B99" t="s">
        <v>109</v>
      </c>
      <c r="C99">
        <v>121241.76934128223</v>
      </c>
      <c r="D99">
        <v>120172.26556627845</v>
      </c>
      <c r="E99">
        <v>92351.193571708951</v>
      </c>
      <c r="F99">
        <v>119747.33755998782</v>
      </c>
      <c r="G99">
        <v>105570.4853093788</v>
      </c>
    </row>
    <row r="100" spans="1:7" x14ac:dyDescent="0.3">
      <c r="A100">
        <v>100000</v>
      </c>
      <c r="B100" t="s">
        <v>110</v>
      </c>
      <c r="C100">
        <v>120801.94697182332</v>
      </c>
      <c r="D100">
        <v>119732.44319681954</v>
      </c>
      <c r="E100">
        <v>91911.37120225004</v>
      </c>
      <c r="F100">
        <v>119307.51519052891</v>
      </c>
      <c r="G100">
        <v>105998.30767883771</v>
      </c>
    </row>
    <row r="101" spans="1:7" x14ac:dyDescent="0.3">
      <c r="A101">
        <v>100000</v>
      </c>
      <c r="B101" t="s">
        <v>111</v>
      </c>
      <c r="C101">
        <v>119861.14728604168</v>
      </c>
      <c r="D101">
        <v>118791.64351103791</v>
      </c>
      <c r="E101">
        <v>90970.571516468408</v>
      </c>
      <c r="F101">
        <v>118366.71550474728</v>
      </c>
      <c r="G101">
        <v>106927.10736461934</v>
      </c>
    </row>
    <row r="102" spans="1:7" x14ac:dyDescent="0.3">
      <c r="A102">
        <v>100000</v>
      </c>
      <c r="B102" t="s">
        <v>112</v>
      </c>
      <c r="C102">
        <v>118388.09732197582</v>
      </c>
      <c r="D102">
        <v>117318.59354697204</v>
      </c>
      <c r="E102">
        <v>92431.621480534275</v>
      </c>
      <c r="F102">
        <v>119827.76546881314</v>
      </c>
      <c r="G102">
        <v>105454.05740055347</v>
      </c>
    </row>
    <row r="103" spans="1:7" x14ac:dyDescent="0.3">
      <c r="A103">
        <v>100000</v>
      </c>
      <c r="B103" t="s">
        <v>113</v>
      </c>
      <c r="C103">
        <v>118572.90060379225</v>
      </c>
      <c r="D103">
        <v>117503.39682878848</v>
      </c>
      <c r="E103">
        <v>92616.424762350711</v>
      </c>
      <c r="F103">
        <v>120012.56875062958</v>
      </c>
      <c r="G103">
        <v>105257.25411873704</v>
      </c>
    </row>
    <row r="104" spans="1:7" x14ac:dyDescent="0.3">
      <c r="A104">
        <v>100000</v>
      </c>
      <c r="B104" t="s">
        <v>114</v>
      </c>
      <c r="C104">
        <v>119336.59504437278</v>
      </c>
      <c r="D104">
        <v>118267.091269369</v>
      </c>
      <c r="E104">
        <v>91840.730321770185</v>
      </c>
      <c r="F104">
        <v>119236.87431004905</v>
      </c>
      <c r="G104">
        <v>106020.94855931756</v>
      </c>
    </row>
    <row r="105" spans="1:7" x14ac:dyDescent="0.3">
      <c r="A105">
        <v>100000</v>
      </c>
      <c r="B105" t="s">
        <v>115</v>
      </c>
      <c r="C105">
        <v>122068.62964794427</v>
      </c>
      <c r="D105">
        <v>120999.12587294049</v>
      </c>
      <c r="E105">
        <v>89096.695718198695</v>
      </c>
      <c r="F105">
        <v>116492.83970647756</v>
      </c>
      <c r="G105">
        <v>108752.98316288905</v>
      </c>
    </row>
    <row r="106" spans="1:7" x14ac:dyDescent="0.3">
      <c r="A106">
        <v>100000</v>
      </c>
      <c r="B106" t="s">
        <v>116</v>
      </c>
      <c r="C106">
        <v>123344.06962887167</v>
      </c>
      <c r="D106">
        <v>119711.68589201309</v>
      </c>
      <c r="E106">
        <v>90372.135699126098</v>
      </c>
      <c r="F106">
        <v>117768.27968740497</v>
      </c>
      <c r="G106">
        <v>110028.42314381646</v>
      </c>
    </row>
    <row r="107" spans="1:7" x14ac:dyDescent="0.3">
      <c r="A107">
        <v>100000</v>
      </c>
      <c r="B107" t="s">
        <v>117</v>
      </c>
      <c r="C107">
        <v>122284.6618547223</v>
      </c>
      <c r="D107">
        <v>118652.27811786372</v>
      </c>
      <c r="E107">
        <v>91419.543473275466</v>
      </c>
      <c r="F107">
        <v>118815.68746155433</v>
      </c>
      <c r="G107">
        <v>111075.83091796582</v>
      </c>
    </row>
    <row r="108" spans="1:7" x14ac:dyDescent="0.3">
      <c r="A108">
        <v>100000</v>
      </c>
      <c r="B108" t="s">
        <v>118</v>
      </c>
      <c r="C108">
        <v>124274.73715980601</v>
      </c>
      <c r="D108">
        <v>120642.35342294743</v>
      </c>
      <c r="E108">
        <v>89417.468168191757</v>
      </c>
      <c r="F108">
        <v>116813.61215647063</v>
      </c>
      <c r="G108">
        <v>113065.90622304953</v>
      </c>
    </row>
    <row r="109" spans="1:7" x14ac:dyDescent="0.3">
      <c r="A109">
        <v>100000</v>
      </c>
      <c r="B109" t="s">
        <v>119</v>
      </c>
      <c r="C109">
        <v>124626.29142876463</v>
      </c>
      <c r="D109">
        <v>120278.79915398882</v>
      </c>
      <c r="E109">
        <v>89053.913899233143</v>
      </c>
      <c r="F109">
        <v>116450.05788751201</v>
      </c>
      <c r="G109">
        <v>112702.35195409092</v>
      </c>
    </row>
    <row r="110" spans="1:7" x14ac:dyDescent="0.3">
      <c r="A110">
        <v>100000</v>
      </c>
      <c r="B110" t="s">
        <v>120</v>
      </c>
      <c r="C110">
        <v>124851.49323064707</v>
      </c>
      <c r="D110">
        <v>120041.59735210637</v>
      </c>
      <c r="E110">
        <v>88816.712097350697</v>
      </c>
      <c r="F110">
        <v>116212.85608562957</v>
      </c>
      <c r="G110">
        <v>112465.15015220847</v>
      </c>
    </row>
    <row r="111" spans="1:7" x14ac:dyDescent="0.3">
      <c r="A111">
        <v>100000</v>
      </c>
      <c r="B111" t="s">
        <v>121</v>
      </c>
      <c r="C111">
        <v>124335.58581909811</v>
      </c>
      <c r="D111">
        <v>120545.50476365534</v>
      </c>
      <c r="E111">
        <v>89320.619508899661</v>
      </c>
      <c r="F111">
        <v>116716.76349717853</v>
      </c>
      <c r="G111">
        <v>112969.05756375744</v>
      </c>
    </row>
    <row r="112" spans="1:7" x14ac:dyDescent="0.3">
      <c r="A112">
        <v>100000</v>
      </c>
      <c r="B112" t="s">
        <v>122</v>
      </c>
      <c r="C112">
        <v>121867.31896546199</v>
      </c>
      <c r="D112">
        <v>118077.23791001922</v>
      </c>
      <c r="E112">
        <v>91776.886362535777</v>
      </c>
      <c r="F112">
        <v>119173.03035081465</v>
      </c>
      <c r="G112">
        <v>110500.79071012132</v>
      </c>
    </row>
    <row r="113" spans="1:7" x14ac:dyDescent="0.3">
      <c r="A113">
        <v>100000</v>
      </c>
      <c r="B113" t="s">
        <v>123</v>
      </c>
      <c r="C113">
        <v>122242.50945267591</v>
      </c>
      <c r="D113">
        <v>118452.42839723313</v>
      </c>
      <c r="E113">
        <v>92152.07684974969</v>
      </c>
      <c r="F113">
        <v>119548.22083802856</v>
      </c>
      <c r="G113">
        <v>110875.98119733523</v>
      </c>
    </row>
    <row r="114" spans="1:7" x14ac:dyDescent="0.3">
      <c r="A114">
        <v>100000</v>
      </c>
      <c r="B114" t="s">
        <v>124</v>
      </c>
      <c r="C114">
        <v>122886.24001464665</v>
      </c>
      <c r="D114">
        <v>119096.15895920388</v>
      </c>
      <c r="E114">
        <v>92795.807411720438</v>
      </c>
      <c r="F114">
        <v>120191.95139999931</v>
      </c>
      <c r="G114">
        <v>111519.71175930598</v>
      </c>
    </row>
    <row r="115" spans="1:7" x14ac:dyDescent="0.3">
      <c r="A115">
        <v>100000</v>
      </c>
      <c r="B115" t="s">
        <v>125</v>
      </c>
      <c r="C115">
        <v>123938.3041378997</v>
      </c>
      <c r="D115">
        <v>120148.22308245693</v>
      </c>
      <c r="E115">
        <v>91731.743288467391</v>
      </c>
      <c r="F115">
        <v>119127.88727674626</v>
      </c>
      <c r="G115">
        <v>112571.77588255903</v>
      </c>
    </row>
    <row r="116" spans="1:7" x14ac:dyDescent="0.3">
      <c r="A116">
        <v>100000</v>
      </c>
      <c r="B116" t="s">
        <v>126</v>
      </c>
      <c r="C116">
        <v>123911.37049753964</v>
      </c>
      <c r="D116">
        <v>120121.28944209687</v>
      </c>
      <c r="E116">
        <v>91746.676928827452</v>
      </c>
      <c r="F116">
        <v>119142.82091710632</v>
      </c>
      <c r="G116">
        <v>112586.70952291909</v>
      </c>
    </row>
    <row r="117" spans="1:7" x14ac:dyDescent="0.3">
      <c r="A117">
        <v>100000</v>
      </c>
      <c r="B117" t="s">
        <v>127</v>
      </c>
      <c r="C117">
        <v>124796.73206729317</v>
      </c>
      <c r="D117">
        <v>121006.65101185039</v>
      </c>
      <c r="E117">
        <v>90849.315359073924</v>
      </c>
      <c r="F117">
        <v>118245.45934735279</v>
      </c>
      <c r="G117">
        <v>111689.34795316556</v>
      </c>
    </row>
    <row r="118" spans="1:7" x14ac:dyDescent="0.3">
      <c r="A118">
        <v>100000</v>
      </c>
      <c r="B118" t="s">
        <v>128</v>
      </c>
      <c r="C118">
        <v>127975.37937019773</v>
      </c>
      <c r="D118">
        <v>124185.29831475495</v>
      </c>
      <c r="E118">
        <v>87658.668056169365</v>
      </c>
      <c r="F118">
        <v>115054.81204444823</v>
      </c>
      <c r="G118">
        <v>108498.700650261</v>
      </c>
    </row>
    <row r="119" spans="1:7" x14ac:dyDescent="0.3">
      <c r="A119">
        <v>100000</v>
      </c>
      <c r="B119" t="s">
        <v>129</v>
      </c>
      <c r="C119">
        <v>130493.74792231442</v>
      </c>
      <c r="D119">
        <v>126703.66686687164</v>
      </c>
      <c r="E119">
        <v>90177.036608286056</v>
      </c>
      <c r="F119">
        <v>117573.18059656493</v>
      </c>
      <c r="G119">
        <v>111017.06920237769</v>
      </c>
    </row>
    <row r="120" spans="1:7" x14ac:dyDescent="0.3">
      <c r="A120">
        <v>100000</v>
      </c>
      <c r="B120" t="s">
        <v>130</v>
      </c>
      <c r="C120">
        <v>130835.51762803641</v>
      </c>
      <c r="D120">
        <v>127045.43657259364</v>
      </c>
      <c r="E120">
        <v>90518.806314008049</v>
      </c>
      <c r="F120">
        <v>117219.41089084293</v>
      </c>
      <c r="G120">
        <v>111358.83890809969</v>
      </c>
    </row>
    <row r="121" spans="1:7" x14ac:dyDescent="0.3">
      <c r="A121">
        <v>100000</v>
      </c>
      <c r="B121" t="s">
        <v>131</v>
      </c>
      <c r="C121">
        <v>130048.59301329256</v>
      </c>
      <c r="D121">
        <v>126258.51195784978</v>
      </c>
      <c r="E121">
        <v>91293.730928751902</v>
      </c>
      <c r="F121">
        <v>116432.48627609908</v>
      </c>
      <c r="G121">
        <v>112133.76352284354</v>
      </c>
    </row>
    <row r="122" spans="1:7" x14ac:dyDescent="0.3">
      <c r="A122">
        <v>100000</v>
      </c>
      <c r="B122" t="s">
        <v>132</v>
      </c>
      <c r="C122">
        <v>131748.16795227223</v>
      </c>
      <c r="D122">
        <v>127958.08689682945</v>
      </c>
      <c r="E122">
        <v>89582.155989772233</v>
      </c>
      <c r="F122">
        <v>118132.06121507875</v>
      </c>
      <c r="G122">
        <v>113833.33846182321</v>
      </c>
    </row>
    <row r="123" spans="1:7" x14ac:dyDescent="0.3">
      <c r="A123">
        <v>100000</v>
      </c>
      <c r="B123" t="s">
        <v>133</v>
      </c>
      <c r="C123">
        <v>131574.74639375688</v>
      </c>
      <c r="D123">
        <v>127784.66533831412</v>
      </c>
      <c r="E123">
        <v>89408.734431256904</v>
      </c>
      <c r="F123">
        <v>118293.48277359408</v>
      </c>
      <c r="G123">
        <v>113659.91690330788</v>
      </c>
    </row>
    <row r="124" spans="1:7" x14ac:dyDescent="0.3">
      <c r="A124">
        <v>100000</v>
      </c>
      <c r="B124" t="s">
        <v>134</v>
      </c>
      <c r="C124">
        <v>133071.07552815767</v>
      </c>
      <c r="D124">
        <v>129280.99447271491</v>
      </c>
      <c r="E124">
        <v>90905.063565657692</v>
      </c>
      <c r="F124">
        <v>116785.15363919329</v>
      </c>
      <c r="G124">
        <v>115156.24603770867</v>
      </c>
    </row>
    <row r="125" spans="1:7" x14ac:dyDescent="0.3">
      <c r="A125">
        <v>100000</v>
      </c>
      <c r="B125" t="s">
        <v>135</v>
      </c>
      <c r="C125">
        <v>132318.3799571463</v>
      </c>
      <c r="D125">
        <v>128528.29890170356</v>
      </c>
      <c r="E125">
        <v>90152.367994646338</v>
      </c>
      <c r="F125">
        <v>117525.84921020464</v>
      </c>
      <c r="G125">
        <v>115896.94160872002</v>
      </c>
    </row>
    <row r="126" spans="1:7" x14ac:dyDescent="0.3">
      <c r="A126">
        <v>100000</v>
      </c>
      <c r="B126" t="s">
        <v>136</v>
      </c>
      <c r="C126">
        <v>132736.91954097792</v>
      </c>
      <c r="D126">
        <v>128946.83848553516</v>
      </c>
      <c r="E126">
        <v>89721.828410814735</v>
      </c>
      <c r="F126">
        <v>117944.38879403625</v>
      </c>
      <c r="G126">
        <v>116315.48119255163</v>
      </c>
    </row>
    <row r="127" spans="1:7" x14ac:dyDescent="0.3">
      <c r="A127">
        <v>100000</v>
      </c>
      <c r="B127" t="s">
        <v>137</v>
      </c>
      <c r="C127">
        <v>132808.58016405508</v>
      </c>
      <c r="D127">
        <v>129018.4991086123</v>
      </c>
      <c r="E127">
        <v>89793.489033891878</v>
      </c>
      <c r="F127">
        <v>118016.04941711339</v>
      </c>
      <c r="G127">
        <v>116387.14181562877</v>
      </c>
    </row>
    <row r="128" spans="1:7" x14ac:dyDescent="0.3">
      <c r="A128">
        <v>100000</v>
      </c>
      <c r="B128" t="s">
        <v>138</v>
      </c>
      <c r="C128">
        <v>133532.35590234242</v>
      </c>
      <c r="D128">
        <v>129742.27484689963</v>
      </c>
      <c r="E128">
        <v>89057.713295604553</v>
      </c>
      <c r="F128">
        <v>118739.82515540071</v>
      </c>
      <c r="G128">
        <v>117110.91755391609</v>
      </c>
    </row>
    <row r="129" spans="1:7" x14ac:dyDescent="0.3">
      <c r="A129">
        <v>100000</v>
      </c>
      <c r="B129" t="s">
        <v>139</v>
      </c>
      <c r="C129">
        <v>133754.91216404669</v>
      </c>
      <c r="D129">
        <v>129964.83110860392</v>
      </c>
      <c r="E129">
        <v>89280.269557308842</v>
      </c>
      <c r="F129">
        <v>118505.26889369643</v>
      </c>
      <c r="G129">
        <v>116876.3612922118</v>
      </c>
    </row>
    <row r="130" spans="1:7" x14ac:dyDescent="0.3">
      <c r="A130">
        <v>100000</v>
      </c>
      <c r="B130" t="s">
        <v>140</v>
      </c>
      <c r="C130">
        <v>132835.86090188759</v>
      </c>
      <c r="D130">
        <v>129045.77984644481</v>
      </c>
      <c r="E130">
        <v>88361.218295149738</v>
      </c>
      <c r="F130">
        <v>119412.32015585553</v>
      </c>
      <c r="G130">
        <v>117783.41255437091</v>
      </c>
    </row>
    <row r="131" spans="1:7" x14ac:dyDescent="0.3">
      <c r="A131">
        <v>100000</v>
      </c>
      <c r="B131" t="s">
        <v>141</v>
      </c>
      <c r="C131">
        <v>131696.32605124748</v>
      </c>
      <c r="D131">
        <v>127906.24499580471</v>
      </c>
      <c r="E131">
        <v>87221.683444509632</v>
      </c>
      <c r="F131">
        <v>120539.85500649564</v>
      </c>
      <c r="G131">
        <v>118910.94740501101</v>
      </c>
    </row>
    <row r="132" spans="1:7" x14ac:dyDescent="0.3">
      <c r="A132">
        <v>100000</v>
      </c>
      <c r="B132" t="s">
        <v>142</v>
      </c>
      <c r="C132">
        <v>132537.23542018238</v>
      </c>
      <c r="D132">
        <v>128747.1543647396</v>
      </c>
      <c r="E132">
        <v>88062.592813444528</v>
      </c>
      <c r="F132">
        <v>119686.94563756074</v>
      </c>
      <c r="G132">
        <v>119751.85677394591</v>
      </c>
    </row>
    <row r="133" spans="1:7" x14ac:dyDescent="0.3">
      <c r="A133">
        <v>100000</v>
      </c>
      <c r="B133" t="s">
        <v>143</v>
      </c>
      <c r="C133">
        <v>133373.84392096673</v>
      </c>
      <c r="D133">
        <v>129583.76286552394</v>
      </c>
      <c r="E133">
        <v>88899.201314228863</v>
      </c>
      <c r="F133">
        <v>118838.3371367764</v>
      </c>
      <c r="G133">
        <v>120588.46527473025</v>
      </c>
    </row>
    <row r="134" spans="1:7" x14ac:dyDescent="0.3">
      <c r="A134">
        <v>100000</v>
      </c>
      <c r="B134" t="s">
        <v>144</v>
      </c>
      <c r="C134">
        <v>132960.09364535773</v>
      </c>
      <c r="D134">
        <v>129170.01258991494</v>
      </c>
      <c r="E134">
        <v>88485.451038619867</v>
      </c>
      <c r="F134">
        <v>119240.0874123854</v>
      </c>
      <c r="G134">
        <v>120990.21555033924</v>
      </c>
    </row>
    <row r="135" spans="1:7" x14ac:dyDescent="0.3">
      <c r="A135">
        <v>100000</v>
      </c>
      <c r="B135" t="s">
        <v>145</v>
      </c>
      <c r="C135">
        <v>132716.44047045984</v>
      </c>
      <c r="D135">
        <v>128926.35941501705</v>
      </c>
      <c r="E135">
        <v>88241.797863721979</v>
      </c>
      <c r="F135">
        <v>119471.74058728329</v>
      </c>
      <c r="G135">
        <v>121221.86872523713</v>
      </c>
    </row>
    <row r="136" spans="1:7" x14ac:dyDescent="0.3">
      <c r="A136">
        <v>100000</v>
      </c>
      <c r="B136" t="s">
        <v>146</v>
      </c>
      <c r="C136">
        <v>131791.61785917776</v>
      </c>
      <c r="D136">
        <v>128001.53680373497</v>
      </c>
      <c r="E136">
        <v>87316.975252439894</v>
      </c>
      <c r="F136">
        <v>120384.56319856537</v>
      </c>
      <c r="G136">
        <v>122134.69133651922</v>
      </c>
    </row>
    <row r="137" spans="1:7" x14ac:dyDescent="0.3">
      <c r="A137">
        <v>100000</v>
      </c>
      <c r="B137" t="s">
        <v>147</v>
      </c>
      <c r="C137">
        <v>132438.62037625792</v>
      </c>
      <c r="D137">
        <v>128648.53932081515</v>
      </c>
      <c r="E137">
        <v>87963.977769520076</v>
      </c>
      <c r="F137">
        <v>119725.56068148519</v>
      </c>
      <c r="G137">
        <v>122781.6938535994</v>
      </c>
    </row>
    <row r="138" spans="1:7" x14ac:dyDescent="0.3">
      <c r="A138">
        <v>100000</v>
      </c>
      <c r="B138" t="s">
        <v>148</v>
      </c>
      <c r="C138">
        <v>132448.52851399349</v>
      </c>
      <c r="D138">
        <v>128658.4474585507</v>
      </c>
      <c r="E138">
        <v>87973.885907255622</v>
      </c>
      <c r="F138">
        <v>119703.65254374965</v>
      </c>
      <c r="G138">
        <v>122791.60199133494</v>
      </c>
    </row>
    <row r="139" spans="1:7" x14ac:dyDescent="0.3">
      <c r="A139">
        <v>100000</v>
      </c>
      <c r="B139" t="s">
        <v>149</v>
      </c>
      <c r="C139">
        <v>128449.75655880736</v>
      </c>
      <c r="D139">
        <v>124659.67550336457</v>
      </c>
      <c r="E139">
        <v>83975.1139520695</v>
      </c>
      <c r="F139">
        <v>123690.42449893577</v>
      </c>
      <c r="G139">
        <v>126778.37394652107</v>
      </c>
    </row>
    <row r="140" spans="1:7" x14ac:dyDescent="0.3">
      <c r="A140">
        <v>100000</v>
      </c>
      <c r="B140" t="s">
        <v>150</v>
      </c>
      <c r="C140">
        <v>130257.81551572346</v>
      </c>
      <c r="D140">
        <v>126467.73446028067</v>
      </c>
      <c r="E140">
        <v>85783.172908985594</v>
      </c>
      <c r="F140">
        <v>121870.36554201967</v>
      </c>
      <c r="G140">
        <v>128586.43290343716</v>
      </c>
    </row>
    <row r="141" spans="1:7" x14ac:dyDescent="0.3">
      <c r="A141">
        <v>100000</v>
      </c>
      <c r="B141" t="s">
        <v>151</v>
      </c>
      <c r="C141">
        <v>132166.16465115588</v>
      </c>
      <c r="D141">
        <v>128376.08359571309</v>
      </c>
      <c r="E141">
        <v>87691.522044418016</v>
      </c>
      <c r="F141">
        <v>119950.01640658725</v>
      </c>
      <c r="G141">
        <v>130494.78203886958</v>
      </c>
    </row>
    <row r="142" spans="1:7" x14ac:dyDescent="0.3">
      <c r="A142">
        <v>100000</v>
      </c>
      <c r="B142" t="s">
        <v>152</v>
      </c>
      <c r="C142">
        <v>133745.19350240371</v>
      </c>
      <c r="D142">
        <v>129955.11244696092</v>
      </c>
      <c r="E142">
        <v>89270.550895665845</v>
      </c>
      <c r="F142">
        <v>118358.98755533942</v>
      </c>
      <c r="G142">
        <v>128903.75318762175</v>
      </c>
    </row>
    <row r="143" spans="1:7" x14ac:dyDescent="0.3">
      <c r="A143">
        <v>100000</v>
      </c>
      <c r="B143" t="s">
        <v>153</v>
      </c>
      <c r="C143">
        <v>133937.24479335119</v>
      </c>
      <c r="D143">
        <v>130147.16373790838</v>
      </c>
      <c r="E143">
        <v>89462.602186613309</v>
      </c>
      <c r="F143">
        <v>118154.93626439196</v>
      </c>
      <c r="G143">
        <v>128699.70189667429</v>
      </c>
    </row>
    <row r="144" spans="1:7" x14ac:dyDescent="0.3">
      <c r="A144">
        <v>100000</v>
      </c>
      <c r="B144" t="s">
        <v>154</v>
      </c>
      <c r="C144">
        <v>132890.19308634318</v>
      </c>
      <c r="D144">
        <v>129100.11203090036</v>
      </c>
      <c r="E144">
        <v>88415.550479605285</v>
      </c>
      <c r="F144">
        <v>119189.98797139998</v>
      </c>
      <c r="G144">
        <v>129734.75360368231</v>
      </c>
    </row>
    <row r="145" spans="1:7" x14ac:dyDescent="0.3">
      <c r="A145">
        <v>100000</v>
      </c>
      <c r="B145" t="s">
        <v>155</v>
      </c>
      <c r="C145">
        <v>133922.35163614259</v>
      </c>
      <c r="D145">
        <v>130132.27058069975</v>
      </c>
      <c r="E145">
        <v>89447.709029404679</v>
      </c>
      <c r="F145">
        <v>118145.82942160059</v>
      </c>
      <c r="G145">
        <v>128690.59505388292</v>
      </c>
    </row>
    <row r="146" spans="1:7" x14ac:dyDescent="0.3">
      <c r="A146">
        <v>100000</v>
      </c>
      <c r="B146" t="s">
        <v>156</v>
      </c>
      <c r="C146">
        <v>136761.86814807114</v>
      </c>
      <c r="D146">
        <v>132971.78709262831</v>
      </c>
      <c r="E146">
        <v>92287.225541333231</v>
      </c>
      <c r="F146">
        <v>115294.31290967204</v>
      </c>
      <c r="G146">
        <v>125839.07854195437</v>
      </c>
    </row>
    <row r="147" spans="1:7" x14ac:dyDescent="0.3">
      <c r="A147">
        <v>100000</v>
      </c>
      <c r="B147" t="s">
        <v>157</v>
      </c>
      <c r="C147">
        <v>135354.76224844129</v>
      </c>
      <c r="D147">
        <v>131564.68119299845</v>
      </c>
      <c r="E147">
        <v>90880.119641703379</v>
      </c>
      <c r="F147">
        <v>116689.41880930189</v>
      </c>
      <c r="G147">
        <v>127234.18444158422</v>
      </c>
    </row>
    <row r="148" spans="1:7" x14ac:dyDescent="0.3">
      <c r="A148">
        <v>100000</v>
      </c>
      <c r="B148" t="s">
        <v>317</v>
      </c>
      <c r="C148">
        <v>135661.80933903207</v>
      </c>
      <c r="D148">
        <v>131871.72828358924</v>
      </c>
      <c r="E148">
        <v>91187.166732294165</v>
      </c>
      <c r="F148">
        <v>116370.3717187111</v>
      </c>
      <c r="G148">
        <v>126915.13735099343</v>
      </c>
    </row>
    <row r="149" spans="1:7" x14ac:dyDescent="0.3">
      <c r="A149">
        <v>100000</v>
      </c>
      <c r="B149" t="s">
        <v>318</v>
      </c>
      <c r="C149">
        <v>135272.35316046386</v>
      </c>
      <c r="D149">
        <v>131482.27210502102</v>
      </c>
      <c r="E149">
        <v>90797.710553725949</v>
      </c>
      <c r="F149">
        <v>116747.82789727932</v>
      </c>
      <c r="G149">
        <v>127292.59352956165</v>
      </c>
    </row>
    <row r="150" spans="1:7" x14ac:dyDescent="0.3">
      <c r="A150">
        <v>100000</v>
      </c>
      <c r="B150" t="s">
        <v>319</v>
      </c>
      <c r="C150">
        <v>137003.42264324322</v>
      </c>
      <c r="D150">
        <v>133213.34158780039</v>
      </c>
      <c r="E150">
        <v>92528.780036505297</v>
      </c>
      <c r="F150">
        <v>115004.75841449997</v>
      </c>
      <c r="G150">
        <v>125549.5240467823</v>
      </c>
    </row>
    <row r="151" spans="1:7" x14ac:dyDescent="0.3">
      <c r="A151">
        <v>100000</v>
      </c>
      <c r="B151" t="s">
        <v>320</v>
      </c>
      <c r="C151">
        <v>137198.31823887565</v>
      </c>
      <c r="D151">
        <v>133408.23718343282</v>
      </c>
      <c r="E151">
        <v>92321.884440872862</v>
      </c>
      <c r="F151">
        <v>115199.65401013241</v>
      </c>
      <c r="G151">
        <v>125744.41964241474</v>
      </c>
    </row>
    <row r="152" spans="1:7" x14ac:dyDescent="0.3">
      <c r="A152">
        <v>100000</v>
      </c>
      <c r="B152" t="s">
        <v>321</v>
      </c>
      <c r="C152">
        <v>138440.9626538654</v>
      </c>
      <c r="D152">
        <v>134650.88159842257</v>
      </c>
      <c r="E152">
        <v>93564.52885586262</v>
      </c>
      <c r="F152">
        <v>113945.00959514265</v>
      </c>
      <c r="G152">
        <v>124489.77522742498</v>
      </c>
    </row>
    <row r="153" spans="1:7" x14ac:dyDescent="0.3">
      <c r="A153">
        <v>100000</v>
      </c>
      <c r="B153" t="s">
        <v>322</v>
      </c>
      <c r="C153">
        <v>138064.04051711067</v>
      </c>
      <c r="D153">
        <v>134273.95946166784</v>
      </c>
      <c r="E153">
        <v>93187.606719107891</v>
      </c>
      <c r="F153">
        <v>114309.93173189738</v>
      </c>
      <c r="G153">
        <v>124854.69736417971</v>
      </c>
    </row>
    <row r="154" spans="1:7" x14ac:dyDescent="0.3">
      <c r="A154">
        <v>100000</v>
      </c>
      <c r="B154" t="s">
        <v>323</v>
      </c>
      <c r="C154">
        <v>138363.73405933459</v>
      </c>
      <c r="D154">
        <v>134573.65300389176</v>
      </c>
      <c r="E154">
        <v>93487.300261331809</v>
      </c>
      <c r="F154">
        <v>113998.23818967346</v>
      </c>
      <c r="G154">
        <v>125154.39090640363</v>
      </c>
    </row>
    <row r="155" spans="1:7" x14ac:dyDescent="0.3">
      <c r="A155">
        <v>100000</v>
      </c>
      <c r="B155" t="s">
        <v>324</v>
      </c>
      <c r="C155">
        <v>139657.76774689773</v>
      </c>
      <c r="D155">
        <v>135867.6866914549</v>
      </c>
      <c r="E155">
        <v>94781.333948894957</v>
      </c>
      <c r="F155">
        <v>112692.20450211031</v>
      </c>
      <c r="G155">
        <v>126448.42459396677</v>
      </c>
    </row>
    <row r="156" spans="1:7" x14ac:dyDescent="0.3">
      <c r="A156">
        <v>100000</v>
      </c>
      <c r="B156" t="s">
        <v>325</v>
      </c>
      <c r="C156">
        <v>138694.97667694773</v>
      </c>
      <c r="D156">
        <v>134904.8956215049</v>
      </c>
      <c r="E156">
        <v>95732.125018844948</v>
      </c>
      <c r="F156">
        <v>111729.41343216032</v>
      </c>
      <c r="G156">
        <v>127399.21566391677</v>
      </c>
    </row>
    <row r="157" spans="1:7" x14ac:dyDescent="0.3">
      <c r="A157">
        <v>100000</v>
      </c>
      <c r="B157" t="s">
        <v>326</v>
      </c>
      <c r="C157">
        <v>138968.48948144494</v>
      </c>
      <c r="D157">
        <v>135178.4084260021</v>
      </c>
      <c r="E157">
        <v>95446.612214347741</v>
      </c>
      <c r="F157">
        <v>112002.92623665753</v>
      </c>
      <c r="G157">
        <v>127672.72846841397</v>
      </c>
    </row>
    <row r="158" spans="1:7" x14ac:dyDescent="0.3">
      <c r="A158">
        <v>100000</v>
      </c>
      <c r="B158" t="s">
        <v>327</v>
      </c>
      <c r="C158">
        <v>139771.42510883673</v>
      </c>
      <c r="D158">
        <v>135981.3440533939</v>
      </c>
      <c r="E158">
        <v>94631.676586955946</v>
      </c>
      <c r="F158">
        <v>112805.86186404932</v>
      </c>
      <c r="G158">
        <v>126857.79284102218</v>
      </c>
    </row>
    <row r="159" spans="1:7" x14ac:dyDescent="0.3">
      <c r="A159">
        <v>100000</v>
      </c>
      <c r="B159" t="s">
        <v>328</v>
      </c>
      <c r="C159">
        <v>139440.31751370407</v>
      </c>
      <c r="D159">
        <v>135650.23645826124</v>
      </c>
      <c r="E159">
        <v>94950.784182088624</v>
      </c>
      <c r="F159">
        <v>112474.75426891664</v>
      </c>
      <c r="G159">
        <v>127176.90043615486</v>
      </c>
    </row>
    <row r="160" spans="1:7" x14ac:dyDescent="0.3">
      <c r="A160">
        <v>100000</v>
      </c>
      <c r="B160" t="s">
        <v>329</v>
      </c>
      <c r="C160">
        <v>139275.38949874614</v>
      </c>
      <c r="D160">
        <v>135485.30844330331</v>
      </c>
      <c r="E160">
        <v>95103.712197046552</v>
      </c>
      <c r="F160">
        <v>112309.82625395872</v>
      </c>
      <c r="G160">
        <v>127329.82845111279</v>
      </c>
    </row>
    <row r="161" spans="1:7" x14ac:dyDescent="0.3">
      <c r="A161">
        <v>100000</v>
      </c>
      <c r="B161" t="s">
        <v>330</v>
      </c>
      <c r="C161">
        <v>138044.17438464213</v>
      </c>
      <c r="D161">
        <v>134254.0933291993</v>
      </c>
      <c r="E161">
        <v>96322.927311150561</v>
      </c>
      <c r="F161">
        <v>111078.61113985471</v>
      </c>
      <c r="G161">
        <v>126098.61333700878</v>
      </c>
    </row>
    <row r="162" spans="1:7" x14ac:dyDescent="0.3">
      <c r="A162">
        <v>100000</v>
      </c>
      <c r="B162" t="s">
        <v>331</v>
      </c>
      <c r="C162">
        <v>138731.4704029604</v>
      </c>
      <c r="D162">
        <v>134941.38934751757</v>
      </c>
      <c r="E162">
        <v>95623.631292832273</v>
      </c>
      <c r="F162">
        <v>111765.90715817299</v>
      </c>
      <c r="G162">
        <v>126785.90935532706</v>
      </c>
    </row>
    <row r="163" spans="1:7" x14ac:dyDescent="0.3">
      <c r="A163">
        <v>100000</v>
      </c>
      <c r="B163" t="s">
        <v>332</v>
      </c>
      <c r="C163">
        <v>139993.3042317871</v>
      </c>
      <c r="D163">
        <v>136203.22317634427</v>
      </c>
      <c r="E163">
        <v>94349.797464005576</v>
      </c>
      <c r="F163">
        <v>113027.74098699969</v>
      </c>
      <c r="G163">
        <v>125512.07552650037</v>
      </c>
    </row>
    <row r="164" spans="1:7" x14ac:dyDescent="0.3">
      <c r="A164">
        <v>100000</v>
      </c>
      <c r="B164" t="s">
        <v>333</v>
      </c>
      <c r="C164">
        <v>139051.7341331605</v>
      </c>
      <c r="D164">
        <v>135261.65307771767</v>
      </c>
      <c r="E164">
        <v>95279.367562632178</v>
      </c>
      <c r="F164">
        <v>113957.31108562629</v>
      </c>
      <c r="G164">
        <v>126441.64562512697</v>
      </c>
    </row>
    <row r="165" spans="1:7" x14ac:dyDescent="0.3">
      <c r="A165">
        <v>100000</v>
      </c>
      <c r="B165" t="s">
        <v>334</v>
      </c>
      <c r="C165">
        <v>140032.34768635887</v>
      </c>
      <c r="D165">
        <v>136242.26663091604</v>
      </c>
      <c r="E165">
        <v>94286.754009433789</v>
      </c>
      <c r="F165">
        <v>114937.92463882468</v>
      </c>
      <c r="G165">
        <v>127422.25917832536</v>
      </c>
    </row>
    <row r="166" spans="1:7" x14ac:dyDescent="0.3">
      <c r="A166">
        <v>100000</v>
      </c>
      <c r="B166" t="s">
        <v>335</v>
      </c>
      <c r="C166">
        <v>143880.30306161242</v>
      </c>
      <c r="D166">
        <v>140090.22200616958</v>
      </c>
      <c r="E166">
        <v>98134.709384687332</v>
      </c>
      <c r="F166">
        <v>118785.88001407823</v>
      </c>
      <c r="G166">
        <v>131270.2145535789</v>
      </c>
    </row>
    <row r="167" spans="1:7" x14ac:dyDescent="0.3">
      <c r="A167">
        <v>100000</v>
      </c>
      <c r="B167" t="s">
        <v>336</v>
      </c>
      <c r="C167">
        <v>144337.79887770722</v>
      </c>
      <c r="D167">
        <v>140547.71782226439</v>
      </c>
      <c r="E167">
        <v>97665.213568592531</v>
      </c>
      <c r="F167">
        <v>119243.37583017303</v>
      </c>
      <c r="G167">
        <v>131727.7103696737</v>
      </c>
    </row>
    <row r="168" spans="1:7" x14ac:dyDescent="0.3">
      <c r="A168">
        <v>100000</v>
      </c>
      <c r="B168" t="s">
        <v>337</v>
      </c>
      <c r="C168">
        <v>143815.68570146072</v>
      </c>
      <c r="D168">
        <v>140025.60464601789</v>
      </c>
      <c r="E168">
        <v>98175.32674483904</v>
      </c>
      <c r="F168">
        <v>118721.26265392652</v>
      </c>
      <c r="G168">
        <v>132237.8235459202</v>
      </c>
    </row>
    <row r="169" spans="1:7" x14ac:dyDescent="0.3">
      <c r="A169">
        <v>100000</v>
      </c>
      <c r="B169" t="s">
        <v>338</v>
      </c>
      <c r="C169">
        <v>145770.59178601412</v>
      </c>
      <c r="D169">
        <v>141980.51073057129</v>
      </c>
      <c r="E169">
        <v>96208.420660285643</v>
      </c>
      <c r="F169">
        <v>120676.16873847992</v>
      </c>
      <c r="G169">
        <v>134192.72963047359</v>
      </c>
    </row>
    <row r="170" spans="1:7" x14ac:dyDescent="0.3">
      <c r="A170">
        <v>100000</v>
      </c>
      <c r="B170" t="s">
        <v>339</v>
      </c>
      <c r="C170">
        <v>145822.41108548766</v>
      </c>
      <c r="D170">
        <v>142032.33003004483</v>
      </c>
      <c r="E170">
        <v>96144.601360812099</v>
      </c>
      <c r="F170">
        <v>120727.98803795346</v>
      </c>
      <c r="G170">
        <v>134128.91033100005</v>
      </c>
    </row>
    <row r="171" spans="1:7" x14ac:dyDescent="0.3">
      <c r="G171" s="10"/>
    </row>
  </sheetData>
  <phoneticPr fontId="7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829E2-3D48-4BAB-84FF-3EFBC6EEFBA3}">
  <sheetPr codeName="Hoja7"/>
  <dimension ref="A1:G170"/>
  <sheetViews>
    <sheetView zoomScale="77" zoomScaleNormal="77" workbookViewId="0">
      <selection activeCell="I31" sqref="I31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214</v>
      </c>
      <c r="G1" t="s">
        <v>213</v>
      </c>
    </row>
    <row r="2" spans="1:7" x14ac:dyDescent="0.3">
      <c r="C2" t="s">
        <v>10</v>
      </c>
      <c r="D2" t="s">
        <v>10</v>
      </c>
      <c r="E2" t="s">
        <v>10</v>
      </c>
      <c r="F2" t="s">
        <v>10</v>
      </c>
      <c r="G2" t="s">
        <v>10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101401.05998518885</v>
      </c>
      <c r="D5">
        <v>101401.05998518885</v>
      </c>
      <c r="E5">
        <v>101401.05998518885</v>
      </c>
      <c r="F5">
        <v>98586.940014811145</v>
      </c>
      <c r="G5">
        <v>101401.05998518885</v>
      </c>
    </row>
    <row r="6" spans="1:7" x14ac:dyDescent="0.3">
      <c r="A6">
        <v>100000</v>
      </c>
      <c r="B6" t="s">
        <v>16</v>
      </c>
      <c r="C6">
        <v>102949.27460682864</v>
      </c>
      <c r="D6">
        <v>102949.27460682864</v>
      </c>
      <c r="E6">
        <v>99840.845363549073</v>
      </c>
      <c r="F6">
        <v>100092.0214936056</v>
      </c>
      <c r="G6">
        <v>102949.27460682864</v>
      </c>
    </row>
    <row r="7" spans="1:7" x14ac:dyDescent="0.3">
      <c r="A7">
        <v>100000</v>
      </c>
      <c r="B7" t="s">
        <v>17</v>
      </c>
      <c r="C7">
        <v>105118.92959785921</v>
      </c>
      <c r="D7">
        <v>105118.92959785921</v>
      </c>
      <c r="E7">
        <v>97724.881652260228</v>
      </c>
      <c r="F7">
        <v>102201.29337829413</v>
      </c>
      <c r="G7">
        <v>100767.61961579806</v>
      </c>
    </row>
    <row r="8" spans="1:7" x14ac:dyDescent="0.3">
      <c r="A8">
        <v>100000</v>
      </c>
      <c r="B8" t="s">
        <v>18</v>
      </c>
      <c r="C8">
        <v>104335.84073658471</v>
      </c>
      <c r="D8">
        <v>104335.84073658471</v>
      </c>
      <c r="E8">
        <v>98441.310212861616</v>
      </c>
      <c r="F8">
        <v>101439.77306434167</v>
      </c>
      <c r="G8">
        <v>101506.54153500087</v>
      </c>
    </row>
    <row r="9" spans="1:7" x14ac:dyDescent="0.3">
      <c r="A9">
        <v>100000</v>
      </c>
      <c r="B9" t="s">
        <v>19</v>
      </c>
      <c r="C9">
        <v>104226.37857631265</v>
      </c>
      <c r="D9">
        <v>104226.37857631265</v>
      </c>
      <c r="E9">
        <v>98532.92720183426</v>
      </c>
      <c r="F9">
        <v>101333.18272084465</v>
      </c>
      <c r="G9">
        <v>101601.19808786722</v>
      </c>
    </row>
    <row r="10" spans="1:7" x14ac:dyDescent="0.3">
      <c r="A10">
        <v>100000</v>
      </c>
      <c r="B10" t="s">
        <v>20</v>
      </c>
      <c r="C10">
        <v>103746.92380738429</v>
      </c>
      <c r="D10">
        <v>103746.92380738429</v>
      </c>
      <c r="E10">
        <v>98974.519115871866</v>
      </c>
      <c r="F10">
        <v>100866.87047297406</v>
      </c>
      <c r="G10">
        <v>102056.72781211371</v>
      </c>
    </row>
    <row r="11" spans="1:7" x14ac:dyDescent="0.3">
      <c r="A11">
        <v>100000</v>
      </c>
      <c r="B11" t="s">
        <v>21</v>
      </c>
      <c r="C11">
        <v>101926.6965128251</v>
      </c>
      <c r="D11">
        <v>101926.6965128251</v>
      </c>
      <c r="E11">
        <v>97237.747084700532</v>
      </c>
      <c r="F11">
        <v>102624.73414057141</v>
      </c>
      <c r="G11">
        <v>103835.39857048617</v>
      </c>
    </row>
    <row r="12" spans="1:7" x14ac:dyDescent="0.3">
      <c r="A12">
        <v>100000</v>
      </c>
      <c r="B12" t="s">
        <v>22</v>
      </c>
      <c r="C12">
        <v>100642.17801297198</v>
      </c>
      <c r="D12">
        <v>100642.17801297198</v>
      </c>
      <c r="E12">
        <v>96012.044467180836</v>
      </c>
      <c r="F12">
        <v>103906.0084821343</v>
      </c>
      <c r="G12">
        <v>102526.93824798093</v>
      </c>
    </row>
    <row r="13" spans="1:7" x14ac:dyDescent="0.3">
      <c r="A13">
        <v>100000</v>
      </c>
      <c r="B13" t="s">
        <v>23</v>
      </c>
      <c r="C13">
        <v>101540.43566031608</v>
      </c>
      <c r="D13">
        <v>99731.920365627884</v>
      </c>
      <c r="E13">
        <v>95143.3880028563</v>
      </c>
      <c r="F13">
        <v>104833.59124663749</v>
      </c>
      <c r="G13">
        <v>101599.74626068547</v>
      </c>
    </row>
    <row r="14" spans="1:7" x14ac:dyDescent="0.3">
      <c r="A14">
        <v>100000</v>
      </c>
      <c r="B14" t="s">
        <v>24</v>
      </c>
      <c r="C14">
        <v>102569.01710388353</v>
      </c>
      <c r="D14">
        <v>98709.765634060692</v>
      </c>
      <c r="E14">
        <v>94167.985192382039</v>
      </c>
      <c r="F14">
        <v>105895.72619663054</v>
      </c>
      <c r="G14">
        <v>102628.93201175021</v>
      </c>
    </row>
    <row r="15" spans="1:7" x14ac:dyDescent="0.3">
      <c r="A15">
        <v>100000</v>
      </c>
      <c r="B15" t="s">
        <v>25</v>
      </c>
      <c r="C15">
        <v>105079.08507536541</v>
      </c>
      <c r="D15">
        <v>101125.16428637301</v>
      </c>
      <c r="E15">
        <v>96471.971757248539</v>
      </c>
      <c r="F15">
        <v>103292.05242999688</v>
      </c>
      <c r="G15">
        <v>105140.46972511862</v>
      </c>
    </row>
    <row r="16" spans="1:7" x14ac:dyDescent="0.3">
      <c r="A16">
        <v>100000</v>
      </c>
      <c r="B16" t="s">
        <v>26</v>
      </c>
      <c r="C16">
        <v>103947.92615066438</v>
      </c>
      <c r="D16">
        <v>100036.34289496993</v>
      </c>
      <c r="E16">
        <v>95432.975515148399</v>
      </c>
      <c r="F16">
        <v>102180.02857606875</v>
      </c>
      <c r="G16">
        <v>104008.65350989722</v>
      </c>
    </row>
    <row r="17" spans="1:7" x14ac:dyDescent="0.3">
      <c r="A17">
        <v>100000</v>
      </c>
      <c r="B17" t="s">
        <v>27</v>
      </c>
      <c r="C17">
        <v>106233.7889984572</v>
      </c>
      <c r="D17">
        <v>102235.9624412198</v>
      </c>
      <c r="E17">
        <v>97531.099177225813</v>
      </c>
      <c r="F17">
        <v>104426.91249546962</v>
      </c>
      <c r="G17">
        <v>106295.85528559003</v>
      </c>
    </row>
    <row r="18" spans="1:7" x14ac:dyDescent="0.3">
      <c r="A18">
        <v>100000</v>
      </c>
      <c r="B18" t="s">
        <v>28</v>
      </c>
      <c r="C18">
        <v>106939.87968363166</v>
      </c>
      <c r="D18">
        <v>102915.25548433338</v>
      </c>
      <c r="E18">
        <v>96871.343080472667</v>
      </c>
      <c r="F18">
        <v>105120.89159223922</v>
      </c>
      <c r="G18">
        <v>105577.34856682261</v>
      </c>
    </row>
    <row r="19" spans="1:7" x14ac:dyDescent="0.3">
      <c r="A19">
        <v>100000</v>
      </c>
      <c r="B19" t="s">
        <v>29</v>
      </c>
      <c r="C19">
        <v>106533.39699669529</v>
      </c>
      <c r="D19">
        <v>103294.66622319937</v>
      </c>
      <c r="E19">
        <v>97228.119772187434</v>
      </c>
      <c r="F19">
        <v>104721.22089387532</v>
      </c>
      <c r="G19">
        <v>105966.72866598435</v>
      </c>
    </row>
    <row r="20" spans="1:7" x14ac:dyDescent="0.3">
      <c r="A20">
        <v>100000</v>
      </c>
      <c r="B20" t="s">
        <v>30</v>
      </c>
      <c r="C20">
        <v>109552.28450275451</v>
      </c>
      <c r="D20">
        <v>106221.59386945481</v>
      </c>
      <c r="E20">
        <v>99982.795138107133</v>
      </c>
      <c r="F20">
        <v>107688.65384195805</v>
      </c>
      <c r="G20">
        <v>108969.52630725029</v>
      </c>
    </row>
    <row r="21" spans="1:7" x14ac:dyDescent="0.3">
      <c r="A21">
        <v>100000</v>
      </c>
      <c r="B21" t="s">
        <v>31</v>
      </c>
      <c r="C21">
        <v>111396.44298342244</v>
      </c>
      <c r="D21">
        <v>108009.50244579943</v>
      </c>
      <c r="E21">
        <v>101665.34063202608</v>
      </c>
      <c r="F21">
        <v>109501.33865607895</v>
      </c>
      <c r="G21">
        <v>110803.84295739424</v>
      </c>
    </row>
    <row r="22" spans="1:7" x14ac:dyDescent="0.3">
      <c r="A22">
        <v>100000</v>
      </c>
      <c r="B22" t="s">
        <v>32</v>
      </c>
      <c r="C22">
        <v>111157.578717975</v>
      </c>
      <c r="D22">
        <v>107777.71827554431</v>
      </c>
      <c r="E22">
        <v>101446.81836260979</v>
      </c>
      <c r="F22">
        <v>109724.24137602893</v>
      </c>
      <c r="G22">
        <v>110566.21746911122</v>
      </c>
    </row>
    <row r="23" spans="1:7" x14ac:dyDescent="0.3">
      <c r="A23">
        <v>100000</v>
      </c>
      <c r="B23" t="s">
        <v>33</v>
      </c>
      <c r="C23">
        <v>110491.78180395628</v>
      </c>
      <c r="D23">
        <v>107131.98316491721</v>
      </c>
      <c r="E23">
        <v>100838.66151046667</v>
      </c>
      <c r="F23">
        <v>109066.95230795172</v>
      </c>
      <c r="G23">
        <v>109903.93069206715</v>
      </c>
    </row>
    <row r="24" spans="1:7" x14ac:dyDescent="0.3">
      <c r="A24">
        <v>100000</v>
      </c>
      <c r="B24" t="s">
        <v>34</v>
      </c>
      <c r="C24">
        <v>112415.91782323469</v>
      </c>
      <c r="D24">
        <v>108997.42822759363</v>
      </c>
      <c r="E24">
        <v>102594.17109551895</v>
      </c>
      <c r="F24">
        <v>110966.19855998528</v>
      </c>
      <c r="G24">
        <v>111817.79777924485</v>
      </c>
    </row>
    <row r="25" spans="1:7" x14ac:dyDescent="0.3">
      <c r="A25">
        <v>100000</v>
      </c>
      <c r="B25" t="s">
        <v>35</v>
      </c>
      <c r="C25">
        <v>114609.48293243363</v>
      </c>
      <c r="D25">
        <v>111124.10609709975</v>
      </c>
      <c r="E25">
        <v>104595.5608274938</v>
      </c>
      <c r="F25">
        <v>113131.3980073516</v>
      </c>
      <c r="G25">
        <v>109623.93567443664</v>
      </c>
    </row>
    <row r="26" spans="1:7" x14ac:dyDescent="0.3">
      <c r="A26">
        <v>100000</v>
      </c>
      <c r="B26" t="s">
        <v>36</v>
      </c>
      <c r="C26">
        <v>112189.02252224328</v>
      </c>
      <c r="D26">
        <v>108777.07158647888</v>
      </c>
      <c r="E26">
        <v>102386.06217940616</v>
      </c>
      <c r="F26">
        <v>110742.07618572476</v>
      </c>
      <c r="G26">
        <v>107308.50502417168</v>
      </c>
    </row>
    <row r="27" spans="1:7" x14ac:dyDescent="0.3">
      <c r="A27">
        <v>100000</v>
      </c>
      <c r="B27" t="s">
        <v>37</v>
      </c>
      <c r="C27">
        <v>112705.97774703684</v>
      </c>
      <c r="D27">
        <v>109278.12242483174</v>
      </c>
      <c r="E27">
        <v>102857.32211945193</v>
      </c>
      <c r="F27">
        <v>110219.86572195742</v>
      </c>
      <c r="G27">
        <v>107802.71032149522</v>
      </c>
    </row>
    <row r="28" spans="1:7" x14ac:dyDescent="0.3">
      <c r="A28">
        <v>100000</v>
      </c>
      <c r="B28" t="s">
        <v>38</v>
      </c>
      <c r="C28">
        <v>112754.84172748111</v>
      </c>
      <c r="D28">
        <v>109325.31776452489</v>
      </c>
      <c r="E28">
        <v>102801.252351884</v>
      </c>
      <c r="F28">
        <v>110267.51949151268</v>
      </c>
      <c r="G28">
        <v>107744.23319553309</v>
      </c>
    </row>
    <row r="29" spans="1:7" x14ac:dyDescent="0.3">
      <c r="A29">
        <v>100000</v>
      </c>
      <c r="B29" t="s">
        <v>39</v>
      </c>
      <c r="C29">
        <v>109666.78370728889</v>
      </c>
      <c r="D29">
        <v>106331.00287476977</v>
      </c>
      <c r="E29">
        <v>99985.267259955974</v>
      </c>
      <c r="F29">
        <v>113275.5886668028</v>
      </c>
      <c r="G29">
        <v>104793.13591223996</v>
      </c>
    </row>
    <row r="30" spans="1:7" x14ac:dyDescent="0.3">
      <c r="A30">
        <v>100000</v>
      </c>
      <c r="B30" t="s">
        <v>40</v>
      </c>
      <c r="C30">
        <v>112127.23689299154</v>
      </c>
      <c r="D30">
        <v>108716.43291323457</v>
      </c>
      <c r="E30">
        <v>102227.97897210823</v>
      </c>
      <c r="F30">
        <v>115817.20542991764</v>
      </c>
      <c r="G30">
        <v>107143.97866054549</v>
      </c>
    </row>
    <row r="31" spans="1:7" x14ac:dyDescent="0.3">
      <c r="A31">
        <v>100000</v>
      </c>
      <c r="B31" t="s">
        <v>41</v>
      </c>
      <c r="C31">
        <v>116319.66253319026</v>
      </c>
      <c r="D31">
        <v>112781.14643567221</v>
      </c>
      <c r="E31">
        <v>106049.74268015179</v>
      </c>
      <c r="F31">
        <v>120147.7960596964</v>
      </c>
      <c r="G31">
        <v>111149.81414018582</v>
      </c>
    </row>
    <row r="32" spans="1:7" x14ac:dyDescent="0.3">
      <c r="A32">
        <v>100000</v>
      </c>
      <c r="B32" t="s">
        <v>42</v>
      </c>
      <c r="C32">
        <v>115776.23540093945</v>
      </c>
      <c r="D32">
        <v>112254.06816927347</v>
      </c>
      <c r="E32">
        <v>106533.72010824368</v>
      </c>
      <c r="F32">
        <v>120696.91016574182</v>
      </c>
      <c r="G32">
        <v>110630.27305381509</v>
      </c>
    </row>
    <row r="33" spans="1:7" x14ac:dyDescent="0.3">
      <c r="A33">
        <v>100000</v>
      </c>
      <c r="B33" t="s">
        <v>43</v>
      </c>
      <c r="C33">
        <v>114112.67234247319</v>
      </c>
      <c r="D33">
        <v>110640.93181771066</v>
      </c>
      <c r="E33">
        <v>105002.48171781855</v>
      </c>
      <c r="F33">
        <v>122418.92229939712</v>
      </c>
      <c r="G33">
        <v>109040.38450253342</v>
      </c>
    </row>
    <row r="34" spans="1:7" x14ac:dyDescent="0.3">
      <c r="A34">
        <v>100000</v>
      </c>
      <c r="B34" t="s">
        <v>44</v>
      </c>
      <c r="C34">
        <v>114215.57446701085</v>
      </c>
      <c r="D34">
        <v>110740.52072636066</v>
      </c>
      <c r="E34">
        <v>105096.68963606341</v>
      </c>
      <c r="F34">
        <v>122296.09320015383</v>
      </c>
      <c r="G34">
        <v>109138.44594714748</v>
      </c>
    </row>
    <row r="35" spans="1:7" x14ac:dyDescent="0.3">
      <c r="A35">
        <v>100000</v>
      </c>
      <c r="B35" t="s">
        <v>45</v>
      </c>
      <c r="C35">
        <v>113948.21645876106</v>
      </c>
      <c r="D35">
        <v>110481.11463822733</v>
      </c>
      <c r="E35">
        <v>104850.1982529477</v>
      </c>
      <c r="F35">
        <v>122569.94175394939</v>
      </c>
      <c r="G35">
        <v>108882.70586582029</v>
      </c>
    </row>
    <row r="36" spans="1:7" x14ac:dyDescent="0.3">
      <c r="A36">
        <v>100000</v>
      </c>
      <c r="B36" t="s">
        <v>46</v>
      </c>
      <c r="C36">
        <v>114734.12290173119</v>
      </c>
      <c r="D36">
        <v>111242.92574776054</v>
      </c>
      <c r="E36">
        <v>104115.52034886436</v>
      </c>
      <c r="F36">
        <v>121712.11686711974</v>
      </c>
      <c r="G36">
        <v>109633.40850657088</v>
      </c>
    </row>
    <row r="37" spans="1:7" x14ac:dyDescent="0.3">
      <c r="A37">
        <v>100000</v>
      </c>
      <c r="B37" t="s">
        <v>47</v>
      </c>
      <c r="C37">
        <v>114093.58531987593</v>
      </c>
      <c r="D37">
        <v>111852.15524808057</v>
      </c>
      <c r="E37">
        <v>103533.70899610443</v>
      </c>
      <c r="F37">
        <v>121032.98745830824</v>
      </c>
      <c r="G37">
        <v>109021.08044857986</v>
      </c>
    </row>
    <row r="38" spans="1:7" x14ac:dyDescent="0.3">
      <c r="A38">
        <v>100000</v>
      </c>
      <c r="B38" t="s">
        <v>48</v>
      </c>
      <c r="C38">
        <v>114847.62629972301</v>
      </c>
      <c r="D38">
        <v>112591.26481260531</v>
      </c>
      <c r="E38">
        <v>102838.01323966042</v>
      </c>
      <c r="F38">
        <v>120220.71925204822</v>
      </c>
      <c r="G38">
        <v>108288.83025164007</v>
      </c>
    </row>
    <row r="39" spans="1:7" x14ac:dyDescent="0.3">
      <c r="A39">
        <v>100000</v>
      </c>
      <c r="B39" t="s">
        <v>49</v>
      </c>
      <c r="C39">
        <v>115904.13017470815</v>
      </c>
      <c r="D39">
        <v>113626.89413492731</v>
      </c>
      <c r="E39">
        <v>101880.61536507348</v>
      </c>
      <c r="F39">
        <v>119102.50662585562</v>
      </c>
      <c r="G39">
        <v>107281.0045677578</v>
      </c>
    </row>
    <row r="40" spans="1:7" x14ac:dyDescent="0.3">
      <c r="A40">
        <v>100000</v>
      </c>
      <c r="B40" t="s">
        <v>50</v>
      </c>
      <c r="C40">
        <v>116245.14173795747</v>
      </c>
      <c r="D40">
        <v>113280.70051023514</v>
      </c>
      <c r="E40">
        <v>102179.64117864324</v>
      </c>
      <c r="F40">
        <v>118739.91927259347</v>
      </c>
      <c r="G40">
        <v>107596.19889487885</v>
      </c>
    </row>
    <row r="41" spans="1:7" x14ac:dyDescent="0.3">
      <c r="A41">
        <v>100000</v>
      </c>
      <c r="B41" t="s">
        <v>51</v>
      </c>
      <c r="C41">
        <v>116006.42339050105</v>
      </c>
      <c r="D41">
        <v>113047.91686123866</v>
      </c>
      <c r="E41">
        <v>101969.08142773007</v>
      </c>
      <c r="F41">
        <v>118496.20647550713</v>
      </c>
      <c r="G41">
        <v>107374.79540166575</v>
      </c>
    </row>
    <row r="42" spans="1:7" x14ac:dyDescent="0.3">
      <c r="A42">
        <v>100000</v>
      </c>
      <c r="B42" t="s">
        <v>52</v>
      </c>
      <c r="C42">
        <v>114811.50846031726</v>
      </c>
      <c r="D42">
        <v>111883.32277433995</v>
      </c>
      <c r="E42">
        <v>103008.13186358793</v>
      </c>
      <c r="F42">
        <v>117275.77450759243</v>
      </c>
      <c r="G42">
        <v>106268.34342971983</v>
      </c>
    </row>
    <row r="43" spans="1:7" x14ac:dyDescent="0.3">
      <c r="A43">
        <v>100000</v>
      </c>
      <c r="B43" t="s">
        <v>53</v>
      </c>
      <c r="C43">
        <v>115054.62233100965</v>
      </c>
      <c r="D43">
        <v>112120.08317332796</v>
      </c>
      <c r="E43">
        <v>102778.62853377844</v>
      </c>
      <c r="F43">
        <v>117524.23525388715</v>
      </c>
      <c r="G43">
        <v>106492.92064901485</v>
      </c>
    </row>
    <row r="44" spans="1:7" x14ac:dyDescent="0.3">
      <c r="A44">
        <v>100000</v>
      </c>
      <c r="B44" t="s">
        <v>54</v>
      </c>
      <c r="C44">
        <v>112930.29309509021</v>
      </c>
      <c r="D44">
        <v>110049.78323206636</v>
      </c>
      <c r="E44">
        <v>104664.93819713498</v>
      </c>
      <c r="F44">
        <v>119682.03379082159</v>
      </c>
      <c r="G44">
        <v>108447.61603576991</v>
      </c>
    </row>
    <row r="45" spans="1:7" x14ac:dyDescent="0.3">
      <c r="A45">
        <v>100000</v>
      </c>
      <c r="B45" t="s">
        <v>55</v>
      </c>
      <c r="C45">
        <v>115015.93421968585</v>
      </c>
      <c r="D45">
        <v>112082.07292433878</v>
      </c>
      <c r="E45">
        <v>102720.38404097025</v>
      </c>
      <c r="F45">
        <v>117459.34013944372</v>
      </c>
      <c r="G45">
        <v>106433.00092154388</v>
      </c>
    </row>
    <row r="46" spans="1:7" x14ac:dyDescent="0.3">
      <c r="A46">
        <v>100000</v>
      </c>
      <c r="B46" t="s">
        <v>56</v>
      </c>
      <c r="C46">
        <v>116434.7247948212</v>
      </c>
      <c r="D46">
        <v>113464.51950982847</v>
      </c>
      <c r="E46">
        <v>101441.90787452611</v>
      </c>
      <c r="F46">
        <v>118908.39905739018</v>
      </c>
      <c r="G46">
        <v>105108.53372284479</v>
      </c>
    </row>
    <row r="47" spans="1:7" x14ac:dyDescent="0.3">
      <c r="A47">
        <v>100000</v>
      </c>
      <c r="B47" t="s">
        <v>57</v>
      </c>
      <c r="C47">
        <v>116642.13321292191</v>
      </c>
      <c r="D47">
        <v>113666.48396082725</v>
      </c>
      <c r="E47">
        <v>101249.97917390206</v>
      </c>
      <c r="F47">
        <v>118684.45674347617</v>
      </c>
      <c r="G47">
        <v>104909.88461451216</v>
      </c>
    </row>
    <row r="48" spans="1:7" x14ac:dyDescent="0.3">
      <c r="A48">
        <v>100000</v>
      </c>
      <c r="B48" t="s">
        <v>58</v>
      </c>
      <c r="C48">
        <v>115746.01329789463</v>
      </c>
      <c r="D48">
        <v>112793.07183231301</v>
      </c>
      <c r="E48">
        <v>102016.63842126228</v>
      </c>
      <c r="F48">
        <v>119584.1620460251</v>
      </c>
      <c r="G48">
        <v>105704.47334695698</v>
      </c>
    </row>
    <row r="49" spans="1:7" x14ac:dyDescent="0.3">
      <c r="A49">
        <v>100000</v>
      </c>
      <c r="B49" t="s">
        <v>59</v>
      </c>
      <c r="C49">
        <v>115594.24319968012</v>
      </c>
      <c r="D49">
        <v>112645.02065758618</v>
      </c>
      <c r="E49">
        <v>102139.11779587287</v>
      </c>
      <c r="F49">
        <v>119728.76589448324</v>
      </c>
      <c r="G49">
        <v>105831.59716714284</v>
      </c>
    </row>
    <row r="50" spans="1:7" x14ac:dyDescent="0.3">
      <c r="A50">
        <v>100000</v>
      </c>
      <c r="B50" t="s">
        <v>60</v>
      </c>
      <c r="C50">
        <v>117225.52343880347</v>
      </c>
      <c r="D50">
        <v>114234.52802242716</v>
      </c>
      <c r="E50">
        <v>103579.81924552722</v>
      </c>
      <c r="F50">
        <v>118026.92415507206</v>
      </c>
      <c r="G50">
        <v>107324.599002531</v>
      </c>
    </row>
    <row r="51" spans="1:7" x14ac:dyDescent="0.3">
      <c r="A51">
        <v>100000</v>
      </c>
      <c r="B51" t="s">
        <v>61</v>
      </c>
      <c r="C51">
        <v>116098.90981555353</v>
      </c>
      <c r="D51">
        <v>113136.50672371838</v>
      </c>
      <c r="E51">
        <v>104563.98719816509</v>
      </c>
      <c r="F51">
        <v>116892.64956743494</v>
      </c>
      <c r="G51">
        <v>106292.63294817717</v>
      </c>
    </row>
    <row r="52" spans="1:7" x14ac:dyDescent="0.3">
      <c r="A52">
        <v>100000</v>
      </c>
      <c r="B52" t="s">
        <v>62</v>
      </c>
      <c r="C52">
        <v>119137.71180655406</v>
      </c>
      <c r="D52">
        <v>116097.6169358168</v>
      </c>
      <c r="E52">
        <v>101815.69929112332</v>
      </c>
      <c r="F52">
        <v>119952.26812235243</v>
      </c>
      <c r="G52">
        <v>109074.25619927801</v>
      </c>
    </row>
    <row r="53" spans="1:7" x14ac:dyDescent="0.3">
      <c r="A53">
        <v>100000</v>
      </c>
      <c r="B53" t="s">
        <v>63</v>
      </c>
      <c r="C53">
        <v>120784.66351930115</v>
      </c>
      <c r="D53">
        <v>117702.38947668539</v>
      </c>
      <c r="E53">
        <v>100397.07828325077</v>
      </c>
      <c r="F53">
        <v>121610.52122940122</v>
      </c>
      <c r="G53">
        <v>107554.92783441937</v>
      </c>
    </row>
    <row r="54" spans="1:7" x14ac:dyDescent="0.3">
      <c r="A54">
        <v>100000</v>
      </c>
      <c r="B54" t="s">
        <v>64</v>
      </c>
      <c r="C54">
        <v>123273.50343529812</v>
      </c>
      <c r="D54">
        <v>120127.56418809842</v>
      </c>
      <c r="E54">
        <v>98317.34945831183</v>
      </c>
      <c r="F54">
        <v>124116.41945992304</v>
      </c>
      <c r="G54">
        <v>105327.35168969134</v>
      </c>
    </row>
    <row r="55" spans="1:7" x14ac:dyDescent="0.3">
      <c r="A55">
        <v>100000</v>
      </c>
      <c r="B55" t="s">
        <v>65</v>
      </c>
      <c r="C55">
        <v>118138.47341275241</v>
      </c>
      <c r="D55">
        <v>115123.4269884087</v>
      </c>
      <c r="E55">
        <v>94220.667981302671</v>
      </c>
      <c r="F55">
        <v>129274.52061678638</v>
      </c>
      <c r="G55">
        <v>100939.0056545987</v>
      </c>
    </row>
    <row r="56" spans="1:7" x14ac:dyDescent="0.3">
      <c r="A56">
        <v>100000</v>
      </c>
      <c r="B56" t="s">
        <v>66</v>
      </c>
      <c r="C56">
        <v>117637.77930378684</v>
      </c>
      <c r="D56">
        <v>114635.35811203072</v>
      </c>
      <c r="E56">
        <v>93820.127506496428</v>
      </c>
      <c r="F56">
        <v>128727.19532333147</v>
      </c>
      <c r="G56">
        <v>100510.33275203194</v>
      </c>
    </row>
    <row r="57" spans="1:7" x14ac:dyDescent="0.3">
      <c r="A57">
        <v>100000</v>
      </c>
      <c r="B57" t="s">
        <v>67</v>
      </c>
      <c r="C57">
        <v>119787.89540381117</v>
      </c>
      <c r="D57">
        <v>116730.44453783889</v>
      </c>
      <c r="E57">
        <v>95533.703382718188</v>
      </c>
      <c r="F57">
        <v>131080.56303657999</v>
      </c>
      <c r="G57">
        <v>102346.5296036558</v>
      </c>
    </row>
    <row r="58" spans="1:7" x14ac:dyDescent="0.3">
      <c r="A58">
        <v>100000</v>
      </c>
      <c r="B58" t="s">
        <v>68</v>
      </c>
      <c r="C58">
        <v>120305.07232319233</v>
      </c>
      <c r="D58">
        <v>117234.26795668625</v>
      </c>
      <c r="E58">
        <v>95944.949453069086</v>
      </c>
      <c r="F58">
        <v>130502.06508151496</v>
      </c>
      <c r="G58">
        <v>102787.53087942653</v>
      </c>
    </row>
    <row r="59" spans="1:7" x14ac:dyDescent="0.3">
      <c r="A59">
        <v>100000</v>
      </c>
      <c r="B59" t="s">
        <v>69</v>
      </c>
      <c r="C59">
        <v>119707.56303886305</v>
      </c>
      <c r="D59">
        <v>116651.85703236848</v>
      </c>
      <c r="E59">
        <v>96410.686240970535</v>
      </c>
      <c r="F59">
        <v>129854.41979067896</v>
      </c>
      <c r="G59">
        <v>102276.15086797424</v>
      </c>
    </row>
    <row r="60" spans="1:7" x14ac:dyDescent="0.3">
      <c r="A60">
        <v>100000</v>
      </c>
      <c r="B60" t="s">
        <v>70</v>
      </c>
      <c r="C60">
        <v>119770.50783858307</v>
      </c>
      <c r="D60">
        <v>116713.04191790035</v>
      </c>
      <c r="E60">
        <v>96460.21335458821</v>
      </c>
      <c r="F60">
        <v>129773.63097418354</v>
      </c>
      <c r="G60">
        <v>102329.05615815577</v>
      </c>
    </row>
    <row r="61" spans="1:7" x14ac:dyDescent="0.3">
      <c r="A61">
        <v>100000</v>
      </c>
      <c r="B61" t="s">
        <v>71</v>
      </c>
      <c r="C61">
        <v>121107.28462076762</v>
      </c>
      <c r="D61">
        <v>118015.54069354806</v>
      </c>
      <c r="E61">
        <v>95372.774048413834</v>
      </c>
      <c r="F61">
        <v>131222.55524357688</v>
      </c>
      <c r="G61">
        <v>101175.81980396736</v>
      </c>
    </row>
    <row r="62" spans="1:7" x14ac:dyDescent="0.3">
      <c r="A62">
        <v>100000</v>
      </c>
      <c r="B62" t="s">
        <v>72</v>
      </c>
      <c r="C62">
        <v>122918.58455038491</v>
      </c>
      <c r="D62">
        <v>119780.44683241259</v>
      </c>
      <c r="E62">
        <v>96797.909558621352</v>
      </c>
      <c r="F62">
        <v>133185.64191871037</v>
      </c>
      <c r="G62">
        <v>102688.03409458148</v>
      </c>
    </row>
    <row r="63" spans="1:7" x14ac:dyDescent="0.3">
      <c r="A63">
        <v>100000</v>
      </c>
      <c r="B63" t="s">
        <v>73</v>
      </c>
      <c r="C63">
        <v>122696.42967907626</v>
      </c>
      <c r="D63">
        <v>119563.81044113736</v>
      </c>
      <c r="E63">
        <v>96962.13068311708</v>
      </c>
      <c r="F63">
        <v>132945.4322148287</v>
      </c>
      <c r="G63">
        <v>102501.45506435719</v>
      </c>
    </row>
    <row r="64" spans="1:7" x14ac:dyDescent="0.3">
      <c r="A64">
        <v>100000</v>
      </c>
      <c r="B64" t="s">
        <v>74</v>
      </c>
      <c r="C64">
        <v>122114.7614620368</v>
      </c>
      <c r="D64">
        <v>118996.83987533423</v>
      </c>
      <c r="E64">
        <v>96501.202882555197</v>
      </c>
      <c r="F64">
        <v>133563.18679454084</v>
      </c>
      <c r="G64">
        <v>102976.37231708562</v>
      </c>
    </row>
    <row r="65" spans="1:7" x14ac:dyDescent="0.3">
      <c r="A65">
        <v>100000</v>
      </c>
      <c r="B65" t="s">
        <v>75</v>
      </c>
      <c r="C65">
        <v>122091.56613540914</v>
      </c>
      <c r="D65">
        <v>118974.08359210675</v>
      </c>
      <c r="E65">
        <v>96481.614273908213</v>
      </c>
      <c r="F65">
        <v>133538.37938260421</v>
      </c>
      <c r="G65">
        <v>102984.87271274396</v>
      </c>
    </row>
    <row r="66" spans="1:7" x14ac:dyDescent="0.3">
      <c r="A66">
        <v>100000</v>
      </c>
      <c r="B66" t="s">
        <v>76</v>
      </c>
      <c r="C66">
        <v>120118.6034955388</v>
      </c>
      <c r="D66">
        <v>117051.34531979283</v>
      </c>
      <c r="E66">
        <v>98029.986428498174</v>
      </c>
      <c r="F66">
        <v>131381.00225190955</v>
      </c>
      <c r="G66">
        <v>104638.01595670158</v>
      </c>
    </row>
    <row r="67" spans="1:7" x14ac:dyDescent="0.3">
      <c r="A67">
        <v>100000</v>
      </c>
      <c r="B67" t="s">
        <v>77</v>
      </c>
      <c r="C67">
        <v>119783.35630204741</v>
      </c>
      <c r="D67">
        <v>116724.50553461863</v>
      </c>
      <c r="E67">
        <v>97755.284520797577</v>
      </c>
      <c r="F67">
        <v>131014.88462640673</v>
      </c>
      <c r="G67">
        <v>104918.83058893739</v>
      </c>
    </row>
    <row r="68" spans="1:7" x14ac:dyDescent="0.3">
      <c r="A68">
        <v>100000</v>
      </c>
      <c r="B68" t="s">
        <v>78</v>
      </c>
      <c r="C68">
        <v>119938.06089032923</v>
      </c>
      <c r="D68">
        <v>116875.1062860372</v>
      </c>
      <c r="E68">
        <v>97618.133388985298</v>
      </c>
      <c r="F68">
        <v>130833.11151616271</v>
      </c>
      <c r="G68">
        <v>105053.59252776876</v>
      </c>
    </row>
    <row r="69" spans="1:7" x14ac:dyDescent="0.3">
      <c r="A69">
        <v>100000</v>
      </c>
      <c r="B69" t="s">
        <v>79</v>
      </c>
      <c r="C69">
        <v>119296.46908855982</v>
      </c>
      <c r="D69">
        <v>116249.74610266506</v>
      </c>
      <c r="E69">
        <v>98129.444447922666</v>
      </c>
      <c r="F69">
        <v>131520.43982631183</v>
      </c>
      <c r="G69">
        <v>104490.87849002783</v>
      </c>
    </row>
    <row r="70" spans="1:7" x14ac:dyDescent="0.3">
      <c r="A70">
        <v>100000</v>
      </c>
      <c r="B70" t="s">
        <v>80</v>
      </c>
      <c r="C70">
        <v>123052.05995675082</v>
      </c>
      <c r="D70">
        <v>119909.26937179625</v>
      </c>
      <c r="E70">
        <v>95029.28059750775</v>
      </c>
      <c r="F70">
        <v>127367.40941366937</v>
      </c>
      <c r="G70">
        <v>101190.12938856396</v>
      </c>
    </row>
    <row r="71" spans="1:7" x14ac:dyDescent="0.3">
      <c r="A71">
        <v>100000</v>
      </c>
      <c r="B71" t="s">
        <v>81</v>
      </c>
      <c r="C71">
        <v>123141.82693930133</v>
      </c>
      <c r="D71">
        <v>119996.59043372409</v>
      </c>
      <c r="E71">
        <v>94949.322733982612</v>
      </c>
      <c r="F71">
        <v>127262.28395019392</v>
      </c>
      <c r="G71">
        <v>101105.37675850767</v>
      </c>
    </row>
    <row r="72" spans="1:7" x14ac:dyDescent="0.3">
      <c r="A72">
        <v>100000</v>
      </c>
      <c r="B72" t="s">
        <v>82</v>
      </c>
      <c r="C72">
        <v>121926.90623173889</v>
      </c>
      <c r="D72">
        <v>118812.54746800032</v>
      </c>
      <c r="E72">
        <v>95875.469066996826</v>
      </c>
      <c r="F72">
        <v>128505.65643542525</v>
      </c>
      <c r="G72">
        <v>100106.79457382471</v>
      </c>
    </row>
    <row r="73" spans="1:7" x14ac:dyDescent="0.3">
      <c r="A73">
        <v>100000</v>
      </c>
      <c r="B73" t="s">
        <v>83</v>
      </c>
      <c r="C73">
        <v>121437.00132852916</v>
      </c>
      <c r="D73">
        <v>118335.00286755481</v>
      </c>
      <c r="E73">
        <v>96249.980727736183</v>
      </c>
      <c r="F73">
        <v>129009.67115786146</v>
      </c>
      <c r="G73">
        <v>99703.489579906382</v>
      </c>
    </row>
    <row r="74" spans="1:7" x14ac:dyDescent="0.3">
      <c r="A74">
        <v>100000</v>
      </c>
      <c r="B74" t="s">
        <v>84</v>
      </c>
      <c r="C74">
        <v>124125.46042991529</v>
      </c>
      <c r="D74">
        <v>120954.63444607542</v>
      </c>
      <c r="E74">
        <v>94108.374333121101</v>
      </c>
      <c r="F74">
        <v>126141.18872816344</v>
      </c>
      <c r="G74">
        <v>101909.72285312228</v>
      </c>
    </row>
    <row r="75" spans="1:7" x14ac:dyDescent="0.3">
      <c r="A75">
        <v>100000</v>
      </c>
      <c r="B75" t="s">
        <v>85</v>
      </c>
      <c r="C75">
        <v>124463.3222333539</v>
      </c>
      <c r="D75">
        <v>121283.71218589472</v>
      </c>
      <c r="E75">
        <v>94363.080518659364</v>
      </c>
      <c r="F75">
        <v>126484.63465564461</v>
      </c>
      <c r="G75">
        <v>102186.04092845373</v>
      </c>
    </row>
    <row r="76" spans="1:7" x14ac:dyDescent="0.3">
      <c r="A76">
        <v>100000</v>
      </c>
      <c r="B76" t="s">
        <v>86</v>
      </c>
      <c r="C76">
        <v>124991.66536403038</v>
      </c>
      <c r="D76">
        <v>121798.40468635659</v>
      </c>
      <c r="E76">
        <v>94762.197969807603</v>
      </c>
      <c r="F76">
        <v>127021.65563926942</v>
      </c>
      <c r="G76">
        <v>102618.74373697086</v>
      </c>
    </row>
    <row r="77" spans="1:7" x14ac:dyDescent="0.3">
      <c r="A77">
        <v>100000</v>
      </c>
      <c r="B77" t="s">
        <v>87</v>
      </c>
      <c r="C77">
        <v>126321.63749369551</v>
      </c>
      <c r="D77">
        <v>123094.24568211209</v>
      </c>
      <c r="E77">
        <v>95769.062748149096</v>
      </c>
      <c r="F77">
        <v>128373.32529911236</v>
      </c>
      <c r="G77">
        <v>101515.90435000407</v>
      </c>
    </row>
    <row r="78" spans="1:7" x14ac:dyDescent="0.3">
      <c r="A78">
        <v>100000</v>
      </c>
      <c r="B78" t="s">
        <v>88</v>
      </c>
      <c r="C78">
        <v>127447.00136440365</v>
      </c>
      <c r="D78">
        <v>124190.70433464312</v>
      </c>
      <c r="E78">
        <v>94905.334336179731</v>
      </c>
      <c r="F78">
        <v>127217.58606925693</v>
      </c>
      <c r="G78">
        <v>102419.1027166702</v>
      </c>
    </row>
    <row r="79" spans="1:7" x14ac:dyDescent="0.3">
      <c r="A79">
        <v>100000</v>
      </c>
      <c r="B79" t="s">
        <v>89</v>
      </c>
      <c r="C79">
        <v>127858.80910703441</v>
      </c>
      <c r="D79">
        <v>124591.83700373919</v>
      </c>
      <c r="E79">
        <v>94588.207490682282</v>
      </c>
      <c r="F79">
        <v>126794.53041561661</v>
      </c>
      <c r="G79">
        <v>102077.34358816809</v>
      </c>
    </row>
    <row r="80" spans="1:7" x14ac:dyDescent="0.3">
      <c r="A80">
        <v>100000</v>
      </c>
      <c r="B80" t="s">
        <v>90</v>
      </c>
      <c r="C80">
        <v>128265.7636598814</v>
      </c>
      <c r="D80">
        <v>124988.23998791835</v>
      </c>
      <c r="E80">
        <v>94276.709330628131</v>
      </c>
      <c r="F80">
        <v>126379.01323821671</v>
      </c>
      <c r="G80">
        <v>102401.02993572333</v>
      </c>
    </row>
    <row r="81" spans="1:7" x14ac:dyDescent="0.3">
      <c r="A81">
        <v>100000</v>
      </c>
      <c r="B81" t="s">
        <v>91</v>
      </c>
      <c r="C81">
        <v>128337.09247689744</v>
      </c>
      <c r="D81">
        <v>125057.59285265325</v>
      </c>
      <c r="E81">
        <v>94327.546838913142</v>
      </c>
      <c r="F81">
        <v>126449.20457182369</v>
      </c>
      <c r="G81">
        <v>102456.76543146443</v>
      </c>
    </row>
    <row r="82" spans="1:7" x14ac:dyDescent="0.3">
      <c r="A82">
        <v>100000</v>
      </c>
      <c r="B82" t="s">
        <v>92</v>
      </c>
      <c r="C82">
        <v>129900.49436334232</v>
      </c>
      <c r="D82">
        <v>126580.89056658222</v>
      </c>
      <c r="E82">
        <v>95475.054582431316</v>
      </c>
      <c r="F82">
        <v>127989.51995395064</v>
      </c>
      <c r="G82">
        <v>101197.84752718724</v>
      </c>
    </row>
    <row r="83" spans="1:7" x14ac:dyDescent="0.3">
      <c r="A83">
        <v>100000</v>
      </c>
      <c r="B83" t="s">
        <v>93</v>
      </c>
      <c r="C83">
        <v>130400.46364466178</v>
      </c>
      <c r="D83">
        <v>127067.92981591416</v>
      </c>
      <c r="E83">
        <v>95840.934958928483</v>
      </c>
      <c r="F83">
        <v>128482.04588908979</v>
      </c>
      <c r="G83">
        <v>101586.01848423677</v>
      </c>
    </row>
    <row r="84" spans="1:7" x14ac:dyDescent="0.3">
      <c r="A84">
        <v>100000</v>
      </c>
      <c r="B84" t="s">
        <v>94</v>
      </c>
      <c r="C84">
        <v>126628.71917827935</v>
      </c>
      <c r="D84">
        <v>123392.42328054734</v>
      </c>
      <c r="E84">
        <v>93067.211130445939</v>
      </c>
      <c r="F84">
        <v>124765.70207731654</v>
      </c>
      <c r="G84">
        <v>98646.386376829018</v>
      </c>
    </row>
    <row r="85" spans="1:7" x14ac:dyDescent="0.3">
      <c r="A85">
        <v>100000</v>
      </c>
      <c r="B85" t="s">
        <v>95</v>
      </c>
      <c r="C85">
        <v>125172.34251126024</v>
      </c>
      <c r="D85">
        <v>121973.11441369315</v>
      </c>
      <c r="E85">
        <v>91995.240374648449</v>
      </c>
      <c r="F85">
        <v>123330.66398618314</v>
      </c>
      <c r="G85">
        <v>97510.513011488641</v>
      </c>
    </row>
    <row r="86" spans="1:7" x14ac:dyDescent="0.3">
      <c r="A86">
        <v>100000</v>
      </c>
      <c r="B86" t="s">
        <v>96</v>
      </c>
      <c r="C86">
        <v>125639.79991739389</v>
      </c>
      <c r="D86">
        <v>122428.47091793173</v>
      </c>
      <c r="E86">
        <v>92337.20724185399</v>
      </c>
      <c r="F86">
        <v>123791.15534598481</v>
      </c>
      <c r="G86">
        <v>97873.341089919995</v>
      </c>
    </row>
    <row r="87" spans="1:7" x14ac:dyDescent="0.3">
      <c r="A87">
        <v>100000</v>
      </c>
      <c r="B87" t="s">
        <v>97</v>
      </c>
      <c r="C87">
        <v>126627.34665940108</v>
      </c>
      <c r="D87">
        <v>123390.6227972678</v>
      </c>
      <c r="E87">
        <v>93061.400472673413</v>
      </c>
      <c r="F87">
        <v>124764.08319499582</v>
      </c>
      <c r="G87">
        <v>98641.313503384386</v>
      </c>
    </row>
    <row r="88" spans="1:7" x14ac:dyDescent="0.3">
      <c r="A88">
        <v>100000</v>
      </c>
      <c r="B88" t="s">
        <v>98</v>
      </c>
      <c r="C88">
        <v>127681.73206479261</v>
      </c>
      <c r="D88">
        <v>124417.90367243554</v>
      </c>
      <c r="E88">
        <v>93834.702522900756</v>
      </c>
      <c r="F88">
        <v>125802.86551435437</v>
      </c>
      <c r="G88">
        <v>99461.342098052672</v>
      </c>
    </row>
    <row r="89" spans="1:7" x14ac:dyDescent="0.3">
      <c r="A89">
        <v>100000</v>
      </c>
      <c r="B89" t="s">
        <v>99</v>
      </c>
      <c r="C89">
        <v>128013.31045322628</v>
      </c>
      <c r="D89">
        <v>124740.85280818757</v>
      </c>
      <c r="E89">
        <v>94076.792575757805</v>
      </c>
      <c r="F89">
        <v>126129.47635784703</v>
      </c>
      <c r="G89">
        <v>99718.308452236161</v>
      </c>
    </row>
    <row r="90" spans="1:7" x14ac:dyDescent="0.3">
      <c r="A90">
        <v>100000</v>
      </c>
      <c r="B90" t="s">
        <v>100</v>
      </c>
      <c r="C90">
        <v>125821.61001282629</v>
      </c>
      <c r="D90">
        <v>122605.02633972556</v>
      </c>
      <c r="E90">
        <v>92464.524553813448</v>
      </c>
      <c r="F90">
        <v>123969.94051812281</v>
      </c>
      <c r="G90">
        <v>101414.89976815741</v>
      </c>
    </row>
    <row r="91" spans="1:7" x14ac:dyDescent="0.3">
      <c r="A91">
        <v>100000</v>
      </c>
      <c r="B91" t="s">
        <v>101</v>
      </c>
      <c r="C91">
        <v>126402.01594250918</v>
      </c>
      <c r="D91">
        <v>123170.44101521106</v>
      </c>
      <c r="E91">
        <v>92889.465991283039</v>
      </c>
      <c r="F91">
        <v>124541.71653143922</v>
      </c>
      <c r="G91">
        <v>101881.55544770388</v>
      </c>
    </row>
    <row r="92" spans="1:7" x14ac:dyDescent="0.3">
      <c r="A92">
        <v>100000</v>
      </c>
      <c r="B92" t="s">
        <v>102</v>
      </c>
      <c r="C92">
        <v>126749.13434206272</v>
      </c>
      <c r="D92">
        <v>123508.5316428746</v>
      </c>
      <c r="E92">
        <v>93142.96327320252</v>
      </c>
      <c r="F92">
        <v>124883.63797312915</v>
      </c>
      <c r="G92">
        <v>101590.93774176412</v>
      </c>
    </row>
    <row r="93" spans="1:7" x14ac:dyDescent="0.3">
      <c r="A93">
        <v>100000</v>
      </c>
      <c r="B93" t="s">
        <v>103</v>
      </c>
      <c r="C93">
        <v>125387.21050772165</v>
      </c>
      <c r="D93">
        <v>124823.78849143887</v>
      </c>
      <c r="E93">
        <v>92140.548074322709</v>
      </c>
      <c r="F93">
        <v>123541.67065369955</v>
      </c>
      <c r="G93">
        <v>102671.7268117815</v>
      </c>
    </row>
    <row r="94" spans="1:7" x14ac:dyDescent="0.3">
      <c r="A94">
        <v>100000</v>
      </c>
      <c r="B94" t="s">
        <v>104</v>
      </c>
      <c r="C94">
        <v>125431.74785859617</v>
      </c>
      <c r="D94">
        <v>124767.47822796836</v>
      </c>
      <c r="E94">
        <v>92171.685348442974</v>
      </c>
      <c r="F94">
        <v>123585.46415921074</v>
      </c>
      <c r="G94">
        <v>102624.34494307441</v>
      </c>
    </row>
    <row r="95" spans="1:7" x14ac:dyDescent="0.3">
      <c r="A95">
        <v>100000</v>
      </c>
      <c r="B95" t="s">
        <v>105</v>
      </c>
      <c r="C95">
        <v>125949.24758780281</v>
      </c>
      <c r="D95">
        <v>124240.75088276887</v>
      </c>
      <c r="E95">
        <v>91780.99922914544</v>
      </c>
      <c r="F95">
        <v>124095.25827135338</v>
      </c>
      <c r="G95">
        <v>102190.03378816431</v>
      </c>
    </row>
    <row r="96" spans="1:7" x14ac:dyDescent="0.3">
      <c r="A96">
        <v>100000</v>
      </c>
      <c r="B96" t="s">
        <v>106</v>
      </c>
      <c r="C96">
        <v>125763.93719843299</v>
      </c>
      <c r="D96">
        <v>124411.6289335953</v>
      </c>
      <c r="E96">
        <v>91905.665247591125</v>
      </c>
      <c r="F96">
        <v>123912.58735425185</v>
      </c>
      <c r="G96">
        <v>102329.5188553577</v>
      </c>
    </row>
    <row r="97" spans="1:7" x14ac:dyDescent="0.3">
      <c r="A97">
        <v>100000</v>
      </c>
      <c r="B97" t="s">
        <v>107</v>
      </c>
      <c r="C97">
        <v>125041.85948772043</v>
      </c>
      <c r="D97">
        <v>123697.25102799409</v>
      </c>
      <c r="E97">
        <v>92422.95992043658</v>
      </c>
      <c r="F97">
        <v>123201.05090351956</v>
      </c>
      <c r="G97">
        <v>102906.16511494995</v>
      </c>
    </row>
    <row r="98" spans="1:7" x14ac:dyDescent="0.3">
      <c r="A98">
        <v>100000</v>
      </c>
      <c r="B98" t="s">
        <v>108</v>
      </c>
      <c r="C98">
        <v>124260.70731847349</v>
      </c>
      <c r="D98">
        <v>122924.43427673129</v>
      </c>
      <c r="E98">
        <v>92989.9029185978</v>
      </c>
      <c r="F98">
        <v>122431.31016699648</v>
      </c>
      <c r="G98">
        <v>103538.0949845515</v>
      </c>
    </row>
    <row r="99" spans="1:7" x14ac:dyDescent="0.3">
      <c r="A99">
        <v>100000</v>
      </c>
      <c r="B99" t="s">
        <v>109</v>
      </c>
      <c r="C99">
        <v>122694.486733242</v>
      </c>
      <c r="D99">
        <v>121374.99196962333</v>
      </c>
      <c r="E99">
        <v>91816.319344649281</v>
      </c>
      <c r="F99">
        <v>120888.05953868775</v>
      </c>
      <c r="G99">
        <v>104832.12192497867</v>
      </c>
    </row>
    <row r="100" spans="1:7" x14ac:dyDescent="0.3">
      <c r="A100">
        <v>100000</v>
      </c>
      <c r="B100" t="s">
        <v>110</v>
      </c>
      <c r="C100">
        <v>122156.2106037004</v>
      </c>
      <c r="D100">
        <v>120842.44010353016</v>
      </c>
      <c r="E100">
        <v>91411.999612518368</v>
      </c>
      <c r="F100">
        <v>120357.62009440413</v>
      </c>
      <c r="G100">
        <v>105280.90712026766</v>
      </c>
    </row>
    <row r="101" spans="1:7" x14ac:dyDescent="0.3">
      <c r="A101">
        <v>100000</v>
      </c>
      <c r="B101" t="s">
        <v>111</v>
      </c>
      <c r="C101">
        <v>121008.29473081426</v>
      </c>
      <c r="D101">
        <v>119706.8053531515</v>
      </c>
      <c r="E101">
        <v>90551.480527373846</v>
      </c>
      <c r="F101">
        <v>119226.51743994741</v>
      </c>
      <c r="G101">
        <v>106259.07270921597</v>
      </c>
    </row>
    <row r="102" spans="1:7" x14ac:dyDescent="0.3">
      <c r="A102">
        <v>100000</v>
      </c>
      <c r="B102" t="s">
        <v>112</v>
      </c>
      <c r="C102">
        <v>119227.04258644913</v>
      </c>
      <c r="D102">
        <v>117944.6467082337</v>
      </c>
      <c r="E102">
        <v>91873.915989911795</v>
      </c>
      <c r="F102">
        <v>120969.63002120714</v>
      </c>
      <c r="G102">
        <v>104694.19902121869</v>
      </c>
    </row>
    <row r="103" spans="1:7" x14ac:dyDescent="0.3">
      <c r="A103">
        <v>100000</v>
      </c>
      <c r="B103" t="s">
        <v>113</v>
      </c>
      <c r="C103">
        <v>119448.53169651676</v>
      </c>
      <c r="D103">
        <v>118163.68896487981</v>
      </c>
      <c r="E103">
        <v>92043.214436753828</v>
      </c>
      <c r="F103">
        <v>121194.44404528879</v>
      </c>
      <c r="G103">
        <v>104488.43905361478</v>
      </c>
    </row>
    <row r="104" spans="1:7" x14ac:dyDescent="0.3">
      <c r="A104">
        <v>100000</v>
      </c>
      <c r="B104" t="s">
        <v>114</v>
      </c>
      <c r="C104">
        <v>120361.92040433991</v>
      </c>
      <c r="D104">
        <v>119067.18830962735</v>
      </c>
      <c r="E104">
        <v>91328.762932302532</v>
      </c>
      <c r="F104">
        <v>120255.61714717974</v>
      </c>
      <c r="G104">
        <v>105286.68076005983</v>
      </c>
    </row>
    <row r="105" spans="1:7" x14ac:dyDescent="0.3">
      <c r="A105">
        <v>100000</v>
      </c>
      <c r="B105" t="s">
        <v>115</v>
      </c>
      <c r="C105">
        <v>123651.4714345339</v>
      </c>
      <c r="D105">
        <v>122321.28912704457</v>
      </c>
      <c r="E105">
        <v>88822.149800202315</v>
      </c>
      <c r="F105">
        <v>116956.97673695152</v>
      </c>
      <c r="G105">
        <v>108163.4665122221</v>
      </c>
    </row>
    <row r="106" spans="1:7" x14ac:dyDescent="0.3">
      <c r="A106">
        <v>100000</v>
      </c>
      <c r="B106" t="s">
        <v>116</v>
      </c>
      <c r="C106">
        <v>125229.99082650105</v>
      </c>
      <c r="D106">
        <v>120747.81522298481</v>
      </c>
      <c r="E106">
        <v>89954.352339661345</v>
      </c>
      <c r="F106">
        <v>118449.71019734278</v>
      </c>
      <c r="G106">
        <v>109543.51641686675</v>
      </c>
    </row>
    <row r="107" spans="1:7" x14ac:dyDescent="0.3">
      <c r="A107">
        <v>100000</v>
      </c>
      <c r="B107" t="s">
        <v>117</v>
      </c>
      <c r="C107">
        <v>123904.80836756814</v>
      </c>
      <c r="D107">
        <v>119469.84835031036</v>
      </c>
      <c r="E107">
        <v>90895.938480393059</v>
      </c>
      <c r="F107">
        <v>119691.46865301899</v>
      </c>
      <c r="G107">
        <v>110691.45633487862</v>
      </c>
    </row>
    <row r="108" spans="1:7" x14ac:dyDescent="0.3">
      <c r="A108">
        <v>100000</v>
      </c>
      <c r="B108" t="s">
        <v>118</v>
      </c>
      <c r="C108">
        <v>126372.04164920446</v>
      </c>
      <c r="D108">
        <v>121848.55649025185</v>
      </c>
      <c r="E108">
        <v>89075.587099061857</v>
      </c>
      <c r="F108">
        <v>117296.33680494408</v>
      </c>
      <c r="G108">
        <v>112894.94115961665</v>
      </c>
    </row>
    <row r="109" spans="1:7" x14ac:dyDescent="0.3">
      <c r="A109">
        <v>100000</v>
      </c>
      <c r="B109" t="s">
        <v>119</v>
      </c>
      <c r="C109">
        <v>126817.89027889135</v>
      </c>
      <c r="D109">
        <v>121406.88177485651</v>
      </c>
      <c r="E109">
        <v>88751.093534789208</v>
      </c>
      <c r="F109">
        <v>116870.93874536591</v>
      </c>
      <c r="G109">
        <v>112485.28047806212</v>
      </c>
    </row>
    <row r="110" spans="1:7" x14ac:dyDescent="0.3">
      <c r="A110">
        <v>100000</v>
      </c>
      <c r="B110" t="s">
        <v>120</v>
      </c>
      <c r="C110">
        <v>127105.09552632544</v>
      </c>
      <c r="D110">
        <v>121120.18687658376</v>
      </c>
      <c r="E110">
        <v>88539.899407346413</v>
      </c>
      <c r="F110">
        <v>116594.73102910971</v>
      </c>
      <c r="G110">
        <v>112219.21248274433</v>
      </c>
    </row>
    <row r="111" spans="1:7" x14ac:dyDescent="0.3">
      <c r="A111">
        <v>100000</v>
      </c>
      <c r="B111" t="s">
        <v>121</v>
      </c>
      <c r="C111">
        <v>126450.97722378031</v>
      </c>
      <c r="D111">
        <v>121731.78768634942</v>
      </c>
      <c r="E111">
        <v>88985.370916602478</v>
      </c>
      <c r="F111">
        <v>117183.25620410273</v>
      </c>
      <c r="G111">
        <v>112785.42656437572</v>
      </c>
    </row>
    <row r="112" spans="1:7" x14ac:dyDescent="0.3">
      <c r="A112">
        <v>100000</v>
      </c>
      <c r="B112" t="s">
        <v>122</v>
      </c>
      <c r="C112">
        <v>123331.41672550022</v>
      </c>
      <c r="D112">
        <v>118728.42622780974</v>
      </c>
      <c r="E112">
        <v>91170.42820926712</v>
      </c>
      <c r="F112">
        <v>120062.62067962783</v>
      </c>
      <c r="G112">
        <v>110002.34839034901</v>
      </c>
    </row>
    <row r="113" spans="1:7" x14ac:dyDescent="0.3">
      <c r="A113">
        <v>100000</v>
      </c>
      <c r="B113" t="s">
        <v>123</v>
      </c>
      <c r="C113">
        <v>123795.54435380398</v>
      </c>
      <c r="D113">
        <v>119175.00769420895</v>
      </c>
      <c r="E113">
        <v>91511.96120875304</v>
      </c>
      <c r="F113">
        <v>120514.2879683583</v>
      </c>
      <c r="G113">
        <v>110415.66687812493</v>
      </c>
    </row>
    <row r="114" spans="1:7" x14ac:dyDescent="0.3">
      <c r="A114">
        <v>100000</v>
      </c>
      <c r="B114" t="s">
        <v>124</v>
      </c>
      <c r="C114">
        <v>124593.88183982871</v>
      </c>
      <c r="D114">
        <v>119943.32414142921</v>
      </c>
      <c r="E114">
        <v>92100.542388585134</v>
      </c>
      <c r="F114">
        <v>121291.30612883017</v>
      </c>
      <c r="G114">
        <v>111127.07121103593</v>
      </c>
    </row>
    <row r="115" spans="1:7" x14ac:dyDescent="0.3">
      <c r="A115">
        <v>100000</v>
      </c>
      <c r="B115" t="s">
        <v>125</v>
      </c>
      <c r="C115">
        <v>125906.16500334423</v>
      </c>
      <c r="D115">
        <v>121206.40142240678</v>
      </c>
      <c r="E115">
        <v>91120.059592250051</v>
      </c>
      <c r="F115">
        <v>120001.96633405599</v>
      </c>
      <c r="G115">
        <v>112296.86688274176</v>
      </c>
    </row>
    <row r="116" spans="1:7" x14ac:dyDescent="0.3">
      <c r="A116">
        <v>100000</v>
      </c>
      <c r="B116" t="s">
        <v>126</v>
      </c>
      <c r="C116">
        <v>125873.80825957129</v>
      </c>
      <c r="D116">
        <v>121175.02851023964</v>
      </c>
      <c r="E116">
        <v>91133.134337820957</v>
      </c>
      <c r="F116">
        <v>120021.08711411335</v>
      </c>
      <c r="G116">
        <v>112314.37470499061</v>
      </c>
    </row>
    <row r="117" spans="1:7" x14ac:dyDescent="0.3">
      <c r="A117">
        <v>100000</v>
      </c>
      <c r="B117" t="s">
        <v>127</v>
      </c>
      <c r="C117">
        <v>126989.79901278236</v>
      </c>
      <c r="D117">
        <v>122249.13614651781</v>
      </c>
      <c r="E117">
        <v>90314.808601021752</v>
      </c>
      <c r="F117">
        <v>118945.26526797774</v>
      </c>
      <c r="G117">
        <v>111307.24753156134</v>
      </c>
    </row>
    <row r="118" spans="1:7" x14ac:dyDescent="0.3">
      <c r="A118">
        <v>100000</v>
      </c>
      <c r="B118" t="s">
        <v>128</v>
      </c>
      <c r="C118">
        <v>131027.97622200687</v>
      </c>
      <c r="D118">
        <v>126136.33996363201</v>
      </c>
      <c r="E118">
        <v>87432.600484785886</v>
      </c>
      <c r="F118">
        <v>115151.27808568841</v>
      </c>
      <c r="G118">
        <v>107756.50427511016</v>
      </c>
    </row>
    <row r="119" spans="1:7" x14ac:dyDescent="0.3">
      <c r="A119">
        <v>100000</v>
      </c>
      <c r="B119" t="s">
        <v>129</v>
      </c>
      <c r="C119">
        <v>134329.60524823013</v>
      </c>
      <c r="D119">
        <v>129314.48606246493</v>
      </c>
      <c r="E119">
        <v>89633.72155572164</v>
      </c>
      <c r="F119">
        <v>118052.12073704395</v>
      </c>
      <c r="G119">
        <v>110470.67558189131</v>
      </c>
    </row>
    <row r="120" spans="1:7" x14ac:dyDescent="0.3">
      <c r="A120">
        <v>100000</v>
      </c>
      <c r="B120" t="s">
        <v>130</v>
      </c>
      <c r="C120">
        <v>134790.76292109941</v>
      </c>
      <c r="D120">
        <v>129758.20267010028</v>
      </c>
      <c r="E120">
        <v>89939.44048540364</v>
      </c>
      <c r="F120">
        <v>117635.57122415816</v>
      </c>
      <c r="G120">
        <v>110848.85912527154</v>
      </c>
    </row>
    <row r="121" spans="1:7" x14ac:dyDescent="0.3">
      <c r="A121">
        <v>100000</v>
      </c>
      <c r="B121" t="s">
        <v>131</v>
      </c>
      <c r="C121">
        <v>133732.1486750475</v>
      </c>
      <c r="D121">
        <v>128738.88892580025</v>
      </c>
      <c r="E121">
        <v>90635.799714517052</v>
      </c>
      <c r="F121">
        <v>116710.92609277417</v>
      </c>
      <c r="G121">
        <v>111708.50515134353</v>
      </c>
    </row>
    <row r="122" spans="1:7" x14ac:dyDescent="0.3">
      <c r="A122">
        <v>100000</v>
      </c>
      <c r="B122" t="s">
        <v>132</v>
      </c>
      <c r="C122">
        <v>136007.05068820814</v>
      </c>
      <c r="D122">
        <v>130928.62715203957</v>
      </c>
      <c r="E122">
        <v>89083.938228842453</v>
      </c>
      <c r="F122">
        <v>118695.5183992636</v>
      </c>
      <c r="G122">
        <v>113607.77741991366</v>
      </c>
    </row>
    <row r="123" spans="1:7" x14ac:dyDescent="0.3">
      <c r="A123">
        <v>100000</v>
      </c>
      <c r="B123" t="s">
        <v>133</v>
      </c>
      <c r="C123">
        <v>135773.3455642552</v>
      </c>
      <c r="D123">
        <v>130703.42440391889</v>
      </c>
      <c r="E123">
        <v>88928.792511072897</v>
      </c>
      <c r="F123">
        <v>118888.2402860555</v>
      </c>
      <c r="G123">
        <v>113411.57350836262</v>
      </c>
    </row>
    <row r="124" spans="1:7" x14ac:dyDescent="0.3">
      <c r="A124">
        <v>100000</v>
      </c>
      <c r="B124" t="s">
        <v>134</v>
      </c>
      <c r="C124">
        <v>137807.10809141767</v>
      </c>
      <c r="D124">
        <v>132661.02002839849</v>
      </c>
      <c r="E124">
        <v>90258.795669837564</v>
      </c>
      <c r="F124">
        <v>117096.14761486168</v>
      </c>
      <c r="G124">
        <v>115109.38861896112</v>
      </c>
    </row>
    <row r="125" spans="1:7" x14ac:dyDescent="0.3">
      <c r="A125">
        <v>100000</v>
      </c>
      <c r="B125" t="s">
        <v>135</v>
      </c>
      <c r="C125">
        <v>136772.10851876021</v>
      </c>
      <c r="D125">
        <v>131664.44606738794</v>
      </c>
      <c r="E125">
        <v>89578.837240122695</v>
      </c>
      <c r="F125">
        <v>117964.49936292677</v>
      </c>
      <c r="G125">
        <v>115962.90532559715</v>
      </c>
    </row>
    <row r="126" spans="1:7" x14ac:dyDescent="0.3">
      <c r="A126">
        <v>100000</v>
      </c>
      <c r="B126" t="s">
        <v>136</v>
      </c>
      <c r="C126">
        <v>137346.76025906348</v>
      </c>
      <c r="D126">
        <v>132217.41375877662</v>
      </c>
      <c r="E126">
        <v>89192.539617302289</v>
      </c>
      <c r="F126">
        <v>118459.30535759118</v>
      </c>
      <c r="G126">
        <v>116449.21376126548</v>
      </c>
    </row>
    <row r="127" spans="1:7" x14ac:dyDescent="0.3">
      <c r="A127">
        <v>100000</v>
      </c>
      <c r="B127" t="s">
        <v>137</v>
      </c>
      <c r="C127">
        <v>137447.42460885693</v>
      </c>
      <c r="D127">
        <v>132314.09462611817</v>
      </c>
      <c r="E127">
        <v>89255.807099307422</v>
      </c>
      <c r="F127">
        <v>118545.30159222474</v>
      </c>
      <c r="G127">
        <v>116533.64894624092</v>
      </c>
    </row>
    <row r="128" spans="1:7" x14ac:dyDescent="0.3">
      <c r="A128">
        <v>100000</v>
      </c>
      <c r="B128" t="s">
        <v>138</v>
      </c>
      <c r="C128">
        <v>138444.48256655314</v>
      </c>
      <c r="D128">
        <v>133273.69078703411</v>
      </c>
      <c r="E128">
        <v>88598.439874084128</v>
      </c>
      <c r="F128">
        <v>119404.41644212435</v>
      </c>
      <c r="G128">
        <v>117378.08324319152</v>
      </c>
    </row>
    <row r="129" spans="1:7" x14ac:dyDescent="0.3">
      <c r="A129">
        <v>100000</v>
      </c>
      <c r="B129" t="s">
        <v>139</v>
      </c>
      <c r="C129">
        <v>138754.9061004431</v>
      </c>
      <c r="D129">
        <v>133572.29615253228</v>
      </c>
      <c r="E129">
        <v>88794.937156188651</v>
      </c>
      <c r="F129">
        <v>119125.5101715944</v>
      </c>
      <c r="G129">
        <v>117103.80828407074</v>
      </c>
    </row>
    <row r="130" spans="1:7" x14ac:dyDescent="0.3">
      <c r="A130">
        <v>100000</v>
      </c>
      <c r="B130" t="s">
        <v>140</v>
      </c>
      <c r="C130">
        <v>137482.00267898533</v>
      </c>
      <c r="D130">
        <v>132346.71261661669</v>
      </c>
      <c r="E130">
        <v>87978.193861750697</v>
      </c>
      <c r="F130">
        <v>120207.18714576961</v>
      </c>
      <c r="G130">
        <v>118167.02608364481</v>
      </c>
    </row>
    <row r="131" spans="1:7" x14ac:dyDescent="0.3">
      <c r="A131">
        <v>100000</v>
      </c>
      <c r="B131" t="s">
        <v>141</v>
      </c>
      <c r="C131">
        <v>135917.59626526106</v>
      </c>
      <c r="D131">
        <v>130840.51650543082</v>
      </c>
      <c r="E131">
        <v>86974.930373364041</v>
      </c>
      <c r="F131">
        <v>121563.77750504109</v>
      </c>
      <c r="G131">
        <v>119500.49050626792</v>
      </c>
    </row>
    <row r="132" spans="1:7" x14ac:dyDescent="0.3">
      <c r="A132">
        <v>100000</v>
      </c>
      <c r="B132" t="s">
        <v>142</v>
      </c>
      <c r="C132">
        <v>137062.69512206267</v>
      </c>
      <c r="D132">
        <v>131942.6170980781</v>
      </c>
      <c r="E132">
        <v>87705.529207320666</v>
      </c>
      <c r="F132">
        <v>120528.24248411972</v>
      </c>
      <c r="G132">
        <v>120506.55135628865</v>
      </c>
    </row>
    <row r="133" spans="1:7" x14ac:dyDescent="0.3">
      <c r="A133">
        <v>100000</v>
      </c>
      <c r="B133" t="s">
        <v>143</v>
      </c>
      <c r="C133">
        <v>138211.59704256529</v>
      </c>
      <c r="D133">
        <v>133048.37680590386</v>
      </c>
      <c r="E133">
        <v>88438.543452079437</v>
      </c>
      <c r="F133">
        <v>119506.66126710257</v>
      </c>
      <c r="G133">
        <v>121515.94980201879</v>
      </c>
    </row>
    <row r="134" spans="1:7" x14ac:dyDescent="0.3">
      <c r="A134">
        <v>100000</v>
      </c>
      <c r="B134" t="s">
        <v>144</v>
      </c>
      <c r="C134">
        <v>137642.03887470064</v>
      </c>
      <c r="D134">
        <v>132499.87168278449</v>
      </c>
      <c r="E134">
        <v>88071.935047409002</v>
      </c>
      <c r="F134">
        <v>119987.95000779028</v>
      </c>
      <c r="G134">
        <v>122005.4314222454</v>
      </c>
    </row>
    <row r="135" spans="1:7" x14ac:dyDescent="0.3">
      <c r="A135">
        <v>100000</v>
      </c>
      <c r="B135" t="s">
        <v>145</v>
      </c>
      <c r="C135">
        <v>137308.92819932074</v>
      </c>
      <c r="D135">
        <v>132178.98153099473</v>
      </c>
      <c r="E135">
        <v>87856.629297574837</v>
      </c>
      <c r="F135">
        <v>120267.10518047868</v>
      </c>
      <c r="G135">
        <v>122289.38120356823</v>
      </c>
    </row>
    <row r="136" spans="1:7" x14ac:dyDescent="0.3">
      <c r="A136">
        <v>100000</v>
      </c>
      <c r="B136" t="s">
        <v>146</v>
      </c>
      <c r="C136">
        <v>136041.3027197163</v>
      </c>
      <c r="D136">
        <v>130958.49116132558</v>
      </c>
      <c r="E136">
        <v>87043.382722078444</v>
      </c>
      <c r="F136">
        <v>121366.14653681133</v>
      </c>
      <c r="G136">
        <v>123407.00368926355</v>
      </c>
    </row>
    <row r="137" spans="1:7" x14ac:dyDescent="0.3">
      <c r="A137">
        <v>100000</v>
      </c>
      <c r="B137" t="s">
        <v>147</v>
      </c>
      <c r="C137">
        <v>136923.65585074472</v>
      </c>
      <c r="D137">
        <v>131807.65340493928</v>
      </c>
      <c r="E137">
        <v>87605.778202205358</v>
      </c>
      <c r="F137">
        <v>120567.62254504273</v>
      </c>
      <c r="G137">
        <v>124206.85452960768</v>
      </c>
    </row>
    <row r="138" spans="1:7" x14ac:dyDescent="0.3">
      <c r="A138">
        <v>100000</v>
      </c>
      <c r="B138" t="s">
        <v>148</v>
      </c>
      <c r="C138">
        <v>136939.43785451</v>
      </c>
      <c r="D138">
        <v>131822.62154798894</v>
      </c>
      <c r="E138">
        <v>87613.71465006606</v>
      </c>
      <c r="F138">
        <v>120542.44248158378</v>
      </c>
      <c r="G138">
        <v>124220.61352710324</v>
      </c>
    </row>
    <row r="139" spans="1:7" x14ac:dyDescent="0.3">
      <c r="A139">
        <v>100000</v>
      </c>
      <c r="B139" t="s">
        <v>149</v>
      </c>
      <c r="C139">
        <v>131465.75838426559</v>
      </c>
      <c r="D139">
        <v>126553.2448842297</v>
      </c>
      <c r="E139">
        <v>84109.498822621434</v>
      </c>
      <c r="F139">
        <v>125349.42731908482</v>
      </c>
      <c r="G139">
        <v>129174.45934657355</v>
      </c>
    </row>
    <row r="140" spans="1:7" x14ac:dyDescent="0.3">
      <c r="A140">
        <v>100000</v>
      </c>
      <c r="B140" t="s">
        <v>150</v>
      </c>
      <c r="C140">
        <v>133844.62474951302</v>
      </c>
      <c r="D140">
        <v>128842.99535832004</v>
      </c>
      <c r="E140">
        <v>85629.294719630445</v>
      </c>
      <c r="F140">
        <v>123069.51480535993</v>
      </c>
      <c r="G140">
        <v>131511.76019639801</v>
      </c>
    </row>
    <row r="141" spans="1:7" x14ac:dyDescent="0.3">
      <c r="A141">
        <v>100000</v>
      </c>
      <c r="B141" t="s">
        <v>151</v>
      </c>
      <c r="C141">
        <v>136400.8781662281</v>
      </c>
      <c r="D141">
        <v>131303.50012602727</v>
      </c>
      <c r="E141">
        <v>87262.538382772575</v>
      </c>
      <c r="F141">
        <v>120707.53461270264</v>
      </c>
      <c r="G141">
        <v>134023.35444070972</v>
      </c>
    </row>
    <row r="142" spans="1:7" x14ac:dyDescent="0.3">
      <c r="A142">
        <v>100000</v>
      </c>
      <c r="B142" t="s">
        <v>152</v>
      </c>
      <c r="C142">
        <v>138556.8714385182</v>
      </c>
      <c r="D142">
        <v>133378.69848572303</v>
      </c>
      <c r="E142">
        <v>88639.674792470731</v>
      </c>
      <c r="F142">
        <v>118788.28536346136</v>
      </c>
      <c r="G142">
        <v>131893.04560541434</v>
      </c>
    </row>
    <row r="143" spans="1:7" x14ac:dyDescent="0.3">
      <c r="A143">
        <v>100000</v>
      </c>
      <c r="B143" t="s">
        <v>153</v>
      </c>
      <c r="C143">
        <v>138825.28511109861</v>
      </c>
      <c r="D143">
        <v>133636.85671992294</v>
      </c>
      <c r="E143">
        <v>88809.226812688852</v>
      </c>
      <c r="F143">
        <v>118547.02363080466</v>
      </c>
      <c r="G143">
        <v>131625.8297259229</v>
      </c>
    </row>
    <row r="144" spans="1:7" x14ac:dyDescent="0.3">
      <c r="A144">
        <v>100000</v>
      </c>
      <c r="B144" t="s">
        <v>154</v>
      </c>
      <c r="C144">
        <v>137374.04211069076</v>
      </c>
      <c r="D144">
        <v>132239.62794184833</v>
      </c>
      <c r="E144">
        <v>87878.676840974731</v>
      </c>
      <c r="F144">
        <v>119775.15944392036</v>
      </c>
      <c r="G144">
        <v>132990.12267314809</v>
      </c>
    </row>
    <row r="145" spans="1:7" x14ac:dyDescent="0.3">
      <c r="A145">
        <v>100000</v>
      </c>
      <c r="B145" t="s">
        <v>155</v>
      </c>
      <c r="C145">
        <v>138794.20247406792</v>
      </c>
      <c r="D145">
        <v>133606.48494554954</v>
      </c>
      <c r="E145">
        <v>88784.99683804989</v>
      </c>
      <c r="F145">
        <v>118525.70338561744</v>
      </c>
      <c r="G145">
        <v>131603.47434422807</v>
      </c>
    </row>
    <row r="146" spans="1:7" x14ac:dyDescent="0.3">
      <c r="A146">
        <v>100000</v>
      </c>
      <c r="B146" t="s">
        <v>156</v>
      </c>
      <c r="C146">
        <v>142737.61442306705</v>
      </c>
      <c r="D146">
        <v>137402.27953568249</v>
      </c>
      <c r="E146">
        <v>91305.388583191845</v>
      </c>
      <c r="F146">
        <v>115147.03492490025</v>
      </c>
      <c r="G146">
        <v>127852.67575149142</v>
      </c>
    </row>
    <row r="147" spans="1:7" x14ac:dyDescent="0.3">
      <c r="A147">
        <v>100000</v>
      </c>
      <c r="B147" t="s">
        <v>157</v>
      </c>
      <c r="C147">
        <v>140731.70928639453</v>
      </c>
      <c r="D147">
        <v>135471.12809088215</v>
      </c>
      <c r="E147">
        <v>90020.103397072788</v>
      </c>
      <c r="F147">
        <v>116754.36682448187</v>
      </c>
      <c r="G147">
        <v>129638.0271342802</v>
      </c>
    </row>
    <row r="148" spans="1:7" x14ac:dyDescent="0.3">
      <c r="A148">
        <v>100000</v>
      </c>
      <c r="B148" t="s">
        <v>317</v>
      </c>
      <c r="C148">
        <v>141166.26580785427</v>
      </c>
      <c r="D148">
        <v>135889.21651596116</v>
      </c>
      <c r="E148">
        <v>90295.908711704134</v>
      </c>
      <c r="F148">
        <v>116382.87067600014</v>
      </c>
      <c r="G148">
        <v>129226.19906203705</v>
      </c>
    </row>
    <row r="149" spans="1:7" x14ac:dyDescent="0.3">
      <c r="A149">
        <v>100000</v>
      </c>
      <c r="B149" t="s">
        <v>318</v>
      </c>
      <c r="C149">
        <v>140618.95503956001</v>
      </c>
      <c r="D149">
        <v>135362.14091922276</v>
      </c>
      <c r="E149">
        <v>89943.663470754778</v>
      </c>
      <c r="F149">
        <v>116823.14798440233</v>
      </c>
      <c r="G149">
        <v>129715.7249066693</v>
      </c>
    </row>
    <row r="150" spans="1:7" x14ac:dyDescent="0.3">
      <c r="A150">
        <v>100000</v>
      </c>
      <c r="B150" t="s">
        <v>319</v>
      </c>
      <c r="C150">
        <v>143055.60399455542</v>
      </c>
      <c r="D150">
        <v>137707.47536036736</v>
      </c>
      <c r="E150">
        <v>91500.047400599025</v>
      </c>
      <c r="F150">
        <v>114787.84873194312</v>
      </c>
      <c r="G150">
        <v>127456.47263494953</v>
      </c>
    </row>
    <row r="151" spans="1:7" x14ac:dyDescent="0.3">
      <c r="A151">
        <v>100000</v>
      </c>
      <c r="B151" t="s">
        <v>320</v>
      </c>
      <c r="C151">
        <v>143336.99640228585</v>
      </c>
      <c r="D151">
        <v>137978.12361322294</v>
      </c>
      <c r="E151">
        <v>91310.227835369631</v>
      </c>
      <c r="F151">
        <v>115012.4524643668</v>
      </c>
      <c r="G151">
        <v>127706.5270748216</v>
      </c>
    </row>
    <row r="152" spans="1:7" x14ac:dyDescent="0.3">
      <c r="A152">
        <v>100000</v>
      </c>
      <c r="B152" t="s">
        <v>321</v>
      </c>
      <c r="C152">
        <v>145120.76580247705</v>
      </c>
      <c r="D152">
        <v>139694.97974762711</v>
      </c>
      <c r="E152">
        <v>92444.367895550386</v>
      </c>
      <c r="F152">
        <v>113570.35590012773</v>
      </c>
      <c r="G152">
        <v>126105.92665692446</v>
      </c>
    </row>
    <row r="153" spans="1:7" x14ac:dyDescent="0.3">
      <c r="A153">
        <v>100000</v>
      </c>
      <c r="B153" t="s">
        <v>322</v>
      </c>
      <c r="C153">
        <v>144576.48075708767</v>
      </c>
      <c r="D153">
        <v>139170.82014380812</v>
      </c>
      <c r="E153">
        <v>92095.471270842812</v>
      </c>
      <c r="F153">
        <v>113985.61349095243</v>
      </c>
      <c r="G153">
        <v>126567.68145465468</v>
      </c>
    </row>
    <row r="154" spans="1:7" x14ac:dyDescent="0.3">
      <c r="A154">
        <v>100000</v>
      </c>
      <c r="B154" t="s">
        <v>323</v>
      </c>
      <c r="C154">
        <v>145012.44172233669</v>
      </c>
      <c r="D154">
        <v>139590.2563536478</v>
      </c>
      <c r="E154">
        <v>92371.001179198458</v>
      </c>
      <c r="F154">
        <v>113631.16683144627</v>
      </c>
      <c r="G154">
        <v>126948.59068340411</v>
      </c>
    </row>
    <row r="155" spans="1:7" x14ac:dyDescent="0.3">
      <c r="A155">
        <v>100000</v>
      </c>
      <c r="B155" t="s">
        <v>324</v>
      </c>
      <c r="C155">
        <v>146891.65231588494</v>
      </c>
      <c r="D155">
        <v>141398.97671080098</v>
      </c>
      <c r="E155">
        <v>93565.85531206739</v>
      </c>
      <c r="F155">
        <v>112147.92338306639</v>
      </c>
      <c r="G155">
        <v>128592.96512817501</v>
      </c>
    </row>
    <row r="156" spans="1:7" x14ac:dyDescent="0.3">
      <c r="A156">
        <v>100000</v>
      </c>
      <c r="B156" t="s">
        <v>325</v>
      </c>
      <c r="C156">
        <v>145480.20610402455</v>
      </c>
      <c r="D156">
        <v>140040.08392863136</v>
      </c>
      <c r="E156">
        <v>94455.085060215584</v>
      </c>
      <c r="F156">
        <v>111068.90206700284</v>
      </c>
      <c r="G156">
        <v>129817.33113510531</v>
      </c>
    </row>
    <row r="157" spans="1:7" x14ac:dyDescent="0.3">
      <c r="A157">
        <v>100000</v>
      </c>
      <c r="B157" t="s">
        <v>326</v>
      </c>
      <c r="C157">
        <v>145880.84190809421</v>
      </c>
      <c r="D157">
        <v>140425.51389464052</v>
      </c>
      <c r="E157">
        <v>94185.071002973564</v>
      </c>
      <c r="F157">
        <v>111373.35387009456</v>
      </c>
      <c r="G157">
        <v>130174.18719808446</v>
      </c>
    </row>
    <row r="158" spans="1:7" x14ac:dyDescent="0.3">
      <c r="A158">
        <v>100000</v>
      </c>
      <c r="B158" t="s">
        <v>327</v>
      </c>
      <c r="C158">
        <v>147054.92401182788</v>
      </c>
      <c r="D158">
        <v>141555.46590648228</v>
      </c>
      <c r="E158">
        <v>93417.174407946251</v>
      </c>
      <c r="F158">
        <v>112268.29260897089</v>
      </c>
      <c r="G158">
        <v>129115.16182017146</v>
      </c>
    </row>
    <row r="159" spans="1:7" x14ac:dyDescent="0.3">
      <c r="A159">
        <v>100000</v>
      </c>
      <c r="B159" t="s">
        <v>328</v>
      </c>
      <c r="C159">
        <v>146570.83728484885</v>
      </c>
      <c r="D159">
        <v>141089.25833549484</v>
      </c>
      <c r="E159">
        <v>93714.880737104831</v>
      </c>
      <c r="F159">
        <v>111897.29986277335</v>
      </c>
      <c r="G159">
        <v>129528.92501771668</v>
      </c>
    </row>
    <row r="160" spans="1:7" x14ac:dyDescent="0.3">
      <c r="A160">
        <v>100000</v>
      </c>
      <c r="B160" t="s">
        <v>329</v>
      </c>
      <c r="C160">
        <v>146331.89516264483</v>
      </c>
      <c r="D160">
        <v>140859.02797790337</v>
      </c>
      <c r="E160">
        <v>93857.819936780506</v>
      </c>
      <c r="F160">
        <v>111713.46370530991</v>
      </c>
      <c r="G160">
        <v>129728.78276704368</v>
      </c>
    </row>
    <row r="161" spans="1:7" x14ac:dyDescent="0.3">
      <c r="A161">
        <v>100000</v>
      </c>
      <c r="B161" t="s">
        <v>330</v>
      </c>
      <c r="C161">
        <v>144533.01466635728</v>
      </c>
      <c r="D161">
        <v>139127.20187753811</v>
      </c>
      <c r="E161">
        <v>95001.780132414468</v>
      </c>
      <c r="F161">
        <v>110338.73346350336</v>
      </c>
      <c r="G161">
        <v>128133.32611323871</v>
      </c>
    </row>
    <row r="162" spans="1:7" x14ac:dyDescent="0.3">
      <c r="A162">
        <v>100000</v>
      </c>
      <c r="B162" t="s">
        <v>331</v>
      </c>
      <c r="C162">
        <v>145529.05630219451</v>
      </c>
      <c r="D162">
        <v>140085.76522855271</v>
      </c>
      <c r="E162">
        <v>94337.136573424956</v>
      </c>
      <c r="F162">
        <v>111097.70750926866</v>
      </c>
      <c r="G162">
        <v>129015.66936132057</v>
      </c>
    </row>
    <row r="163" spans="1:7" x14ac:dyDescent="0.3">
      <c r="A163">
        <v>100000</v>
      </c>
      <c r="B163" t="s">
        <v>332</v>
      </c>
      <c r="C163">
        <v>147368.12290876597</v>
      </c>
      <c r="D163">
        <v>141855.81994949104</v>
      </c>
      <c r="E163">
        <v>93135.098442800634</v>
      </c>
      <c r="F163">
        <v>112500.2418281221</v>
      </c>
      <c r="G163">
        <v>127373.96506067055</v>
      </c>
    </row>
    <row r="164" spans="1:7" x14ac:dyDescent="0.3">
      <c r="A164">
        <v>100000</v>
      </c>
      <c r="B164" t="s">
        <v>333</v>
      </c>
      <c r="C164">
        <v>145983.39081592424</v>
      </c>
      <c r="D164">
        <v>140522.65931488201</v>
      </c>
      <c r="E164">
        <v>94000.442575157926</v>
      </c>
      <c r="F164">
        <v>113546.76045154863</v>
      </c>
      <c r="G164">
        <v>128559.63779121329</v>
      </c>
    </row>
    <row r="165" spans="1:7" x14ac:dyDescent="0.3">
      <c r="A165">
        <v>100000</v>
      </c>
      <c r="B165" t="s">
        <v>334</v>
      </c>
      <c r="C165">
        <v>147417.68273513272</v>
      </c>
      <c r="D165">
        <v>141903.07491699743</v>
      </c>
      <c r="E165">
        <v>93067.021468644947</v>
      </c>
      <c r="F165">
        <v>114661.02817938132</v>
      </c>
      <c r="G165">
        <v>129822.02460160415</v>
      </c>
    </row>
    <row r="166" spans="1:7" x14ac:dyDescent="0.3">
      <c r="A166">
        <v>100000</v>
      </c>
      <c r="B166" t="s">
        <v>335</v>
      </c>
      <c r="C166">
        <v>153093.0944429776</v>
      </c>
      <c r="D166">
        <v>147365.95610041113</v>
      </c>
      <c r="E166">
        <v>96647.782945124156</v>
      </c>
      <c r="F166">
        <v>119074.01303822157</v>
      </c>
      <c r="G166">
        <v>134819.30749700064</v>
      </c>
    </row>
    <row r="167" spans="1:7" x14ac:dyDescent="0.3">
      <c r="A167">
        <v>100000</v>
      </c>
      <c r="B167" t="s">
        <v>336</v>
      </c>
      <c r="C167">
        <v>153796.67453045087</v>
      </c>
      <c r="D167">
        <v>148042.99114128464</v>
      </c>
      <c r="E167">
        <v>96193.824514825115</v>
      </c>
      <c r="F167">
        <v>119619.9161067099</v>
      </c>
      <c r="G167">
        <v>135438.18934653723</v>
      </c>
    </row>
    <row r="168" spans="1:7" x14ac:dyDescent="0.3">
      <c r="A168">
        <v>100000</v>
      </c>
      <c r="B168" t="s">
        <v>337</v>
      </c>
      <c r="C168">
        <v>152996.90962857025</v>
      </c>
      <c r="D168">
        <v>147272.92175749503</v>
      </c>
      <c r="E168">
        <v>96684.293517881568</v>
      </c>
      <c r="F168">
        <v>118996.54195826815</v>
      </c>
      <c r="G168">
        <v>136131.20368742439</v>
      </c>
    </row>
    <row r="169" spans="1:7" x14ac:dyDescent="0.3">
      <c r="A169">
        <v>100000</v>
      </c>
      <c r="B169" t="s">
        <v>338</v>
      </c>
      <c r="C169">
        <v>155991.03533865555</v>
      </c>
      <c r="D169">
        <v>150154.80544113732</v>
      </c>
      <c r="E169">
        <v>94782.405323481958</v>
      </c>
      <c r="F169">
        <v>121323.95238993596</v>
      </c>
      <c r="G169">
        <v>138794.60874350689</v>
      </c>
    </row>
    <row r="170" spans="1:7" x14ac:dyDescent="0.3">
      <c r="A170">
        <v>100000</v>
      </c>
      <c r="B170" t="s">
        <v>339</v>
      </c>
      <c r="C170">
        <v>156075.22826252988</v>
      </c>
      <c r="D170">
        <v>150235.62389776923</v>
      </c>
      <c r="E170">
        <v>94721.602800699751</v>
      </c>
      <c r="F170">
        <v>121388.10104930143</v>
      </c>
      <c r="G170">
        <v>138708.35867302437</v>
      </c>
    </row>
  </sheetData>
  <phoneticPr fontId="7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345B-BE68-42BE-8478-9DA7759C53C3}">
  <sheetPr codeName="Hoja8"/>
  <dimension ref="A1:G170"/>
  <sheetViews>
    <sheetView zoomScale="82" zoomScaleNormal="189" workbookViewId="0">
      <selection activeCell="U12" sqref="U12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223</v>
      </c>
      <c r="E1" t="s">
        <v>215</v>
      </c>
      <c r="F1" t="s">
        <v>214</v>
      </c>
      <c r="G1" t="s">
        <v>213</v>
      </c>
    </row>
    <row r="2" spans="1:7" x14ac:dyDescent="0.3">
      <c r="C2" t="s">
        <v>9</v>
      </c>
      <c r="D2" t="s">
        <v>9</v>
      </c>
      <c r="E2" t="s">
        <v>9</v>
      </c>
      <c r="F2" t="s">
        <v>9</v>
      </c>
      <c r="G2" t="s">
        <v>9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101202.05998518885</v>
      </c>
      <c r="D5">
        <v>101202.05998518885</v>
      </c>
      <c r="E5">
        <v>101202.05998518885</v>
      </c>
      <c r="F5">
        <v>98387.940014811145</v>
      </c>
      <c r="G5">
        <v>101202.05998518885</v>
      </c>
    </row>
    <row r="6" spans="1:7" x14ac:dyDescent="0.3">
      <c r="A6">
        <v>100000</v>
      </c>
      <c r="B6" t="s">
        <v>16</v>
      </c>
      <c r="C6">
        <v>102529.79999980686</v>
      </c>
      <c r="D6">
        <v>102529.79999980686</v>
      </c>
      <c r="E6">
        <v>99464.319970570854</v>
      </c>
      <c r="F6">
        <v>99715.680029429146</v>
      </c>
      <c r="G6">
        <v>102529.79999980686</v>
      </c>
    </row>
    <row r="7" spans="1:7" x14ac:dyDescent="0.3">
      <c r="A7">
        <v>100000</v>
      </c>
      <c r="B7" t="s">
        <v>17</v>
      </c>
      <c r="C7">
        <v>104438.12716926927</v>
      </c>
      <c r="D7">
        <v>104438.12716926927</v>
      </c>
      <c r="E7">
        <v>97145.992801108441</v>
      </c>
      <c r="F7">
        <v>101624.00719889156</v>
      </c>
      <c r="G7">
        <v>100211.47283034444</v>
      </c>
    </row>
    <row r="8" spans="1:7" x14ac:dyDescent="0.3">
      <c r="A8">
        <v>100000</v>
      </c>
      <c r="B8" t="s">
        <v>18</v>
      </c>
      <c r="C8">
        <v>103493.87985744131</v>
      </c>
      <c r="D8">
        <v>103493.87985744131</v>
      </c>
      <c r="E8">
        <v>97680.240112936401</v>
      </c>
      <c r="F8">
        <v>100679.7598870636</v>
      </c>
      <c r="G8">
        <v>100745.7201421724</v>
      </c>
    </row>
    <row r="9" spans="1:7" x14ac:dyDescent="0.3">
      <c r="A9">
        <v>100000</v>
      </c>
      <c r="B9" t="s">
        <v>19</v>
      </c>
      <c r="C9">
        <v>103189.71723073351</v>
      </c>
      <c r="D9">
        <v>103189.71723073351</v>
      </c>
      <c r="E9">
        <v>97574.402739644196</v>
      </c>
      <c r="F9">
        <v>100375.5972603558</v>
      </c>
      <c r="G9">
        <v>100639.8827688802</v>
      </c>
    </row>
    <row r="10" spans="1:7" x14ac:dyDescent="0.3">
      <c r="A10">
        <v>100000</v>
      </c>
      <c r="B10" t="s">
        <v>20</v>
      </c>
      <c r="C10">
        <v>102530.46104780213</v>
      </c>
      <c r="D10">
        <v>102530.46104780213</v>
      </c>
      <c r="E10">
        <v>97823.658922575574</v>
      </c>
      <c r="F10">
        <v>99716.341077424426</v>
      </c>
      <c r="G10">
        <v>100889.13895181158</v>
      </c>
    </row>
    <row r="11" spans="1:7" x14ac:dyDescent="0.3">
      <c r="A11">
        <v>100000</v>
      </c>
      <c r="B11" t="s">
        <v>21</v>
      </c>
      <c r="C11">
        <v>100576.75638458969</v>
      </c>
      <c r="D11">
        <v>100576.75638458969</v>
      </c>
      <c r="E11">
        <v>95869.954259363134</v>
      </c>
      <c r="F11">
        <v>101260.04574063687</v>
      </c>
      <c r="G11">
        <v>102432.84361502402</v>
      </c>
    </row>
    <row r="12" spans="1:7" x14ac:dyDescent="0.3">
      <c r="A12">
        <v>100000</v>
      </c>
      <c r="B12" t="s">
        <v>22</v>
      </c>
      <c r="C12">
        <v>99117.405421010451</v>
      </c>
      <c r="D12">
        <v>99117.405421010451</v>
      </c>
      <c r="E12">
        <v>94410.603295783891</v>
      </c>
      <c r="F12">
        <v>102309.39670421611</v>
      </c>
      <c r="G12">
        <v>100973.49265144477</v>
      </c>
    </row>
    <row r="13" spans="1:7" x14ac:dyDescent="0.3">
      <c r="A13">
        <v>100000</v>
      </c>
      <c r="B13" t="s">
        <v>23</v>
      </c>
      <c r="C13">
        <v>99810.893177532926</v>
      </c>
      <c r="D13">
        <v>98013.917664487977</v>
      </c>
      <c r="E13">
        <v>93307.115539261416</v>
      </c>
      <c r="F13">
        <v>103002.88446073858</v>
      </c>
      <c r="G13">
        <v>99870.004894922298</v>
      </c>
    </row>
    <row r="14" spans="1:7" x14ac:dyDescent="0.3">
      <c r="A14">
        <v>100000</v>
      </c>
      <c r="B14" t="s">
        <v>24</v>
      </c>
      <c r="C14">
        <v>100624.77933538676</v>
      </c>
      <c r="D14">
        <v>96790.031506634143</v>
      </c>
      <c r="E14">
        <v>92083.229381407582</v>
      </c>
      <c r="F14">
        <v>103816.77061859242</v>
      </c>
      <c r="G14">
        <v>100683.89105277613</v>
      </c>
    </row>
    <row r="15" spans="1:7" x14ac:dyDescent="0.3">
      <c r="A15">
        <v>100000</v>
      </c>
      <c r="B15" t="s">
        <v>25</v>
      </c>
      <c r="C15">
        <v>102872.8280654273</v>
      </c>
      <c r="D15">
        <v>99038.080236674679</v>
      </c>
      <c r="E15">
        <v>94331.278111448119</v>
      </c>
      <c r="F15">
        <v>101158.72188855188</v>
      </c>
      <c r="G15">
        <v>102931.93978281667</v>
      </c>
    </row>
    <row r="16" spans="1:7" x14ac:dyDescent="0.3">
      <c r="A16">
        <v>100000</v>
      </c>
      <c r="B16" t="s">
        <v>26</v>
      </c>
      <c r="C16">
        <v>101597.05463425969</v>
      </c>
      <c r="D16">
        <v>97762.306805507076</v>
      </c>
      <c r="E16">
        <v>93055.504680280515</v>
      </c>
      <c r="F16">
        <v>99882.948457384278</v>
      </c>
      <c r="G16">
        <v>101656.16635164907</v>
      </c>
    </row>
    <row r="17" spans="1:7" x14ac:dyDescent="0.3">
      <c r="A17">
        <v>100000</v>
      </c>
      <c r="B17" t="s">
        <v>27</v>
      </c>
      <c r="C17">
        <v>103596.87288572815</v>
      </c>
      <c r="D17">
        <v>99762.125056975536</v>
      </c>
      <c r="E17">
        <v>95055.322931748975</v>
      </c>
      <c r="F17">
        <v>101882.76670885274</v>
      </c>
      <c r="G17">
        <v>103655.98460311753</v>
      </c>
    </row>
    <row r="18" spans="1:7" x14ac:dyDescent="0.3">
      <c r="A18">
        <v>100000</v>
      </c>
      <c r="B18" t="s">
        <v>28</v>
      </c>
      <c r="C18">
        <v>104062.17815478412</v>
      </c>
      <c r="D18">
        <v>100227.43032603151</v>
      </c>
      <c r="E18">
        <v>94180.017662693004</v>
      </c>
      <c r="F18">
        <v>102348.07197790871</v>
      </c>
      <c r="G18">
        <v>102780.67933406155</v>
      </c>
    </row>
    <row r="19" spans="1:7" x14ac:dyDescent="0.3">
      <c r="A19">
        <v>100000</v>
      </c>
      <c r="B19" t="s">
        <v>29</v>
      </c>
      <c r="C19">
        <v>103482.6848524528</v>
      </c>
      <c r="D19">
        <v>100396.92362836283</v>
      </c>
      <c r="E19">
        <v>94349.510965024325</v>
      </c>
      <c r="F19">
        <v>101768.57867557739</v>
      </c>
      <c r="G19">
        <v>102950.17263639288</v>
      </c>
    </row>
    <row r="20" spans="1:7" x14ac:dyDescent="0.3">
      <c r="A20">
        <v>100000</v>
      </c>
      <c r="B20" t="s">
        <v>30</v>
      </c>
      <c r="C20">
        <v>106117.06441917502</v>
      </c>
      <c r="D20">
        <v>103031.30319508504</v>
      </c>
      <c r="E20">
        <v>96983.89053174654</v>
      </c>
      <c r="F20">
        <v>104402.9582422996</v>
      </c>
      <c r="G20">
        <v>105584.55220311509</v>
      </c>
    </row>
    <row r="21" spans="1:7" x14ac:dyDescent="0.3">
      <c r="A21">
        <v>100000</v>
      </c>
      <c r="B21" t="s">
        <v>31</v>
      </c>
      <c r="C21">
        <v>107600.90047500498</v>
      </c>
      <c r="D21">
        <v>104515.139250915</v>
      </c>
      <c r="E21">
        <v>98467.726587576501</v>
      </c>
      <c r="F21">
        <v>105886.79429812956</v>
      </c>
      <c r="G21">
        <v>107068.38825894505</v>
      </c>
    </row>
    <row r="22" spans="1:7" x14ac:dyDescent="0.3">
      <c r="A22">
        <v>100000</v>
      </c>
      <c r="B22" t="s">
        <v>32</v>
      </c>
      <c r="C22">
        <v>107186.85945070397</v>
      </c>
      <c r="D22">
        <v>104101.09822661399</v>
      </c>
      <c r="E22">
        <v>98053.685563275489</v>
      </c>
      <c r="F22">
        <v>105890.83532243058</v>
      </c>
      <c r="G22">
        <v>106654.34723464404</v>
      </c>
    </row>
    <row r="23" spans="1:7" x14ac:dyDescent="0.3">
      <c r="A23">
        <v>100000</v>
      </c>
      <c r="B23" t="s">
        <v>33</v>
      </c>
      <c r="C23">
        <v>106388.29046366015</v>
      </c>
      <c r="D23">
        <v>103302.52923957017</v>
      </c>
      <c r="E23">
        <v>97255.116576231667</v>
      </c>
      <c r="F23">
        <v>105092.26633538675</v>
      </c>
      <c r="G23">
        <v>105855.77824760022</v>
      </c>
    </row>
    <row r="24" spans="1:7" x14ac:dyDescent="0.3">
      <c r="A24">
        <v>100000</v>
      </c>
      <c r="B24" t="s">
        <v>34</v>
      </c>
      <c r="C24">
        <v>107930.14981171828</v>
      </c>
      <c r="D24">
        <v>104844.3885876283</v>
      </c>
      <c r="E24">
        <v>98796.9759242898</v>
      </c>
      <c r="F24">
        <v>106634.12568344489</v>
      </c>
      <c r="G24">
        <v>107397.63759565835</v>
      </c>
    </row>
    <row r="25" spans="1:7" x14ac:dyDescent="0.3">
      <c r="A25">
        <v>100000</v>
      </c>
      <c r="B25" t="s">
        <v>35</v>
      </c>
      <c r="C25">
        <v>109681.78117833451</v>
      </c>
      <c r="D25">
        <v>106596.01995424453</v>
      </c>
      <c r="E25">
        <v>100548.60729090603</v>
      </c>
      <c r="F25">
        <v>108385.75705006112</v>
      </c>
      <c r="G25">
        <v>105236.00622904212</v>
      </c>
    </row>
    <row r="26" spans="1:7" x14ac:dyDescent="0.3">
      <c r="A26">
        <v>100000</v>
      </c>
      <c r="B26" t="s">
        <v>36</v>
      </c>
      <c r="C26">
        <v>107370.09650581595</v>
      </c>
      <c r="D26">
        <v>104284.33528172597</v>
      </c>
      <c r="E26">
        <v>98236.922618387471</v>
      </c>
      <c r="F26">
        <v>106074.07237754256</v>
      </c>
      <c r="G26">
        <v>102924.32155652356</v>
      </c>
    </row>
    <row r="27" spans="1:7" x14ac:dyDescent="0.3">
      <c r="A27">
        <v>100000</v>
      </c>
      <c r="B27" t="s">
        <v>37</v>
      </c>
      <c r="C27">
        <v>107631.23411271939</v>
      </c>
      <c r="D27">
        <v>104545.47288862942</v>
      </c>
      <c r="E27">
        <v>98498.060225290916</v>
      </c>
      <c r="F27">
        <v>105402.93477063911</v>
      </c>
      <c r="G27">
        <v>103185.459163427</v>
      </c>
    </row>
    <row r="28" spans="1:7" x14ac:dyDescent="0.3">
      <c r="A28">
        <v>100000</v>
      </c>
      <c r="B28" t="s">
        <v>38</v>
      </c>
      <c r="C28">
        <v>107474.91296857156</v>
      </c>
      <c r="D28">
        <v>104389.15174448158</v>
      </c>
      <c r="E28">
        <v>98244.38136943875</v>
      </c>
      <c r="F28">
        <v>105246.61362649128</v>
      </c>
      <c r="G28">
        <v>102931.78030757484</v>
      </c>
    </row>
    <row r="29" spans="1:7" x14ac:dyDescent="0.3">
      <c r="A29">
        <v>100000</v>
      </c>
      <c r="B29" t="s">
        <v>39</v>
      </c>
      <c r="C29">
        <v>104536.49773515633</v>
      </c>
      <c r="D29">
        <v>101450.73651106635</v>
      </c>
      <c r="E29">
        <v>95305.966136023519</v>
      </c>
      <c r="F29">
        <v>107775.02885990651</v>
      </c>
      <c r="G29">
        <v>99993.365074159607</v>
      </c>
    </row>
    <row r="30" spans="1:7" x14ac:dyDescent="0.3">
      <c r="A30">
        <v>100000</v>
      </c>
      <c r="B30" t="s">
        <v>40</v>
      </c>
      <c r="C30">
        <v>106580.54079297578</v>
      </c>
      <c r="D30">
        <v>103494.7795688858</v>
      </c>
      <c r="E30">
        <v>97350.009193842969</v>
      </c>
      <c r="F30">
        <v>109819.07191772596</v>
      </c>
      <c r="G30">
        <v>102037.40813197906</v>
      </c>
    </row>
    <row r="31" spans="1:7" x14ac:dyDescent="0.3">
      <c r="A31">
        <v>100000</v>
      </c>
      <c r="B31" t="s">
        <v>41</v>
      </c>
      <c r="C31">
        <v>110119.88138009422</v>
      </c>
      <c r="D31">
        <v>107034.12015600424</v>
      </c>
      <c r="E31">
        <v>100889.34978096141</v>
      </c>
      <c r="F31">
        <v>113358.4125048444</v>
      </c>
      <c r="G31">
        <v>105576.74871909749</v>
      </c>
    </row>
    <row r="32" spans="1:7" x14ac:dyDescent="0.3">
      <c r="A32">
        <v>100000</v>
      </c>
      <c r="B32" t="s">
        <v>42</v>
      </c>
      <c r="C32">
        <v>109452.85533862641</v>
      </c>
      <c r="D32">
        <v>106367.09411453643</v>
      </c>
      <c r="E32">
        <v>101146.37582242921</v>
      </c>
      <c r="F32">
        <v>113615.4385463122</v>
      </c>
      <c r="G32">
        <v>104909.72267762969</v>
      </c>
    </row>
    <row r="33" spans="1:7" x14ac:dyDescent="0.3">
      <c r="A33">
        <v>100000</v>
      </c>
      <c r="B33" t="s">
        <v>43</v>
      </c>
      <c r="C33">
        <v>107816.15991967793</v>
      </c>
      <c r="D33">
        <v>104730.39869558795</v>
      </c>
      <c r="E33">
        <v>99509.680403480728</v>
      </c>
      <c r="F33">
        <v>114842.13396526068</v>
      </c>
      <c r="G33">
        <v>103273.02725868121</v>
      </c>
    </row>
    <row r="34" spans="1:7" x14ac:dyDescent="0.3">
      <c r="A34">
        <v>100000</v>
      </c>
      <c r="B34" t="s">
        <v>44</v>
      </c>
      <c r="C34">
        <v>107706.59377667397</v>
      </c>
      <c r="D34">
        <v>104620.83255258399</v>
      </c>
      <c r="E34">
        <v>99400.114260476767</v>
      </c>
      <c r="F34">
        <v>114541.70010826465</v>
      </c>
      <c r="G34">
        <v>103163.46111567724</v>
      </c>
    </row>
    <row r="35" spans="1:7" x14ac:dyDescent="0.3">
      <c r="A35">
        <v>100000</v>
      </c>
      <c r="B35" t="s">
        <v>45</v>
      </c>
      <c r="C35">
        <v>107272.76508192772</v>
      </c>
      <c r="D35">
        <v>104187.00385783774</v>
      </c>
      <c r="E35">
        <v>98966.285565730519</v>
      </c>
      <c r="F35">
        <v>114565.52880301089</v>
      </c>
      <c r="G35">
        <v>102729.632420931</v>
      </c>
    </row>
    <row r="36" spans="1:7" x14ac:dyDescent="0.3">
      <c r="A36">
        <v>100000</v>
      </c>
      <c r="B36" t="s">
        <v>46</v>
      </c>
      <c r="C36">
        <v>107762.7355409491</v>
      </c>
      <c r="D36">
        <v>104676.97431685912</v>
      </c>
      <c r="E36">
        <v>98066.315106709138</v>
      </c>
      <c r="F36">
        <v>113665.55834398951</v>
      </c>
      <c r="G36">
        <v>103219.60287995238</v>
      </c>
    </row>
    <row r="37" spans="1:7" x14ac:dyDescent="0.3">
      <c r="A37">
        <v>100000</v>
      </c>
      <c r="B37" t="s">
        <v>47</v>
      </c>
      <c r="C37">
        <v>107004.68509195693</v>
      </c>
      <c r="D37">
        <v>105025.0247658513</v>
      </c>
      <c r="E37">
        <v>97308.264657716965</v>
      </c>
      <c r="F37">
        <v>112907.50789499734</v>
      </c>
      <c r="G37">
        <v>102461.5524309602</v>
      </c>
    </row>
    <row r="38" spans="1:7" x14ac:dyDescent="0.3">
      <c r="A38">
        <v>100000</v>
      </c>
      <c r="B38" t="s">
        <v>48</v>
      </c>
      <c r="C38">
        <v>107465.84084270855</v>
      </c>
      <c r="D38">
        <v>105486.18051660292</v>
      </c>
      <c r="E38">
        <v>96437.108906965339</v>
      </c>
      <c r="F38">
        <v>112036.35214424571</v>
      </c>
      <c r="G38">
        <v>101590.39668020858</v>
      </c>
    </row>
    <row r="39" spans="1:7" x14ac:dyDescent="0.3">
      <c r="A39">
        <v>100000</v>
      </c>
      <c r="B39" t="s">
        <v>49</v>
      </c>
      <c r="C39">
        <v>108185.98305871942</v>
      </c>
      <c r="D39">
        <v>106206.32273261379</v>
      </c>
      <c r="E39">
        <v>95306.966690954476</v>
      </c>
      <c r="F39">
        <v>110906.20992823485</v>
      </c>
      <c r="G39">
        <v>100460.25446419771</v>
      </c>
    </row>
    <row r="40" spans="1:7" x14ac:dyDescent="0.3">
      <c r="A40">
        <v>100000</v>
      </c>
      <c r="B40" t="s">
        <v>50</v>
      </c>
      <c r="C40">
        <v>108280.37839754492</v>
      </c>
      <c r="D40">
        <v>105701.92739378828</v>
      </c>
      <c r="E40">
        <v>95401.362029779979</v>
      </c>
      <c r="F40">
        <v>110401.81458940935</v>
      </c>
      <c r="G40">
        <v>100554.64980302322</v>
      </c>
    </row>
    <row r="41" spans="1:7" x14ac:dyDescent="0.3">
      <c r="A41">
        <v>100000</v>
      </c>
      <c r="B41" t="s">
        <v>51</v>
      </c>
      <c r="C41">
        <v>107875.18220527649</v>
      </c>
      <c r="D41">
        <v>105296.73120151985</v>
      </c>
      <c r="E41">
        <v>94996.165837511551</v>
      </c>
      <c r="F41">
        <v>109996.61839714092</v>
      </c>
      <c r="G41">
        <v>100149.45361075479</v>
      </c>
    </row>
    <row r="42" spans="1:7" x14ac:dyDescent="0.3">
      <c r="A42">
        <v>100000</v>
      </c>
      <c r="B42" t="s">
        <v>52</v>
      </c>
      <c r="C42">
        <v>106645.31229252892</v>
      </c>
      <c r="D42">
        <v>104066.86128877228</v>
      </c>
      <c r="E42">
        <v>95816.035750259121</v>
      </c>
      <c r="F42">
        <v>108766.74848439335</v>
      </c>
      <c r="G42">
        <v>98919.58369800722</v>
      </c>
    </row>
    <row r="43" spans="1:7" x14ac:dyDescent="0.3">
      <c r="A43">
        <v>100000</v>
      </c>
      <c r="B43" t="s">
        <v>53</v>
      </c>
      <c r="C43">
        <v>106657.28868630089</v>
      </c>
      <c r="D43">
        <v>104078.83768254425</v>
      </c>
      <c r="E43">
        <v>95394.059356487152</v>
      </c>
      <c r="F43">
        <v>108778.72487816532</v>
      </c>
      <c r="G43">
        <v>98931.560091779189</v>
      </c>
    </row>
    <row r="44" spans="1:7" x14ac:dyDescent="0.3">
      <c r="A44">
        <v>100000</v>
      </c>
      <c r="B44" t="s">
        <v>54</v>
      </c>
      <c r="C44">
        <v>104611.13776771801</v>
      </c>
      <c r="D44">
        <v>102032.68676396138</v>
      </c>
      <c r="E44">
        <v>97030.210275070029</v>
      </c>
      <c r="F44">
        <v>110414.87579674819</v>
      </c>
      <c r="G44">
        <v>100567.71101036207</v>
      </c>
    </row>
    <row r="45" spans="1:7" x14ac:dyDescent="0.3">
      <c r="A45">
        <v>100000</v>
      </c>
      <c r="B45" t="s">
        <v>55</v>
      </c>
      <c r="C45">
        <v>106258.29015948983</v>
      </c>
      <c r="D45">
        <v>103679.83915573319</v>
      </c>
      <c r="E45">
        <v>94973.057883298214</v>
      </c>
      <c r="F45">
        <v>108357.72340497638</v>
      </c>
      <c r="G45">
        <v>98510.55861859025</v>
      </c>
    </row>
    <row r="46" spans="1:7" x14ac:dyDescent="0.3">
      <c r="A46">
        <v>100000</v>
      </c>
      <c r="B46" t="s">
        <v>56</v>
      </c>
      <c r="C46">
        <v>107292.06684273959</v>
      </c>
      <c r="D46">
        <v>104713.61583898295</v>
      </c>
      <c r="E46">
        <v>93529.281200048456</v>
      </c>
      <c r="F46">
        <v>109391.50008822614</v>
      </c>
      <c r="G46">
        <v>97066.781935340492</v>
      </c>
    </row>
    <row r="47" spans="1:7" x14ac:dyDescent="0.3">
      <c r="A47">
        <v>100000</v>
      </c>
      <c r="B47" t="s">
        <v>57</v>
      </c>
      <c r="C47">
        <v>107270.35272972628</v>
      </c>
      <c r="D47">
        <v>104691.90172596964</v>
      </c>
      <c r="E47">
        <v>93140.995313061765</v>
      </c>
      <c r="F47">
        <v>109003.21420123945</v>
      </c>
      <c r="G47">
        <v>96678.496048353802</v>
      </c>
    </row>
    <row r="48" spans="1:7" x14ac:dyDescent="0.3">
      <c r="A48">
        <v>100000</v>
      </c>
      <c r="B48" t="s">
        <v>58</v>
      </c>
      <c r="C48">
        <v>106302.23232845376</v>
      </c>
      <c r="D48">
        <v>103723.78132469712</v>
      </c>
      <c r="E48">
        <v>93699.115714334286</v>
      </c>
      <c r="F48">
        <v>109561.33460251197</v>
      </c>
      <c r="G48">
        <v>97236.616449626323</v>
      </c>
    </row>
    <row r="49" spans="1:7" x14ac:dyDescent="0.3">
      <c r="A49">
        <v>100000</v>
      </c>
      <c r="B49" t="s">
        <v>59</v>
      </c>
      <c r="C49">
        <v>105971.29270076279</v>
      </c>
      <c r="D49">
        <v>103392.84169700615</v>
      </c>
      <c r="E49">
        <v>93620.055342025255</v>
      </c>
      <c r="F49">
        <v>109482.27423020294</v>
      </c>
      <c r="G49">
        <v>97157.556077317291</v>
      </c>
    </row>
    <row r="50" spans="1:7" x14ac:dyDescent="0.3">
      <c r="A50">
        <v>100000</v>
      </c>
      <c r="B50" t="s">
        <v>60</v>
      </c>
      <c r="C50">
        <v>107182.69562343696</v>
      </c>
      <c r="D50">
        <v>104604.24461968032</v>
      </c>
      <c r="E50">
        <v>94831.458264699424</v>
      </c>
      <c r="F50">
        <v>107860.87130752877</v>
      </c>
      <c r="G50">
        <v>98368.958999991461</v>
      </c>
    </row>
    <row r="51" spans="1:7" x14ac:dyDescent="0.3">
      <c r="A51">
        <v>100000</v>
      </c>
      <c r="B51" t="s">
        <v>61</v>
      </c>
      <c r="C51">
        <v>106021.74883780802</v>
      </c>
      <c r="D51">
        <v>103443.29783405138</v>
      </c>
      <c r="E51">
        <v>95582.405050328365</v>
      </c>
      <c r="F51">
        <v>106699.92452189983</v>
      </c>
      <c r="G51">
        <v>97208.012214362519</v>
      </c>
    </row>
    <row r="52" spans="1:7" x14ac:dyDescent="0.3">
      <c r="A52">
        <v>100000</v>
      </c>
      <c r="B52" t="s">
        <v>62</v>
      </c>
      <c r="C52">
        <v>108439.3419317809</v>
      </c>
      <c r="D52">
        <v>105860.89092802427</v>
      </c>
      <c r="E52">
        <v>92754.811956355479</v>
      </c>
      <c r="F52">
        <v>109117.51761587271</v>
      </c>
      <c r="G52">
        <v>99625.605308335405</v>
      </c>
    </row>
    <row r="53" spans="1:7" x14ac:dyDescent="0.3">
      <c r="A53">
        <v>100000</v>
      </c>
      <c r="B53" t="s">
        <v>63</v>
      </c>
      <c r="C53">
        <v>109621.77139276553</v>
      </c>
      <c r="D53">
        <v>107043.32038900889</v>
      </c>
      <c r="E53">
        <v>91162.382495370854</v>
      </c>
      <c r="F53">
        <v>110299.94707685734</v>
      </c>
      <c r="G53">
        <v>98033.17584735078</v>
      </c>
    </row>
    <row r="54" spans="1:7" x14ac:dyDescent="0.3">
      <c r="A54">
        <v>100000</v>
      </c>
      <c r="B54" t="s">
        <v>64</v>
      </c>
      <c r="C54">
        <v>111482.2984582926</v>
      </c>
      <c r="D54">
        <v>108903.84745453596</v>
      </c>
      <c r="E54">
        <v>88891.855429843781</v>
      </c>
      <c r="F54">
        <v>112160.47414238441</v>
      </c>
      <c r="G54">
        <v>95762.648781823707</v>
      </c>
    </row>
    <row r="55" spans="1:7" x14ac:dyDescent="0.3">
      <c r="A55">
        <v>100000</v>
      </c>
      <c r="B55" t="s">
        <v>65</v>
      </c>
      <c r="C55">
        <v>107116.6070853588</v>
      </c>
      <c r="D55">
        <v>104538.15608160217</v>
      </c>
      <c r="E55">
        <v>84526.164056909984</v>
      </c>
      <c r="F55">
        <v>116116.16551531821</v>
      </c>
      <c r="G55">
        <v>91396.95740888991</v>
      </c>
    </row>
    <row r="56" spans="1:7" x14ac:dyDescent="0.3">
      <c r="A56">
        <v>100000</v>
      </c>
      <c r="B56" t="s">
        <v>66</v>
      </c>
      <c r="C56">
        <v>106492.86618353827</v>
      </c>
      <c r="D56">
        <v>103914.41517978163</v>
      </c>
      <c r="E56">
        <v>83902.423155089447</v>
      </c>
      <c r="F56">
        <v>115492.42461349767</v>
      </c>
      <c r="G56">
        <v>90773.216507069374</v>
      </c>
    </row>
    <row r="57" spans="1:7" x14ac:dyDescent="0.3">
      <c r="A57">
        <v>100000</v>
      </c>
      <c r="B57" t="s">
        <v>67</v>
      </c>
      <c r="C57">
        <v>108120.70943575267</v>
      </c>
      <c r="D57">
        <v>105542.25843199603</v>
      </c>
      <c r="E57">
        <v>85530.266407303847</v>
      </c>
      <c r="F57">
        <v>117120.26786571207</v>
      </c>
      <c r="G57">
        <v>92401.059759283773</v>
      </c>
    </row>
    <row r="58" spans="1:7" x14ac:dyDescent="0.3">
      <c r="A58">
        <v>100000</v>
      </c>
      <c r="B58" t="s">
        <v>68</v>
      </c>
      <c r="C58">
        <v>108352.46217910583</v>
      </c>
      <c r="D58">
        <v>105774.01117534919</v>
      </c>
      <c r="E58">
        <v>85762.019150657012</v>
      </c>
      <c r="F58">
        <v>116478.51512235891</v>
      </c>
      <c r="G58">
        <v>92632.812502636938</v>
      </c>
    </row>
    <row r="59" spans="1:7" x14ac:dyDescent="0.3">
      <c r="A59">
        <v>100000</v>
      </c>
      <c r="B59" t="s">
        <v>69</v>
      </c>
      <c r="C59">
        <v>107655.78774434864</v>
      </c>
      <c r="D59">
        <v>105077.336740592</v>
      </c>
      <c r="E59">
        <v>86048.693585414207</v>
      </c>
      <c r="F59">
        <v>115781.84068760171</v>
      </c>
      <c r="G59">
        <v>91936.138067879743</v>
      </c>
    </row>
    <row r="60" spans="1:7" x14ac:dyDescent="0.3">
      <c r="A60">
        <v>100000</v>
      </c>
      <c r="B60" t="s">
        <v>70</v>
      </c>
      <c r="C60">
        <v>107508.38210010178</v>
      </c>
      <c r="D60">
        <v>104929.93109634514</v>
      </c>
      <c r="E60">
        <v>85901.287941167349</v>
      </c>
      <c r="F60">
        <v>115519.24633184857</v>
      </c>
      <c r="G60">
        <v>91788.732423632886</v>
      </c>
    </row>
    <row r="61" spans="1:7" x14ac:dyDescent="0.3">
      <c r="A61">
        <v>100000</v>
      </c>
      <c r="B61" t="s">
        <v>71</v>
      </c>
      <c r="C61">
        <v>108424.50682973408</v>
      </c>
      <c r="D61">
        <v>105846.05582597744</v>
      </c>
      <c r="E61">
        <v>84575.163211535051</v>
      </c>
      <c r="F61">
        <v>116435.37106148087</v>
      </c>
      <c r="G61">
        <v>90462.607694000588</v>
      </c>
    </row>
    <row r="62" spans="1:7" x14ac:dyDescent="0.3">
      <c r="A62">
        <v>100000</v>
      </c>
      <c r="B62" t="s">
        <v>72</v>
      </c>
      <c r="C62">
        <v>109720.07711772951</v>
      </c>
      <c r="D62">
        <v>107141.62611397287</v>
      </c>
      <c r="E62">
        <v>85870.733499530485</v>
      </c>
      <c r="F62">
        <v>117730.9413494763</v>
      </c>
      <c r="G62">
        <v>91758.177981996021</v>
      </c>
    </row>
    <row r="63" spans="1:7" x14ac:dyDescent="0.3">
      <c r="A63">
        <v>100000</v>
      </c>
      <c r="B63" t="s">
        <v>73</v>
      </c>
      <c r="C63">
        <v>109339.22505101454</v>
      </c>
      <c r="D63">
        <v>106760.7740472579</v>
      </c>
      <c r="E63">
        <v>85841.585566245456</v>
      </c>
      <c r="F63">
        <v>117350.08928276133</v>
      </c>
      <c r="G63">
        <v>91377.32591528105</v>
      </c>
    </row>
    <row r="64" spans="1:7" x14ac:dyDescent="0.3">
      <c r="A64">
        <v>100000</v>
      </c>
      <c r="B64" t="s">
        <v>74</v>
      </c>
      <c r="C64">
        <v>108665.04414775176</v>
      </c>
      <c r="D64">
        <v>106086.59314399512</v>
      </c>
      <c r="E64">
        <v>85167.404662982677</v>
      </c>
      <c r="F64">
        <v>117614.27018602411</v>
      </c>
      <c r="G64">
        <v>91641.506818543829</v>
      </c>
    </row>
    <row r="65" spans="1:7" x14ac:dyDescent="0.3">
      <c r="A65">
        <v>100000</v>
      </c>
      <c r="B65" t="s">
        <v>75</v>
      </c>
      <c r="C65">
        <v>108445.96286353863</v>
      </c>
      <c r="D65">
        <v>105867.511859782</v>
      </c>
      <c r="E65">
        <v>84948.32337876955</v>
      </c>
      <c r="F65">
        <v>117395.18890181098</v>
      </c>
      <c r="G65">
        <v>91450.588102756956</v>
      </c>
    </row>
    <row r="66" spans="1:7" x14ac:dyDescent="0.3">
      <c r="A66">
        <v>100000</v>
      </c>
      <c r="B66" t="s">
        <v>76</v>
      </c>
      <c r="C66">
        <v>106629.90756944173</v>
      </c>
      <c r="D66">
        <v>104051.45656568509</v>
      </c>
      <c r="E66">
        <v>86354.378672866456</v>
      </c>
      <c r="F66">
        <v>115579.13360771407</v>
      </c>
      <c r="G66">
        <v>92856.643396853862</v>
      </c>
    </row>
    <row r="67" spans="1:7" x14ac:dyDescent="0.3">
      <c r="A67">
        <v>100000</v>
      </c>
      <c r="B67" t="s">
        <v>77</v>
      </c>
      <c r="C67">
        <v>106150.80582007897</v>
      </c>
      <c r="D67">
        <v>103572.35481632233</v>
      </c>
      <c r="E67">
        <v>85875.276923503698</v>
      </c>
      <c r="F67">
        <v>115100.03185835131</v>
      </c>
      <c r="G67">
        <v>92925.745146216621</v>
      </c>
    </row>
    <row r="68" spans="1:7" x14ac:dyDescent="0.3">
      <c r="A68">
        <v>100000</v>
      </c>
      <c r="B68" t="s">
        <v>78</v>
      </c>
      <c r="C68">
        <v>106079.96852284762</v>
      </c>
      <c r="D68">
        <v>103501.51751909098</v>
      </c>
      <c r="E68">
        <v>85536.114220735049</v>
      </c>
      <c r="F68">
        <v>114760.86915558267</v>
      </c>
      <c r="G68">
        <v>92854.907848985269</v>
      </c>
    </row>
    <row r="69" spans="1:7" x14ac:dyDescent="0.3">
      <c r="A69">
        <v>100000</v>
      </c>
      <c r="B69" t="s">
        <v>79</v>
      </c>
      <c r="C69">
        <v>105345.03515803309</v>
      </c>
      <c r="D69">
        <v>102766.58415427645</v>
      </c>
      <c r="E69">
        <v>85861.047585549575</v>
      </c>
      <c r="F69">
        <v>115085.80252039719</v>
      </c>
      <c r="G69">
        <v>92119.974484170743</v>
      </c>
    </row>
    <row r="70" spans="1:7" x14ac:dyDescent="0.3">
      <c r="A70">
        <v>100000</v>
      </c>
      <c r="B70" t="s">
        <v>80</v>
      </c>
      <c r="C70">
        <v>108293.18034072795</v>
      </c>
      <c r="D70">
        <v>105714.72933697132</v>
      </c>
      <c r="E70">
        <v>82502.902402854699</v>
      </c>
      <c r="F70">
        <v>111727.65733770232</v>
      </c>
      <c r="G70">
        <v>88761.829301475867</v>
      </c>
    </row>
    <row r="71" spans="1:7" x14ac:dyDescent="0.3">
      <c r="A71">
        <v>100000</v>
      </c>
      <c r="B71" t="s">
        <v>81</v>
      </c>
      <c r="C71">
        <v>108166.00673598226</v>
      </c>
      <c r="D71">
        <v>105587.55573222562</v>
      </c>
      <c r="E71">
        <v>82220.076007600393</v>
      </c>
      <c r="F71">
        <v>111444.83094244801</v>
      </c>
      <c r="G71">
        <v>88479.002906221562</v>
      </c>
    </row>
    <row r="72" spans="1:7" x14ac:dyDescent="0.3">
      <c r="A72">
        <v>100000</v>
      </c>
      <c r="B72" t="s">
        <v>82</v>
      </c>
      <c r="C72">
        <v>106979.27637058956</v>
      </c>
      <c r="D72">
        <v>104400.82536683293</v>
      </c>
      <c r="E72">
        <v>82996.806372993087</v>
      </c>
      <c r="F72">
        <v>112221.5613078407</v>
      </c>
      <c r="G72">
        <v>87292.272540828868</v>
      </c>
    </row>
    <row r="73" spans="1:7" x14ac:dyDescent="0.3">
      <c r="A73">
        <v>100000</v>
      </c>
      <c r="B73" t="s">
        <v>83</v>
      </c>
      <c r="C73">
        <v>106377.39522420011</v>
      </c>
      <c r="D73">
        <v>103798.94422044347</v>
      </c>
      <c r="E73">
        <v>83188.68751938254</v>
      </c>
      <c r="F73">
        <v>112413.44245423016</v>
      </c>
      <c r="G73">
        <v>86690.391394439415</v>
      </c>
    </row>
    <row r="74" spans="1:7" x14ac:dyDescent="0.3">
      <c r="A74">
        <v>100000</v>
      </c>
      <c r="B74" t="s">
        <v>84</v>
      </c>
      <c r="C74">
        <v>108391.20750703693</v>
      </c>
      <c r="D74">
        <v>105812.7565032803</v>
      </c>
      <c r="E74">
        <v>80764.875236545719</v>
      </c>
      <c r="F74">
        <v>109989.63017139334</v>
      </c>
      <c r="G74">
        <v>88704.203677276237</v>
      </c>
    </row>
    <row r="75" spans="1:7" x14ac:dyDescent="0.3">
      <c r="A75">
        <v>100000</v>
      </c>
      <c r="B75" t="s">
        <v>85</v>
      </c>
      <c r="C75">
        <v>108463.23512268293</v>
      </c>
      <c r="D75">
        <v>105884.7841189263</v>
      </c>
      <c r="E75">
        <v>80836.902852191721</v>
      </c>
      <c r="F75">
        <v>110061.65778703934</v>
      </c>
      <c r="G75">
        <v>88776.231292922239</v>
      </c>
    </row>
    <row r="76" spans="1:7" x14ac:dyDescent="0.3">
      <c r="A76">
        <v>100000</v>
      </c>
      <c r="B76" t="s">
        <v>86</v>
      </c>
      <c r="C76">
        <v>108687.55286954064</v>
      </c>
      <c r="D76">
        <v>106109.101865784</v>
      </c>
      <c r="E76">
        <v>81061.220599049426</v>
      </c>
      <c r="F76">
        <v>110285.97553389704</v>
      </c>
      <c r="G76">
        <v>89000.549039779944</v>
      </c>
    </row>
    <row r="77" spans="1:7" x14ac:dyDescent="0.3">
      <c r="A77">
        <v>100000</v>
      </c>
      <c r="B77" t="s">
        <v>87</v>
      </c>
      <c r="C77">
        <v>109551.40184100941</v>
      </c>
      <c r="D77">
        <v>106972.95083725278</v>
      </c>
      <c r="E77">
        <v>81925.069570518201</v>
      </c>
      <c r="F77">
        <v>111149.82450536582</v>
      </c>
      <c r="G77">
        <v>87726.700068311169</v>
      </c>
    </row>
    <row r="78" spans="1:7" x14ac:dyDescent="0.3">
      <c r="A78">
        <v>100000</v>
      </c>
      <c r="B78" t="s">
        <v>88</v>
      </c>
      <c r="C78">
        <v>110242.02344088347</v>
      </c>
      <c r="D78">
        <v>107663.57243712683</v>
      </c>
      <c r="E78">
        <v>80824.447970644149</v>
      </c>
      <c r="F78">
        <v>110049.20290549177</v>
      </c>
      <c r="G78">
        <v>88417.321668185221</v>
      </c>
    </row>
    <row r="79" spans="1:7" x14ac:dyDescent="0.3">
      <c r="A79">
        <v>100000</v>
      </c>
      <c r="B79" t="s">
        <v>89</v>
      </c>
      <c r="C79">
        <v>110364.85205839337</v>
      </c>
      <c r="D79">
        <v>107786.40105463674</v>
      </c>
      <c r="E79">
        <v>80291.619353134243</v>
      </c>
      <c r="F79">
        <v>109516.37428798186</v>
      </c>
      <c r="G79">
        <v>87884.493050675315</v>
      </c>
    </row>
    <row r="80" spans="1:7" x14ac:dyDescent="0.3">
      <c r="A80">
        <v>100000</v>
      </c>
      <c r="B80" t="s">
        <v>90</v>
      </c>
      <c r="C80">
        <v>110482.82906383481</v>
      </c>
      <c r="D80">
        <v>107904.37806007818</v>
      </c>
      <c r="E80">
        <v>79763.642347692803</v>
      </c>
      <c r="F80">
        <v>108988.39728254042</v>
      </c>
      <c r="G80">
        <v>88002.470056116756</v>
      </c>
    </row>
    <row r="81" spans="1:7" x14ac:dyDescent="0.3">
      <c r="A81">
        <v>100000</v>
      </c>
      <c r="B81" t="s">
        <v>91</v>
      </c>
      <c r="C81">
        <v>110338.11702752019</v>
      </c>
      <c r="D81">
        <v>107759.66602376355</v>
      </c>
      <c r="E81">
        <v>79618.930311378179</v>
      </c>
      <c r="F81">
        <v>108843.6852462258</v>
      </c>
      <c r="G81">
        <v>87857.758019802131</v>
      </c>
    </row>
    <row r="82" spans="1:7" x14ac:dyDescent="0.3">
      <c r="A82">
        <v>100000</v>
      </c>
      <c r="B82" t="s">
        <v>92</v>
      </c>
      <c r="C82">
        <v>111355.99176790548</v>
      </c>
      <c r="D82">
        <v>108777.54076414884</v>
      </c>
      <c r="E82">
        <v>80636.805051763469</v>
      </c>
      <c r="F82">
        <v>109861.55998661109</v>
      </c>
      <c r="G82">
        <v>86429.883279416841</v>
      </c>
    </row>
    <row r="83" spans="1:7" x14ac:dyDescent="0.3">
      <c r="A83">
        <v>100000</v>
      </c>
      <c r="B83" t="s">
        <v>93</v>
      </c>
      <c r="C83">
        <v>111540.49704561767</v>
      </c>
      <c r="D83">
        <v>108962.04604186103</v>
      </c>
      <c r="E83">
        <v>80821.310329475658</v>
      </c>
      <c r="F83">
        <v>110046.06526432328</v>
      </c>
      <c r="G83">
        <v>86614.38855712903</v>
      </c>
    </row>
    <row r="84" spans="1:7" x14ac:dyDescent="0.3">
      <c r="A84">
        <v>100000</v>
      </c>
      <c r="B84" t="s">
        <v>94</v>
      </c>
      <c r="C84">
        <v>108447.66646501176</v>
      </c>
      <c r="D84">
        <v>105869.21546125512</v>
      </c>
      <c r="E84">
        <v>77728.479748869751</v>
      </c>
      <c r="F84">
        <v>106953.23468371737</v>
      </c>
      <c r="G84">
        <v>83521.557976523123</v>
      </c>
    </row>
    <row r="85" spans="1:7" x14ac:dyDescent="0.3">
      <c r="A85">
        <v>100000</v>
      </c>
      <c r="B85" t="s">
        <v>95</v>
      </c>
      <c r="C85">
        <v>107097.28911583623</v>
      </c>
      <c r="D85">
        <v>104518.8381120796</v>
      </c>
      <c r="E85">
        <v>76378.102399694224</v>
      </c>
      <c r="F85">
        <v>105602.85733454184</v>
      </c>
      <c r="G85">
        <v>82171.180627347596</v>
      </c>
    </row>
    <row r="86" spans="1:7" x14ac:dyDescent="0.3">
      <c r="A86">
        <v>100000</v>
      </c>
      <c r="B86" t="s">
        <v>96</v>
      </c>
      <c r="C86">
        <v>107270.53353999171</v>
      </c>
      <c r="D86">
        <v>104692.08253623507</v>
      </c>
      <c r="E86">
        <v>76551.346823849701</v>
      </c>
      <c r="F86">
        <v>105776.10175869732</v>
      </c>
      <c r="G86">
        <v>82344.425051503073</v>
      </c>
    </row>
    <row r="87" spans="1:7" x14ac:dyDescent="0.3">
      <c r="A87">
        <v>100000</v>
      </c>
      <c r="B87" t="s">
        <v>97</v>
      </c>
      <c r="C87">
        <v>107856.32335552821</v>
      </c>
      <c r="D87">
        <v>105277.87235177157</v>
      </c>
      <c r="E87">
        <v>77137.136639386197</v>
      </c>
      <c r="F87">
        <v>106361.89157423381</v>
      </c>
      <c r="G87">
        <v>82930.214867039569</v>
      </c>
    </row>
    <row r="88" spans="1:7" x14ac:dyDescent="0.3">
      <c r="A88">
        <v>100000</v>
      </c>
      <c r="B88" t="s">
        <v>98</v>
      </c>
      <c r="C88">
        <v>108488.72967680549</v>
      </c>
      <c r="D88">
        <v>105910.27867304886</v>
      </c>
      <c r="E88">
        <v>77769.542960663486</v>
      </c>
      <c r="F88">
        <v>106994.2978955111</v>
      </c>
      <c r="G88">
        <v>83562.621188316858</v>
      </c>
    </row>
    <row r="89" spans="1:7" x14ac:dyDescent="0.3">
      <c r="A89">
        <v>100000</v>
      </c>
      <c r="B89" t="s">
        <v>99</v>
      </c>
      <c r="C89">
        <v>108548.12019138777</v>
      </c>
      <c r="D89">
        <v>105969.66918763114</v>
      </c>
      <c r="E89">
        <v>77828.933475245765</v>
      </c>
      <c r="F89">
        <v>107053.68841009338</v>
      </c>
      <c r="G89">
        <v>83622.011702899137</v>
      </c>
    </row>
    <row r="90" spans="1:7" x14ac:dyDescent="0.3">
      <c r="A90">
        <v>100000</v>
      </c>
      <c r="B90" t="s">
        <v>100</v>
      </c>
      <c r="C90">
        <v>106635.71927138844</v>
      </c>
      <c r="D90">
        <v>104057.26826763181</v>
      </c>
      <c r="E90">
        <v>75916.532555246435</v>
      </c>
      <c r="F90">
        <v>105141.28749009405</v>
      </c>
      <c r="G90">
        <v>85124.412622898468</v>
      </c>
    </row>
    <row r="91" spans="1:7" x14ac:dyDescent="0.3">
      <c r="A91">
        <v>100000</v>
      </c>
      <c r="B91" t="s">
        <v>101</v>
      </c>
      <c r="C91">
        <v>106896.78064957548</v>
      </c>
      <c r="D91">
        <v>104318.32964581884</v>
      </c>
      <c r="E91">
        <v>76177.593933433469</v>
      </c>
      <c r="F91">
        <v>105402.34886828109</v>
      </c>
      <c r="G91">
        <v>85385.474001085502</v>
      </c>
    </row>
    <row r="92" spans="1:7" x14ac:dyDescent="0.3">
      <c r="A92">
        <v>100000</v>
      </c>
      <c r="B92" t="s">
        <v>102</v>
      </c>
      <c r="C92">
        <v>106971.14201649715</v>
      </c>
      <c r="D92">
        <v>104392.69101274051</v>
      </c>
      <c r="E92">
        <v>76251.955300355141</v>
      </c>
      <c r="F92">
        <v>105476.71023520276</v>
      </c>
      <c r="G92">
        <v>84901.11263416383</v>
      </c>
    </row>
    <row r="93" spans="1:7" x14ac:dyDescent="0.3">
      <c r="A93">
        <v>100000</v>
      </c>
      <c r="B93" t="s">
        <v>103</v>
      </c>
      <c r="C93">
        <v>105696.37231638875</v>
      </c>
      <c r="D93">
        <v>105257.46071284892</v>
      </c>
      <c r="E93">
        <v>74977.185600246739</v>
      </c>
      <c r="F93">
        <v>104201.94053509436</v>
      </c>
      <c r="G93">
        <v>85765.882334272232</v>
      </c>
    </row>
    <row r="94" spans="1:7" x14ac:dyDescent="0.3">
      <c r="A94">
        <v>100000</v>
      </c>
      <c r="B94" t="s">
        <v>104</v>
      </c>
      <c r="C94">
        <v>105531.67734484409</v>
      </c>
      <c r="D94">
        <v>105012.15568439357</v>
      </c>
      <c r="E94">
        <v>74812.490628702086</v>
      </c>
      <c r="F94">
        <v>104037.2455635497</v>
      </c>
      <c r="G94">
        <v>85520.577305816885</v>
      </c>
    </row>
    <row r="95" spans="1:7" x14ac:dyDescent="0.3">
      <c r="A95">
        <v>100000</v>
      </c>
      <c r="B95" t="s">
        <v>105</v>
      </c>
      <c r="C95">
        <v>105744.03558001498</v>
      </c>
      <c r="D95">
        <v>104389.79744922268</v>
      </c>
      <c r="E95">
        <v>74190.132393531196</v>
      </c>
      <c r="F95">
        <v>104249.60379872059</v>
      </c>
      <c r="G95">
        <v>84898.219070645995</v>
      </c>
    </row>
    <row r="96" spans="1:7" x14ac:dyDescent="0.3">
      <c r="A96">
        <v>100000</v>
      </c>
      <c r="B96" t="s">
        <v>106</v>
      </c>
      <c r="C96">
        <v>105396.66840212072</v>
      </c>
      <c r="D96">
        <v>104327.16462711694</v>
      </c>
      <c r="E96">
        <v>74127.499571425462</v>
      </c>
      <c r="F96">
        <v>103902.23662082633</v>
      </c>
      <c r="G96">
        <v>84835.586248540261</v>
      </c>
    </row>
    <row r="97" spans="1:7" x14ac:dyDescent="0.3">
      <c r="A97">
        <v>100000</v>
      </c>
      <c r="B97" t="s">
        <v>107</v>
      </c>
      <c r="C97">
        <v>104622.28601265026</v>
      </c>
      <c r="D97">
        <v>103552.78223764649</v>
      </c>
      <c r="E97">
        <v>74491.881960895917</v>
      </c>
      <c r="F97">
        <v>103127.85423135587</v>
      </c>
      <c r="G97">
        <v>85199.968638010716</v>
      </c>
    </row>
    <row r="98" spans="1:7" x14ac:dyDescent="0.3">
      <c r="A98">
        <v>100000</v>
      </c>
      <c r="B98" t="s">
        <v>108</v>
      </c>
      <c r="C98">
        <v>103797.37187155972</v>
      </c>
      <c r="D98">
        <v>102727.86809655595</v>
      </c>
      <c r="E98">
        <v>74906.79610198646</v>
      </c>
      <c r="F98">
        <v>102302.94009026533</v>
      </c>
      <c r="G98">
        <v>85614.882779101259</v>
      </c>
    </row>
    <row r="99" spans="1:7" x14ac:dyDescent="0.3">
      <c r="A99">
        <v>100000</v>
      </c>
      <c r="B99" t="s">
        <v>109</v>
      </c>
      <c r="C99">
        <v>102336.7693412822</v>
      </c>
      <c r="D99">
        <v>101267.26556627842</v>
      </c>
      <c r="E99">
        <v>73446.193571708936</v>
      </c>
      <c r="F99">
        <v>100842.33755998781</v>
      </c>
      <c r="G99">
        <v>86665.485309378782</v>
      </c>
    </row>
    <row r="100" spans="1:7" x14ac:dyDescent="0.3">
      <c r="A100">
        <v>100000</v>
      </c>
      <c r="B100" t="s">
        <v>110</v>
      </c>
      <c r="C100">
        <v>101697.94697182329</v>
      </c>
      <c r="D100">
        <v>100628.44319681951</v>
      </c>
      <c r="E100">
        <v>72807.371202250026</v>
      </c>
      <c r="F100">
        <v>100203.51519052889</v>
      </c>
      <c r="G100">
        <v>86894.307678837693</v>
      </c>
    </row>
    <row r="101" spans="1:7" x14ac:dyDescent="0.3">
      <c r="A101">
        <v>100000</v>
      </c>
      <c r="B101" t="s">
        <v>111</v>
      </c>
      <c r="C101">
        <v>100558.14728604167</v>
      </c>
      <c r="D101">
        <v>99488.643511037895</v>
      </c>
      <c r="E101">
        <v>71667.571516468393</v>
      </c>
      <c r="F101">
        <v>99063.715504747262</v>
      </c>
      <c r="G101">
        <v>87624.107364619325</v>
      </c>
    </row>
    <row r="102" spans="1:7" x14ac:dyDescent="0.3">
      <c r="A102">
        <v>100000</v>
      </c>
      <c r="B102" t="s">
        <v>112</v>
      </c>
      <c r="C102">
        <v>98886.097321975802</v>
      </c>
      <c r="D102">
        <v>97816.593546972028</v>
      </c>
      <c r="E102">
        <v>72929.621480534261</v>
      </c>
      <c r="F102">
        <v>100325.76546881313</v>
      </c>
      <c r="G102">
        <v>85952.057400553458</v>
      </c>
    </row>
    <row r="103" spans="1:7" x14ac:dyDescent="0.3">
      <c r="A103">
        <v>100000</v>
      </c>
      <c r="B103" t="s">
        <v>113</v>
      </c>
      <c r="C103">
        <v>98871.900603792237</v>
      </c>
      <c r="D103">
        <v>97802.396828788464</v>
      </c>
      <c r="E103">
        <v>72915.424762350696</v>
      </c>
      <c r="F103">
        <v>100311.56875062957</v>
      </c>
      <c r="G103">
        <v>85556.254118737023</v>
      </c>
    </row>
    <row r="104" spans="1:7" x14ac:dyDescent="0.3">
      <c r="A104">
        <v>100000</v>
      </c>
      <c r="B104" t="s">
        <v>114</v>
      </c>
      <c r="C104">
        <v>99436.595044372763</v>
      </c>
      <c r="D104">
        <v>98367.09126936899</v>
      </c>
      <c r="E104">
        <v>71940.73032177017</v>
      </c>
      <c r="F104">
        <v>99336.874310049039</v>
      </c>
      <c r="G104">
        <v>86120.948559317549</v>
      </c>
    </row>
    <row r="105" spans="1:7" x14ac:dyDescent="0.3">
      <c r="A105">
        <v>100000</v>
      </c>
      <c r="B105" t="s">
        <v>115</v>
      </c>
      <c r="C105">
        <v>101969.62964794425</v>
      </c>
      <c r="D105">
        <v>100900.12587294048</v>
      </c>
      <c r="E105">
        <v>68997.69571819868</v>
      </c>
      <c r="F105">
        <v>96393.839706477549</v>
      </c>
      <c r="G105">
        <v>88653.983162889039</v>
      </c>
    </row>
    <row r="106" spans="1:7" x14ac:dyDescent="0.3">
      <c r="A106">
        <v>100000</v>
      </c>
      <c r="B106" t="s">
        <v>116</v>
      </c>
      <c r="C106">
        <v>103046.06962887166</v>
      </c>
      <c r="D106">
        <v>99413.685892013076</v>
      </c>
      <c r="E106">
        <v>70074.135699126084</v>
      </c>
      <c r="F106">
        <v>97470.279687404953</v>
      </c>
      <c r="G106">
        <v>89730.423143816442</v>
      </c>
    </row>
    <row r="107" spans="1:7" x14ac:dyDescent="0.3">
      <c r="A107">
        <v>100000</v>
      </c>
      <c r="B107" t="s">
        <v>117</v>
      </c>
      <c r="C107">
        <v>101787.66185472229</v>
      </c>
      <c r="D107">
        <v>98155.278117863709</v>
      </c>
      <c r="E107">
        <v>70922.543473275451</v>
      </c>
      <c r="F107">
        <v>98318.68746155432</v>
      </c>
      <c r="G107">
        <v>90578.83091796581</v>
      </c>
    </row>
    <row r="108" spans="1:7" x14ac:dyDescent="0.3">
      <c r="A108">
        <v>100000</v>
      </c>
      <c r="B108" t="s">
        <v>118</v>
      </c>
      <c r="C108">
        <v>103578.737159806</v>
      </c>
      <c r="D108">
        <v>99946.353422947417</v>
      </c>
      <c r="E108">
        <v>68721.468168191743</v>
      </c>
      <c r="F108">
        <v>96117.612156470612</v>
      </c>
      <c r="G108">
        <v>92369.906223049518</v>
      </c>
    </row>
    <row r="109" spans="1:7" x14ac:dyDescent="0.3">
      <c r="A109">
        <v>100000</v>
      </c>
      <c r="B109" t="s">
        <v>119</v>
      </c>
      <c r="C109">
        <v>103731.29142876461</v>
      </c>
      <c r="D109">
        <v>99383.799153988803</v>
      </c>
      <c r="E109">
        <v>68158.913899233128</v>
      </c>
      <c r="F109">
        <v>95555.057887511997</v>
      </c>
      <c r="G109">
        <v>91807.351954090904</v>
      </c>
    </row>
    <row r="110" spans="1:7" x14ac:dyDescent="0.3">
      <c r="A110">
        <v>100000</v>
      </c>
      <c r="B110" t="s">
        <v>120</v>
      </c>
      <c r="C110">
        <v>103757.49323064706</v>
      </c>
      <c r="D110">
        <v>98947.597352106357</v>
      </c>
      <c r="E110">
        <v>67722.712097350683</v>
      </c>
      <c r="F110">
        <v>95118.856085629552</v>
      </c>
      <c r="G110">
        <v>91371.150152208458</v>
      </c>
    </row>
    <row r="111" spans="1:7" x14ac:dyDescent="0.3">
      <c r="A111">
        <v>100000</v>
      </c>
      <c r="B111" t="s">
        <v>121</v>
      </c>
      <c r="C111">
        <v>103042.58581909809</v>
      </c>
      <c r="D111">
        <v>99252.504763655321</v>
      </c>
      <c r="E111">
        <v>68027.619508899646</v>
      </c>
      <c r="F111">
        <v>95423.763497178516</v>
      </c>
      <c r="G111">
        <v>91676.057563757422</v>
      </c>
    </row>
    <row r="112" spans="1:7" x14ac:dyDescent="0.3">
      <c r="A112">
        <v>100000</v>
      </c>
      <c r="B112" t="s">
        <v>122</v>
      </c>
      <c r="C112">
        <v>100375.31896546198</v>
      </c>
      <c r="D112">
        <v>96585.237910019205</v>
      </c>
      <c r="E112">
        <v>70284.886362535763</v>
      </c>
      <c r="F112">
        <v>97681.030350814632</v>
      </c>
      <c r="G112">
        <v>89008.790710121306</v>
      </c>
    </row>
    <row r="113" spans="1:7" x14ac:dyDescent="0.3">
      <c r="A113">
        <v>100000</v>
      </c>
      <c r="B113" t="s">
        <v>123</v>
      </c>
      <c r="C113">
        <v>100551.50945267589</v>
      </c>
      <c r="D113">
        <v>96761.428397233118</v>
      </c>
      <c r="E113">
        <v>70461.076849749676</v>
      </c>
      <c r="F113">
        <v>97857.220838028545</v>
      </c>
      <c r="G113">
        <v>89184.981197335219</v>
      </c>
    </row>
    <row r="114" spans="1:7" x14ac:dyDescent="0.3">
      <c r="A114">
        <v>100000</v>
      </c>
      <c r="B114" t="s">
        <v>124</v>
      </c>
      <c r="C114">
        <v>100996.24001464664</v>
      </c>
      <c r="D114">
        <v>97206.158959203865</v>
      </c>
      <c r="E114">
        <v>70905.807411720423</v>
      </c>
      <c r="F114">
        <v>98301.951399999292</v>
      </c>
      <c r="G114">
        <v>89629.711759305967</v>
      </c>
    </row>
    <row r="115" spans="1:7" x14ac:dyDescent="0.3">
      <c r="A115">
        <v>100000</v>
      </c>
      <c r="B115" t="s">
        <v>125</v>
      </c>
      <c r="C115">
        <v>101849.30413789969</v>
      </c>
      <c r="D115">
        <v>98059.223082456912</v>
      </c>
      <c r="E115">
        <v>69642.743288467376</v>
      </c>
      <c r="F115">
        <v>97038.887276746245</v>
      </c>
      <c r="G115">
        <v>90482.775882559014</v>
      </c>
    </row>
    <row r="116" spans="1:7" x14ac:dyDescent="0.3">
      <c r="A116">
        <v>100000</v>
      </c>
      <c r="B116" t="s">
        <v>126</v>
      </c>
      <c r="C116">
        <v>101623.37049753962</v>
      </c>
      <c r="D116">
        <v>97833.289442096851</v>
      </c>
      <c r="E116">
        <v>69458.676928827437</v>
      </c>
      <c r="F116">
        <v>96854.820917106306</v>
      </c>
      <c r="G116">
        <v>90298.709522919075</v>
      </c>
    </row>
    <row r="117" spans="1:7" x14ac:dyDescent="0.3">
      <c r="A117">
        <v>100000</v>
      </c>
      <c r="B117" t="s">
        <v>127</v>
      </c>
      <c r="C117">
        <v>102309.73206729315</v>
      </c>
      <c r="D117">
        <v>98519.651011850379</v>
      </c>
      <c r="E117">
        <v>68362.315359073909</v>
      </c>
      <c r="F117">
        <v>95758.459347352778</v>
      </c>
      <c r="G117">
        <v>89202.347953165547</v>
      </c>
    </row>
    <row r="118" spans="1:7" x14ac:dyDescent="0.3">
      <c r="A118">
        <v>100000</v>
      </c>
      <c r="B118" t="s">
        <v>128</v>
      </c>
      <c r="C118">
        <v>105289.37937019771</v>
      </c>
      <c r="D118">
        <v>101499.29831475494</v>
      </c>
      <c r="E118">
        <v>64972.668056169343</v>
      </c>
      <c r="F118">
        <v>92368.812044448219</v>
      </c>
      <c r="G118">
        <v>85812.700650260987</v>
      </c>
    </row>
    <row r="119" spans="1:7" x14ac:dyDescent="0.3">
      <c r="A119">
        <v>100000</v>
      </c>
      <c r="B119" t="s">
        <v>129</v>
      </c>
      <c r="C119">
        <v>107608.7479223144</v>
      </c>
      <c r="D119">
        <v>103818.66686687163</v>
      </c>
      <c r="E119">
        <v>67292.036608286027</v>
      </c>
      <c r="F119">
        <v>94688.180596564911</v>
      </c>
      <c r="G119">
        <v>88132.069202377679</v>
      </c>
    </row>
    <row r="120" spans="1:7" x14ac:dyDescent="0.3">
      <c r="A120">
        <v>100000</v>
      </c>
      <c r="B120" t="s">
        <v>130</v>
      </c>
      <c r="C120">
        <v>107751.5176280364</v>
      </c>
      <c r="D120">
        <v>103961.43657259362</v>
      </c>
      <c r="E120">
        <v>67434.806314008019</v>
      </c>
      <c r="F120">
        <v>94135.410890842919</v>
      </c>
      <c r="G120">
        <v>88274.838908099671</v>
      </c>
    </row>
    <row r="121" spans="1:7" x14ac:dyDescent="0.3">
      <c r="A121">
        <v>100000</v>
      </c>
      <c r="B121" t="s">
        <v>131</v>
      </c>
      <c r="C121">
        <v>106765.59301329254</v>
      </c>
      <c r="D121">
        <v>102975.51195784977</v>
      </c>
      <c r="E121">
        <v>68010.730928751873</v>
      </c>
      <c r="F121">
        <v>93149.486276099065</v>
      </c>
      <c r="G121">
        <v>88850.763522843525</v>
      </c>
    </row>
    <row r="122" spans="1:7" x14ac:dyDescent="0.3">
      <c r="A122">
        <v>100000</v>
      </c>
      <c r="B122" t="s">
        <v>132</v>
      </c>
      <c r="C122">
        <v>108266.16795227221</v>
      </c>
      <c r="D122">
        <v>104476.08689682944</v>
      </c>
      <c r="E122">
        <v>66100.155989772204</v>
      </c>
      <c r="F122">
        <v>94650.061215078735</v>
      </c>
      <c r="G122">
        <v>90351.338461823194</v>
      </c>
    </row>
    <row r="123" spans="1:7" x14ac:dyDescent="0.3">
      <c r="A123">
        <v>100000</v>
      </c>
      <c r="B123" t="s">
        <v>133</v>
      </c>
      <c r="C123">
        <v>107893.74639375688</v>
      </c>
      <c r="D123">
        <v>104103.66533831411</v>
      </c>
      <c r="E123">
        <v>65727.734431256875</v>
      </c>
      <c r="F123">
        <v>94612.482773594063</v>
      </c>
      <c r="G123">
        <v>89978.916903307865</v>
      </c>
    </row>
    <row r="124" spans="1:7" x14ac:dyDescent="0.3">
      <c r="A124">
        <v>100000</v>
      </c>
      <c r="B124" t="s">
        <v>134</v>
      </c>
      <c r="C124">
        <v>109191.07552815767</v>
      </c>
      <c r="D124">
        <v>105400.9944727149</v>
      </c>
      <c r="E124">
        <v>67025.063565657663</v>
      </c>
      <c r="F124">
        <v>92905.153639193275</v>
      </c>
      <c r="G124">
        <v>91276.246037708654</v>
      </c>
    </row>
    <row r="125" spans="1:7" x14ac:dyDescent="0.3">
      <c r="A125">
        <v>100000</v>
      </c>
      <c r="B125" t="s">
        <v>135</v>
      </c>
      <c r="C125">
        <v>108239.37995714632</v>
      </c>
      <c r="D125">
        <v>104449.29890170354</v>
      </c>
      <c r="E125">
        <v>66073.367994646309</v>
      </c>
      <c r="F125">
        <v>93446.849210204629</v>
      </c>
      <c r="G125">
        <v>91817.941608720008</v>
      </c>
    </row>
    <row r="126" spans="1:7" x14ac:dyDescent="0.3">
      <c r="A126">
        <v>100000</v>
      </c>
      <c r="B126" t="s">
        <v>136</v>
      </c>
      <c r="C126">
        <v>108458.91954097792</v>
      </c>
      <c r="D126">
        <v>104668.83848553515</v>
      </c>
      <c r="E126">
        <v>65443.828410814705</v>
      </c>
      <c r="F126">
        <v>93666.388794036233</v>
      </c>
      <c r="G126">
        <v>92037.481192551611</v>
      </c>
    </row>
    <row r="127" spans="1:7" x14ac:dyDescent="0.3">
      <c r="A127">
        <v>100000</v>
      </c>
      <c r="B127" t="s">
        <v>137</v>
      </c>
      <c r="C127">
        <v>108331.58016405506</v>
      </c>
      <c r="D127">
        <v>104541.49910861229</v>
      </c>
      <c r="E127">
        <v>65316.489033891856</v>
      </c>
      <c r="F127">
        <v>93539.049417113376</v>
      </c>
      <c r="G127">
        <v>91910.141815628755</v>
      </c>
    </row>
    <row r="128" spans="1:7" x14ac:dyDescent="0.3">
      <c r="A128">
        <v>100000</v>
      </c>
      <c r="B128" t="s">
        <v>138</v>
      </c>
      <c r="C128">
        <v>108856.35590234239</v>
      </c>
      <c r="D128">
        <v>105066.27484689961</v>
      </c>
      <c r="E128">
        <v>64381.713295604524</v>
      </c>
      <c r="F128">
        <v>94063.8251554007</v>
      </c>
      <c r="G128">
        <v>92434.917553916079</v>
      </c>
    </row>
    <row r="129" spans="1:7" x14ac:dyDescent="0.3">
      <c r="A129">
        <v>100000</v>
      </c>
      <c r="B129" t="s">
        <v>139</v>
      </c>
      <c r="C129">
        <v>108879.91216404668</v>
      </c>
      <c r="D129">
        <v>105089.8311086039</v>
      </c>
      <c r="E129">
        <v>64405.269557308813</v>
      </c>
      <c r="F129">
        <v>93630.268893696411</v>
      </c>
      <c r="G129">
        <v>92001.36129221179</v>
      </c>
    </row>
    <row r="130" spans="1:7" x14ac:dyDescent="0.3">
      <c r="A130">
        <v>100000</v>
      </c>
      <c r="B130" t="s">
        <v>140</v>
      </c>
      <c r="C130">
        <v>107761.86090188757</v>
      </c>
      <c r="D130">
        <v>103971.7798464448</v>
      </c>
      <c r="E130">
        <v>63287.218295149716</v>
      </c>
      <c r="F130">
        <v>94338.320155855516</v>
      </c>
      <c r="G130">
        <v>92709.412554370894</v>
      </c>
    </row>
    <row r="131" spans="1:7" x14ac:dyDescent="0.3">
      <c r="A131">
        <v>100000</v>
      </c>
      <c r="B131" t="s">
        <v>141</v>
      </c>
      <c r="C131">
        <v>106423.32605124747</v>
      </c>
      <c r="D131">
        <v>102633.24499580469</v>
      </c>
      <c r="E131">
        <v>61948.683444509603</v>
      </c>
      <c r="F131">
        <v>95266.855006495622</v>
      </c>
      <c r="G131">
        <v>93637.947405011</v>
      </c>
    </row>
    <row r="132" spans="1:7" x14ac:dyDescent="0.3">
      <c r="A132">
        <v>100000</v>
      </c>
      <c r="B132" t="s">
        <v>142</v>
      </c>
      <c r="C132">
        <v>107065.23542018236</v>
      </c>
      <c r="D132">
        <v>103275.15436473959</v>
      </c>
      <c r="E132">
        <v>62590.592813444498</v>
      </c>
      <c r="F132">
        <v>94214.945637560726</v>
      </c>
      <c r="G132">
        <v>94279.856773945896</v>
      </c>
    </row>
    <row r="133" spans="1:7" x14ac:dyDescent="0.3">
      <c r="A133">
        <v>100000</v>
      </c>
      <c r="B133" t="s">
        <v>143</v>
      </c>
      <c r="C133">
        <v>107702.8439209667</v>
      </c>
      <c r="D133">
        <v>103912.76286552392</v>
      </c>
      <c r="E133">
        <v>63228.201314228842</v>
      </c>
      <c r="F133">
        <v>93167.33713677639</v>
      </c>
      <c r="G133">
        <v>94917.465274730232</v>
      </c>
    </row>
    <row r="134" spans="1:7" x14ac:dyDescent="0.3">
      <c r="A134">
        <v>100000</v>
      </c>
      <c r="B134" t="s">
        <v>144</v>
      </c>
      <c r="C134">
        <v>107090.0936453577</v>
      </c>
      <c r="D134">
        <v>103300.01258991493</v>
      </c>
      <c r="E134">
        <v>62615.451038619853</v>
      </c>
      <c r="F134">
        <v>93370.087412385386</v>
      </c>
      <c r="G134">
        <v>95120.215550339228</v>
      </c>
    </row>
    <row r="135" spans="1:7" x14ac:dyDescent="0.3">
      <c r="A135">
        <v>100000</v>
      </c>
      <c r="B135" t="s">
        <v>145</v>
      </c>
      <c r="C135">
        <v>106647.44047045981</v>
      </c>
      <c r="D135">
        <v>102857.35941501704</v>
      </c>
      <c r="E135">
        <v>62172.797863721964</v>
      </c>
      <c r="F135">
        <v>93402.740587283275</v>
      </c>
      <c r="G135">
        <v>95152.868725237116</v>
      </c>
    </row>
    <row r="136" spans="1:7" x14ac:dyDescent="0.3">
      <c r="A136">
        <v>100000</v>
      </c>
      <c r="B136" t="s">
        <v>146</v>
      </c>
      <c r="C136">
        <v>105523.61785917773</v>
      </c>
      <c r="D136">
        <v>101733.53680373495</v>
      </c>
      <c r="E136">
        <v>61048.975252439879</v>
      </c>
      <c r="F136">
        <v>94116.56319856536</v>
      </c>
      <c r="G136">
        <v>95866.691336519201</v>
      </c>
    </row>
    <row r="137" spans="1:7" x14ac:dyDescent="0.3">
      <c r="A137">
        <v>100000</v>
      </c>
      <c r="B137" t="s">
        <v>147</v>
      </c>
      <c r="C137">
        <v>105971.62037625791</v>
      </c>
      <c r="D137">
        <v>102181.53932081514</v>
      </c>
      <c r="E137">
        <v>61496.977769520061</v>
      </c>
      <c r="F137">
        <v>93258.560681485178</v>
      </c>
      <c r="G137">
        <v>96314.693853599383</v>
      </c>
    </row>
    <row r="138" spans="1:7" x14ac:dyDescent="0.3">
      <c r="A138">
        <v>100000</v>
      </c>
      <c r="B138" t="s">
        <v>148</v>
      </c>
      <c r="C138">
        <v>105782.52851399346</v>
      </c>
      <c r="D138">
        <v>101992.44745855068</v>
      </c>
      <c r="E138">
        <v>61307.885907255615</v>
      </c>
      <c r="F138">
        <v>93037.652543749631</v>
      </c>
      <c r="G138">
        <v>96125.60199133493</v>
      </c>
    </row>
    <row r="139" spans="1:7" x14ac:dyDescent="0.3">
      <c r="A139">
        <v>100000</v>
      </c>
      <c r="B139" t="s">
        <v>149</v>
      </c>
      <c r="C139">
        <v>101584.75655880733</v>
      </c>
      <c r="D139">
        <v>97794.67550336456</v>
      </c>
      <c r="E139">
        <v>57110.113952069492</v>
      </c>
      <c r="F139">
        <v>96825.424498935754</v>
      </c>
      <c r="G139">
        <v>99913.373946521053</v>
      </c>
    </row>
    <row r="140" spans="1:7" x14ac:dyDescent="0.3">
      <c r="A140">
        <v>100000</v>
      </c>
      <c r="B140" t="s">
        <v>150</v>
      </c>
      <c r="C140">
        <v>103193.81551572343</v>
      </c>
      <c r="D140">
        <v>99403.734460280655</v>
      </c>
      <c r="E140">
        <v>58719.172908985594</v>
      </c>
      <c r="F140">
        <v>94806.365542019659</v>
      </c>
      <c r="G140">
        <v>101522.43290343715</v>
      </c>
    </row>
    <row r="141" spans="1:7" x14ac:dyDescent="0.3">
      <c r="A141">
        <v>100000</v>
      </c>
      <c r="B141" t="s">
        <v>151</v>
      </c>
      <c r="C141">
        <v>104903.16465115585</v>
      </c>
      <c r="D141">
        <v>101113.08359571308</v>
      </c>
      <c r="E141">
        <v>60428.522044418016</v>
      </c>
      <c r="F141">
        <v>92687.016406587238</v>
      </c>
      <c r="G141">
        <v>103231.78203886957</v>
      </c>
    </row>
    <row r="142" spans="1:7" x14ac:dyDescent="0.3">
      <c r="A142">
        <v>100000</v>
      </c>
      <c r="B142" t="s">
        <v>152</v>
      </c>
      <c r="C142">
        <v>106283.19350240368</v>
      </c>
      <c r="D142">
        <v>102493.11244696091</v>
      </c>
      <c r="E142">
        <v>61808.550895665845</v>
      </c>
      <c r="F142">
        <v>90896.987555339409</v>
      </c>
      <c r="G142">
        <v>101441.75318762174</v>
      </c>
    </row>
    <row r="143" spans="1:7" x14ac:dyDescent="0.3">
      <c r="A143">
        <v>100000</v>
      </c>
      <c r="B143" t="s">
        <v>153</v>
      </c>
      <c r="C143">
        <v>106276.24479335114</v>
      </c>
      <c r="D143">
        <v>102486.16373790837</v>
      </c>
      <c r="E143">
        <v>61801.602186613309</v>
      </c>
      <c r="F143">
        <v>90493.936264391945</v>
      </c>
      <c r="G143">
        <v>101038.70189667428</v>
      </c>
    </row>
    <row r="144" spans="1:7" x14ac:dyDescent="0.3">
      <c r="A144">
        <v>100000</v>
      </c>
      <c r="B144" t="s">
        <v>154</v>
      </c>
      <c r="C144">
        <v>105030.19308634312</v>
      </c>
      <c r="D144">
        <v>101240.11203090035</v>
      </c>
      <c r="E144">
        <v>60555.550479605285</v>
      </c>
      <c r="F144">
        <v>91329.987971399969</v>
      </c>
      <c r="G144">
        <v>101874.7536036823</v>
      </c>
    </row>
    <row r="145" spans="1:7" x14ac:dyDescent="0.3">
      <c r="A145">
        <v>100000</v>
      </c>
      <c r="B145" t="s">
        <v>155</v>
      </c>
      <c r="C145">
        <v>105863.35163614251</v>
      </c>
      <c r="D145">
        <v>102073.27058069974</v>
      </c>
      <c r="E145">
        <v>61388.709029404687</v>
      </c>
      <c r="F145">
        <v>90086.829421600574</v>
      </c>
      <c r="G145">
        <v>100631.59505388291</v>
      </c>
    </row>
    <row r="146" spans="1:7" x14ac:dyDescent="0.3">
      <c r="A146">
        <v>100000</v>
      </c>
      <c r="B146" t="s">
        <v>156</v>
      </c>
      <c r="C146">
        <v>108503.86814807107</v>
      </c>
      <c r="D146">
        <v>104713.78709262829</v>
      </c>
      <c r="E146">
        <v>64029.225541333231</v>
      </c>
      <c r="F146">
        <v>87036.312909672022</v>
      </c>
      <c r="G146">
        <v>97581.078541954354</v>
      </c>
    </row>
    <row r="147" spans="1:7" x14ac:dyDescent="0.3">
      <c r="A147">
        <v>100000</v>
      </c>
      <c r="B147" t="s">
        <v>157</v>
      </c>
      <c r="C147">
        <v>106897.76224844121</v>
      </c>
      <c r="D147">
        <v>103107.68119299844</v>
      </c>
      <c r="E147">
        <v>62423.119641703379</v>
      </c>
      <c r="F147">
        <v>88232.418809301875</v>
      </c>
      <c r="G147">
        <v>98777.184441584206</v>
      </c>
    </row>
    <row r="148" spans="1:7" x14ac:dyDescent="0.3">
      <c r="A148">
        <v>100000</v>
      </c>
      <c r="B148" t="s">
        <v>317</v>
      </c>
      <c r="C148">
        <v>107005.809339032</v>
      </c>
      <c r="D148">
        <v>103215.72828358923</v>
      </c>
      <c r="E148">
        <v>62531.166732294165</v>
      </c>
      <c r="F148">
        <v>87714.371718711089</v>
      </c>
      <c r="G148">
        <v>98259.13735099342</v>
      </c>
    </row>
    <row r="149" spans="1:7" x14ac:dyDescent="0.3">
      <c r="A149">
        <v>100000</v>
      </c>
      <c r="B149" t="s">
        <v>318</v>
      </c>
      <c r="C149">
        <v>106417.35316046378</v>
      </c>
      <c r="D149">
        <v>102627.27210502101</v>
      </c>
      <c r="E149">
        <v>61942.710553725941</v>
      </c>
      <c r="F149">
        <v>87892.827897279305</v>
      </c>
      <c r="G149">
        <v>98437.593529561636</v>
      </c>
    </row>
    <row r="150" spans="1:7" x14ac:dyDescent="0.3">
      <c r="A150">
        <v>100000</v>
      </c>
      <c r="B150" t="s">
        <v>319</v>
      </c>
      <c r="C150">
        <v>107949.42264324313</v>
      </c>
      <c r="D150">
        <v>104159.34158780036</v>
      </c>
      <c r="E150">
        <v>63474.78003650529</v>
      </c>
      <c r="F150">
        <v>85950.758414499956</v>
      </c>
      <c r="G150">
        <v>96495.524046782288</v>
      </c>
    </row>
    <row r="151" spans="1:7" x14ac:dyDescent="0.3">
      <c r="A151">
        <v>100000</v>
      </c>
      <c r="B151" t="s">
        <v>320</v>
      </c>
      <c r="C151">
        <v>107945.31823887557</v>
      </c>
      <c r="D151">
        <v>104155.23718343279</v>
      </c>
      <c r="E151">
        <v>63068.884440872862</v>
      </c>
      <c r="F151">
        <v>85946.654010132392</v>
      </c>
      <c r="G151">
        <v>96491.419642414723</v>
      </c>
    </row>
    <row r="152" spans="1:7" x14ac:dyDescent="0.3">
      <c r="A152">
        <v>100000</v>
      </c>
      <c r="B152" t="s">
        <v>321</v>
      </c>
      <c r="C152">
        <v>108988.96265386532</v>
      </c>
      <c r="D152">
        <v>105198.88159842255</v>
      </c>
      <c r="E152">
        <v>64112.528855862613</v>
      </c>
      <c r="F152">
        <v>84493.009595142634</v>
      </c>
      <c r="G152">
        <v>95037.775227424965</v>
      </c>
    </row>
    <row r="153" spans="1:7" x14ac:dyDescent="0.3">
      <c r="A153">
        <v>100000</v>
      </c>
      <c r="B153" t="s">
        <v>322</v>
      </c>
      <c r="C153">
        <v>108413.0405171106</v>
      </c>
      <c r="D153">
        <v>104622.95946166782</v>
      </c>
      <c r="E153">
        <v>63536.606719107884</v>
      </c>
      <c r="F153">
        <v>84658.931731897363</v>
      </c>
      <c r="G153">
        <v>95203.697364179694</v>
      </c>
    </row>
    <row r="154" spans="1:7" x14ac:dyDescent="0.3">
      <c r="A154">
        <v>100000</v>
      </c>
      <c r="B154" t="s">
        <v>323</v>
      </c>
      <c r="C154">
        <v>108513.73405933451</v>
      </c>
      <c r="D154">
        <v>104723.65300389174</v>
      </c>
      <c r="E154">
        <v>63637.300261331802</v>
      </c>
      <c r="F154">
        <v>84148.238189673444</v>
      </c>
      <c r="G154">
        <v>95304.390906403612</v>
      </c>
    </row>
    <row r="155" spans="1:7" x14ac:dyDescent="0.3">
      <c r="A155">
        <v>100000</v>
      </c>
      <c r="B155" t="s">
        <v>324</v>
      </c>
      <c r="C155">
        <v>109608.76774689766</v>
      </c>
      <c r="D155">
        <v>105818.68669145489</v>
      </c>
      <c r="E155">
        <v>64732.33394889495</v>
      </c>
      <c r="F155">
        <v>82643.204502110297</v>
      </c>
      <c r="G155">
        <v>96399.42459396676</v>
      </c>
    </row>
    <row r="156" spans="1:7" x14ac:dyDescent="0.3">
      <c r="A156">
        <v>100000</v>
      </c>
      <c r="B156" t="s">
        <v>325</v>
      </c>
      <c r="C156">
        <v>108446.97667694767</v>
      </c>
      <c r="D156">
        <v>104656.8956215049</v>
      </c>
      <c r="E156">
        <v>65484.125018844948</v>
      </c>
      <c r="F156">
        <v>81481.413432160305</v>
      </c>
      <c r="G156">
        <v>97151.215663916752</v>
      </c>
    </row>
    <row r="157" spans="1:7" x14ac:dyDescent="0.3">
      <c r="A157">
        <v>100000</v>
      </c>
      <c r="B157" t="s">
        <v>326</v>
      </c>
      <c r="C157">
        <v>108521.48948144488</v>
      </c>
      <c r="D157">
        <v>104731.4084260021</v>
      </c>
      <c r="E157">
        <v>64999.612214347748</v>
      </c>
      <c r="F157">
        <v>81555.926236657513</v>
      </c>
      <c r="G157">
        <v>97225.728468413959</v>
      </c>
    </row>
    <row r="158" spans="1:7" x14ac:dyDescent="0.3">
      <c r="A158">
        <v>100000</v>
      </c>
      <c r="B158" t="s">
        <v>327</v>
      </c>
      <c r="C158">
        <v>109125.42510883667</v>
      </c>
      <c r="D158">
        <v>105335.3440533939</v>
      </c>
      <c r="E158">
        <v>63985.676586955953</v>
      </c>
      <c r="F158">
        <v>82159.861864049308</v>
      </c>
      <c r="G158">
        <v>96211.792841022165</v>
      </c>
    </row>
    <row r="159" spans="1:7" x14ac:dyDescent="0.3">
      <c r="A159">
        <v>100000</v>
      </c>
      <c r="B159" t="s">
        <v>328</v>
      </c>
      <c r="C159">
        <v>108595.31751370399</v>
      </c>
      <c r="D159">
        <v>104805.23645826122</v>
      </c>
      <c r="E159">
        <v>64105.784182088631</v>
      </c>
      <c r="F159">
        <v>81629.754268916629</v>
      </c>
      <c r="G159">
        <v>96331.900436154843</v>
      </c>
    </row>
    <row r="160" spans="1:7" x14ac:dyDescent="0.3">
      <c r="A160">
        <v>100000</v>
      </c>
      <c r="B160" t="s">
        <v>329</v>
      </c>
      <c r="C160">
        <v>108231.38949874607</v>
      </c>
      <c r="D160">
        <v>104441.30844330329</v>
      </c>
      <c r="E160">
        <v>64059.71219704656</v>
      </c>
      <c r="F160">
        <v>81265.826253958701</v>
      </c>
      <c r="G160">
        <v>96285.828451112771</v>
      </c>
    </row>
    <row r="161" spans="1:7" x14ac:dyDescent="0.3">
      <c r="A161">
        <v>100000</v>
      </c>
      <c r="B161" t="s">
        <v>330</v>
      </c>
      <c r="C161">
        <v>106801.17438464206</v>
      </c>
      <c r="D161">
        <v>103011.09332919928</v>
      </c>
      <c r="E161">
        <v>65079.927311150568</v>
      </c>
      <c r="F161">
        <v>79835.611139854693</v>
      </c>
      <c r="G161">
        <v>94855.613337008763</v>
      </c>
    </row>
    <row r="162" spans="1:7" x14ac:dyDescent="0.3">
      <c r="A162">
        <v>100000</v>
      </c>
      <c r="B162" t="s">
        <v>331</v>
      </c>
      <c r="C162">
        <v>107289.47040296035</v>
      </c>
      <c r="D162">
        <v>103499.38934751757</v>
      </c>
      <c r="E162">
        <v>64181.631292832288</v>
      </c>
      <c r="F162">
        <v>80323.90715817298</v>
      </c>
      <c r="G162">
        <v>95343.90935532705</v>
      </c>
    </row>
    <row r="163" spans="1:7" x14ac:dyDescent="0.3">
      <c r="A163">
        <v>100000</v>
      </c>
      <c r="B163" t="s">
        <v>332</v>
      </c>
      <c r="C163">
        <v>108352.30423178704</v>
      </c>
      <c r="D163">
        <v>104562.22317634427</v>
      </c>
      <c r="E163">
        <v>62708.797464005591</v>
      </c>
      <c r="F163">
        <v>81386.740986999677</v>
      </c>
      <c r="G163">
        <v>93871.075526500354</v>
      </c>
    </row>
    <row r="164" spans="1:7" x14ac:dyDescent="0.3">
      <c r="A164">
        <v>100000</v>
      </c>
      <c r="B164" t="s">
        <v>333</v>
      </c>
      <c r="C164">
        <v>107211.73413316044</v>
      </c>
      <c r="D164">
        <v>103421.65307771767</v>
      </c>
      <c r="E164">
        <v>63439.3675626322</v>
      </c>
      <c r="F164">
        <v>82117.311085626279</v>
      </c>
      <c r="G164">
        <v>94601.645625126956</v>
      </c>
    </row>
    <row r="165" spans="1:7" x14ac:dyDescent="0.3">
      <c r="A165">
        <v>100000</v>
      </c>
      <c r="B165" t="s">
        <v>334</v>
      </c>
      <c r="C165">
        <v>107993.34768635883</v>
      </c>
      <c r="D165">
        <v>104203.26663091606</v>
      </c>
      <c r="E165">
        <v>62247.754009433811</v>
      </c>
      <c r="F165">
        <v>82898.924638824668</v>
      </c>
      <c r="G165">
        <v>95383.259178325345</v>
      </c>
    </row>
    <row r="166" spans="1:7" x14ac:dyDescent="0.3">
      <c r="A166">
        <v>100000</v>
      </c>
      <c r="B166" t="s">
        <v>335</v>
      </c>
      <c r="C166">
        <v>111642.30306161237</v>
      </c>
      <c r="D166">
        <v>107852.2220061696</v>
      </c>
      <c r="E166">
        <v>65896.709384687361</v>
      </c>
      <c r="F166">
        <v>86547.880014078211</v>
      </c>
      <c r="G166">
        <v>99032.214553578888</v>
      </c>
    </row>
    <row r="167" spans="1:7" x14ac:dyDescent="0.3">
      <c r="A167">
        <v>100000</v>
      </c>
      <c r="B167" t="s">
        <v>336</v>
      </c>
      <c r="C167">
        <v>111900.79887770717</v>
      </c>
      <c r="D167">
        <v>108110.7178222644</v>
      </c>
      <c r="E167">
        <v>65228.21356859256</v>
      </c>
      <c r="F167">
        <v>86806.375830173012</v>
      </c>
      <c r="G167">
        <v>99290.710369673689</v>
      </c>
    </row>
    <row r="168" spans="1:7" x14ac:dyDescent="0.3">
      <c r="A168">
        <v>100000</v>
      </c>
      <c r="B168" t="s">
        <v>337</v>
      </c>
      <c r="C168">
        <v>111179.68570146066</v>
      </c>
      <c r="D168">
        <v>107389.60464601789</v>
      </c>
      <c r="E168">
        <v>65539.326744839069</v>
      </c>
      <c r="F168">
        <v>86085.262653926504</v>
      </c>
      <c r="G168">
        <v>99601.823545920197</v>
      </c>
    </row>
    <row r="169" spans="1:7" x14ac:dyDescent="0.3">
      <c r="A169">
        <v>100000</v>
      </c>
      <c r="B169" t="s">
        <v>338</v>
      </c>
      <c r="C169">
        <v>112935.59178601406</v>
      </c>
      <c r="D169">
        <v>109145.51073057129</v>
      </c>
      <c r="E169">
        <v>63373.420660285672</v>
      </c>
      <c r="F169">
        <v>87841.168738479901</v>
      </c>
      <c r="G169">
        <v>101357.72963047359</v>
      </c>
    </row>
    <row r="170" spans="1:7" x14ac:dyDescent="0.3">
      <c r="A170">
        <v>100000</v>
      </c>
      <c r="B170" t="s">
        <v>339</v>
      </c>
      <c r="C170">
        <v>112788.41108548761</v>
      </c>
      <c r="D170">
        <v>108998.33003004483</v>
      </c>
      <c r="E170">
        <v>63110.601360812136</v>
      </c>
      <c r="F170">
        <v>87693.988037953444</v>
      </c>
      <c r="G170">
        <v>101094.91033100005</v>
      </c>
    </row>
  </sheetData>
  <phoneticPr fontId="7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AACD-6847-4C04-AA09-0E4DB1889568}">
  <sheetPr codeName="Hoja9"/>
  <dimension ref="A1:G170"/>
  <sheetViews>
    <sheetView topLeftCell="B1" zoomScale="78" zoomScaleNormal="113" workbookViewId="0">
      <selection activeCell="K28" sqref="K28"/>
    </sheetView>
  </sheetViews>
  <sheetFormatPr baseColWidth="10" defaultRowHeight="14.4" x14ac:dyDescent="0.3"/>
  <sheetData>
    <row r="1" spans="1:7" x14ac:dyDescent="0.3">
      <c r="A1" t="s">
        <v>224</v>
      </c>
      <c r="C1" t="s">
        <v>220</v>
      </c>
      <c r="D1" t="s">
        <v>221</v>
      </c>
      <c r="E1" t="s">
        <v>215</v>
      </c>
      <c r="F1" t="s">
        <v>214</v>
      </c>
      <c r="G1" t="s">
        <v>213</v>
      </c>
    </row>
    <row r="2" spans="1:7" x14ac:dyDescent="0.3">
      <c r="C2" t="s">
        <v>10</v>
      </c>
      <c r="D2" t="s">
        <v>10</v>
      </c>
      <c r="E2" t="s">
        <v>10</v>
      </c>
      <c r="F2" t="s">
        <v>10</v>
      </c>
      <c r="G2" t="s">
        <v>10</v>
      </c>
    </row>
    <row r="3" spans="1:7" x14ac:dyDescent="0.3">
      <c r="C3" t="s">
        <v>12</v>
      </c>
      <c r="D3" t="s">
        <v>12</v>
      </c>
      <c r="E3" t="s">
        <v>12</v>
      </c>
      <c r="F3" t="s">
        <v>12</v>
      </c>
      <c r="G3" t="s">
        <v>12</v>
      </c>
    </row>
    <row r="4" spans="1:7" x14ac:dyDescent="0.3">
      <c r="A4">
        <v>100000</v>
      </c>
      <c r="B4" t="s">
        <v>14</v>
      </c>
      <c r="C4">
        <v>100000</v>
      </c>
      <c r="D4">
        <v>100000</v>
      </c>
      <c r="E4">
        <v>100000</v>
      </c>
      <c r="F4">
        <v>100000</v>
      </c>
      <c r="G4">
        <v>100000</v>
      </c>
    </row>
    <row r="5" spans="1:7" x14ac:dyDescent="0.3">
      <c r="A5">
        <v>100000</v>
      </c>
      <c r="B5" t="s">
        <v>15</v>
      </c>
      <c r="C5">
        <v>101202.05998518885</v>
      </c>
      <c r="D5">
        <v>101202.05998518885</v>
      </c>
      <c r="E5">
        <v>101202.05998518885</v>
      </c>
      <c r="F5">
        <v>98387.940014811145</v>
      </c>
      <c r="G5">
        <v>101202.05998518885</v>
      </c>
    </row>
    <row r="6" spans="1:7" x14ac:dyDescent="0.3">
      <c r="A6">
        <v>100000</v>
      </c>
      <c r="B6" t="s">
        <v>16</v>
      </c>
      <c r="C6">
        <v>102545.90447842814</v>
      </c>
      <c r="D6">
        <v>102545.90447842814</v>
      </c>
      <c r="E6">
        <v>99443.575540406746</v>
      </c>
      <c r="F6">
        <v>99694.082616747924</v>
      </c>
      <c r="G6">
        <v>102545.90447842814</v>
      </c>
    </row>
    <row r="7" spans="1:7" x14ac:dyDescent="0.3">
      <c r="A7">
        <v>100000</v>
      </c>
      <c r="B7" t="s">
        <v>17</v>
      </c>
      <c r="C7">
        <v>104503.12134329838</v>
      </c>
      <c r="D7">
        <v>104503.12134329838</v>
      </c>
      <c r="E7">
        <v>97138.081339433469</v>
      </c>
      <c r="F7">
        <v>101596.53517158364</v>
      </c>
      <c r="G7">
        <v>100168.86042227117</v>
      </c>
    </row>
    <row r="8" spans="1:7" x14ac:dyDescent="0.3">
      <c r="A8">
        <v>100000</v>
      </c>
      <c r="B8" t="s">
        <v>18</v>
      </c>
      <c r="C8">
        <v>103516.89380379918</v>
      </c>
      <c r="D8">
        <v>103516.89380379918</v>
      </c>
      <c r="E8">
        <v>97656.695497511377</v>
      </c>
      <c r="F8">
        <v>100637.40420353621</v>
      </c>
      <c r="G8">
        <v>100704.03012961653</v>
      </c>
    </row>
    <row r="9" spans="1:7" x14ac:dyDescent="0.3">
      <c r="A9">
        <v>100000</v>
      </c>
      <c r="B9" t="s">
        <v>19</v>
      </c>
      <c r="C9">
        <v>103202.45612777567</v>
      </c>
      <c r="D9">
        <v>103202.45612777567</v>
      </c>
      <c r="E9">
        <v>97553.057019612548</v>
      </c>
      <c r="F9">
        <v>100331.37931996462</v>
      </c>
      <c r="G9">
        <v>100597.5321129435</v>
      </c>
    </row>
    <row r="10" spans="1:7" x14ac:dyDescent="0.3">
      <c r="A10">
        <v>100000</v>
      </c>
      <c r="B10" t="s">
        <v>20</v>
      </c>
      <c r="C10">
        <v>102522.4718495516</v>
      </c>
      <c r="D10">
        <v>102522.4718495516</v>
      </c>
      <c r="E10">
        <v>97795.920412714855</v>
      </c>
      <c r="F10">
        <v>99669.978263895813</v>
      </c>
      <c r="G10">
        <v>100848.34938546494</v>
      </c>
    </row>
    <row r="11" spans="1:7" x14ac:dyDescent="0.3">
      <c r="A11">
        <v>100000</v>
      </c>
      <c r="B11" t="s">
        <v>21</v>
      </c>
      <c r="C11">
        <v>100519.78823280819</v>
      </c>
      <c r="D11">
        <v>100519.78823280819</v>
      </c>
      <c r="E11">
        <v>95885.012465629639</v>
      </c>
      <c r="F11">
        <v>101208.54876357007</v>
      </c>
      <c r="G11">
        <v>102405.25185962739</v>
      </c>
    </row>
    <row r="12" spans="1:7" x14ac:dyDescent="0.3">
      <c r="A12">
        <v>100000</v>
      </c>
      <c r="B12" t="s">
        <v>22</v>
      </c>
      <c r="C12">
        <v>99052.914109232821</v>
      </c>
      <c r="D12">
        <v>99052.914109232821</v>
      </c>
      <c r="E12">
        <v>94485.219813780277</v>
      </c>
      <c r="F12">
        <v>102270.7266710968</v>
      </c>
      <c r="G12">
        <v>100911.08846008132</v>
      </c>
    </row>
    <row r="13" spans="1:7" x14ac:dyDescent="0.3">
      <c r="A13">
        <v>100000</v>
      </c>
      <c r="B13" t="s">
        <v>23</v>
      </c>
      <c r="C13">
        <v>99739.720290752171</v>
      </c>
      <c r="D13">
        <v>97959.763679251831</v>
      </c>
      <c r="E13">
        <v>93441.925207789522</v>
      </c>
      <c r="F13">
        <v>102980.23412626794</v>
      </c>
      <c r="G13">
        <v>99797.656284565965</v>
      </c>
    </row>
    <row r="14" spans="1:7" x14ac:dyDescent="0.3">
      <c r="A14">
        <v>100000</v>
      </c>
      <c r="B14" t="s">
        <v>24</v>
      </c>
      <c r="C14">
        <v>100551.45683451563</v>
      </c>
      <c r="D14">
        <v>96760.602862956657</v>
      </c>
      <c r="E14">
        <v>92297.515450564184</v>
      </c>
      <c r="F14">
        <v>103818.73362524225</v>
      </c>
      <c r="G14">
        <v>100609.87131368274</v>
      </c>
    </row>
    <row r="15" spans="1:7" x14ac:dyDescent="0.3">
      <c r="A15">
        <v>100000</v>
      </c>
      <c r="B15" t="s">
        <v>25</v>
      </c>
      <c r="C15">
        <v>102811.96875774136</v>
      </c>
      <c r="D15">
        <v>98935.439639140488</v>
      </c>
      <c r="E15">
        <v>94371.484276363626</v>
      </c>
      <c r="F15">
        <v>101059.63934260736</v>
      </c>
      <c r="G15">
        <v>102871.70343260306</v>
      </c>
    </row>
    <row r="16" spans="1:7" x14ac:dyDescent="0.3">
      <c r="A16">
        <v>100000</v>
      </c>
      <c r="B16" t="s">
        <v>26</v>
      </c>
      <c r="C16">
        <v>101500.65841252069</v>
      </c>
      <c r="D16">
        <v>97673.119838972169</v>
      </c>
      <c r="E16">
        <v>93166.842531480419</v>
      </c>
      <c r="F16">
        <v>99770.474470961679</v>
      </c>
      <c r="G16">
        <v>101559.63817643229</v>
      </c>
    </row>
    <row r="17" spans="1:7" x14ac:dyDescent="0.3">
      <c r="A17">
        <v>100000</v>
      </c>
      <c r="B17" t="s">
        <v>27</v>
      </c>
      <c r="C17">
        <v>103530.66718382444</v>
      </c>
      <c r="D17">
        <v>99626.125490671271</v>
      </c>
      <c r="E17">
        <v>95029.190073845632</v>
      </c>
      <c r="F17">
        <v>101765.67508594517</v>
      </c>
      <c r="G17">
        <v>103590.83351339109</v>
      </c>
    </row>
    <row r="18" spans="1:7" x14ac:dyDescent="0.3">
      <c r="A18">
        <v>100000</v>
      </c>
      <c r="B18" t="s">
        <v>28</v>
      </c>
      <c r="C18">
        <v>104012.82451338164</v>
      </c>
      <c r="D18">
        <v>100089.64623699457</v>
      </c>
      <c r="E18">
        <v>94196.79806879691</v>
      </c>
      <c r="F18">
        <v>102239.40801522078</v>
      </c>
      <c r="G18">
        <v>102684.52838941099</v>
      </c>
    </row>
    <row r="19" spans="1:7" x14ac:dyDescent="0.3">
      <c r="A19">
        <v>100000</v>
      </c>
      <c r="B19" t="s">
        <v>29</v>
      </c>
      <c r="C19">
        <v>103410.55870070256</v>
      </c>
      <c r="D19">
        <v>100259.30224124182</v>
      </c>
      <c r="E19">
        <v>94355.758948302333</v>
      </c>
      <c r="F19">
        <v>101647.20622239121</v>
      </c>
      <c r="G19">
        <v>102858.89393096828</v>
      </c>
    </row>
    <row r="20" spans="1:7" x14ac:dyDescent="0.3">
      <c r="A20">
        <v>100000</v>
      </c>
      <c r="B20" t="s">
        <v>30</v>
      </c>
      <c r="C20">
        <v>106135.19459599124</v>
      </c>
      <c r="D20">
        <v>102900.54392949231</v>
      </c>
      <c r="E20">
        <v>96840.770473135883</v>
      </c>
      <c r="F20">
        <v>104325.17711800456</v>
      </c>
      <c r="G20">
        <v>105568.93068251391</v>
      </c>
    </row>
    <row r="21" spans="1:7" x14ac:dyDescent="0.3">
      <c r="A21">
        <v>100000</v>
      </c>
      <c r="B21" t="s">
        <v>31</v>
      </c>
      <c r="C21">
        <v>107710.80310468336</v>
      </c>
      <c r="D21">
        <v>104427.7673672348</v>
      </c>
      <c r="E21">
        <v>98277.349634616578</v>
      </c>
      <c r="F21">
        <v>105873.71073264413</v>
      </c>
      <c r="G21">
        <v>107136.06881141709</v>
      </c>
    </row>
    <row r="22" spans="1:7" x14ac:dyDescent="0.3">
      <c r="A22">
        <v>100000</v>
      </c>
      <c r="B22" t="s">
        <v>32</v>
      </c>
      <c r="C22">
        <v>107265.76148859845</v>
      </c>
      <c r="D22">
        <v>103995.92490165689</v>
      </c>
      <c r="E22">
        <v>97870.234371489685</v>
      </c>
      <c r="F22">
        <v>105878.69396031114</v>
      </c>
      <c r="G22">
        <v>106693.33786297184</v>
      </c>
    </row>
    <row r="23" spans="1:7" x14ac:dyDescent="0.3">
      <c r="A23">
        <v>100000</v>
      </c>
      <c r="B23" t="s">
        <v>33</v>
      </c>
      <c r="C23">
        <v>106410.04227501275</v>
      </c>
      <c r="D23">
        <v>103165.92520859108</v>
      </c>
      <c r="E23">
        <v>97088.417460376455</v>
      </c>
      <c r="F23">
        <v>105033.88498973229</v>
      </c>
      <c r="G23">
        <v>105842.12115609982</v>
      </c>
    </row>
    <row r="24" spans="1:7" x14ac:dyDescent="0.3">
      <c r="A24">
        <v>100000</v>
      </c>
      <c r="B24" t="s">
        <v>34</v>
      </c>
      <c r="C24">
        <v>108051.50466417565</v>
      </c>
      <c r="D24">
        <v>104756.97858145543</v>
      </c>
      <c r="E24">
        <v>98585.03491096622</v>
      </c>
      <c r="F24">
        <v>106653.96383027387</v>
      </c>
      <c r="G24">
        <v>107474.75884986689</v>
      </c>
    </row>
    <row r="25" spans="1:7" x14ac:dyDescent="0.3">
      <c r="A25">
        <v>100000</v>
      </c>
      <c r="B25" t="s">
        <v>35</v>
      </c>
      <c r="C25">
        <v>109945.13489253385</v>
      </c>
      <c r="D25">
        <v>106592.50551443743</v>
      </c>
      <c r="E25">
        <v>100311.71150944558</v>
      </c>
      <c r="F25">
        <v>108522.94659012412</v>
      </c>
      <c r="G25">
        <v>105152.447722435</v>
      </c>
    </row>
    <row r="26" spans="1:7" x14ac:dyDescent="0.3">
      <c r="A26">
        <v>100000</v>
      </c>
      <c r="B26" t="s">
        <v>36</v>
      </c>
      <c r="C26">
        <v>107404.7434772304</v>
      </c>
      <c r="D26">
        <v>104129.21400306841</v>
      </c>
      <c r="E26">
        <v>97992.858455121823</v>
      </c>
      <c r="F26">
        <v>106015.26102122554</v>
      </c>
      <c r="G26">
        <v>102722.27299938406</v>
      </c>
    </row>
    <row r="27" spans="1:7" x14ac:dyDescent="0.3">
      <c r="A27">
        <v>100000</v>
      </c>
      <c r="B27" t="s">
        <v>37</v>
      </c>
      <c r="C27">
        <v>107686.1062232649</v>
      </c>
      <c r="D27">
        <v>104401.63004628377</v>
      </c>
      <c r="E27">
        <v>98248.513803642432</v>
      </c>
      <c r="F27">
        <v>105304.47456677779</v>
      </c>
      <c r="G27">
        <v>102990.84615761141</v>
      </c>
    </row>
    <row r="28" spans="1:7" x14ac:dyDescent="0.3">
      <c r="A28">
        <v>100000</v>
      </c>
      <c r="B28" t="s">
        <v>38</v>
      </c>
      <c r="C28">
        <v>107518.69240267524</v>
      </c>
      <c r="D28">
        <v>104238.95641929199</v>
      </c>
      <c r="E28">
        <v>97999.06791959003</v>
      </c>
      <c r="F28">
        <v>105140.49794424415</v>
      </c>
      <c r="G28">
        <v>102729.93905898523</v>
      </c>
    </row>
    <row r="29" spans="1:7" x14ac:dyDescent="0.3">
      <c r="A29">
        <v>100000</v>
      </c>
      <c r="B29" t="s">
        <v>39</v>
      </c>
      <c r="C29">
        <v>104360.24900943448</v>
      </c>
      <c r="D29">
        <v>101176.49171948477</v>
      </c>
      <c r="E29">
        <v>95119.208267386202</v>
      </c>
      <c r="F29">
        <v>107799.50317050837</v>
      </c>
      <c r="G29">
        <v>99711.634473084894</v>
      </c>
    </row>
    <row r="30" spans="1:7" x14ac:dyDescent="0.3">
      <c r="A30">
        <v>100000</v>
      </c>
      <c r="B30" t="s">
        <v>40</v>
      </c>
      <c r="C30">
        <v>106493.94066431605</v>
      </c>
      <c r="D30">
        <v>103244.72395362851</v>
      </c>
      <c r="E30">
        <v>97062.900145620617</v>
      </c>
      <c r="F30">
        <v>110003.90737180946</v>
      </c>
      <c r="G30">
        <v>101749.74861150706</v>
      </c>
    </row>
    <row r="31" spans="1:7" x14ac:dyDescent="0.3">
      <c r="A31">
        <v>100000</v>
      </c>
      <c r="B31" t="s">
        <v>41</v>
      </c>
      <c r="C31">
        <v>110263.90320194974</v>
      </c>
      <c r="D31">
        <v>106899.29573945211</v>
      </c>
      <c r="E31">
        <v>100497.93431352629</v>
      </c>
      <c r="F31">
        <v>113898.52078172071</v>
      </c>
      <c r="G31">
        <v>105351.2287312385</v>
      </c>
    </row>
    <row r="32" spans="1:7" x14ac:dyDescent="0.3">
      <c r="A32">
        <v>100000</v>
      </c>
      <c r="B32" t="s">
        <v>42</v>
      </c>
      <c r="C32">
        <v>109529.64592163812</v>
      </c>
      <c r="D32">
        <v>106187.07751421302</v>
      </c>
      <c r="E32">
        <v>100756.29992796689</v>
      </c>
      <c r="F32">
        <v>114192.93746347017</v>
      </c>
      <c r="G32">
        <v>104649.15074804258</v>
      </c>
    </row>
    <row r="33" spans="1:7" x14ac:dyDescent="0.3">
      <c r="A33">
        <v>100000</v>
      </c>
      <c r="B33" t="s">
        <v>43</v>
      </c>
      <c r="C33">
        <v>107738.12278195877</v>
      </c>
      <c r="D33">
        <v>104449.86093032431</v>
      </c>
      <c r="E33">
        <v>99107.31693873521</v>
      </c>
      <c r="F33">
        <v>115595.44014859288</v>
      </c>
      <c r="G33">
        <v>102936.92078987064</v>
      </c>
    </row>
    <row r="34" spans="1:7" x14ac:dyDescent="0.3">
      <c r="A34">
        <v>100000</v>
      </c>
      <c r="B34" t="s">
        <v>44</v>
      </c>
      <c r="C34">
        <v>107621.00685101553</v>
      </c>
      <c r="D34">
        <v>104335.95322964159</v>
      </c>
      <c r="E34">
        <v>98998.621752163366</v>
      </c>
      <c r="F34">
        <v>115250.02376206075</v>
      </c>
      <c r="G34">
        <v>102824.48920652892</v>
      </c>
    </row>
    <row r="35" spans="1:7" x14ac:dyDescent="0.3">
      <c r="A35">
        <v>100000</v>
      </c>
      <c r="B35" t="s">
        <v>45</v>
      </c>
      <c r="C35">
        <v>107155.03056254312</v>
      </c>
      <c r="D35">
        <v>103883.83423998194</v>
      </c>
      <c r="E35">
        <v>98569.017158209448</v>
      </c>
      <c r="F35">
        <v>115279.31634126944</v>
      </c>
      <c r="G35">
        <v>102378.74600582953</v>
      </c>
    </row>
    <row r="36" spans="1:7" x14ac:dyDescent="0.3">
      <c r="A36">
        <v>100000</v>
      </c>
      <c r="B36" t="s">
        <v>46</v>
      </c>
      <c r="C36">
        <v>107680.91716132242</v>
      </c>
      <c r="D36">
        <v>104393.30039956539</v>
      </c>
      <c r="E36">
        <v>97681.753404096846</v>
      </c>
      <c r="F36">
        <v>114243.67006679717</v>
      </c>
      <c r="G36">
        <v>102880.65706709531</v>
      </c>
    </row>
    <row r="37" spans="1:7" x14ac:dyDescent="0.3">
      <c r="A37">
        <v>100000</v>
      </c>
      <c r="B37" t="s">
        <v>47</v>
      </c>
      <c r="C37">
        <v>106865.56319536148</v>
      </c>
      <c r="D37">
        <v>104757.16894637178</v>
      </c>
      <c r="E37">
        <v>96940.998244242146</v>
      </c>
      <c r="F37">
        <v>113379.35465331869</v>
      </c>
      <c r="G37">
        <v>102101.11546312014</v>
      </c>
    </row>
    <row r="38" spans="1:7" x14ac:dyDescent="0.3">
      <c r="A38">
        <v>100000</v>
      </c>
      <c r="B38" t="s">
        <v>48</v>
      </c>
      <c r="C38">
        <v>107359.20375319345</v>
      </c>
      <c r="D38">
        <v>105240.83351556613</v>
      </c>
      <c r="E38">
        <v>96096.124082990704</v>
      </c>
      <c r="F38">
        <v>112393.24940764961</v>
      </c>
      <c r="G38">
        <v>101211.90785803717</v>
      </c>
    </row>
    <row r="39" spans="1:7" x14ac:dyDescent="0.3">
      <c r="A39">
        <v>100000</v>
      </c>
      <c r="B39" t="s">
        <v>49</v>
      </c>
      <c r="C39">
        <v>108133.22580664369</v>
      </c>
      <c r="D39">
        <v>105999.3460862153</v>
      </c>
      <c r="E39">
        <v>95009.6327516686</v>
      </c>
      <c r="F39">
        <v>111124.5330380763</v>
      </c>
      <c r="G39">
        <v>100068.21478864644</v>
      </c>
    </row>
    <row r="40" spans="1:7" x14ac:dyDescent="0.3">
      <c r="A40">
        <v>100000</v>
      </c>
      <c r="B40" t="s">
        <v>50</v>
      </c>
      <c r="C40">
        <v>108236.27451862361</v>
      </c>
      <c r="D40">
        <v>105465.41024690126</v>
      </c>
      <c r="E40">
        <v>95098.718572351601</v>
      </c>
      <c r="F40">
        <v>110565.36101710521</v>
      </c>
      <c r="G40">
        <v>100162.68270482746</v>
      </c>
    </row>
    <row r="41" spans="1:7" x14ac:dyDescent="0.3">
      <c r="A41">
        <v>100000</v>
      </c>
      <c r="B41" t="s">
        <v>51</v>
      </c>
      <c r="C41">
        <v>107798.69360856319</v>
      </c>
      <c r="D41">
        <v>105038.72426965018</v>
      </c>
      <c r="E41">
        <v>94712.794032029051</v>
      </c>
      <c r="F41">
        <v>110118.62222761812</v>
      </c>
      <c r="G41">
        <v>99756.846850358168</v>
      </c>
    </row>
    <row r="42" spans="1:7" x14ac:dyDescent="0.3">
      <c r="A42">
        <v>100000</v>
      </c>
      <c r="B42" t="s">
        <v>52</v>
      </c>
      <c r="C42">
        <v>106473.84575276957</v>
      </c>
      <c r="D42">
        <v>103747.48925003623</v>
      </c>
      <c r="E42">
        <v>95488.681269104069</v>
      </c>
      <c r="F42">
        <v>108765.5206591758</v>
      </c>
      <c r="G42">
        <v>98529.938226661994</v>
      </c>
    </row>
    <row r="43" spans="1:7" x14ac:dyDescent="0.3">
      <c r="A43">
        <v>100000</v>
      </c>
      <c r="B43" t="s">
        <v>53</v>
      </c>
      <c r="C43">
        <v>106487.37434129142</v>
      </c>
      <c r="D43">
        <v>103760.36415658735</v>
      </c>
      <c r="E43">
        <v>95085.200217176578</v>
      </c>
      <c r="F43">
        <v>108779.59870869719</v>
      </c>
      <c r="G43">
        <v>98541.562152634491</v>
      </c>
    </row>
    <row r="44" spans="1:7" x14ac:dyDescent="0.3">
      <c r="A44">
        <v>100000</v>
      </c>
      <c r="B44" t="s">
        <v>54</v>
      </c>
      <c r="C44">
        <v>104309.26043795326</v>
      </c>
      <c r="D44">
        <v>101637.7217559712</v>
      </c>
      <c r="E44">
        <v>96640.34781799234</v>
      </c>
      <c r="F44">
        <v>110560.45066404535</v>
      </c>
      <c r="G44">
        <v>100153.67581443905</v>
      </c>
    </row>
    <row r="45" spans="1:7" x14ac:dyDescent="0.3">
      <c r="A45">
        <v>100000</v>
      </c>
      <c r="B45" t="s">
        <v>55</v>
      </c>
      <c r="C45">
        <v>106027.91002734905</v>
      </c>
      <c r="D45">
        <v>103312.04644742778</v>
      </c>
      <c r="E45">
        <v>94651.905433176071</v>
      </c>
      <c r="F45">
        <v>108287.32096293592</v>
      </c>
      <c r="G45">
        <v>98093.380518072663</v>
      </c>
    </row>
    <row r="46" spans="1:7" x14ac:dyDescent="0.3">
      <c r="A46">
        <v>100000</v>
      </c>
      <c r="B46" t="s">
        <v>56</v>
      </c>
      <c r="C46">
        <v>107124.72518815209</v>
      </c>
      <c r="D46">
        <v>104380.45974016315</v>
      </c>
      <c r="E46">
        <v>93284.701520932242</v>
      </c>
      <c r="F46">
        <v>109407.76451648213</v>
      </c>
      <c r="G46">
        <v>96676.902368003444</v>
      </c>
    </row>
    <row r="47" spans="1:7" x14ac:dyDescent="0.3">
      <c r="A47">
        <v>100000</v>
      </c>
      <c r="B47" t="s">
        <v>57</v>
      </c>
      <c r="C47">
        <v>107102.31897128212</v>
      </c>
      <c r="D47">
        <v>104358.32010434018</v>
      </c>
      <c r="E47">
        <v>92921.684354391313</v>
      </c>
      <c r="F47">
        <v>108984.07853933898</v>
      </c>
      <c r="G47">
        <v>96301.120828416751</v>
      </c>
    </row>
    <row r="48" spans="1:7" x14ac:dyDescent="0.3">
      <c r="A48">
        <v>100000</v>
      </c>
      <c r="B48" t="s">
        <v>58</v>
      </c>
      <c r="C48">
        <v>106066.29184936172</v>
      </c>
      <c r="D48">
        <v>103348.5289153973</v>
      </c>
      <c r="E48">
        <v>93439.449834101761</v>
      </c>
      <c r="F48">
        <v>109593.41900523062</v>
      </c>
      <c r="G48">
        <v>96838.15316491366</v>
      </c>
    </row>
    <row r="49" spans="1:7" x14ac:dyDescent="0.3">
      <c r="A49">
        <v>100000</v>
      </c>
      <c r="B49" t="s">
        <v>59</v>
      </c>
      <c r="C49">
        <v>105716.00441303174</v>
      </c>
      <c r="D49">
        <v>103006.90950205043</v>
      </c>
      <c r="E49">
        <v>93364.788991159512</v>
      </c>
      <c r="F49">
        <v>109507.92525041952</v>
      </c>
      <c r="G49">
        <v>96761.213138864085</v>
      </c>
    </row>
    <row r="50" spans="1:7" x14ac:dyDescent="0.3">
      <c r="A50">
        <v>100000</v>
      </c>
      <c r="B50" t="s">
        <v>60</v>
      </c>
      <c r="C50">
        <v>106997.33710075512</v>
      </c>
      <c r="D50">
        <v>104255.09904345486</v>
      </c>
      <c r="E50">
        <v>94495.016548425934</v>
      </c>
      <c r="F50">
        <v>107733.50150087941</v>
      </c>
      <c r="G50">
        <v>97932.992648419924</v>
      </c>
    </row>
    <row r="51" spans="1:7" x14ac:dyDescent="0.3">
      <c r="A51">
        <v>100000</v>
      </c>
      <c r="B51" t="s">
        <v>61</v>
      </c>
      <c r="C51">
        <v>105755.99463542743</v>
      </c>
      <c r="D51">
        <v>103045.26343414083</v>
      </c>
      <c r="E51">
        <v>95203.963239761681</v>
      </c>
      <c r="F51">
        <v>106483.70089833956</v>
      </c>
      <c r="G51">
        <v>96795.794677315687</v>
      </c>
    </row>
    <row r="52" spans="1:7" x14ac:dyDescent="0.3">
      <c r="A52">
        <v>100000</v>
      </c>
      <c r="B52" t="s">
        <v>62</v>
      </c>
      <c r="C52">
        <v>108313.43497755211</v>
      </c>
      <c r="D52">
        <v>105536.84403820288</v>
      </c>
      <c r="E52">
        <v>92511.407025594468</v>
      </c>
      <c r="F52">
        <v>109058.82154157237</v>
      </c>
      <c r="G52">
        <v>99135.538620051928</v>
      </c>
    </row>
    <row r="53" spans="1:7" x14ac:dyDescent="0.3">
      <c r="A53">
        <v>100000</v>
      </c>
      <c r="B53" t="s">
        <v>63</v>
      </c>
      <c r="C53">
        <v>109595.16255512842</v>
      </c>
      <c r="D53">
        <v>106785.40719558857</v>
      </c>
      <c r="E53">
        <v>91037.329494190577</v>
      </c>
      <c r="F53">
        <v>110349.45223586756</v>
      </c>
      <c r="G53">
        <v>97556.771361394829</v>
      </c>
    </row>
    <row r="54" spans="1:7" x14ac:dyDescent="0.3">
      <c r="A54">
        <v>100000</v>
      </c>
      <c r="B54" t="s">
        <v>64</v>
      </c>
      <c r="C54">
        <v>111635.3616364816</v>
      </c>
      <c r="D54">
        <v>108772.99284735926</v>
      </c>
      <c r="E54">
        <v>88969.22676783122</v>
      </c>
      <c r="F54">
        <v>112403.77559564504</v>
      </c>
      <c r="G54">
        <v>95341.425275943373</v>
      </c>
    </row>
    <row r="55" spans="1:7" x14ac:dyDescent="0.3">
      <c r="A55">
        <v>100000</v>
      </c>
      <c r="B55" t="s">
        <v>65</v>
      </c>
      <c r="C55">
        <v>106763.10252777065</v>
      </c>
      <c r="D55">
        <v>104025.35244168188</v>
      </c>
      <c r="E55">
        <v>85083.781217474243</v>
      </c>
      <c r="F55">
        <v>116851.61050280531</v>
      </c>
      <c r="G55">
        <v>91178.553868872506</v>
      </c>
    </row>
    <row r="56" spans="1:7" x14ac:dyDescent="0.3">
      <c r="A56">
        <v>100000</v>
      </c>
      <c r="B56" t="s">
        <v>66</v>
      </c>
      <c r="C56">
        <v>106097.98896155567</v>
      </c>
      <c r="D56">
        <v>103376.98681253314</v>
      </c>
      <c r="E56">
        <v>84551.288926951456</v>
      </c>
      <c r="F56">
        <v>116124.78140692362</v>
      </c>
      <c r="G56">
        <v>90608.777361168133</v>
      </c>
    </row>
    <row r="57" spans="1:7" x14ac:dyDescent="0.3">
      <c r="A57">
        <v>100000</v>
      </c>
      <c r="B57" t="s">
        <v>67</v>
      </c>
      <c r="C57">
        <v>107825.82967427693</v>
      </c>
      <c r="D57">
        <v>105060.20735512103</v>
      </c>
      <c r="E57">
        <v>85925.797533080375</v>
      </c>
      <c r="F57">
        <v>118017.04579897378</v>
      </c>
      <c r="G57">
        <v>92082.619282639222</v>
      </c>
    </row>
    <row r="58" spans="1:7" x14ac:dyDescent="0.3">
      <c r="A58">
        <v>100000</v>
      </c>
      <c r="B58" t="s">
        <v>68</v>
      </c>
      <c r="C58">
        <v>108076.65809215129</v>
      </c>
      <c r="D58">
        <v>105304.29449272166</v>
      </c>
      <c r="E58">
        <v>86123.24402181535</v>
      </c>
      <c r="F58">
        <v>117261.83021543038</v>
      </c>
      <c r="G58">
        <v>92295.073193292104</v>
      </c>
    </row>
    <row r="59" spans="1:7" x14ac:dyDescent="0.3">
      <c r="A59">
        <v>100000</v>
      </c>
      <c r="B59" t="s">
        <v>69</v>
      </c>
      <c r="C59">
        <v>107324.6848442544</v>
      </c>
      <c r="D59">
        <v>104571.30290962858</v>
      </c>
      <c r="E59">
        <v>86368.472134092066</v>
      </c>
      <c r="F59">
        <v>116446.96844221695</v>
      </c>
      <c r="G59">
        <v>91651.152422597195</v>
      </c>
    </row>
    <row r="60" spans="1:7" x14ac:dyDescent="0.3">
      <c r="A60">
        <v>100000</v>
      </c>
      <c r="B60" t="s">
        <v>70</v>
      </c>
      <c r="C60">
        <v>107167.36116330513</v>
      </c>
      <c r="D60">
        <v>104417.70746322646</v>
      </c>
      <c r="E60">
        <v>86239.524347972736</v>
      </c>
      <c r="F60">
        <v>116143.15891185511</v>
      </c>
      <c r="G60">
        <v>91515.051589199706</v>
      </c>
    </row>
    <row r="61" spans="1:7" x14ac:dyDescent="0.3">
      <c r="A61">
        <v>100000</v>
      </c>
      <c r="B61" t="s">
        <v>71</v>
      </c>
      <c r="C61">
        <v>108150.00794435614</v>
      </c>
      <c r="D61">
        <v>105374.83402830777</v>
      </c>
      <c r="E61">
        <v>85094.229431798754</v>
      </c>
      <c r="F61">
        <v>117209.11229149217</v>
      </c>
      <c r="G61">
        <v>90300.429664930271</v>
      </c>
    </row>
    <row r="62" spans="1:7" x14ac:dyDescent="0.3">
      <c r="A62">
        <v>100000</v>
      </c>
      <c r="B62" t="s">
        <v>72</v>
      </c>
      <c r="C62">
        <v>109552.14531470124</v>
      </c>
      <c r="D62">
        <v>106740.68404908643</v>
      </c>
      <c r="E62">
        <v>86194.896292647623</v>
      </c>
      <c r="F62">
        <v>118729.70381863893</v>
      </c>
      <c r="G62">
        <v>91469.171253161112</v>
      </c>
    </row>
    <row r="63" spans="1:7" x14ac:dyDescent="0.3">
      <c r="A63">
        <v>100000</v>
      </c>
      <c r="B63" t="s">
        <v>73</v>
      </c>
      <c r="C63">
        <v>109136.05996257738</v>
      </c>
      <c r="D63">
        <v>106334.96882994568</v>
      </c>
      <c r="E63">
        <v>86168.115649336265</v>
      </c>
      <c r="F63">
        <v>118279.7668522993</v>
      </c>
      <c r="G63">
        <v>91119.785324586774</v>
      </c>
    </row>
    <row r="64" spans="1:7" x14ac:dyDescent="0.3">
      <c r="A64">
        <v>100000</v>
      </c>
      <c r="B64" t="s">
        <v>74</v>
      </c>
      <c r="C64">
        <v>108401.38181493177</v>
      </c>
      <c r="D64">
        <v>105618.83897286335</v>
      </c>
      <c r="E64">
        <v>85585.526842804975</v>
      </c>
      <c r="F64">
        <v>118594.4329807691</v>
      </c>
      <c r="G64">
        <v>91359.440770747315</v>
      </c>
    </row>
    <row r="65" spans="1:7" x14ac:dyDescent="0.3">
      <c r="A65">
        <v>100000</v>
      </c>
      <c r="B65" t="s">
        <v>75</v>
      </c>
      <c r="C65">
        <v>108164.90284136463</v>
      </c>
      <c r="D65">
        <v>105388.12212474734</v>
      </c>
      <c r="E65">
        <v>85396.295234718316</v>
      </c>
      <c r="F65">
        <v>118336.84610594725</v>
      </c>
      <c r="G65">
        <v>91183.981632570227</v>
      </c>
    </row>
    <row r="66" spans="1:7" x14ac:dyDescent="0.3">
      <c r="A66">
        <v>100000</v>
      </c>
      <c r="B66" t="s">
        <v>76</v>
      </c>
      <c r="C66">
        <v>106201.54818530021</v>
      </c>
      <c r="D66">
        <v>103474.86212820653</v>
      </c>
      <c r="E66">
        <v>86595.26192025686</v>
      </c>
      <c r="F66">
        <v>116189.9839689056</v>
      </c>
      <c r="G66">
        <v>92465.020911479238</v>
      </c>
    </row>
    <row r="67" spans="1:7" x14ac:dyDescent="0.3">
      <c r="A67">
        <v>100000</v>
      </c>
      <c r="B67" t="s">
        <v>77</v>
      </c>
      <c r="C67">
        <v>105693.47889587634</v>
      </c>
      <c r="D67">
        <v>102979.52923705497</v>
      </c>
      <c r="E67">
        <v>86178.773936962069</v>
      </c>
      <c r="F67">
        <v>115635.25852120252</v>
      </c>
      <c r="G67">
        <v>92528.011660987089</v>
      </c>
    </row>
    <row r="68" spans="1:7" x14ac:dyDescent="0.3">
      <c r="A68">
        <v>100000</v>
      </c>
      <c r="B68" t="s">
        <v>78</v>
      </c>
      <c r="C68">
        <v>105619.29170954421</v>
      </c>
      <c r="D68">
        <v>102906.93886535031</v>
      </c>
      <c r="E68">
        <v>85884.829130937025</v>
      </c>
      <c r="F68">
        <v>115244.94308407104</v>
      </c>
      <c r="G68">
        <v>92461.570679743847</v>
      </c>
    </row>
    <row r="69" spans="1:7" x14ac:dyDescent="0.3">
      <c r="A69">
        <v>100000</v>
      </c>
      <c r="B69" t="s">
        <v>79</v>
      </c>
      <c r="C69">
        <v>104843.73461009514</v>
      </c>
      <c r="D69">
        <v>102150.99026958342</v>
      </c>
      <c r="E69">
        <v>86162.203775593094</v>
      </c>
      <c r="F69">
        <v>115621.24174858278</v>
      </c>
      <c r="G69">
        <v>91781.135135668417</v>
      </c>
    </row>
    <row r="70" spans="1:7" x14ac:dyDescent="0.3">
      <c r="A70">
        <v>100000</v>
      </c>
      <c r="B70" t="s">
        <v>80</v>
      </c>
      <c r="C70">
        <v>107935.26136951326</v>
      </c>
      <c r="D70">
        <v>105162.80788712359</v>
      </c>
      <c r="E70">
        <v>83267.091344652348</v>
      </c>
      <c r="F70">
        <v>111740.38713764059</v>
      </c>
      <c r="G70">
        <v>88698.005103703588</v>
      </c>
    </row>
    <row r="71" spans="1:7" x14ac:dyDescent="0.3">
      <c r="A71">
        <v>100000</v>
      </c>
      <c r="B71" t="s">
        <v>81</v>
      </c>
      <c r="C71">
        <v>107798.94843820231</v>
      </c>
      <c r="D71">
        <v>105029.6880904282</v>
      </c>
      <c r="E71">
        <v>83029.582082730514</v>
      </c>
      <c r="F71">
        <v>111425.76467511251</v>
      </c>
      <c r="G71">
        <v>88445.787493818745</v>
      </c>
    </row>
    <row r="72" spans="1:7" x14ac:dyDescent="0.3">
      <c r="A72">
        <v>100000</v>
      </c>
      <c r="B72" t="s">
        <v>82</v>
      </c>
      <c r="C72">
        <v>106520.60145732474</v>
      </c>
      <c r="D72">
        <v>103783.8724517527</v>
      </c>
      <c r="E72">
        <v>83672.461608875659</v>
      </c>
      <c r="F72">
        <v>112292.61351597613</v>
      </c>
      <c r="G72">
        <v>87394.78797121816</v>
      </c>
    </row>
    <row r="73" spans="1:7" x14ac:dyDescent="0.3">
      <c r="A73">
        <v>100000</v>
      </c>
      <c r="B73" t="s">
        <v>83</v>
      </c>
      <c r="C73">
        <v>105880.25651230733</v>
      </c>
      <c r="D73">
        <v>103159.67095516693</v>
      </c>
      <c r="E73">
        <v>83831.053982816113</v>
      </c>
      <c r="F73">
        <v>112509.55698372319</v>
      </c>
      <c r="G73">
        <v>86867.262594048909</v>
      </c>
    </row>
    <row r="74" spans="1:7" x14ac:dyDescent="0.3">
      <c r="A74">
        <v>100000</v>
      </c>
      <c r="B74" t="s">
        <v>84</v>
      </c>
      <c r="C74">
        <v>108013.19175383278</v>
      </c>
      <c r="D74">
        <v>105237.49224031075</v>
      </c>
      <c r="E74">
        <v>81797.206326026993</v>
      </c>
      <c r="F74">
        <v>109784.03766902446</v>
      </c>
      <c r="G74">
        <v>88615.030269443261</v>
      </c>
    </row>
    <row r="75" spans="1:7" x14ac:dyDescent="0.3">
      <c r="A75">
        <v>100000</v>
      </c>
      <c r="B75" t="s">
        <v>85</v>
      </c>
      <c r="C75">
        <v>108091.95266344667</v>
      </c>
      <c r="D75">
        <v>105313.92079580593</v>
      </c>
      <c r="E75">
        <v>81853.938568167796</v>
      </c>
      <c r="F75">
        <v>109864.28657823766</v>
      </c>
      <c r="G75">
        <v>88677.49136648266</v>
      </c>
    </row>
    <row r="76" spans="1:7" x14ac:dyDescent="0.3">
      <c r="A76">
        <v>100000</v>
      </c>
      <c r="B76" t="s">
        <v>86</v>
      </c>
      <c r="C76">
        <v>108335.39313051543</v>
      </c>
      <c r="D76">
        <v>105550.79628055809</v>
      </c>
      <c r="E76">
        <v>82035.373951506379</v>
      </c>
      <c r="F76">
        <v>110111.91538488065</v>
      </c>
      <c r="G76">
        <v>88875.052016049871</v>
      </c>
    </row>
    <row r="77" spans="1:7" x14ac:dyDescent="0.3">
      <c r="A77">
        <v>100000</v>
      </c>
      <c r="B77" t="s">
        <v>87</v>
      </c>
      <c r="C77">
        <v>109272.24755698569</v>
      </c>
      <c r="D77">
        <v>106463.26184415845</v>
      </c>
      <c r="E77">
        <v>82741.879930501207</v>
      </c>
      <c r="F77">
        <v>111064.32946324369</v>
      </c>
      <c r="G77">
        <v>87741.583086293016</v>
      </c>
    </row>
    <row r="78" spans="1:7" x14ac:dyDescent="0.3">
      <c r="A78">
        <v>100000</v>
      </c>
      <c r="B78" t="s">
        <v>88</v>
      </c>
      <c r="C78">
        <v>110028.01797098892</v>
      </c>
      <c r="D78">
        <v>107199.29571780597</v>
      </c>
      <c r="E78">
        <v>81829.133953435914</v>
      </c>
      <c r="F78">
        <v>109843.25918295153</v>
      </c>
      <c r="G78">
        <v>88346.074401128746</v>
      </c>
    </row>
    <row r="79" spans="1:7" x14ac:dyDescent="0.3">
      <c r="A79">
        <v>100000</v>
      </c>
      <c r="B79" t="s">
        <v>89</v>
      </c>
      <c r="C79">
        <v>110164.36722649276</v>
      </c>
      <c r="D79">
        <v>107331.83104620264</v>
      </c>
      <c r="E79">
        <v>81390.944406345909</v>
      </c>
      <c r="F79">
        <v>109259.16405472114</v>
      </c>
      <c r="G79">
        <v>87873.942763201077</v>
      </c>
    </row>
    <row r="80" spans="1:7" x14ac:dyDescent="0.3">
      <c r="A80">
        <v>100000</v>
      </c>
      <c r="B80" t="s">
        <v>90</v>
      </c>
      <c r="C80">
        <v>110295.55557207727</v>
      </c>
      <c r="D80">
        <v>107459.33774608198</v>
      </c>
      <c r="E80">
        <v>80958.985848697528</v>
      </c>
      <c r="F80">
        <v>108683.41189186124</v>
      </c>
      <c r="G80">
        <v>87976.158682568013</v>
      </c>
    </row>
    <row r="81" spans="1:7" x14ac:dyDescent="0.3">
      <c r="A81">
        <v>100000</v>
      </c>
      <c r="B81" t="s">
        <v>91</v>
      </c>
      <c r="C81">
        <v>110137.18009431304</v>
      </c>
      <c r="D81">
        <v>107304.72627074894</v>
      </c>
      <c r="E81">
        <v>80839.543529998045</v>
      </c>
      <c r="F81">
        <v>108527.17592280333</v>
      </c>
      <c r="G81">
        <v>87847.403730908991</v>
      </c>
    </row>
    <row r="82" spans="1:7" x14ac:dyDescent="0.3">
      <c r="A82">
        <v>100000</v>
      </c>
      <c r="B82" t="s">
        <v>92</v>
      </c>
      <c r="C82">
        <v>111259.45509187703</v>
      </c>
      <c r="D82">
        <v>108397.83054185097</v>
      </c>
      <c r="E82">
        <v>81660.089569056261</v>
      </c>
      <c r="F82">
        <v>109632.86989408579</v>
      </c>
      <c r="G82">
        <v>86591.594531398761</v>
      </c>
    </row>
    <row r="83" spans="1:7" x14ac:dyDescent="0.3">
      <c r="A83">
        <v>100000</v>
      </c>
      <c r="B83" t="s">
        <v>93</v>
      </c>
      <c r="C83">
        <v>111466.0857930864</v>
      </c>
      <c r="D83">
        <v>108598.83799979123</v>
      </c>
      <c r="E83">
        <v>81808.555954843963</v>
      </c>
      <c r="F83">
        <v>109836.30426953502</v>
      </c>
      <c r="G83">
        <v>86749.751584708109</v>
      </c>
    </row>
    <row r="84" spans="1:7" x14ac:dyDescent="0.3">
      <c r="A84">
        <v>100000</v>
      </c>
      <c r="B84" t="s">
        <v>94</v>
      </c>
      <c r="C84">
        <v>108020.00453496858</v>
      </c>
      <c r="D84">
        <v>105241.091788511</v>
      </c>
      <c r="E84">
        <v>79276.172945435042</v>
      </c>
      <c r="F84">
        <v>106440.43381899183</v>
      </c>
      <c r="G84">
        <v>84065.138709286766</v>
      </c>
    </row>
    <row r="85" spans="1:7" x14ac:dyDescent="0.3">
      <c r="A85">
        <v>100000</v>
      </c>
      <c r="B85" t="s">
        <v>95</v>
      </c>
      <c r="C85">
        <v>106562.28926169418</v>
      </c>
      <c r="D85">
        <v>103820.56885398853</v>
      </c>
      <c r="E85">
        <v>78203.158603440126</v>
      </c>
      <c r="F85">
        <v>105003.85916239428</v>
      </c>
      <c r="G85">
        <v>82928.029934248683</v>
      </c>
    </row>
    <row r="86" spans="1:7" x14ac:dyDescent="0.3">
      <c r="A86">
        <v>100000</v>
      </c>
      <c r="B86" t="s">
        <v>96</v>
      </c>
      <c r="C86">
        <v>106747.68996080391</v>
      </c>
      <c r="D86">
        <v>104000.89066891704</v>
      </c>
      <c r="E86">
        <v>78336.025594266466</v>
      </c>
      <c r="F86">
        <v>105186.37295664068</v>
      </c>
      <c r="G86">
        <v>83069.649485763861</v>
      </c>
    </row>
    <row r="87" spans="1:7" x14ac:dyDescent="0.3">
      <c r="A87">
        <v>100000</v>
      </c>
      <c r="B87" t="s">
        <v>97</v>
      </c>
      <c r="C87">
        <v>107373.81677971008</v>
      </c>
      <c r="D87">
        <v>104610.59740140308</v>
      </c>
      <c r="E87">
        <v>78792.310377165064</v>
      </c>
      <c r="F87">
        <v>105803.16638150772</v>
      </c>
      <c r="G87">
        <v>83554.231390191635</v>
      </c>
    </row>
    <row r="88" spans="1:7" x14ac:dyDescent="0.3">
      <c r="A88">
        <v>100000</v>
      </c>
      <c r="B88" t="s">
        <v>98</v>
      </c>
      <c r="C88">
        <v>108053.74044243521</v>
      </c>
      <c r="D88">
        <v>105272.71470378365</v>
      </c>
      <c r="E88">
        <v>79288.053005915936</v>
      </c>
      <c r="F88">
        <v>106472.96867378168</v>
      </c>
      <c r="G88">
        <v>84080.660138964682</v>
      </c>
    </row>
    <row r="89" spans="1:7" x14ac:dyDescent="0.3">
      <c r="A89">
        <v>100000</v>
      </c>
      <c r="B89" t="s">
        <v>99</v>
      </c>
      <c r="C89">
        <v>108118.88056376248</v>
      </c>
      <c r="D89">
        <v>105335.86943652542</v>
      </c>
      <c r="E89">
        <v>79332.657154959132</v>
      </c>
      <c r="F89">
        <v>106536.98027400892</v>
      </c>
      <c r="G89">
        <v>84128.685754902064</v>
      </c>
    </row>
    <row r="90" spans="1:7" x14ac:dyDescent="0.3">
      <c r="A90">
        <v>100000</v>
      </c>
      <c r="B90" t="s">
        <v>100</v>
      </c>
      <c r="C90">
        <v>106052.18836283575</v>
      </c>
      <c r="D90">
        <v>103322.06560466439</v>
      </c>
      <c r="E90">
        <v>77813.01860852637</v>
      </c>
      <c r="F90">
        <v>104500.35052074214</v>
      </c>
      <c r="G90">
        <v>85390.731345957654</v>
      </c>
    </row>
    <row r="91" spans="1:7" x14ac:dyDescent="0.3">
      <c r="A91">
        <v>100000</v>
      </c>
      <c r="B91" t="s">
        <v>101</v>
      </c>
      <c r="C91">
        <v>106329.77592997682</v>
      </c>
      <c r="D91">
        <v>103592.1982609758</v>
      </c>
      <c r="E91">
        <v>78013.495909547753</v>
      </c>
      <c r="F91">
        <v>104773.70061808436</v>
      </c>
      <c r="G91">
        <v>85611.900453814917</v>
      </c>
    </row>
    <row r="92" spans="1:7" x14ac:dyDescent="0.3">
      <c r="A92">
        <v>100000</v>
      </c>
      <c r="B92" t="s">
        <v>102</v>
      </c>
      <c r="C92">
        <v>106409.6037779147</v>
      </c>
      <c r="D92">
        <v>103669.66189941818</v>
      </c>
      <c r="E92">
        <v>78068.869430998617</v>
      </c>
      <c r="F92">
        <v>104852.18461811256</v>
      </c>
      <c r="G92">
        <v>85195.502910583658</v>
      </c>
    </row>
    <row r="93" spans="1:7" x14ac:dyDescent="0.3">
      <c r="A93">
        <v>100000</v>
      </c>
      <c r="B93" t="s">
        <v>103</v>
      </c>
      <c r="C93">
        <v>105053.8955434018</v>
      </c>
      <c r="D93">
        <v>104566.60608315709</v>
      </c>
      <c r="E93">
        <v>77071.039402606781</v>
      </c>
      <c r="F93">
        <v>103516.14300085332</v>
      </c>
      <c r="G93">
        <v>85930.471265958622</v>
      </c>
    </row>
    <row r="94" spans="1:7" x14ac:dyDescent="0.3">
      <c r="A94">
        <v>100000</v>
      </c>
      <c r="B94" t="s">
        <v>104</v>
      </c>
      <c r="C94">
        <v>104881.48352749525</v>
      </c>
      <c r="D94">
        <v>104310.64693307999</v>
      </c>
      <c r="E94">
        <v>76941.35580092181</v>
      </c>
      <c r="F94">
        <v>103346.07905575405</v>
      </c>
      <c r="G94">
        <v>85717.991155519761</v>
      </c>
    </row>
    <row r="95" spans="1:7" x14ac:dyDescent="0.3">
      <c r="A95">
        <v>100000</v>
      </c>
      <c r="B95" t="s">
        <v>105</v>
      </c>
      <c r="C95">
        <v>105104.7937729586</v>
      </c>
      <c r="D95">
        <v>103661.9783093639</v>
      </c>
      <c r="E95">
        <v>76459.737899538741</v>
      </c>
      <c r="F95">
        <v>103565.94449484185</v>
      </c>
      <c r="G95">
        <v>85182.804337478985</v>
      </c>
    </row>
    <row r="96" spans="1:7" x14ac:dyDescent="0.3">
      <c r="A96">
        <v>100000</v>
      </c>
      <c r="B96" t="s">
        <v>106</v>
      </c>
      <c r="C96">
        <v>104740.30679225065</v>
      </c>
      <c r="D96">
        <v>103597.49132429523</v>
      </c>
      <c r="E96">
        <v>76409.024176465551</v>
      </c>
      <c r="F96">
        <v>103206.61830952996</v>
      </c>
      <c r="G96">
        <v>85127.673879694106</v>
      </c>
    </row>
    <row r="97" spans="1:7" x14ac:dyDescent="0.3">
      <c r="A97">
        <v>100000</v>
      </c>
      <c r="B97" t="s">
        <v>107</v>
      </c>
      <c r="C97">
        <v>103929.7851385892</v>
      </c>
      <c r="D97">
        <v>102795.68229450562</v>
      </c>
      <c r="E97">
        <v>76684.614287431992</v>
      </c>
      <c r="F97">
        <v>102407.78922677012</v>
      </c>
      <c r="G97">
        <v>85436.079452743114</v>
      </c>
    </row>
    <row r="98" spans="1:7" x14ac:dyDescent="0.3">
      <c r="A98">
        <v>100000</v>
      </c>
      <c r="B98" t="s">
        <v>108</v>
      </c>
      <c r="C98">
        <v>103072.9252183926</v>
      </c>
      <c r="D98">
        <v>101948.04165670308</v>
      </c>
      <c r="E98">
        <v>76999.991749865774</v>
      </c>
      <c r="F98">
        <v>101563.30182656752</v>
      </c>
      <c r="G98">
        <v>85788.818157520218</v>
      </c>
    </row>
    <row r="99" spans="1:7" x14ac:dyDescent="0.3">
      <c r="A99">
        <v>100000</v>
      </c>
      <c r="B99" t="s">
        <v>109</v>
      </c>
      <c r="C99">
        <v>101567.80821564791</v>
      </c>
      <c r="D99">
        <v>100459.21974569569</v>
      </c>
      <c r="E99">
        <v>75872.567921063732</v>
      </c>
      <c r="F99">
        <v>100080.05326647447</v>
      </c>
      <c r="G99">
        <v>86688.412309957203</v>
      </c>
    </row>
    <row r="100" spans="1:7" x14ac:dyDescent="0.3">
      <c r="A100">
        <v>100000</v>
      </c>
      <c r="B100" t="s">
        <v>110</v>
      </c>
      <c r="C100">
        <v>100919.15847358311</v>
      </c>
      <c r="D100">
        <v>99817.5188841458</v>
      </c>
      <c r="E100">
        <v>75384.98169305161</v>
      </c>
      <c r="F100">
        <v>99440.729105233811</v>
      </c>
      <c r="G100">
        <v>86885.177398528351</v>
      </c>
    </row>
    <row r="101" spans="1:7" x14ac:dyDescent="0.3">
      <c r="A101">
        <v>100000</v>
      </c>
      <c r="B101" t="s">
        <v>111</v>
      </c>
      <c r="C101">
        <v>99768.992521424589</v>
      </c>
      <c r="D101">
        <v>98679.777219815383</v>
      </c>
      <c r="E101">
        <v>74522.790106390836</v>
      </c>
      <c r="F101">
        <v>98307.236874846029</v>
      </c>
      <c r="G101">
        <v>87517.691371461435</v>
      </c>
    </row>
    <row r="102" spans="1:7" x14ac:dyDescent="0.3">
      <c r="A102">
        <v>100000</v>
      </c>
      <c r="B102" t="s">
        <v>112</v>
      </c>
      <c r="C102">
        <v>98100.777396923804</v>
      </c>
      <c r="D102">
        <v>97029.643613537555</v>
      </c>
      <c r="E102">
        <v>75460.24768696219</v>
      </c>
      <c r="F102">
        <v>99547.720190924156</v>
      </c>
      <c r="G102">
        <v>86052.853967298215</v>
      </c>
    </row>
    <row r="103" spans="1:7" x14ac:dyDescent="0.3">
      <c r="A103">
        <v>100000</v>
      </c>
      <c r="B103" t="s">
        <v>113</v>
      </c>
      <c r="C103">
        <v>98086.622399308515</v>
      </c>
      <c r="D103">
        <v>97015.512145712855</v>
      </c>
      <c r="E103">
        <v>75446.590037979884</v>
      </c>
      <c r="F103">
        <v>99533.533408053394</v>
      </c>
      <c r="G103">
        <v>85710.580289675025</v>
      </c>
    </row>
    <row r="104" spans="1:7" x14ac:dyDescent="0.3">
      <c r="A104">
        <v>100000</v>
      </c>
      <c r="B104" t="s">
        <v>114</v>
      </c>
      <c r="C104">
        <v>98640.282497638531</v>
      </c>
      <c r="D104">
        <v>97562.995210757901</v>
      </c>
      <c r="E104">
        <v>74708.269910076677</v>
      </c>
      <c r="F104">
        <v>98563.329615420706</v>
      </c>
      <c r="G104">
        <v>86192.868441194878</v>
      </c>
    </row>
    <row r="105" spans="1:7" x14ac:dyDescent="0.3">
      <c r="A105">
        <v>100000</v>
      </c>
      <c r="B105" t="s">
        <v>115</v>
      </c>
      <c r="C105">
        <v>101138.7118202641</v>
      </c>
      <c r="D105">
        <v>100034.00719915247</v>
      </c>
      <c r="E105">
        <v>72506.544667282753</v>
      </c>
      <c r="F105">
        <v>95662.404317960507</v>
      </c>
      <c r="G105">
        <v>88374.506768834137</v>
      </c>
    </row>
    <row r="106" spans="1:7" x14ac:dyDescent="0.3">
      <c r="A106">
        <v>100000</v>
      </c>
      <c r="B106" t="s">
        <v>116</v>
      </c>
      <c r="C106">
        <v>102227.54599591081</v>
      </c>
      <c r="D106">
        <v>98547.065802484372</v>
      </c>
      <c r="E106">
        <v>73283.73488823045</v>
      </c>
      <c r="F106">
        <v>96691.632173273611</v>
      </c>
      <c r="G106">
        <v>89324.410233453527</v>
      </c>
    </row>
    <row r="107" spans="1:7" x14ac:dyDescent="0.3">
      <c r="A107">
        <v>100000</v>
      </c>
      <c r="B107" t="s">
        <v>117</v>
      </c>
      <c r="C107">
        <v>100941.37391529566</v>
      </c>
      <c r="D107">
        <v>97306.767513126106</v>
      </c>
      <c r="E107">
        <v>73902.273840395806</v>
      </c>
      <c r="F107">
        <v>97511.574493444379</v>
      </c>
      <c r="G107">
        <v>90080.964403315244</v>
      </c>
    </row>
    <row r="108" spans="1:7" x14ac:dyDescent="0.3">
      <c r="A108">
        <v>100000</v>
      </c>
      <c r="B108" t="s">
        <v>118</v>
      </c>
      <c r="C108">
        <v>102749.42290097455</v>
      </c>
      <c r="D108">
        <v>99049.281808330488</v>
      </c>
      <c r="E108">
        <v>72272.497413860372</v>
      </c>
      <c r="F108">
        <v>95364.972696610086</v>
      </c>
      <c r="G108">
        <v>91693.192027052661</v>
      </c>
    </row>
    <row r="109" spans="1:7" x14ac:dyDescent="0.3">
      <c r="A109">
        <v>100000</v>
      </c>
      <c r="B109" t="s">
        <v>119</v>
      </c>
      <c r="C109">
        <v>102906.50146268845</v>
      </c>
      <c r="D109">
        <v>98491.961758961872</v>
      </c>
      <c r="E109">
        <v>71862.598094065354</v>
      </c>
      <c r="F109">
        <v>94827.936768337677</v>
      </c>
      <c r="G109">
        <v>91176.371244003298</v>
      </c>
    </row>
    <row r="110" spans="1:7" x14ac:dyDescent="0.3">
      <c r="A110">
        <v>100000</v>
      </c>
      <c r="B110" t="s">
        <v>120</v>
      </c>
      <c r="C110">
        <v>102933.81360050138</v>
      </c>
      <c r="D110">
        <v>98062.157082470992</v>
      </c>
      <c r="E110">
        <v>71545.75565807079</v>
      </c>
      <c r="F110">
        <v>94413.674951878449</v>
      </c>
      <c r="G110">
        <v>90777.599434295218</v>
      </c>
    </row>
    <row r="111" spans="1:7" x14ac:dyDescent="0.3">
      <c r="A111">
        <v>100000</v>
      </c>
      <c r="B111" t="s">
        <v>121</v>
      </c>
      <c r="C111">
        <v>102198.28419571345</v>
      </c>
      <c r="D111">
        <v>98360.923326190139</v>
      </c>
      <c r="E111">
        <v>71760.489460399927</v>
      </c>
      <c r="F111">
        <v>94700.878885316706</v>
      </c>
      <c r="G111">
        <v>91053.280374928727</v>
      </c>
    </row>
    <row r="112" spans="1:7" x14ac:dyDescent="0.3">
      <c r="A112">
        <v>100000</v>
      </c>
      <c r="B112" t="s">
        <v>122</v>
      </c>
      <c r="C112">
        <v>99472.647030479842</v>
      </c>
      <c r="D112">
        <v>95737.178332179377</v>
      </c>
      <c r="E112">
        <v>73376.926461731811</v>
      </c>
      <c r="F112">
        <v>96837.894539963279</v>
      </c>
      <c r="G112">
        <v>88623.57280198489</v>
      </c>
    </row>
    <row r="113" spans="1:7" x14ac:dyDescent="0.3">
      <c r="A113">
        <v>100000</v>
      </c>
      <c r="B113" t="s">
        <v>123</v>
      </c>
      <c r="C113">
        <v>99647.845089571085</v>
      </c>
      <c r="D113">
        <v>95905.346594527568</v>
      </c>
      <c r="E113">
        <v>73503.014857142742</v>
      </c>
      <c r="F113">
        <v>97008.134245505731</v>
      </c>
      <c r="G113">
        <v>88778.353935427323</v>
      </c>
    </row>
    <row r="114" spans="1:7" x14ac:dyDescent="0.3">
      <c r="A114">
        <v>100000</v>
      </c>
      <c r="B114" t="s">
        <v>124</v>
      </c>
      <c r="C114">
        <v>100090.96725244043</v>
      </c>
      <c r="D114">
        <v>96331.375622988751</v>
      </c>
      <c r="E114">
        <v>73826.725589965208</v>
      </c>
      <c r="F114">
        <v>97439.200042202574</v>
      </c>
      <c r="G114">
        <v>89171.831810264979</v>
      </c>
    </row>
    <row r="115" spans="1:7" x14ac:dyDescent="0.3">
      <c r="A115">
        <v>100000</v>
      </c>
      <c r="B115" t="s">
        <v>125</v>
      </c>
      <c r="C115">
        <v>100944.81830075824</v>
      </c>
      <c r="D115">
        <v>97152.703792939355</v>
      </c>
      <c r="E115">
        <v>72891.105912736675</v>
      </c>
      <c r="F115">
        <v>96208.173168489811</v>
      </c>
      <c r="G115">
        <v>89931.225335303126</v>
      </c>
    </row>
    <row r="116" spans="1:7" x14ac:dyDescent="0.3">
      <c r="A116">
        <v>100000</v>
      </c>
      <c r="B116" t="s">
        <v>126</v>
      </c>
      <c r="C116">
        <v>100716.86337621258</v>
      </c>
      <c r="D116">
        <v>96932.861477006896</v>
      </c>
      <c r="E116">
        <v>72753.684840291331</v>
      </c>
      <c r="F116">
        <v>96030.631267242701</v>
      </c>
      <c r="G116">
        <v>89764.483949689078</v>
      </c>
    </row>
    <row r="117" spans="1:7" x14ac:dyDescent="0.3">
      <c r="A117">
        <v>100000</v>
      </c>
      <c r="B117" t="s">
        <v>127</v>
      </c>
      <c r="C117">
        <v>101408.23124429323</v>
      </c>
      <c r="D117">
        <v>97597.803330024748</v>
      </c>
      <c r="E117">
        <v>71952.771841303605</v>
      </c>
      <c r="F117">
        <v>94977.312006588996</v>
      </c>
      <c r="G117">
        <v>88779.112382451072</v>
      </c>
    </row>
    <row r="118" spans="1:7" x14ac:dyDescent="0.3">
      <c r="A118">
        <v>100000</v>
      </c>
      <c r="B118" t="s">
        <v>128</v>
      </c>
      <c r="C118">
        <v>104430.00785923636</v>
      </c>
      <c r="D118">
        <v>100505.58538104154</v>
      </c>
      <c r="E118">
        <v>69510.460983840734</v>
      </c>
      <c r="F118">
        <v>91757.313389227187</v>
      </c>
      <c r="G118">
        <v>85768.4670875226</v>
      </c>
    </row>
    <row r="119" spans="1:7" x14ac:dyDescent="0.3">
      <c r="A119">
        <v>100000</v>
      </c>
      <c r="B119" t="s">
        <v>129</v>
      </c>
      <c r="C119">
        <v>106852.65622143958</v>
      </c>
      <c r="D119">
        <v>102836.74099173593</v>
      </c>
      <c r="E119">
        <v>71119.006011649341</v>
      </c>
      <c r="F119">
        <v>93884.514537850788</v>
      </c>
      <c r="G119">
        <v>87756.046156833647</v>
      </c>
    </row>
    <row r="120" spans="1:7" x14ac:dyDescent="0.3">
      <c r="A120">
        <v>100000</v>
      </c>
      <c r="B120" t="s">
        <v>130</v>
      </c>
      <c r="C120">
        <v>107006.03176302963</v>
      </c>
      <c r="D120">
        <v>102983.90111314293</v>
      </c>
      <c r="E120">
        <v>71217.076687965979</v>
      </c>
      <c r="F120">
        <v>93364.815524865931</v>
      </c>
      <c r="G120">
        <v>87879.865931223831</v>
      </c>
    </row>
    <row r="121" spans="1:7" x14ac:dyDescent="0.3">
      <c r="A121">
        <v>100000</v>
      </c>
      <c r="B121" t="s">
        <v>131</v>
      </c>
      <c r="C121">
        <v>105951.87368042886</v>
      </c>
      <c r="D121">
        <v>101968.91555097856</v>
      </c>
      <c r="E121">
        <v>71623.779411715543</v>
      </c>
      <c r="F121">
        <v>92443.512604959062</v>
      </c>
      <c r="G121">
        <v>88384.533294437395</v>
      </c>
    </row>
    <row r="122" spans="1:7" x14ac:dyDescent="0.3">
      <c r="A122">
        <v>100000</v>
      </c>
      <c r="B122" t="s">
        <v>132</v>
      </c>
      <c r="C122">
        <v>107542.47516909843</v>
      </c>
      <c r="D122">
        <v>103499.27181315201</v>
      </c>
      <c r="E122">
        <v>70251.948285454637</v>
      </c>
      <c r="F122">
        <v>93829.790009334174</v>
      </c>
      <c r="G122">
        <v>89709.415594983191</v>
      </c>
    </row>
    <row r="123" spans="1:7" x14ac:dyDescent="0.3">
      <c r="A123">
        <v>100000</v>
      </c>
      <c r="B123" t="s">
        <v>133</v>
      </c>
      <c r="C123">
        <v>107142.868904028</v>
      </c>
      <c r="D123">
        <v>103114.23812463103</v>
      </c>
      <c r="E123">
        <v>69986.745118556821</v>
      </c>
      <c r="F123">
        <v>93793.789811401453</v>
      </c>
      <c r="G123">
        <v>89374.083521160763</v>
      </c>
    </row>
    <row r="124" spans="1:7" x14ac:dyDescent="0.3">
      <c r="A124">
        <v>100000</v>
      </c>
      <c r="B124" t="s">
        <v>134</v>
      </c>
      <c r="C124">
        <v>108533.72170202128</v>
      </c>
      <c r="D124">
        <v>104452.34288611222</v>
      </c>
      <c r="E124">
        <v>70891.101962612913</v>
      </c>
      <c r="F124">
        <v>92191.676366470128</v>
      </c>
      <c r="G124">
        <v>90532.28443530701</v>
      </c>
    </row>
    <row r="125" spans="1:7" x14ac:dyDescent="0.3">
      <c r="A125">
        <v>100000</v>
      </c>
      <c r="B125" t="s">
        <v>135</v>
      </c>
      <c r="C125">
        <v>107501.83512613361</v>
      </c>
      <c r="D125">
        <v>103458.80884619383</v>
      </c>
      <c r="E125">
        <v>70212.9414172291</v>
      </c>
      <c r="F125">
        <v>92690.137595352397</v>
      </c>
      <c r="G125">
        <v>91021.557684560714</v>
      </c>
    </row>
    <row r="126" spans="1:7" x14ac:dyDescent="0.3">
      <c r="A126">
        <v>100000</v>
      </c>
      <c r="B126" t="s">
        <v>136</v>
      </c>
      <c r="C126">
        <v>107738.744427796</v>
      </c>
      <c r="D126">
        <v>103686.35694163345</v>
      </c>
      <c r="E126">
        <v>69767.348711005208</v>
      </c>
      <c r="F126">
        <v>92892.75195419362</v>
      </c>
      <c r="G126">
        <v>91220.30862042059</v>
      </c>
    </row>
    <row r="127" spans="1:7" x14ac:dyDescent="0.3">
      <c r="A127">
        <v>100000</v>
      </c>
      <c r="B127" t="s">
        <v>137</v>
      </c>
      <c r="C127">
        <v>107602.47923126849</v>
      </c>
      <c r="D127">
        <v>103554.76574358298</v>
      </c>
      <c r="E127">
        <v>69674.879485706348</v>
      </c>
      <c r="F127">
        <v>92773.610032883167</v>
      </c>
      <c r="G127">
        <v>91103.095684830696</v>
      </c>
    </row>
    <row r="128" spans="1:7" x14ac:dyDescent="0.3">
      <c r="A128">
        <v>100000</v>
      </c>
      <c r="B128" t="s">
        <v>138</v>
      </c>
      <c r="C128">
        <v>108168.0632335776</v>
      </c>
      <c r="D128">
        <v>104098.62260193481</v>
      </c>
      <c r="E128">
        <v>69019.936602131318</v>
      </c>
      <c r="F128">
        <v>93259.596263072992</v>
      </c>
      <c r="G128">
        <v>91580.114999295562</v>
      </c>
    </row>
    <row r="129" spans="1:7" x14ac:dyDescent="0.3">
      <c r="A129">
        <v>100000</v>
      </c>
      <c r="B129" t="s">
        <v>139</v>
      </c>
      <c r="C129">
        <v>108194.52375322139</v>
      </c>
      <c r="D129">
        <v>104123.63618061772</v>
      </c>
      <c r="E129">
        <v>69032.477511417703</v>
      </c>
      <c r="F129">
        <v>92854.454595385876</v>
      </c>
      <c r="G129">
        <v>91182.053290040043</v>
      </c>
    </row>
    <row r="130" spans="1:7" x14ac:dyDescent="0.3">
      <c r="A130">
        <v>100000</v>
      </c>
      <c r="B130" t="s">
        <v>140</v>
      </c>
      <c r="C130">
        <v>106985.83685766187</v>
      </c>
      <c r="D130">
        <v>102959.97538843604</v>
      </c>
      <c r="E130">
        <v>68256.942922602975</v>
      </c>
      <c r="F130">
        <v>93511.054267670901</v>
      </c>
      <c r="G130">
        <v>91826.610815617561</v>
      </c>
    </row>
    <row r="131" spans="1:7" x14ac:dyDescent="0.3">
      <c r="A131">
        <v>100000</v>
      </c>
      <c r="B131" t="s">
        <v>141</v>
      </c>
      <c r="C131">
        <v>105554.63244649601</v>
      </c>
      <c r="D131">
        <v>101582.17543269796</v>
      </c>
      <c r="E131">
        <v>67339.490786753115</v>
      </c>
      <c r="F131">
        <v>94378.558322259327</v>
      </c>
      <c r="G131">
        <v>92678.272092500105</v>
      </c>
    </row>
    <row r="132" spans="1:7" x14ac:dyDescent="0.3">
      <c r="A132">
        <v>100000</v>
      </c>
      <c r="B132" t="s">
        <v>142</v>
      </c>
      <c r="C132">
        <v>106232.86407740843</v>
      </c>
      <c r="D132">
        <v>102234.43079502025</v>
      </c>
      <c r="E132">
        <v>67767.830026000738</v>
      </c>
      <c r="F132">
        <v>93385.106852000477</v>
      </c>
      <c r="G132">
        <v>93272.303996679941</v>
      </c>
    </row>
    <row r="133" spans="1:7" x14ac:dyDescent="0.3">
      <c r="A133">
        <v>100000</v>
      </c>
      <c r="B133" t="s">
        <v>143</v>
      </c>
      <c r="C133">
        <v>106910.96179308195</v>
      </c>
      <c r="D133">
        <v>102886.55434819318</v>
      </c>
      <c r="E133">
        <v>68196.055610646727</v>
      </c>
      <c r="F133">
        <v>92406.002746974627</v>
      </c>
      <c r="G133">
        <v>93866.20881231979</v>
      </c>
    </row>
    <row r="134" spans="1:7" x14ac:dyDescent="0.3">
      <c r="A134">
        <v>100000</v>
      </c>
      <c r="B134" t="s">
        <v>144</v>
      </c>
      <c r="C134">
        <v>106256.69389545379</v>
      </c>
      <c r="D134">
        <v>102256.46308938182</v>
      </c>
      <c r="E134">
        <v>67774.367618611301</v>
      </c>
      <c r="F134">
        <v>92592.444892553001</v>
      </c>
      <c r="G134">
        <v>94055.786754447952</v>
      </c>
    </row>
    <row r="135" spans="1:7" x14ac:dyDescent="0.3">
      <c r="A135">
        <v>100000</v>
      </c>
      <c r="B135" t="s">
        <v>145</v>
      </c>
      <c r="C135">
        <v>105787.0960696515</v>
      </c>
      <c r="D135">
        <v>101804.09238454912</v>
      </c>
      <c r="E135">
        <v>67470.495152694784</v>
      </c>
      <c r="F135">
        <v>92621.790358913102</v>
      </c>
      <c r="G135">
        <v>94085.785649408994</v>
      </c>
    </row>
    <row r="136" spans="1:7" x14ac:dyDescent="0.3">
      <c r="A136">
        <v>100000</v>
      </c>
      <c r="B136" t="s">
        <v>146</v>
      </c>
      <c r="C136">
        <v>104598.93121573041</v>
      </c>
      <c r="D136">
        <v>100660.2114662072</v>
      </c>
      <c r="E136">
        <v>66708.342931643143</v>
      </c>
      <c r="F136">
        <v>93282.060256312383</v>
      </c>
      <c r="G136">
        <v>94756.681555654795</v>
      </c>
    </row>
    <row r="137" spans="1:7" x14ac:dyDescent="0.3">
      <c r="A137">
        <v>100000</v>
      </c>
      <c r="B137" t="s">
        <v>147</v>
      </c>
      <c r="C137">
        <v>105068.08893216174</v>
      </c>
      <c r="D137">
        <v>101111.25097264998</v>
      </c>
      <c r="E137">
        <v>67003.202988231176</v>
      </c>
      <c r="F137">
        <v>92480.891678559725</v>
      </c>
      <c r="G137">
        <v>95180.564675912465</v>
      </c>
    </row>
    <row r="138" spans="1:7" x14ac:dyDescent="0.3">
      <c r="A138">
        <v>100000</v>
      </c>
      <c r="B138" t="s">
        <v>148</v>
      </c>
      <c r="C138">
        <v>104870.0218968261</v>
      </c>
      <c r="D138">
        <v>100920.19117534364</v>
      </c>
      <c r="E138">
        <v>66872.545768282493</v>
      </c>
      <c r="F138">
        <v>92275.691569992807</v>
      </c>
      <c r="G138">
        <v>95000.007641414079</v>
      </c>
    </row>
    <row r="139" spans="1:7" x14ac:dyDescent="0.3">
      <c r="A139">
        <v>100000</v>
      </c>
      <c r="B139" t="s">
        <v>149</v>
      </c>
      <c r="C139">
        <v>100468.40193087122</v>
      </c>
      <c r="D139">
        <v>96683.902116005891</v>
      </c>
      <c r="E139">
        <v>64061.413501794719</v>
      </c>
      <c r="F139">
        <v>95769.957419723432</v>
      </c>
      <c r="G139">
        <v>98597.791289197208</v>
      </c>
    </row>
    <row r="140" spans="1:7" x14ac:dyDescent="0.3">
      <c r="A140">
        <v>100000</v>
      </c>
      <c r="B140" t="s">
        <v>150</v>
      </c>
      <c r="C140">
        <v>102085.05395924207</v>
      </c>
      <c r="D140">
        <v>98239.2051711534</v>
      </c>
      <c r="E140">
        <v>65087.886783292619</v>
      </c>
      <c r="F140">
        <v>93835.797911296133</v>
      </c>
      <c r="G140">
        <v>100184.11961621218</v>
      </c>
    </row>
    <row r="141" spans="1:7" x14ac:dyDescent="0.3">
      <c r="A141">
        <v>100000</v>
      </c>
      <c r="B141" t="s">
        <v>151</v>
      </c>
      <c r="C141">
        <v>103830.2941529752</v>
      </c>
      <c r="D141">
        <v>99918.244880022728</v>
      </c>
      <c r="E141">
        <v>66196.276559708058</v>
      </c>
      <c r="F141">
        <v>91846.350035286319</v>
      </c>
      <c r="G141">
        <v>101896.63809306643</v>
      </c>
    </row>
    <row r="142" spans="1:7" x14ac:dyDescent="0.3">
      <c r="A142">
        <v>100000</v>
      </c>
      <c r="B142" t="s">
        <v>152</v>
      </c>
      <c r="C142">
        <v>105263.64180392009</v>
      </c>
      <c r="D142">
        <v>101297.13567641311</v>
      </c>
      <c r="E142">
        <v>67105.74782787099</v>
      </c>
      <c r="F142">
        <v>90201.295432840867</v>
      </c>
      <c r="G142">
        <v>100072.88646932013</v>
      </c>
    </row>
    <row r="143" spans="1:7" x14ac:dyDescent="0.3">
      <c r="A143">
        <v>100000</v>
      </c>
      <c r="B143" t="s">
        <v>153</v>
      </c>
      <c r="C143">
        <v>105256.95897672951</v>
      </c>
      <c r="D143">
        <v>101290.25248945758</v>
      </c>
      <c r="E143">
        <v>67097.137534436246</v>
      </c>
      <c r="F143">
        <v>89836.562102599404</v>
      </c>
      <c r="G143">
        <v>99669.55015489347</v>
      </c>
    </row>
    <row r="144" spans="1:7" x14ac:dyDescent="0.3">
      <c r="A144">
        <v>100000</v>
      </c>
      <c r="B144" t="s">
        <v>154</v>
      </c>
      <c r="C144">
        <v>103946.03367773244</v>
      </c>
      <c r="D144">
        <v>100028.27839957869</v>
      </c>
      <c r="E144">
        <v>66257.124163339016</v>
      </c>
      <c r="F144">
        <v>90586.422601027822</v>
      </c>
      <c r="G144">
        <v>100502.79947634926</v>
      </c>
    </row>
    <row r="145" spans="1:7" x14ac:dyDescent="0.3">
      <c r="A145">
        <v>100000</v>
      </c>
      <c r="B145" t="s">
        <v>155</v>
      </c>
      <c r="C145">
        <v>104812.54246853717</v>
      </c>
      <c r="D145">
        <v>100861.67594668988</v>
      </c>
      <c r="E145">
        <v>66805.101913056686</v>
      </c>
      <c r="F145">
        <v>89459.160114217855</v>
      </c>
      <c r="G145">
        <v>99253.450667808444</v>
      </c>
    </row>
    <row r="146" spans="1:7" x14ac:dyDescent="0.3">
      <c r="A146">
        <v>100000</v>
      </c>
      <c r="B146" t="s">
        <v>156</v>
      </c>
      <c r="C146">
        <v>107580.71246408724</v>
      </c>
      <c r="D146">
        <v>103525.04855538369</v>
      </c>
      <c r="E146">
        <v>68565.118272111213</v>
      </c>
      <c r="F146">
        <v>86728.928762714742</v>
      </c>
      <c r="G146">
        <v>96225.618180608231</v>
      </c>
    </row>
    <row r="147" spans="1:7" x14ac:dyDescent="0.3">
      <c r="A147">
        <v>100000</v>
      </c>
      <c r="B147" t="s">
        <v>157</v>
      </c>
      <c r="C147">
        <v>105853.76197983339</v>
      </c>
      <c r="D147">
        <v>101862.74964876765</v>
      </c>
      <c r="E147">
        <v>67460.117676647307</v>
      </c>
      <c r="F147">
        <v>87764.70606778287</v>
      </c>
      <c r="G147">
        <v>97376.125550803452</v>
      </c>
    </row>
    <row r="148" spans="1:7" x14ac:dyDescent="0.3">
      <c r="A148">
        <v>100000</v>
      </c>
      <c r="B148" t="s">
        <v>317</v>
      </c>
      <c r="C148">
        <v>105968.83634137108</v>
      </c>
      <c r="D148">
        <v>101973.03291611678</v>
      </c>
      <c r="E148">
        <v>67529.101585227239</v>
      </c>
      <c r="F148">
        <v>87308.575326161299</v>
      </c>
      <c r="G148">
        <v>96871.356500523587</v>
      </c>
    </row>
    <row r="149" spans="1:7" x14ac:dyDescent="0.3">
      <c r="A149">
        <v>100000</v>
      </c>
      <c r="B149" t="s">
        <v>318</v>
      </c>
      <c r="C149">
        <v>105345.97243692439</v>
      </c>
      <c r="D149">
        <v>101373.20306739841</v>
      </c>
      <c r="E149">
        <v>67127.825906807586</v>
      </c>
      <c r="F149">
        <v>87462.859902289856</v>
      </c>
      <c r="G149">
        <v>97043.853984241679</v>
      </c>
    </row>
    <row r="150" spans="1:7" x14ac:dyDescent="0.3">
      <c r="A150">
        <v>100000</v>
      </c>
      <c r="B150" t="s">
        <v>319</v>
      </c>
      <c r="C150">
        <v>106960.5874486601</v>
      </c>
      <c r="D150">
        <v>102926.47575967805</v>
      </c>
      <c r="E150">
        <v>68152.326181087847</v>
      </c>
      <c r="F150">
        <v>85762.765934549709</v>
      </c>
      <c r="G150">
        <v>95158.840173578879</v>
      </c>
    </row>
    <row r="151" spans="1:7" x14ac:dyDescent="0.3">
      <c r="A151">
        <v>100000</v>
      </c>
      <c r="B151" t="s">
        <v>320</v>
      </c>
      <c r="C151">
        <v>106957.03262413111</v>
      </c>
      <c r="D151">
        <v>102922.60241800275</v>
      </c>
      <c r="E151">
        <v>67871.8771699395</v>
      </c>
      <c r="F151">
        <v>85757.537415751081</v>
      </c>
      <c r="G151">
        <v>95154.353530807493</v>
      </c>
    </row>
    <row r="152" spans="1:7" x14ac:dyDescent="0.3">
      <c r="A152">
        <v>100000</v>
      </c>
      <c r="B152" t="s">
        <v>321</v>
      </c>
      <c r="C152">
        <v>108074.11856546652</v>
      </c>
      <c r="D152">
        <v>103997.0991221905</v>
      </c>
      <c r="E152">
        <v>68576.362850632664</v>
      </c>
      <c r="F152">
        <v>84509.218667164154</v>
      </c>
      <c r="G152">
        <v>93770.566107510997</v>
      </c>
    </row>
    <row r="153" spans="1:7" x14ac:dyDescent="0.3">
      <c r="A153">
        <v>100000</v>
      </c>
      <c r="B153" t="s">
        <v>322</v>
      </c>
      <c r="C153">
        <v>107452.66468677331</v>
      </c>
      <c r="D153">
        <v>103398.63645865771</v>
      </c>
      <c r="E153">
        <v>68177.645559936704</v>
      </c>
      <c r="F153">
        <v>84647.579274771502</v>
      </c>
      <c r="G153">
        <v>93925.404702376487</v>
      </c>
    </row>
    <row r="154" spans="1:7" x14ac:dyDescent="0.3">
      <c r="A154">
        <v>100000</v>
      </c>
      <c r="B154" t="s">
        <v>323</v>
      </c>
      <c r="C154">
        <v>107561.75690082282</v>
      </c>
      <c r="D154">
        <v>103503.1600446942</v>
      </c>
      <c r="E154">
        <v>68242.477363723068</v>
      </c>
      <c r="F154">
        <v>84213.447263279348</v>
      </c>
      <c r="G154">
        <v>94019.252567983742</v>
      </c>
    </row>
    <row r="155" spans="1:7" x14ac:dyDescent="0.3">
      <c r="A155">
        <v>100000</v>
      </c>
      <c r="B155" t="s">
        <v>324</v>
      </c>
      <c r="C155">
        <v>108740.50178464971</v>
      </c>
      <c r="D155">
        <v>104636.97489408137</v>
      </c>
      <c r="E155">
        <v>68985.944577367132</v>
      </c>
      <c r="F155">
        <v>82944.112126180364</v>
      </c>
      <c r="G155">
        <v>95048.077366706406</v>
      </c>
    </row>
    <row r="156" spans="1:7" x14ac:dyDescent="0.3">
      <c r="A156">
        <v>100000</v>
      </c>
      <c r="B156" t="s">
        <v>325</v>
      </c>
      <c r="C156">
        <v>107478.21320571098</v>
      </c>
      <c r="D156">
        <v>103421.86830088341</v>
      </c>
      <c r="E156">
        <v>69500.853061569724</v>
      </c>
      <c r="F156">
        <v>81978.428131904235</v>
      </c>
      <c r="G156">
        <v>95762.04609379248</v>
      </c>
    </row>
    <row r="157" spans="1:7" x14ac:dyDescent="0.3">
      <c r="A157">
        <v>100000</v>
      </c>
      <c r="B157" t="s">
        <v>326</v>
      </c>
      <c r="C157">
        <v>107559.19562217873</v>
      </c>
      <c r="D157">
        <v>103499.3414596139</v>
      </c>
      <c r="E157">
        <v>69160.452631619017</v>
      </c>
      <c r="F157">
        <v>82037.349969163872</v>
      </c>
      <c r="G157">
        <v>95832.892525512128</v>
      </c>
    </row>
    <row r="158" spans="1:7" x14ac:dyDescent="0.3">
      <c r="A158">
        <v>100000</v>
      </c>
      <c r="B158" t="s">
        <v>327</v>
      </c>
      <c r="C158">
        <v>108209.69102855177</v>
      </c>
      <c r="D158">
        <v>104124.83077777956</v>
      </c>
      <c r="E158">
        <v>68455.509416637404</v>
      </c>
      <c r="F158">
        <v>82530.64723539204</v>
      </c>
      <c r="G158">
        <v>94860.708632538939</v>
      </c>
    </row>
    <row r="159" spans="1:7" x14ac:dyDescent="0.3">
      <c r="A159">
        <v>100000</v>
      </c>
      <c r="B159" t="s">
        <v>328</v>
      </c>
      <c r="C159">
        <v>107637.04840066323</v>
      </c>
      <c r="D159">
        <v>103573.35212110083</v>
      </c>
      <c r="E159">
        <v>68533.94434386355</v>
      </c>
      <c r="F159">
        <v>82091.049683753314</v>
      </c>
      <c r="G159">
        <v>94974.026833439202</v>
      </c>
    </row>
    <row r="160" spans="1:7" x14ac:dyDescent="0.3">
      <c r="A160">
        <v>100000</v>
      </c>
      <c r="B160" t="s">
        <v>329</v>
      </c>
      <c r="C160">
        <v>107246.24347286747</v>
      </c>
      <c r="D160">
        <v>103196.84847895565</v>
      </c>
      <c r="E160">
        <v>68498.593468597974</v>
      </c>
      <c r="F160">
        <v>81790.148282143156</v>
      </c>
      <c r="G160">
        <v>94929.667297222666</v>
      </c>
    </row>
    <row r="161" spans="1:7" x14ac:dyDescent="0.3">
      <c r="A161">
        <v>100000</v>
      </c>
      <c r="B161" t="s">
        <v>330</v>
      </c>
      <c r="C161">
        <v>105713.26103862649</v>
      </c>
      <c r="D161">
        <v>101721.2951765481</v>
      </c>
      <c r="E161">
        <v>69193.6463033295</v>
      </c>
      <c r="F161">
        <v>80618.18803735773</v>
      </c>
      <c r="G161">
        <v>93571.360407844812</v>
      </c>
    </row>
    <row r="162" spans="1:7" x14ac:dyDescent="0.3">
      <c r="A162">
        <v>100000</v>
      </c>
      <c r="B162" t="s">
        <v>331</v>
      </c>
      <c r="C162">
        <v>106230.14027443714</v>
      </c>
      <c r="D162">
        <v>102218.20276609815</v>
      </c>
      <c r="E162">
        <v>68568.385771213856</v>
      </c>
      <c r="F162">
        <v>81009.517622148982</v>
      </c>
      <c r="G162">
        <v>94027.494198251516</v>
      </c>
    </row>
    <row r="163" spans="1:7" x14ac:dyDescent="0.3">
      <c r="A163">
        <v>100000</v>
      </c>
      <c r="B163" t="s">
        <v>332</v>
      </c>
      <c r="C163">
        <v>107359.93775851684</v>
      </c>
      <c r="D163">
        <v>103304.87858864684</v>
      </c>
      <c r="E163">
        <v>67554.715595987567</v>
      </c>
      <c r="F163">
        <v>81868.235322121167</v>
      </c>
      <c r="G163">
        <v>92641.908754605407</v>
      </c>
    </row>
    <row r="164" spans="1:7" x14ac:dyDescent="0.3">
      <c r="A164">
        <v>100000</v>
      </c>
      <c r="B164" t="s">
        <v>333</v>
      </c>
      <c r="C164">
        <v>106136.30560307008</v>
      </c>
      <c r="D164">
        <v>102127.01061847285</v>
      </c>
      <c r="E164">
        <v>68044.35671421561</v>
      </c>
      <c r="F164">
        <v>82464.164357896501</v>
      </c>
      <c r="G164">
        <v>93317.839867814051</v>
      </c>
    </row>
    <row r="165" spans="1:7" x14ac:dyDescent="0.3">
      <c r="A165">
        <v>100000</v>
      </c>
      <c r="B165" t="s">
        <v>334</v>
      </c>
      <c r="C165">
        <v>106966.6177092001</v>
      </c>
      <c r="D165">
        <v>102925.5044162174</v>
      </c>
      <c r="E165">
        <v>67229.696260228069</v>
      </c>
      <c r="F165">
        <v>83106.611142772555</v>
      </c>
      <c r="G165">
        <v>94046.422892556991</v>
      </c>
    </row>
    <row r="166" spans="1:7" x14ac:dyDescent="0.3">
      <c r="A166">
        <v>100000</v>
      </c>
      <c r="B166" t="s">
        <v>335</v>
      </c>
      <c r="C166">
        <v>110870.61784995197</v>
      </c>
      <c r="D166">
        <v>106681.56120264974</v>
      </c>
      <c r="E166">
        <v>69678.945439233517</v>
      </c>
      <c r="F166">
        <v>86137.107090594945</v>
      </c>
      <c r="G166">
        <v>97477.420466675743</v>
      </c>
    </row>
    <row r="167" spans="1:7" x14ac:dyDescent="0.3">
      <c r="A167">
        <v>100000</v>
      </c>
      <c r="B167" t="s">
        <v>336</v>
      </c>
      <c r="C167">
        <v>111158.51823251454</v>
      </c>
      <c r="D167">
        <v>106958.13036224752</v>
      </c>
      <c r="E167">
        <v>69209.506077725964</v>
      </c>
      <c r="F167">
        <v>86358.104361380101</v>
      </c>
      <c r="G167">
        <v>97729.09281067524</v>
      </c>
    </row>
    <row r="168" spans="1:7" x14ac:dyDescent="0.3">
      <c r="A168">
        <v>100000</v>
      </c>
      <c r="B168" t="s">
        <v>337</v>
      </c>
      <c r="C168">
        <v>110358.27853320741</v>
      </c>
      <c r="D168">
        <v>106187.67616678191</v>
      </c>
      <c r="E168">
        <v>69421.131111078226</v>
      </c>
      <c r="F168">
        <v>85733.727664596838</v>
      </c>
      <c r="G168">
        <v>98032.868386572707</v>
      </c>
    </row>
    <row r="169" spans="1:7" x14ac:dyDescent="0.3">
      <c r="A169">
        <v>100000</v>
      </c>
      <c r="B169" t="s">
        <v>338</v>
      </c>
      <c r="C169">
        <v>112297.30925420437</v>
      </c>
      <c r="D169">
        <v>108052.9745547803</v>
      </c>
      <c r="E169">
        <v>67913.865144110925</v>
      </c>
      <c r="F169">
        <v>87237.41945249369</v>
      </c>
      <c r="G169">
        <v>99753.997431641154</v>
      </c>
    </row>
    <row r="170" spans="1:7" x14ac:dyDescent="0.3">
      <c r="A170">
        <v>100000</v>
      </c>
      <c r="B170" t="s">
        <v>339</v>
      </c>
      <c r="C170">
        <v>112133.50496488217</v>
      </c>
      <c r="D170">
        <v>107894.90778683747</v>
      </c>
      <c r="E170">
        <v>67731.524063311066</v>
      </c>
      <c r="F170">
        <v>87107.491297756598</v>
      </c>
      <c r="G170">
        <v>99491.795154086256</v>
      </c>
    </row>
  </sheetData>
  <phoneticPr fontId="7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BB334-F68D-42AA-8740-1CA2037D997E}">
  <sheetPr codeName="Hoja10"/>
  <dimension ref="A1:K18"/>
  <sheetViews>
    <sheetView workbookViewId="0">
      <selection activeCell="G7" sqref="G7"/>
    </sheetView>
  </sheetViews>
  <sheetFormatPr baseColWidth="10" defaultRowHeight="14.4" x14ac:dyDescent="0.3"/>
  <cols>
    <col min="1" max="1" width="24.21875" customWidth="1"/>
    <col min="2" max="2" width="35.21875" customWidth="1"/>
    <col min="3" max="3" width="25.44140625" customWidth="1"/>
    <col min="6" max="6" width="12.6640625" bestFit="1" customWidth="1"/>
    <col min="7" max="7" width="8.77734375" bestFit="1" customWidth="1"/>
    <col min="8" max="8" width="9.88671875" bestFit="1" customWidth="1"/>
    <col min="9" max="9" width="11.88671875" bestFit="1" customWidth="1"/>
    <col min="11" max="11" width="14.44140625" bestFit="1" customWidth="1"/>
  </cols>
  <sheetData>
    <row r="1" spans="1:11" ht="15.6" thickBot="1" x14ac:dyDescent="0.35">
      <c r="A1" s="11" t="s">
        <v>158</v>
      </c>
      <c r="B1" s="11" t="s">
        <v>159</v>
      </c>
      <c r="C1" s="11" t="s">
        <v>160</v>
      </c>
      <c r="F1" s="94" t="s">
        <v>200</v>
      </c>
      <c r="G1" s="95"/>
      <c r="H1" s="95"/>
      <c r="I1" s="95"/>
      <c r="J1" s="95"/>
      <c r="K1" s="96"/>
    </row>
    <row r="2" spans="1:11" ht="15.6" thickBot="1" x14ac:dyDescent="0.35">
      <c r="A2" s="12" t="s">
        <v>161</v>
      </c>
      <c r="B2" s="13" t="s">
        <v>162</v>
      </c>
      <c r="C2" s="13" t="s">
        <v>163</v>
      </c>
      <c r="F2" s="23" t="s">
        <v>201</v>
      </c>
      <c r="G2" s="24" t="s">
        <v>202</v>
      </c>
      <c r="H2" s="24" t="s">
        <v>203</v>
      </c>
      <c r="I2" s="24" t="s">
        <v>204</v>
      </c>
      <c r="J2" s="24" t="s">
        <v>205</v>
      </c>
      <c r="K2" s="24" t="s">
        <v>206</v>
      </c>
    </row>
    <row r="3" spans="1:11" ht="15.6" thickBot="1" x14ac:dyDescent="0.35">
      <c r="A3" s="14" t="s">
        <v>164</v>
      </c>
      <c r="B3" s="15" t="s">
        <v>162</v>
      </c>
      <c r="C3" s="15" t="s">
        <v>163</v>
      </c>
      <c r="F3" s="25" t="s">
        <v>207</v>
      </c>
      <c r="G3" s="28">
        <v>6</v>
      </c>
      <c r="H3" s="29">
        <v>1.3799999999999999E-4</v>
      </c>
      <c r="I3" s="26">
        <v>8.1300000000000003E-4</v>
      </c>
      <c r="J3" s="27">
        <v>34312</v>
      </c>
      <c r="K3" s="26">
        <f>+J3*G3/100000</f>
        <v>2.0587200000000001</v>
      </c>
    </row>
    <row r="4" spans="1:11" ht="15.6" thickBot="1" x14ac:dyDescent="0.35">
      <c r="A4" s="16" t="s">
        <v>165</v>
      </c>
      <c r="B4" s="17" t="s">
        <v>166</v>
      </c>
      <c r="C4" s="17" t="s">
        <v>167</v>
      </c>
      <c r="F4" s="25" t="s">
        <v>208</v>
      </c>
      <c r="G4" s="28">
        <v>6</v>
      </c>
      <c r="H4" s="29">
        <v>1.3799999999999999E-4</v>
      </c>
      <c r="I4" s="26">
        <v>1.4250000000000001E-3</v>
      </c>
      <c r="J4" s="27">
        <v>11555</v>
      </c>
      <c r="K4" s="26">
        <f>+J4*G4/100000</f>
        <v>0.69330000000000003</v>
      </c>
    </row>
    <row r="5" spans="1:11" ht="15.6" thickBot="1" x14ac:dyDescent="0.35">
      <c r="A5" s="14" t="s">
        <v>168</v>
      </c>
      <c r="B5" s="15" t="s">
        <v>162</v>
      </c>
      <c r="C5" s="15" t="s">
        <v>163</v>
      </c>
      <c r="F5" s="25" t="s">
        <v>209</v>
      </c>
      <c r="G5" s="28">
        <v>6</v>
      </c>
      <c r="H5" s="29">
        <v>1.54E-4</v>
      </c>
      <c r="I5" s="26">
        <v>2.0140000000000002E-3</v>
      </c>
      <c r="J5" s="27">
        <v>5887</v>
      </c>
      <c r="K5" s="26">
        <f>+J5*G5/100000</f>
        <v>0.35321999999999998</v>
      </c>
    </row>
    <row r="6" spans="1:11" ht="15.6" thickBot="1" x14ac:dyDescent="0.35">
      <c r="A6" s="16" t="s">
        <v>169</v>
      </c>
      <c r="B6" s="17" t="s">
        <v>162</v>
      </c>
      <c r="C6" s="17" t="s">
        <v>163</v>
      </c>
      <c r="F6" s="25" t="s">
        <v>210</v>
      </c>
      <c r="G6" s="28">
        <v>6</v>
      </c>
      <c r="H6" s="29">
        <v>1.47E-4</v>
      </c>
      <c r="I6" s="26">
        <v>9.8829999999999994E-3</v>
      </c>
      <c r="J6" s="27">
        <v>311</v>
      </c>
      <c r="K6" s="26">
        <f>+J6*G6/100000</f>
        <v>1.866E-2</v>
      </c>
    </row>
    <row r="7" spans="1:11" ht="15" x14ac:dyDescent="0.3">
      <c r="A7" s="14" t="s">
        <v>170</v>
      </c>
      <c r="B7" s="15" t="s">
        <v>162</v>
      </c>
      <c r="C7" s="15" t="s">
        <v>163</v>
      </c>
    </row>
    <row r="8" spans="1:11" ht="15" x14ac:dyDescent="0.3">
      <c r="A8" s="16" t="s">
        <v>171</v>
      </c>
      <c r="B8" s="17" t="s">
        <v>172</v>
      </c>
      <c r="C8" s="17" t="s">
        <v>173</v>
      </c>
    </row>
    <row r="9" spans="1:11" ht="15" x14ac:dyDescent="0.3">
      <c r="A9" s="14" t="s">
        <v>174</v>
      </c>
      <c r="B9" s="15" t="s">
        <v>175</v>
      </c>
      <c r="C9" s="15" t="s">
        <v>176</v>
      </c>
    </row>
    <row r="10" spans="1:11" ht="15" x14ac:dyDescent="0.3">
      <c r="A10" s="16" t="s">
        <v>177</v>
      </c>
      <c r="B10" s="17" t="s">
        <v>178</v>
      </c>
      <c r="C10" s="17" t="s">
        <v>179</v>
      </c>
    </row>
    <row r="11" spans="1:11" ht="15" x14ac:dyDescent="0.3">
      <c r="A11" s="14" t="s">
        <v>180</v>
      </c>
      <c r="B11" s="15" t="s">
        <v>162</v>
      </c>
      <c r="C11" s="15" t="s">
        <v>163</v>
      </c>
    </row>
    <row r="12" spans="1:11" ht="15" x14ac:dyDescent="0.3">
      <c r="A12" s="16" t="s">
        <v>181</v>
      </c>
      <c r="B12" s="17" t="s">
        <v>182</v>
      </c>
      <c r="C12" s="17" t="s">
        <v>183</v>
      </c>
    </row>
    <row r="13" spans="1:11" ht="15" x14ac:dyDescent="0.3">
      <c r="A13" s="14" t="s">
        <v>184</v>
      </c>
      <c r="B13" s="15" t="s">
        <v>162</v>
      </c>
      <c r="C13" s="15" t="s">
        <v>163</v>
      </c>
    </row>
    <row r="14" spans="1:11" ht="15" x14ac:dyDescent="0.3">
      <c r="A14" s="20" t="s">
        <v>185</v>
      </c>
      <c r="B14" s="21" t="s">
        <v>162</v>
      </c>
      <c r="C14" s="21" t="s">
        <v>163</v>
      </c>
    </row>
    <row r="15" spans="1:11" ht="15" x14ac:dyDescent="0.3">
      <c r="A15" s="14" t="s">
        <v>186</v>
      </c>
      <c r="B15" s="15" t="s">
        <v>187</v>
      </c>
      <c r="C15" s="15" t="s">
        <v>188</v>
      </c>
    </row>
    <row r="16" spans="1:11" ht="15" x14ac:dyDescent="0.3">
      <c r="A16" s="16" t="s">
        <v>189</v>
      </c>
      <c r="B16" s="17" t="s">
        <v>190</v>
      </c>
      <c r="C16" s="17" t="s">
        <v>191</v>
      </c>
    </row>
    <row r="17" spans="1:3" ht="15" x14ac:dyDescent="0.3">
      <c r="A17" s="14" t="s">
        <v>192</v>
      </c>
      <c r="B17" s="15" t="s">
        <v>193</v>
      </c>
      <c r="C17" s="15" t="s">
        <v>194</v>
      </c>
    </row>
    <row r="18" spans="1:3" ht="15.6" thickBot="1" x14ac:dyDescent="0.35">
      <c r="A18" s="18" t="s">
        <v>195</v>
      </c>
      <c r="B18" s="19" t="s">
        <v>196</v>
      </c>
      <c r="C18" s="19" t="s">
        <v>197</v>
      </c>
    </row>
  </sheetData>
  <mergeCells count="1">
    <mergeCell ref="F1:K1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Sheet1</vt:lpstr>
      <vt:lpstr>ensayos variables</vt:lpstr>
      <vt:lpstr>tablas</vt:lpstr>
      <vt:lpstr>Flujo de caja</vt:lpstr>
      <vt:lpstr>dataset</vt:lpstr>
      <vt:lpstr>results</vt:lpstr>
      <vt:lpstr>2017-23 - Analisis volatilidad</vt:lpstr>
      <vt:lpstr>resultados</vt:lpstr>
      <vt:lpstr>RL</vt:lpstr>
      <vt:lpstr>RP</vt:lpstr>
      <vt:lpstr>SVR</vt:lpstr>
      <vt:lpstr>AD</vt:lpstr>
      <vt:lpstr>RF</vt:lpstr>
      <vt:lpstr>predicciones</vt:lpstr>
      <vt:lpstr>Ideal - Simple</vt:lpstr>
      <vt:lpstr>Ideal - Compuesta</vt:lpstr>
      <vt:lpstr>Real - Simple</vt:lpstr>
      <vt:lpstr>Real - Compuesta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Muelas</dc:creator>
  <cp:lastModifiedBy>Marcos Muelas Tenorio</cp:lastModifiedBy>
  <dcterms:created xsi:type="dcterms:W3CDTF">2023-02-13T01:57:53Z</dcterms:created>
  <dcterms:modified xsi:type="dcterms:W3CDTF">2023-10-05T14:06:13Z</dcterms:modified>
</cp:coreProperties>
</file>